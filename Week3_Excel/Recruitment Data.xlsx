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3A6CC7F-E704-418D-8ACA-DBC883FA3577}" xr6:coauthVersionLast="47" xr6:coauthVersionMax="47" xr10:uidLastSave="{00000000-0000-0000-0000-000000000000}"/>
  <bookViews>
    <workbookView xWindow="-110" yWindow="-110" windowWidth="19420" windowHeight="10300" activeTab="2" xr2:uid="{E1648FA6-504A-43CE-99BC-E6773B56326F}"/>
  </bookViews>
  <sheets>
    <sheet name="Raw Data" sheetId="1" r:id="rId1"/>
    <sheet name="DASHBOARD" sheetId="3" r:id="rId2"/>
    <sheet name="TABLES" sheetId="4" r:id="rId3"/>
    <sheet name="Data Fields" sheetId="2" r:id="rId4"/>
  </sheets>
  <definedNames>
    <definedName name="_xlnm._FilterDatabase" localSheetId="0" hidden="1">'Raw Data'!$A$1:$AJ$2401</definedName>
    <definedName name="_xlchart.v2.0" hidden="1">TABLES!$A$2:$A$5</definedName>
    <definedName name="_xlchart.v2.1" hidden="1">TABLES!$B$1</definedName>
    <definedName name="_xlchart.v2.2" hidden="1">TABLES!$B$2:$B$5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7" i="4" l="1"/>
  <c r="F85" i="4" a="1"/>
  <c r="F85" i="4" s="1"/>
  <c r="AH2402" i="1"/>
  <c r="J28" i="4"/>
  <c r="J2400" i="4"/>
  <c r="J2399" i="4"/>
  <c r="J2398" i="4"/>
  <c r="J2397" i="4"/>
  <c r="J2396" i="4"/>
  <c r="J2395" i="4"/>
  <c r="J2394" i="4"/>
  <c r="J2393" i="4"/>
  <c r="J2392" i="4"/>
  <c r="J2391" i="4"/>
  <c r="J2390" i="4"/>
  <c r="J2389" i="4"/>
  <c r="J2388" i="4"/>
  <c r="J2387" i="4"/>
  <c r="J2386" i="4"/>
  <c r="J2385" i="4"/>
  <c r="J2384" i="4"/>
  <c r="J2383" i="4"/>
  <c r="J2382" i="4"/>
  <c r="J2381" i="4"/>
  <c r="J2380" i="4"/>
  <c r="J2379" i="4"/>
  <c r="J2378" i="4"/>
  <c r="J2377" i="4"/>
  <c r="J2376" i="4"/>
  <c r="J2375" i="4"/>
  <c r="J2374" i="4"/>
  <c r="J2373" i="4"/>
  <c r="J2372" i="4"/>
  <c r="J2371" i="4"/>
  <c r="J2370" i="4"/>
  <c r="J2369" i="4"/>
  <c r="J2368" i="4"/>
  <c r="J2367" i="4"/>
  <c r="J2366" i="4"/>
  <c r="J2365" i="4"/>
  <c r="J2364" i="4"/>
  <c r="J2363" i="4"/>
  <c r="J2362" i="4"/>
  <c r="J2361" i="4"/>
  <c r="J2360" i="4"/>
  <c r="J2359" i="4"/>
  <c r="J2358" i="4"/>
  <c r="J2357" i="4"/>
  <c r="J2356" i="4"/>
  <c r="J2355" i="4"/>
  <c r="J2354" i="4"/>
  <c r="J2353" i="4"/>
  <c r="J2352" i="4"/>
  <c r="J2351" i="4"/>
  <c r="J2350" i="4"/>
  <c r="J2349" i="4"/>
  <c r="J2348" i="4"/>
  <c r="J2347" i="4"/>
  <c r="J2346" i="4"/>
  <c r="J2345" i="4"/>
  <c r="J2344" i="4"/>
  <c r="J2343" i="4"/>
  <c r="J2342" i="4"/>
  <c r="J2341" i="4"/>
  <c r="J2340" i="4"/>
  <c r="J2339" i="4"/>
  <c r="J2338" i="4"/>
  <c r="J2337" i="4"/>
  <c r="J2336" i="4"/>
  <c r="J2335" i="4"/>
  <c r="J2334" i="4"/>
  <c r="J2333" i="4"/>
  <c r="J2332" i="4"/>
  <c r="J2331" i="4"/>
  <c r="J2330" i="4"/>
  <c r="J2329" i="4"/>
  <c r="J2328" i="4"/>
  <c r="J2327" i="4"/>
  <c r="J2326" i="4"/>
  <c r="J2325" i="4"/>
  <c r="J2324" i="4"/>
  <c r="J2323" i="4"/>
  <c r="J2322" i="4"/>
  <c r="J2321" i="4"/>
  <c r="J2320" i="4"/>
  <c r="J2319" i="4"/>
  <c r="J2318" i="4"/>
  <c r="J2317" i="4"/>
  <c r="J2316" i="4"/>
  <c r="J2315" i="4"/>
  <c r="J2314" i="4"/>
  <c r="J2313" i="4"/>
  <c r="J2312" i="4"/>
  <c r="J2311" i="4"/>
  <c r="J2310" i="4"/>
  <c r="J2309" i="4"/>
  <c r="J2308" i="4"/>
  <c r="J2307" i="4"/>
  <c r="J2306" i="4"/>
  <c r="J2305" i="4"/>
  <c r="J2304" i="4"/>
  <c r="J2303" i="4"/>
  <c r="J2302" i="4"/>
  <c r="J2301" i="4"/>
  <c r="J2300" i="4"/>
  <c r="J2299" i="4"/>
  <c r="J2298" i="4"/>
  <c r="J2297" i="4"/>
  <c r="J2296" i="4"/>
  <c r="J2295" i="4"/>
  <c r="J2294" i="4"/>
  <c r="J2293" i="4"/>
  <c r="J2292" i="4"/>
  <c r="J2291" i="4"/>
  <c r="J2290" i="4"/>
  <c r="J2289" i="4"/>
  <c r="J2288" i="4"/>
  <c r="J2287" i="4"/>
  <c r="J2286" i="4"/>
  <c r="J2285" i="4"/>
  <c r="J2284" i="4"/>
  <c r="J2283" i="4"/>
  <c r="J2282" i="4"/>
  <c r="J2281" i="4"/>
  <c r="J2280" i="4"/>
  <c r="J2279" i="4"/>
  <c r="J2278" i="4"/>
  <c r="J2277" i="4"/>
  <c r="J2276" i="4"/>
  <c r="J2275" i="4"/>
  <c r="J2274" i="4"/>
  <c r="J2273" i="4"/>
  <c r="J2272" i="4"/>
  <c r="J2271" i="4"/>
  <c r="J2270" i="4"/>
  <c r="J2269" i="4"/>
  <c r="J2268" i="4"/>
  <c r="J2267" i="4"/>
  <c r="J2266" i="4"/>
  <c r="J2265" i="4"/>
  <c r="J2264" i="4"/>
  <c r="J2263" i="4"/>
  <c r="J2262" i="4"/>
  <c r="J2261" i="4"/>
  <c r="J2260" i="4"/>
  <c r="J2259" i="4"/>
  <c r="J2258" i="4"/>
  <c r="J2257" i="4"/>
  <c r="J2256" i="4"/>
  <c r="J2255" i="4"/>
  <c r="J2254" i="4"/>
  <c r="J2253" i="4"/>
  <c r="J2252" i="4"/>
  <c r="J2251" i="4"/>
  <c r="J2250" i="4"/>
  <c r="J2249" i="4"/>
  <c r="J2248" i="4"/>
  <c r="J2247" i="4"/>
  <c r="J2246" i="4"/>
  <c r="J2245" i="4"/>
  <c r="J2244" i="4"/>
  <c r="J2243" i="4"/>
  <c r="J2242" i="4"/>
  <c r="J2241" i="4"/>
  <c r="J2240" i="4"/>
  <c r="J2239" i="4"/>
  <c r="J2238" i="4"/>
  <c r="J2237" i="4"/>
  <c r="J2236" i="4"/>
  <c r="J2235" i="4"/>
  <c r="J2234" i="4"/>
  <c r="J2233" i="4"/>
  <c r="J2232" i="4"/>
  <c r="J2231" i="4"/>
  <c r="J2230" i="4"/>
  <c r="J2229" i="4"/>
  <c r="J2228" i="4"/>
  <c r="J2227" i="4"/>
  <c r="J2226" i="4"/>
  <c r="J2225" i="4"/>
  <c r="J2224" i="4"/>
  <c r="J2223" i="4"/>
  <c r="J2222" i="4"/>
  <c r="J2221" i="4"/>
  <c r="J2220" i="4"/>
  <c r="J2219" i="4"/>
  <c r="J2218" i="4"/>
  <c r="J2217" i="4"/>
  <c r="J2216" i="4"/>
  <c r="J2215" i="4"/>
  <c r="J2214" i="4"/>
  <c r="J2213" i="4"/>
  <c r="J2212" i="4"/>
  <c r="J2211" i="4"/>
  <c r="J2210" i="4"/>
  <c r="J2209" i="4"/>
  <c r="J2208" i="4"/>
  <c r="J2207" i="4"/>
  <c r="J2206" i="4"/>
  <c r="J2205" i="4"/>
  <c r="J2204" i="4"/>
  <c r="J2203" i="4"/>
  <c r="J2202" i="4"/>
  <c r="J2201" i="4"/>
  <c r="J2200" i="4"/>
  <c r="J2199" i="4"/>
  <c r="J2198" i="4"/>
  <c r="J2197" i="4"/>
  <c r="J2196" i="4"/>
  <c r="J2195" i="4"/>
  <c r="J2194" i="4"/>
  <c r="J2193" i="4"/>
  <c r="J2192" i="4"/>
  <c r="J2191" i="4"/>
  <c r="J2190" i="4"/>
  <c r="J2189" i="4"/>
  <c r="J2188" i="4"/>
  <c r="J2187" i="4"/>
  <c r="J2186" i="4"/>
  <c r="J2185" i="4"/>
  <c r="J2184" i="4"/>
  <c r="J2183" i="4"/>
  <c r="J2182" i="4"/>
  <c r="J2181" i="4"/>
  <c r="J2180" i="4"/>
  <c r="J2179" i="4"/>
  <c r="J2178" i="4"/>
  <c r="J2177" i="4"/>
  <c r="J2176" i="4"/>
  <c r="J2175" i="4"/>
  <c r="J2174" i="4"/>
  <c r="J2173" i="4"/>
  <c r="J2172" i="4"/>
  <c r="J2171" i="4"/>
  <c r="J2170" i="4"/>
  <c r="J2169" i="4"/>
  <c r="J2168" i="4"/>
  <c r="J2167" i="4"/>
  <c r="J2166" i="4"/>
  <c r="J2165" i="4"/>
  <c r="J2164" i="4"/>
  <c r="J2163" i="4"/>
  <c r="J2162" i="4"/>
  <c r="J2161" i="4"/>
  <c r="J2160" i="4"/>
  <c r="J2159" i="4"/>
  <c r="J2158" i="4"/>
  <c r="J2157" i="4"/>
  <c r="J2156" i="4"/>
  <c r="J2155" i="4"/>
  <c r="J2154" i="4"/>
  <c r="J2153" i="4"/>
  <c r="J2152" i="4"/>
  <c r="J2151" i="4"/>
  <c r="J2150" i="4"/>
  <c r="J2149" i="4"/>
  <c r="J2148" i="4"/>
  <c r="J2147" i="4"/>
  <c r="J2146" i="4"/>
  <c r="J2145" i="4"/>
  <c r="J2144" i="4"/>
  <c r="J2143" i="4"/>
  <c r="J2142" i="4"/>
  <c r="J2141" i="4"/>
  <c r="J2140" i="4"/>
  <c r="J2139" i="4"/>
  <c r="J2138" i="4"/>
  <c r="J2137" i="4"/>
  <c r="J2136" i="4"/>
  <c r="J2135" i="4"/>
  <c r="J2134" i="4"/>
  <c r="J2133" i="4"/>
  <c r="J2132" i="4"/>
  <c r="J2131" i="4"/>
  <c r="J2130" i="4"/>
  <c r="J2129" i="4"/>
  <c r="J2128" i="4"/>
  <c r="J2127" i="4"/>
  <c r="J2126" i="4"/>
  <c r="J2125" i="4"/>
  <c r="J2124" i="4"/>
  <c r="J2123" i="4"/>
  <c r="J2122" i="4"/>
  <c r="J2121" i="4"/>
  <c r="J2120" i="4"/>
  <c r="J2119" i="4"/>
  <c r="J2118" i="4"/>
  <c r="J2117" i="4"/>
  <c r="J2116" i="4"/>
  <c r="J2115" i="4"/>
  <c r="J2114" i="4"/>
  <c r="J2113" i="4"/>
  <c r="J2112" i="4"/>
  <c r="J2111" i="4"/>
  <c r="J2110" i="4"/>
  <c r="J2109" i="4"/>
  <c r="J2108" i="4"/>
  <c r="J2107" i="4"/>
  <c r="J2106" i="4"/>
  <c r="J2105" i="4"/>
  <c r="J2104" i="4"/>
  <c r="J2103" i="4"/>
  <c r="J2102" i="4"/>
  <c r="J2101" i="4"/>
  <c r="J2100" i="4"/>
  <c r="J2099" i="4"/>
  <c r="J2098" i="4"/>
  <c r="J2097" i="4"/>
  <c r="J2096" i="4"/>
  <c r="J2095" i="4"/>
  <c r="J2094" i="4"/>
  <c r="J2093" i="4"/>
  <c r="J2092" i="4"/>
  <c r="J2091" i="4"/>
  <c r="J2090" i="4"/>
  <c r="J2089" i="4"/>
  <c r="J2088" i="4"/>
  <c r="J2087" i="4"/>
  <c r="J2086" i="4"/>
  <c r="J2085" i="4"/>
  <c r="J2084" i="4"/>
  <c r="J2083" i="4"/>
  <c r="J2082" i="4"/>
  <c r="J2081" i="4"/>
  <c r="J2080" i="4"/>
  <c r="J2079" i="4"/>
  <c r="J2078" i="4"/>
  <c r="J2077" i="4"/>
  <c r="J2076" i="4"/>
  <c r="J2075" i="4"/>
  <c r="J2074" i="4"/>
  <c r="J2073" i="4"/>
  <c r="J2072" i="4"/>
  <c r="J2071" i="4"/>
  <c r="J2070" i="4"/>
  <c r="J2069" i="4"/>
  <c r="J2068" i="4"/>
  <c r="J2067" i="4"/>
  <c r="J2066" i="4"/>
  <c r="J2065" i="4"/>
  <c r="J2064" i="4"/>
  <c r="J2063" i="4"/>
  <c r="J2062" i="4"/>
  <c r="J2061" i="4"/>
  <c r="J2060" i="4"/>
  <c r="J2059" i="4"/>
  <c r="J2058" i="4"/>
  <c r="J2057" i="4"/>
  <c r="J2056" i="4"/>
  <c r="J2055" i="4"/>
  <c r="J2054" i="4"/>
  <c r="J2053" i="4"/>
  <c r="J2052" i="4"/>
  <c r="J2051" i="4"/>
  <c r="J2050" i="4"/>
  <c r="J2049" i="4"/>
  <c r="J2048" i="4"/>
  <c r="J2047" i="4"/>
  <c r="J2046" i="4"/>
  <c r="J2045" i="4"/>
  <c r="J2044" i="4"/>
  <c r="J2043" i="4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5" i="4"/>
  <c r="J1884" i="4"/>
  <c r="J1883" i="4"/>
  <c r="J1882" i="4"/>
  <c r="J1881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88" i="4"/>
  <c r="J1787" i="4"/>
  <c r="J1786" i="4"/>
  <c r="J1785" i="4"/>
  <c r="J1784" i="4"/>
  <c r="J1783" i="4"/>
  <c r="J1782" i="4"/>
  <c r="J1781" i="4"/>
  <c r="J1780" i="4"/>
  <c r="J1779" i="4"/>
  <c r="J1778" i="4"/>
  <c r="J1777" i="4"/>
  <c r="J1776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9" i="4"/>
  <c r="J1758" i="4"/>
  <c r="J1757" i="4"/>
  <c r="J1756" i="4"/>
  <c r="J1755" i="4"/>
  <c r="J1754" i="4"/>
  <c r="J1753" i="4"/>
  <c r="J1752" i="4"/>
  <c r="J1751" i="4"/>
  <c r="J1750" i="4"/>
  <c r="J1749" i="4"/>
  <c r="J1748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L2400" i="4"/>
  <c r="L2399" i="4"/>
  <c r="L2398" i="4"/>
  <c r="L2397" i="4"/>
  <c r="L2396" i="4"/>
  <c r="L2395" i="4"/>
  <c r="L2394" i="4"/>
  <c r="L2393" i="4"/>
  <c r="L2392" i="4"/>
  <c r="L2391" i="4"/>
  <c r="L2390" i="4"/>
  <c r="L2389" i="4"/>
  <c r="L2388" i="4"/>
  <c r="L2387" i="4"/>
  <c r="L2386" i="4"/>
  <c r="L2385" i="4"/>
  <c r="L2384" i="4"/>
  <c r="L2383" i="4"/>
  <c r="L2382" i="4"/>
  <c r="L2381" i="4"/>
  <c r="L2380" i="4"/>
  <c r="L2379" i="4"/>
  <c r="L2378" i="4"/>
  <c r="L2377" i="4"/>
  <c r="L2376" i="4"/>
  <c r="L2375" i="4"/>
  <c r="L2374" i="4"/>
  <c r="L2373" i="4"/>
  <c r="L2372" i="4"/>
  <c r="L2371" i="4"/>
  <c r="L2370" i="4"/>
  <c r="L2369" i="4"/>
  <c r="L2368" i="4"/>
  <c r="L2367" i="4"/>
  <c r="L2366" i="4"/>
  <c r="L2365" i="4"/>
  <c r="L2364" i="4"/>
  <c r="L2363" i="4"/>
  <c r="L2362" i="4"/>
  <c r="L2361" i="4"/>
  <c r="L2360" i="4"/>
  <c r="L2359" i="4"/>
  <c r="L2358" i="4"/>
  <c r="L2357" i="4"/>
  <c r="L2356" i="4"/>
  <c r="L2355" i="4"/>
  <c r="L2354" i="4"/>
  <c r="L2353" i="4"/>
  <c r="L2352" i="4"/>
  <c r="L2351" i="4"/>
  <c r="L2350" i="4"/>
  <c r="L2349" i="4"/>
  <c r="L2348" i="4"/>
  <c r="L2347" i="4"/>
  <c r="L2346" i="4"/>
  <c r="L2345" i="4"/>
  <c r="L2344" i="4"/>
  <c r="L2343" i="4"/>
  <c r="L2342" i="4"/>
  <c r="L2341" i="4"/>
  <c r="L2340" i="4"/>
  <c r="L2339" i="4"/>
  <c r="L2338" i="4"/>
  <c r="L2337" i="4"/>
  <c r="L2336" i="4"/>
  <c r="L2335" i="4"/>
  <c r="L2334" i="4"/>
  <c r="L2333" i="4"/>
  <c r="L2332" i="4"/>
  <c r="L2331" i="4"/>
  <c r="L2330" i="4"/>
  <c r="L2329" i="4"/>
  <c r="L2328" i="4"/>
  <c r="L2327" i="4"/>
  <c r="L2326" i="4"/>
  <c r="L2325" i="4"/>
  <c r="L2324" i="4"/>
  <c r="L2323" i="4"/>
  <c r="L2322" i="4"/>
  <c r="L2321" i="4"/>
  <c r="L2320" i="4"/>
  <c r="L2319" i="4"/>
  <c r="L2318" i="4"/>
  <c r="L2317" i="4"/>
  <c r="L2316" i="4"/>
  <c r="L2315" i="4"/>
  <c r="L2314" i="4"/>
  <c r="L2313" i="4"/>
  <c r="L2312" i="4"/>
  <c r="L2311" i="4"/>
  <c r="L2310" i="4"/>
  <c r="L2309" i="4"/>
  <c r="L2308" i="4"/>
  <c r="L2307" i="4"/>
  <c r="L2306" i="4"/>
  <c r="L2305" i="4"/>
  <c r="L2304" i="4"/>
  <c r="L2303" i="4"/>
  <c r="L2302" i="4"/>
  <c r="L2301" i="4"/>
  <c r="L2300" i="4"/>
  <c r="L2299" i="4"/>
  <c r="L2298" i="4"/>
  <c r="L2297" i="4"/>
  <c r="L2296" i="4"/>
  <c r="L2295" i="4"/>
  <c r="L2294" i="4"/>
  <c r="L2293" i="4"/>
  <c r="L2292" i="4"/>
  <c r="L2291" i="4"/>
  <c r="L2290" i="4"/>
  <c r="L2289" i="4"/>
  <c r="L2288" i="4"/>
  <c r="L2287" i="4"/>
  <c r="L2286" i="4"/>
  <c r="L2285" i="4"/>
  <c r="L2284" i="4"/>
  <c r="L2283" i="4"/>
  <c r="L2282" i="4"/>
  <c r="L2281" i="4"/>
  <c r="L2280" i="4"/>
  <c r="L2279" i="4"/>
  <c r="L2278" i="4"/>
  <c r="L2277" i="4"/>
  <c r="L2276" i="4"/>
  <c r="L2275" i="4"/>
  <c r="L2274" i="4"/>
  <c r="L2273" i="4"/>
  <c r="L2272" i="4"/>
  <c r="L2271" i="4"/>
  <c r="L2270" i="4"/>
  <c r="L2269" i="4"/>
  <c r="L2268" i="4"/>
  <c r="L2267" i="4"/>
  <c r="L2266" i="4"/>
  <c r="L2265" i="4"/>
  <c r="L2264" i="4"/>
  <c r="L2263" i="4"/>
  <c r="L2262" i="4"/>
  <c r="L2261" i="4"/>
  <c r="L2260" i="4"/>
  <c r="L2259" i="4"/>
  <c r="L2258" i="4"/>
  <c r="L2257" i="4"/>
  <c r="L2256" i="4"/>
  <c r="L2255" i="4"/>
  <c r="L2254" i="4"/>
  <c r="L2253" i="4"/>
  <c r="L2252" i="4"/>
  <c r="L2251" i="4"/>
  <c r="L2250" i="4"/>
  <c r="L2249" i="4"/>
  <c r="L2248" i="4"/>
  <c r="L2247" i="4"/>
  <c r="L2246" i="4"/>
  <c r="L2245" i="4"/>
  <c r="L2244" i="4"/>
  <c r="L2243" i="4"/>
  <c r="L2242" i="4"/>
  <c r="L2241" i="4"/>
  <c r="L2240" i="4"/>
  <c r="L2239" i="4"/>
  <c r="L2238" i="4"/>
  <c r="L2237" i="4"/>
  <c r="L2236" i="4"/>
  <c r="L2235" i="4"/>
  <c r="L2234" i="4"/>
  <c r="L2233" i="4"/>
  <c r="L2232" i="4"/>
  <c r="L2231" i="4"/>
  <c r="L2230" i="4"/>
  <c r="L2229" i="4"/>
  <c r="L2228" i="4"/>
  <c r="L2227" i="4"/>
  <c r="L2226" i="4"/>
  <c r="L2225" i="4"/>
  <c r="L2224" i="4"/>
  <c r="L2223" i="4"/>
  <c r="L2222" i="4"/>
  <c r="L2221" i="4"/>
  <c r="L2220" i="4"/>
  <c r="L2219" i="4"/>
  <c r="L2218" i="4"/>
  <c r="L2217" i="4"/>
  <c r="L2216" i="4"/>
  <c r="L2215" i="4"/>
  <c r="L2214" i="4"/>
  <c r="L2213" i="4"/>
  <c r="L2212" i="4"/>
  <c r="L2211" i="4"/>
  <c r="L2210" i="4"/>
  <c r="L2209" i="4"/>
  <c r="L2208" i="4"/>
  <c r="L2207" i="4"/>
  <c r="L2206" i="4"/>
  <c r="L2205" i="4"/>
  <c r="L2204" i="4"/>
  <c r="L2203" i="4"/>
  <c r="L2202" i="4"/>
  <c r="L2201" i="4"/>
  <c r="L2200" i="4"/>
  <c r="L2199" i="4"/>
  <c r="L2198" i="4"/>
  <c r="L2197" i="4"/>
  <c r="L2196" i="4"/>
  <c r="L2195" i="4"/>
  <c r="L2194" i="4"/>
  <c r="L2193" i="4"/>
  <c r="L2192" i="4"/>
  <c r="L2191" i="4"/>
  <c r="L2190" i="4"/>
  <c r="L2189" i="4"/>
  <c r="L2188" i="4"/>
  <c r="L2187" i="4"/>
  <c r="L2186" i="4"/>
  <c r="L2185" i="4"/>
  <c r="L2184" i="4"/>
  <c r="L2183" i="4"/>
  <c r="L2182" i="4"/>
  <c r="L2181" i="4"/>
  <c r="L2180" i="4"/>
  <c r="L2179" i="4"/>
  <c r="L2178" i="4"/>
  <c r="L2177" i="4"/>
  <c r="L2176" i="4"/>
  <c r="L2175" i="4"/>
  <c r="L2174" i="4"/>
  <c r="L2173" i="4"/>
  <c r="L2172" i="4"/>
  <c r="L2171" i="4"/>
  <c r="L2170" i="4"/>
  <c r="L2169" i="4"/>
  <c r="L2168" i="4"/>
  <c r="L2167" i="4"/>
  <c r="L2166" i="4"/>
  <c r="L2165" i="4"/>
  <c r="L2164" i="4"/>
  <c r="L2163" i="4"/>
  <c r="L2162" i="4"/>
  <c r="L2161" i="4"/>
  <c r="L2160" i="4"/>
  <c r="L2159" i="4"/>
  <c r="L2158" i="4"/>
  <c r="L2157" i="4"/>
  <c r="L2156" i="4"/>
  <c r="L2155" i="4"/>
  <c r="L2154" i="4"/>
  <c r="L2153" i="4"/>
  <c r="L2152" i="4"/>
  <c r="L2151" i="4"/>
  <c r="L2150" i="4"/>
  <c r="L2149" i="4"/>
  <c r="L2148" i="4"/>
  <c r="L2147" i="4"/>
  <c r="L2146" i="4"/>
  <c r="L2145" i="4"/>
  <c r="L2144" i="4"/>
  <c r="L2143" i="4"/>
  <c r="L2142" i="4"/>
  <c r="L2141" i="4"/>
  <c r="L2140" i="4"/>
  <c r="L2139" i="4"/>
  <c r="L2138" i="4"/>
  <c r="L2137" i="4"/>
  <c r="L2136" i="4"/>
  <c r="L2135" i="4"/>
  <c r="L2134" i="4"/>
  <c r="L2133" i="4"/>
  <c r="L2132" i="4"/>
  <c r="L2131" i="4"/>
  <c r="L2130" i="4"/>
  <c r="L2129" i="4"/>
  <c r="L2128" i="4"/>
  <c r="L2127" i="4"/>
  <c r="L2126" i="4"/>
  <c r="L2125" i="4"/>
  <c r="L2124" i="4"/>
  <c r="L2123" i="4"/>
  <c r="L2122" i="4"/>
  <c r="L2121" i="4"/>
  <c r="L2120" i="4"/>
  <c r="L2119" i="4"/>
  <c r="L2118" i="4"/>
  <c r="L2117" i="4"/>
  <c r="L2116" i="4"/>
  <c r="L2115" i="4"/>
  <c r="L2114" i="4"/>
  <c r="L2113" i="4"/>
  <c r="L2112" i="4"/>
  <c r="L2111" i="4"/>
  <c r="L2110" i="4"/>
  <c r="L2109" i="4"/>
  <c r="L2108" i="4"/>
  <c r="L2107" i="4"/>
  <c r="L2106" i="4"/>
  <c r="L2105" i="4"/>
  <c r="L2104" i="4"/>
  <c r="L2103" i="4"/>
  <c r="L2102" i="4"/>
  <c r="L2101" i="4"/>
  <c r="L2100" i="4"/>
  <c r="L2099" i="4"/>
  <c r="L2098" i="4"/>
  <c r="L2097" i="4"/>
  <c r="L2096" i="4"/>
  <c r="L2095" i="4"/>
  <c r="L2094" i="4"/>
  <c r="L2093" i="4"/>
  <c r="L2092" i="4"/>
  <c r="L2091" i="4"/>
  <c r="L2090" i="4"/>
  <c r="L2089" i="4"/>
  <c r="L2088" i="4"/>
  <c r="L2087" i="4"/>
  <c r="L2086" i="4"/>
  <c r="L2085" i="4"/>
  <c r="L2084" i="4"/>
  <c r="L2083" i="4"/>
  <c r="L2082" i="4"/>
  <c r="L2081" i="4"/>
  <c r="L2080" i="4"/>
  <c r="L2079" i="4"/>
  <c r="L2078" i="4"/>
  <c r="L2077" i="4"/>
  <c r="L2076" i="4"/>
  <c r="L2075" i="4"/>
  <c r="L2074" i="4"/>
  <c r="L2073" i="4"/>
  <c r="L2072" i="4"/>
  <c r="L2071" i="4"/>
  <c r="L2070" i="4"/>
  <c r="L2069" i="4"/>
  <c r="L2068" i="4"/>
  <c r="L2067" i="4"/>
  <c r="L2066" i="4"/>
  <c r="L2065" i="4"/>
  <c r="L2064" i="4"/>
  <c r="L2063" i="4"/>
  <c r="L2062" i="4"/>
  <c r="L2061" i="4"/>
  <c r="L2060" i="4"/>
  <c r="L2059" i="4"/>
  <c r="L2058" i="4"/>
  <c r="L2057" i="4"/>
  <c r="L2056" i="4"/>
  <c r="L2055" i="4"/>
  <c r="L2054" i="4"/>
  <c r="L2053" i="4"/>
  <c r="L2052" i="4"/>
  <c r="L2051" i="4"/>
  <c r="L2050" i="4"/>
  <c r="L2049" i="4"/>
  <c r="L2048" i="4"/>
  <c r="L2047" i="4"/>
  <c r="L2046" i="4"/>
  <c r="L2045" i="4"/>
  <c r="L2044" i="4"/>
  <c r="L2043" i="4"/>
  <c r="L2042" i="4"/>
  <c r="L2041" i="4"/>
  <c r="L2040" i="4"/>
  <c r="L2039" i="4"/>
  <c r="L2038" i="4"/>
  <c r="L2037" i="4"/>
  <c r="L2036" i="4"/>
  <c r="L2035" i="4"/>
  <c r="L2034" i="4"/>
  <c r="L2033" i="4"/>
  <c r="L2032" i="4"/>
  <c r="L2031" i="4"/>
  <c r="L2030" i="4"/>
  <c r="L2029" i="4"/>
  <c r="L2028" i="4"/>
  <c r="L2027" i="4"/>
  <c r="L2026" i="4"/>
  <c r="L2025" i="4"/>
  <c r="L2024" i="4"/>
  <c r="L2023" i="4"/>
  <c r="L2022" i="4"/>
  <c r="L2021" i="4"/>
  <c r="L2020" i="4"/>
  <c r="L2019" i="4"/>
  <c r="L2018" i="4"/>
  <c r="L2017" i="4"/>
  <c r="L2016" i="4"/>
  <c r="L2015" i="4"/>
  <c r="L2014" i="4"/>
  <c r="L2013" i="4"/>
  <c r="L2012" i="4"/>
  <c r="L2011" i="4"/>
  <c r="L2010" i="4"/>
  <c r="L2009" i="4"/>
  <c r="L2008" i="4"/>
  <c r="L2007" i="4"/>
  <c r="L2006" i="4"/>
  <c r="L2005" i="4"/>
  <c r="L2004" i="4"/>
  <c r="L2003" i="4"/>
  <c r="L2002" i="4"/>
  <c r="L2001" i="4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2403" i="1"/>
  <c r="F2398" i="1"/>
  <c r="J2398" i="1"/>
  <c r="K2398" i="1" s="1"/>
  <c r="AI2398" i="1" s="1"/>
  <c r="AC2398" i="1"/>
  <c r="AD2398" i="1"/>
  <c r="AE2398" i="1"/>
  <c r="AF2398" i="1"/>
  <c r="AG2398" i="1"/>
  <c r="AH2398" i="1"/>
  <c r="F2394" i="1"/>
  <c r="J2394" i="1"/>
  <c r="K2394" i="1" s="1"/>
  <c r="AI2394" i="1" s="1"/>
  <c r="AC2394" i="1"/>
  <c r="AD2394" i="1"/>
  <c r="AE2394" i="1"/>
  <c r="AF2394" i="1"/>
  <c r="AG2394" i="1"/>
  <c r="AH2394" i="1"/>
  <c r="F2390" i="1"/>
  <c r="J2390" i="1"/>
  <c r="AC2390" i="1"/>
  <c r="AD2390" i="1"/>
  <c r="AE2390" i="1"/>
  <c r="AF2390" i="1"/>
  <c r="AG2390" i="1"/>
  <c r="AH2390" i="1"/>
  <c r="F2381" i="1"/>
  <c r="J2381" i="1"/>
  <c r="K2381" i="1" s="1"/>
  <c r="AI2381" i="1" s="1"/>
  <c r="AC2381" i="1"/>
  <c r="AD2381" i="1"/>
  <c r="AE2381" i="1"/>
  <c r="AF2381" i="1"/>
  <c r="AG2381" i="1"/>
  <c r="AH2381" i="1"/>
  <c r="F2382" i="1"/>
  <c r="J2382" i="1"/>
  <c r="K2382" i="1" s="1"/>
  <c r="AI2382" i="1" s="1"/>
  <c r="AC2382" i="1"/>
  <c r="AD2382" i="1"/>
  <c r="AE2382" i="1"/>
  <c r="AF2382" i="1"/>
  <c r="AG2382" i="1"/>
  <c r="AH2382" i="1"/>
  <c r="F2372" i="1"/>
  <c r="J2372" i="1"/>
  <c r="K2372" i="1" s="1"/>
  <c r="AI2372" i="1" s="1"/>
  <c r="AC2372" i="1"/>
  <c r="AD2372" i="1"/>
  <c r="AE2372" i="1"/>
  <c r="AF2372" i="1"/>
  <c r="AG2372" i="1"/>
  <c r="AH2372" i="1"/>
  <c r="F2373" i="1"/>
  <c r="J2373" i="1"/>
  <c r="K2373" i="1" s="1"/>
  <c r="AI2373" i="1" s="1"/>
  <c r="AC2373" i="1"/>
  <c r="AD2373" i="1"/>
  <c r="AE2373" i="1"/>
  <c r="AF2373" i="1"/>
  <c r="AG2373" i="1"/>
  <c r="AH2373" i="1"/>
  <c r="F2369" i="1"/>
  <c r="J2369" i="1"/>
  <c r="K2369" i="1" s="1"/>
  <c r="AI2369" i="1" s="1"/>
  <c r="AC2369" i="1"/>
  <c r="AD2369" i="1"/>
  <c r="AE2369" i="1"/>
  <c r="AF2369" i="1"/>
  <c r="AG2369" i="1"/>
  <c r="AH2369" i="1"/>
  <c r="F2363" i="1"/>
  <c r="J2363" i="1"/>
  <c r="K2363" i="1" s="1"/>
  <c r="AI2363" i="1" s="1"/>
  <c r="AC2363" i="1"/>
  <c r="AD2363" i="1"/>
  <c r="AE2363" i="1"/>
  <c r="AF2363" i="1"/>
  <c r="AG2363" i="1"/>
  <c r="AH2363" i="1"/>
  <c r="F2357" i="1"/>
  <c r="J2357" i="1"/>
  <c r="AC2357" i="1"/>
  <c r="AD2357" i="1"/>
  <c r="AE2357" i="1"/>
  <c r="AF2357" i="1"/>
  <c r="AG2357" i="1"/>
  <c r="AH2357" i="1"/>
  <c r="F2348" i="1"/>
  <c r="J2348" i="1"/>
  <c r="AC2348" i="1"/>
  <c r="AD2348" i="1"/>
  <c r="AE2348" i="1"/>
  <c r="AF2348" i="1"/>
  <c r="AG2348" i="1"/>
  <c r="AH2348" i="1"/>
  <c r="F2340" i="1"/>
  <c r="J2340" i="1"/>
  <c r="K2340" i="1" s="1"/>
  <c r="AI2340" i="1" s="1"/>
  <c r="AC2340" i="1"/>
  <c r="AD2340" i="1"/>
  <c r="AE2340" i="1"/>
  <c r="AF2340" i="1"/>
  <c r="AG2340" i="1"/>
  <c r="AH2340" i="1"/>
  <c r="F2329" i="1"/>
  <c r="J2329" i="1"/>
  <c r="K2329" i="1" s="1"/>
  <c r="AI2329" i="1" s="1"/>
  <c r="AC2329" i="1"/>
  <c r="AD2329" i="1"/>
  <c r="AE2329" i="1"/>
  <c r="AF2329" i="1"/>
  <c r="AG2329" i="1"/>
  <c r="AH2329" i="1"/>
  <c r="F2326" i="1"/>
  <c r="J2326" i="1"/>
  <c r="K2326" i="1" s="1"/>
  <c r="AI2326" i="1" s="1"/>
  <c r="AC2326" i="1"/>
  <c r="AD2326" i="1"/>
  <c r="AE2326" i="1"/>
  <c r="AF2326" i="1"/>
  <c r="AG2326" i="1"/>
  <c r="AH2326" i="1"/>
  <c r="F2324" i="1"/>
  <c r="J2324" i="1"/>
  <c r="K2324" i="1" s="1"/>
  <c r="AI2324" i="1" s="1"/>
  <c r="AC2324" i="1"/>
  <c r="AD2324" i="1"/>
  <c r="AE2324" i="1"/>
  <c r="AF2324" i="1"/>
  <c r="AG2324" i="1"/>
  <c r="AH2324" i="1"/>
  <c r="F2318" i="1"/>
  <c r="J2318" i="1"/>
  <c r="K2318" i="1" s="1"/>
  <c r="AI2318" i="1" s="1"/>
  <c r="AC2318" i="1"/>
  <c r="AD2318" i="1"/>
  <c r="AE2318" i="1"/>
  <c r="AF2318" i="1"/>
  <c r="AG2318" i="1"/>
  <c r="AH2318" i="1"/>
  <c r="F2312" i="1"/>
  <c r="J2312" i="1"/>
  <c r="K2312" i="1" s="1"/>
  <c r="AI2312" i="1" s="1"/>
  <c r="AC2312" i="1"/>
  <c r="AD2312" i="1"/>
  <c r="AE2312" i="1"/>
  <c r="AF2312" i="1"/>
  <c r="AG2312" i="1"/>
  <c r="AH2312" i="1"/>
  <c r="F2308" i="1"/>
  <c r="J2308" i="1"/>
  <c r="AC2308" i="1"/>
  <c r="AD2308" i="1"/>
  <c r="AE2308" i="1"/>
  <c r="AF2308" i="1"/>
  <c r="AG2308" i="1"/>
  <c r="AH2308" i="1"/>
  <c r="F2300" i="1"/>
  <c r="J2300" i="1"/>
  <c r="AC2300" i="1"/>
  <c r="AD2300" i="1"/>
  <c r="AE2300" i="1"/>
  <c r="AF2300" i="1"/>
  <c r="AG2300" i="1"/>
  <c r="AH2300" i="1"/>
  <c r="F2298" i="1"/>
  <c r="J2298" i="1"/>
  <c r="K2298" i="1" s="1"/>
  <c r="AI2298" i="1" s="1"/>
  <c r="AC2298" i="1"/>
  <c r="AD2298" i="1"/>
  <c r="AE2298" i="1"/>
  <c r="AF2298" i="1"/>
  <c r="AG2298" i="1"/>
  <c r="AH2298" i="1"/>
  <c r="F2294" i="1"/>
  <c r="J2294" i="1"/>
  <c r="K2294" i="1" s="1"/>
  <c r="AI2294" i="1" s="1"/>
  <c r="AC2294" i="1"/>
  <c r="AD2294" i="1"/>
  <c r="AE2294" i="1"/>
  <c r="AF2294" i="1"/>
  <c r="AG2294" i="1"/>
  <c r="AH2294" i="1"/>
  <c r="F2291" i="1"/>
  <c r="J2291" i="1"/>
  <c r="K2291" i="1" s="1"/>
  <c r="AI2291" i="1" s="1"/>
  <c r="AC2291" i="1"/>
  <c r="AD2291" i="1"/>
  <c r="AE2291" i="1"/>
  <c r="AF2291" i="1"/>
  <c r="AG2291" i="1"/>
  <c r="AH2291" i="1"/>
  <c r="F2278" i="1"/>
  <c r="J2278" i="1"/>
  <c r="K2278" i="1" s="1"/>
  <c r="AI2278" i="1" s="1"/>
  <c r="AC2278" i="1"/>
  <c r="AD2278" i="1"/>
  <c r="AE2278" i="1"/>
  <c r="AF2278" i="1"/>
  <c r="AG2278" i="1"/>
  <c r="AH2278" i="1"/>
  <c r="F2270" i="1"/>
  <c r="J2270" i="1"/>
  <c r="K2270" i="1" s="1"/>
  <c r="AI2270" i="1" s="1"/>
  <c r="AC2270" i="1"/>
  <c r="AD2270" i="1"/>
  <c r="AE2270" i="1"/>
  <c r="AF2270" i="1"/>
  <c r="AG2270" i="1"/>
  <c r="AH2270" i="1"/>
  <c r="AJ2270" i="1"/>
  <c r="F2258" i="1"/>
  <c r="J2258" i="1"/>
  <c r="K2258" i="1" s="1"/>
  <c r="AI2258" i="1" s="1"/>
  <c r="AC2258" i="1"/>
  <c r="AD2258" i="1"/>
  <c r="AE2258" i="1"/>
  <c r="AF2258" i="1"/>
  <c r="AG2258" i="1"/>
  <c r="AH2258" i="1"/>
  <c r="F2254" i="1"/>
  <c r="J2254" i="1"/>
  <c r="AC2254" i="1"/>
  <c r="AD2254" i="1"/>
  <c r="AE2254" i="1"/>
  <c r="AF2254" i="1"/>
  <c r="AG2254" i="1"/>
  <c r="AH2254" i="1"/>
  <c r="F2247" i="1"/>
  <c r="J2247" i="1"/>
  <c r="AC2247" i="1"/>
  <c r="AD2247" i="1"/>
  <c r="AE2247" i="1"/>
  <c r="AF2247" i="1"/>
  <c r="AG2247" i="1"/>
  <c r="AH2247" i="1"/>
  <c r="F2240" i="1"/>
  <c r="J2240" i="1"/>
  <c r="AC2240" i="1"/>
  <c r="AD2240" i="1"/>
  <c r="AE2240" i="1"/>
  <c r="AF2240" i="1"/>
  <c r="AG2240" i="1"/>
  <c r="AH2240" i="1"/>
  <c r="F2238" i="1"/>
  <c r="J2238" i="1"/>
  <c r="K2238" i="1" s="1"/>
  <c r="AI2238" i="1" s="1"/>
  <c r="AC2238" i="1"/>
  <c r="AD2238" i="1"/>
  <c r="AE2238" i="1"/>
  <c r="AF2238" i="1"/>
  <c r="AG2238" i="1"/>
  <c r="AH2238" i="1"/>
  <c r="F2230" i="1"/>
  <c r="J2230" i="1"/>
  <c r="K2230" i="1" s="1"/>
  <c r="AI2230" i="1" s="1"/>
  <c r="AC2230" i="1"/>
  <c r="AD2230" i="1"/>
  <c r="AE2230" i="1"/>
  <c r="AF2230" i="1"/>
  <c r="AG2230" i="1"/>
  <c r="AH2230" i="1"/>
  <c r="F2222" i="1"/>
  <c r="J2222" i="1"/>
  <c r="K2222" i="1" s="1"/>
  <c r="AI2222" i="1" s="1"/>
  <c r="AC2222" i="1"/>
  <c r="AD2222" i="1"/>
  <c r="AE2222" i="1"/>
  <c r="AF2222" i="1"/>
  <c r="AG2222" i="1"/>
  <c r="AH2222" i="1"/>
  <c r="F2223" i="1"/>
  <c r="J2223" i="1"/>
  <c r="K2223" i="1" s="1"/>
  <c r="AI2223" i="1" s="1"/>
  <c r="AC2223" i="1"/>
  <c r="AD2223" i="1"/>
  <c r="AE2223" i="1"/>
  <c r="AF2223" i="1"/>
  <c r="AG2223" i="1"/>
  <c r="AH2223" i="1"/>
  <c r="F2220" i="1"/>
  <c r="J2220" i="1"/>
  <c r="K2220" i="1" s="1"/>
  <c r="AI2220" i="1" s="1"/>
  <c r="AC2220" i="1"/>
  <c r="AD2220" i="1"/>
  <c r="AE2220" i="1"/>
  <c r="AF2220" i="1"/>
  <c r="AG2220" i="1"/>
  <c r="AH2220" i="1"/>
  <c r="F2216" i="1"/>
  <c r="J2216" i="1"/>
  <c r="AC2216" i="1"/>
  <c r="AD2216" i="1"/>
  <c r="AE2216" i="1"/>
  <c r="AF2216" i="1"/>
  <c r="AG2216" i="1"/>
  <c r="AH2216" i="1"/>
  <c r="F2214" i="1"/>
  <c r="J2214" i="1"/>
  <c r="AC2214" i="1"/>
  <c r="AD2214" i="1"/>
  <c r="AE2214" i="1"/>
  <c r="AF2214" i="1"/>
  <c r="AG2214" i="1"/>
  <c r="AH2214" i="1"/>
  <c r="F2195" i="1"/>
  <c r="J2195" i="1"/>
  <c r="AC2195" i="1"/>
  <c r="AD2195" i="1"/>
  <c r="AE2195" i="1"/>
  <c r="AF2195" i="1"/>
  <c r="AG2195" i="1"/>
  <c r="AH2195" i="1"/>
  <c r="F2196" i="1"/>
  <c r="J2196" i="1"/>
  <c r="K2196" i="1" s="1"/>
  <c r="AI2196" i="1" s="1"/>
  <c r="AC2196" i="1"/>
  <c r="AD2196" i="1"/>
  <c r="AE2196" i="1"/>
  <c r="AF2196" i="1"/>
  <c r="AG2196" i="1"/>
  <c r="AH2196" i="1"/>
  <c r="F2191" i="1"/>
  <c r="J2191" i="1"/>
  <c r="K2191" i="1" s="1"/>
  <c r="AI2191" i="1" s="1"/>
  <c r="AC2191" i="1"/>
  <c r="AD2191" i="1"/>
  <c r="AE2191" i="1"/>
  <c r="AF2191" i="1"/>
  <c r="AG2191" i="1"/>
  <c r="AH2191" i="1"/>
  <c r="F2181" i="1"/>
  <c r="J2181" i="1"/>
  <c r="K2181" i="1" s="1"/>
  <c r="AI2181" i="1" s="1"/>
  <c r="AC2181" i="1"/>
  <c r="AD2181" i="1"/>
  <c r="AE2181" i="1"/>
  <c r="AF2181" i="1"/>
  <c r="AG2181" i="1"/>
  <c r="AH2181" i="1"/>
  <c r="F2179" i="1"/>
  <c r="J2179" i="1"/>
  <c r="K2179" i="1" s="1"/>
  <c r="AI2179" i="1" s="1"/>
  <c r="AC2179" i="1"/>
  <c r="AD2179" i="1"/>
  <c r="AE2179" i="1"/>
  <c r="AF2179" i="1"/>
  <c r="AG2179" i="1"/>
  <c r="AH2179" i="1"/>
  <c r="F2172" i="1"/>
  <c r="J2172" i="1"/>
  <c r="K2172" i="1" s="1"/>
  <c r="AI2172" i="1" s="1"/>
  <c r="AC2172" i="1"/>
  <c r="AD2172" i="1"/>
  <c r="AE2172" i="1"/>
  <c r="AF2172" i="1"/>
  <c r="AG2172" i="1"/>
  <c r="AH2172" i="1"/>
  <c r="F2170" i="1"/>
  <c r="J2170" i="1"/>
  <c r="AC2170" i="1"/>
  <c r="AD2170" i="1"/>
  <c r="AE2170" i="1"/>
  <c r="AF2170" i="1"/>
  <c r="AG2170" i="1"/>
  <c r="AH2170" i="1"/>
  <c r="F2166" i="1"/>
  <c r="J2166" i="1"/>
  <c r="AC2166" i="1"/>
  <c r="AD2166" i="1"/>
  <c r="AE2166" i="1"/>
  <c r="AF2166" i="1"/>
  <c r="AG2166" i="1"/>
  <c r="AH2166" i="1"/>
  <c r="F2144" i="1"/>
  <c r="J2144" i="1"/>
  <c r="AC2144" i="1"/>
  <c r="AD2144" i="1"/>
  <c r="AE2144" i="1"/>
  <c r="AF2144" i="1"/>
  <c r="AG2144" i="1"/>
  <c r="AH2144" i="1"/>
  <c r="F2145" i="1"/>
  <c r="J2145" i="1"/>
  <c r="K2145" i="1" s="1"/>
  <c r="AI2145" i="1" s="1"/>
  <c r="AC2145" i="1"/>
  <c r="AD2145" i="1"/>
  <c r="AE2145" i="1"/>
  <c r="AF2145" i="1"/>
  <c r="AG2145" i="1"/>
  <c r="AH2145" i="1"/>
  <c r="F2141" i="1"/>
  <c r="J2141" i="1"/>
  <c r="K2141" i="1" s="1"/>
  <c r="AI2141" i="1" s="1"/>
  <c r="AC2141" i="1"/>
  <c r="AD2141" i="1"/>
  <c r="AE2141" i="1"/>
  <c r="AF2141" i="1"/>
  <c r="AG2141" i="1"/>
  <c r="AH2141" i="1"/>
  <c r="F2136" i="1"/>
  <c r="J2136" i="1"/>
  <c r="K2136" i="1" s="1"/>
  <c r="AI2136" i="1" s="1"/>
  <c r="AC2136" i="1"/>
  <c r="AD2136" i="1"/>
  <c r="AE2136" i="1"/>
  <c r="AF2136" i="1"/>
  <c r="AG2136" i="1"/>
  <c r="AH2136" i="1"/>
  <c r="F2126" i="1"/>
  <c r="J2126" i="1"/>
  <c r="K2126" i="1" s="1"/>
  <c r="AI2126" i="1" s="1"/>
  <c r="AC2126" i="1"/>
  <c r="AD2126" i="1"/>
  <c r="AE2126" i="1"/>
  <c r="AF2126" i="1"/>
  <c r="AG2126" i="1"/>
  <c r="AH2126" i="1"/>
  <c r="F2127" i="1"/>
  <c r="J2127" i="1"/>
  <c r="K2127" i="1" s="1"/>
  <c r="AI2127" i="1" s="1"/>
  <c r="AC2127" i="1"/>
  <c r="AD2127" i="1"/>
  <c r="AE2127" i="1"/>
  <c r="AF2127" i="1"/>
  <c r="AG2127" i="1"/>
  <c r="AH2127" i="1"/>
  <c r="F2113" i="1"/>
  <c r="J2113" i="1"/>
  <c r="AC2113" i="1"/>
  <c r="AD2113" i="1"/>
  <c r="AE2113" i="1"/>
  <c r="AF2113" i="1"/>
  <c r="AG2113" i="1"/>
  <c r="AH2113" i="1"/>
  <c r="F2101" i="1"/>
  <c r="J2101" i="1"/>
  <c r="AC2101" i="1"/>
  <c r="AD2101" i="1"/>
  <c r="AE2101" i="1"/>
  <c r="AF2101" i="1"/>
  <c r="AG2101" i="1"/>
  <c r="AH2101" i="1"/>
  <c r="F2093" i="1"/>
  <c r="J2093" i="1"/>
  <c r="AC2093" i="1"/>
  <c r="AD2093" i="1"/>
  <c r="AE2093" i="1"/>
  <c r="AF2093" i="1"/>
  <c r="AG2093" i="1"/>
  <c r="AH2093" i="1"/>
  <c r="F2090" i="1"/>
  <c r="J2090" i="1"/>
  <c r="K2090" i="1" s="1"/>
  <c r="AI2090" i="1" s="1"/>
  <c r="AC2090" i="1"/>
  <c r="AD2090" i="1"/>
  <c r="AE2090" i="1"/>
  <c r="AF2090" i="1"/>
  <c r="AG2090" i="1"/>
  <c r="AH2090" i="1"/>
  <c r="F2087" i="1"/>
  <c r="J2087" i="1"/>
  <c r="K2087" i="1" s="1"/>
  <c r="AI2087" i="1" s="1"/>
  <c r="AC2087" i="1"/>
  <c r="AD2087" i="1"/>
  <c r="AE2087" i="1"/>
  <c r="AF2087" i="1"/>
  <c r="AG2087" i="1"/>
  <c r="AH2087" i="1"/>
  <c r="F2088" i="1"/>
  <c r="J2088" i="1"/>
  <c r="K2088" i="1" s="1"/>
  <c r="AI2088" i="1" s="1"/>
  <c r="AC2088" i="1"/>
  <c r="AD2088" i="1"/>
  <c r="AE2088" i="1"/>
  <c r="AF2088" i="1"/>
  <c r="AG2088" i="1"/>
  <c r="AH2088" i="1"/>
  <c r="F2073" i="1"/>
  <c r="J2073" i="1"/>
  <c r="K2073" i="1" s="1"/>
  <c r="AI2073" i="1" s="1"/>
  <c r="AC2073" i="1"/>
  <c r="AD2073" i="1"/>
  <c r="AE2073" i="1"/>
  <c r="AF2073" i="1"/>
  <c r="AG2073" i="1"/>
  <c r="AH2073" i="1"/>
  <c r="F2071" i="1"/>
  <c r="J2071" i="1"/>
  <c r="K2071" i="1" s="1"/>
  <c r="AI2071" i="1" s="1"/>
  <c r="AC2071" i="1"/>
  <c r="AD2071" i="1"/>
  <c r="AE2071" i="1"/>
  <c r="AF2071" i="1"/>
  <c r="AG2071" i="1"/>
  <c r="AH2071" i="1"/>
  <c r="F2064" i="1"/>
  <c r="J2064" i="1"/>
  <c r="AC2064" i="1"/>
  <c r="AD2064" i="1"/>
  <c r="AE2064" i="1"/>
  <c r="AF2064" i="1"/>
  <c r="AG2064" i="1"/>
  <c r="AH2064" i="1"/>
  <c r="F2065" i="1"/>
  <c r="J2065" i="1"/>
  <c r="AC2065" i="1"/>
  <c r="AD2065" i="1"/>
  <c r="AE2065" i="1"/>
  <c r="AF2065" i="1"/>
  <c r="AG2065" i="1"/>
  <c r="AH2065" i="1"/>
  <c r="F2061" i="1"/>
  <c r="J2061" i="1"/>
  <c r="AC2061" i="1"/>
  <c r="AD2061" i="1"/>
  <c r="AE2061" i="1"/>
  <c r="AF2061" i="1"/>
  <c r="AG2061" i="1"/>
  <c r="AH2061" i="1"/>
  <c r="F2062" i="1"/>
  <c r="J2062" i="1"/>
  <c r="K2062" i="1" s="1"/>
  <c r="AI2062" i="1" s="1"/>
  <c r="AC2062" i="1"/>
  <c r="AD2062" i="1"/>
  <c r="AE2062" i="1"/>
  <c r="AF2062" i="1"/>
  <c r="AG2062" i="1"/>
  <c r="AH2062" i="1"/>
  <c r="F2053" i="1"/>
  <c r="J2053" i="1"/>
  <c r="K2053" i="1" s="1"/>
  <c r="AI2053" i="1" s="1"/>
  <c r="AC2053" i="1"/>
  <c r="AD2053" i="1"/>
  <c r="AE2053" i="1"/>
  <c r="AF2053" i="1"/>
  <c r="AG2053" i="1"/>
  <c r="AH2053" i="1"/>
  <c r="F2037" i="1"/>
  <c r="J2037" i="1"/>
  <c r="K2037" i="1" s="1"/>
  <c r="AI2037" i="1" s="1"/>
  <c r="AC2037" i="1"/>
  <c r="AD2037" i="1"/>
  <c r="AE2037" i="1"/>
  <c r="AF2037" i="1"/>
  <c r="AG2037" i="1"/>
  <c r="AH2037" i="1"/>
  <c r="F2018" i="1"/>
  <c r="J2018" i="1"/>
  <c r="K2018" i="1" s="1"/>
  <c r="AI2018" i="1" s="1"/>
  <c r="AC2018" i="1"/>
  <c r="AD2018" i="1"/>
  <c r="AE2018" i="1"/>
  <c r="AF2018" i="1"/>
  <c r="AG2018" i="1"/>
  <c r="AH2018" i="1"/>
  <c r="F2014" i="1"/>
  <c r="J2014" i="1"/>
  <c r="K2014" i="1" s="1"/>
  <c r="AI2014" i="1" s="1"/>
  <c r="AC2014" i="1"/>
  <c r="AD2014" i="1"/>
  <c r="AE2014" i="1"/>
  <c r="AF2014" i="1"/>
  <c r="AG2014" i="1"/>
  <c r="AH2014" i="1"/>
  <c r="F2004" i="1"/>
  <c r="J2004" i="1"/>
  <c r="AC2004" i="1"/>
  <c r="AD2004" i="1"/>
  <c r="AE2004" i="1"/>
  <c r="AF2004" i="1"/>
  <c r="AG2004" i="1"/>
  <c r="AH2004" i="1"/>
  <c r="F1999" i="1"/>
  <c r="J1999" i="1"/>
  <c r="AC1999" i="1"/>
  <c r="AD1999" i="1"/>
  <c r="AE1999" i="1"/>
  <c r="AF1999" i="1"/>
  <c r="AG1999" i="1"/>
  <c r="AH1999" i="1"/>
  <c r="F1984" i="1"/>
  <c r="J1984" i="1"/>
  <c r="AC1984" i="1"/>
  <c r="AD1984" i="1"/>
  <c r="AE1984" i="1"/>
  <c r="AF1984" i="1"/>
  <c r="AG1984" i="1"/>
  <c r="AH1984" i="1"/>
  <c r="F1950" i="1"/>
  <c r="J1950" i="1"/>
  <c r="K1950" i="1" s="1"/>
  <c r="AI1950" i="1" s="1"/>
  <c r="AC1950" i="1"/>
  <c r="AD1950" i="1"/>
  <c r="AE1950" i="1"/>
  <c r="AF1950" i="1"/>
  <c r="AG1950" i="1"/>
  <c r="AH1950" i="1"/>
  <c r="F1951" i="1"/>
  <c r="J1951" i="1"/>
  <c r="K1951" i="1" s="1"/>
  <c r="AI1951" i="1" s="1"/>
  <c r="AC1951" i="1"/>
  <c r="AD1951" i="1"/>
  <c r="AE1951" i="1"/>
  <c r="AF1951" i="1"/>
  <c r="AG1951" i="1"/>
  <c r="AH1951" i="1"/>
  <c r="F1952" i="1"/>
  <c r="J1952" i="1"/>
  <c r="K1952" i="1" s="1"/>
  <c r="AI1952" i="1" s="1"/>
  <c r="AC1952" i="1"/>
  <c r="AD1952" i="1"/>
  <c r="AE1952" i="1"/>
  <c r="AF1952" i="1"/>
  <c r="AG1952" i="1"/>
  <c r="AH1952" i="1"/>
  <c r="F1946" i="1"/>
  <c r="J1946" i="1"/>
  <c r="K1946" i="1" s="1"/>
  <c r="AI1946" i="1" s="1"/>
  <c r="AC1946" i="1"/>
  <c r="AD1946" i="1"/>
  <c r="AE1946" i="1"/>
  <c r="AF1946" i="1"/>
  <c r="AG1946" i="1"/>
  <c r="AH1946" i="1"/>
  <c r="F1942" i="1"/>
  <c r="J1942" i="1"/>
  <c r="K1942" i="1" s="1"/>
  <c r="AI1942" i="1" s="1"/>
  <c r="AC1942" i="1"/>
  <c r="AD1942" i="1"/>
  <c r="AE1942" i="1"/>
  <c r="AF1942" i="1"/>
  <c r="AG1942" i="1"/>
  <c r="AH1942" i="1"/>
  <c r="F1943" i="1"/>
  <c r="J1943" i="1"/>
  <c r="AC1943" i="1"/>
  <c r="AD1943" i="1"/>
  <c r="AE1943" i="1"/>
  <c r="AF1943" i="1"/>
  <c r="AG1943" i="1"/>
  <c r="AH1943" i="1"/>
  <c r="F1939" i="1"/>
  <c r="J1939" i="1"/>
  <c r="AC1939" i="1"/>
  <c r="AD1939" i="1"/>
  <c r="AE1939" i="1"/>
  <c r="AF1939" i="1"/>
  <c r="AG1939" i="1"/>
  <c r="AH1939" i="1"/>
  <c r="F1931" i="1"/>
  <c r="J1931" i="1"/>
  <c r="AC1931" i="1"/>
  <c r="AD1931" i="1"/>
  <c r="AE1931" i="1"/>
  <c r="AF1931" i="1"/>
  <c r="AG1931" i="1"/>
  <c r="AH1931" i="1"/>
  <c r="F1928" i="1"/>
  <c r="J1928" i="1"/>
  <c r="K1928" i="1" s="1"/>
  <c r="AI1928" i="1" s="1"/>
  <c r="AC1928" i="1"/>
  <c r="AD1928" i="1"/>
  <c r="AE1928" i="1"/>
  <c r="AF1928" i="1"/>
  <c r="AG1928" i="1"/>
  <c r="AH1928" i="1"/>
  <c r="F1929" i="1"/>
  <c r="J1929" i="1"/>
  <c r="K1929" i="1" s="1"/>
  <c r="AI1929" i="1" s="1"/>
  <c r="AC1929" i="1"/>
  <c r="AD1929" i="1"/>
  <c r="AE1929" i="1"/>
  <c r="AF1929" i="1"/>
  <c r="AG1929" i="1"/>
  <c r="AH1929" i="1"/>
  <c r="F1919" i="1"/>
  <c r="J1919" i="1"/>
  <c r="K1919" i="1" s="1"/>
  <c r="AI1919" i="1" s="1"/>
  <c r="AC1919" i="1"/>
  <c r="AD1919" i="1"/>
  <c r="AE1919" i="1"/>
  <c r="AF1919" i="1"/>
  <c r="AG1919" i="1"/>
  <c r="AH1919" i="1"/>
  <c r="F1920" i="1"/>
  <c r="J1920" i="1"/>
  <c r="K1920" i="1" s="1"/>
  <c r="AI1920" i="1" s="1"/>
  <c r="AC1920" i="1"/>
  <c r="AD1920" i="1"/>
  <c r="AE1920" i="1"/>
  <c r="AF1920" i="1"/>
  <c r="AG1920" i="1"/>
  <c r="AH1920" i="1"/>
  <c r="F1921" i="1"/>
  <c r="J1921" i="1"/>
  <c r="K1921" i="1" s="1"/>
  <c r="AI1921" i="1" s="1"/>
  <c r="AC1921" i="1"/>
  <c r="AD1921" i="1"/>
  <c r="AE1921" i="1"/>
  <c r="AF1921" i="1"/>
  <c r="AG1921" i="1"/>
  <c r="AH1921" i="1"/>
  <c r="AJ1921" i="1"/>
  <c r="F1922" i="1"/>
  <c r="J1922" i="1"/>
  <c r="AC1922" i="1"/>
  <c r="AD1922" i="1"/>
  <c r="AE1922" i="1"/>
  <c r="AF1922" i="1"/>
  <c r="AG1922" i="1"/>
  <c r="AH1922" i="1"/>
  <c r="F1923" i="1"/>
  <c r="J1923" i="1"/>
  <c r="AC1923" i="1"/>
  <c r="AD1923" i="1"/>
  <c r="AE1923" i="1"/>
  <c r="AF1923" i="1"/>
  <c r="AG1923" i="1"/>
  <c r="AH1923" i="1"/>
  <c r="F1917" i="1"/>
  <c r="J1917" i="1"/>
  <c r="AC1917" i="1"/>
  <c r="AD1917" i="1"/>
  <c r="AE1917" i="1"/>
  <c r="AF1917" i="1"/>
  <c r="AG1917" i="1"/>
  <c r="AH1917" i="1"/>
  <c r="F1914" i="1"/>
  <c r="J1914" i="1"/>
  <c r="K1914" i="1" s="1"/>
  <c r="AI1914" i="1" s="1"/>
  <c r="AC1914" i="1"/>
  <c r="AD1914" i="1"/>
  <c r="AE1914" i="1"/>
  <c r="AF1914" i="1"/>
  <c r="AG1914" i="1"/>
  <c r="AH1914" i="1"/>
  <c r="F1912" i="1"/>
  <c r="J1912" i="1"/>
  <c r="K1912" i="1" s="1"/>
  <c r="AI1912" i="1" s="1"/>
  <c r="AC1912" i="1"/>
  <c r="AD1912" i="1"/>
  <c r="AE1912" i="1"/>
  <c r="AF1912" i="1"/>
  <c r="AG1912" i="1"/>
  <c r="AH1912" i="1"/>
  <c r="F1904" i="1"/>
  <c r="J1904" i="1"/>
  <c r="K1904" i="1" s="1"/>
  <c r="AI1904" i="1" s="1"/>
  <c r="AC1904" i="1"/>
  <c r="AD1904" i="1"/>
  <c r="AE1904" i="1"/>
  <c r="AF1904" i="1"/>
  <c r="AG1904" i="1"/>
  <c r="AH1904" i="1"/>
  <c r="F1902" i="1"/>
  <c r="J1902" i="1"/>
  <c r="K1902" i="1" s="1"/>
  <c r="AI1902" i="1" s="1"/>
  <c r="AC1902" i="1"/>
  <c r="AD1902" i="1"/>
  <c r="AE1902" i="1"/>
  <c r="AF1902" i="1"/>
  <c r="AG1902" i="1"/>
  <c r="AH1902" i="1"/>
  <c r="F1895" i="1"/>
  <c r="J1895" i="1"/>
  <c r="K1895" i="1" s="1"/>
  <c r="AI1895" i="1" s="1"/>
  <c r="AC1895" i="1"/>
  <c r="AD1895" i="1"/>
  <c r="AE1895" i="1"/>
  <c r="AF1895" i="1"/>
  <c r="AG1895" i="1"/>
  <c r="AH1895" i="1"/>
  <c r="F1891" i="1"/>
  <c r="J1891" i="1"/>
  <c r="AC1891" i="1"/>
  <c r="AD1891" i="1"/>
  <c r="AE1891" i="1"/>
  <c r="AF1891" i="1"/>
  <c r="AG1891" i="1"/>
  <c r="AH1891" i="1"/>
  <c r="F1892" i="1"/>
  <c r="J1892" i="1"/>
  <c r="AC1892" i="1"/>
  <c r="AD1892" i="1"/>
  <c r="AE1892" i="1"/>
  <c r="AF1892" i="1"/>
  <c r="AG1892" i="1"/>
  <c r="AH1892" i="1"/>
  <c r="F1893" i="1"/>
  <c r="J1893" i="1"/>
  <c r="AC1893" i="1"/>
  <c r="AD1893" i="1"/>
  <c r="AE1893" i="1"/>
  <c r="AF1893" i="1"/>
  <c r="AG1893" i="1"/>
  <c r="AH1893" i="1"/>
  <c r="F1889" i="1"/>
  <c r="J1889" i="1"/>
  <c r="AC1889" i="1"/>
  <c r="AD1889" i="1"/>
  <c r="AE1889" i="1"/>
  <c r="AF1889" i="1"/>
  <c r="AG1889" i="1"/>
  <c r="AH1889" i="1"/>
  <c r="F1885" i="1"/>
  <c r="J1885" i="1"/>
  <c r="K1885" i="1" s="1"/>
  <c r="AI1885" i="1" s="1"/>
  <c r="AC1885" i="1"/>
  <c r="AD1885" i="1"/>
  <c r="AE1885" i="1"/>
  <c r="AF1885" i="1"/>
  <c r="AG1885" i="1"/>
  <c r="AH1885" i="1"/>
  <c r="F1877" i="1"/>
  <c r="J1877" i="1"/>
  <c r="K1877" i="1" s="1"/>
  <c r="AI1877" i="1" s="1"/>
  <c r="AC1877" i="1"/>
  <c r="AD1877" i="1"/>
  <c r="AE1877" i="1"/>
  <c r="AF1877" i="1"/>
  <c r="AG1877" i="1"/>
  <c r="AH1877" i="1"/>
  <c r="F1878" i="1"/>
  <c r="J1878" i="1"/>
  <c r="K1878" i="1" s="1"/>
  <c r="AI1878" i="1" s="1"/>
  <c r="AC1878" i="1"/>
  <c r="AD1878" i="1"/>
  <c r="AE1878" i="1"/>
  <c r="AF1878" i="1"/>
  <c r="AG1878" i="1"/>
  <c r="AH1878" i="1"/>
  <c r="F1875" i="1"/>
  <c r="J1875" i="1"/>
  <c r="K1875" i="1" s="1"/>
  <c r="AI1875" i="1" s="1"/>
  <c r="AC1875" i="1"/>
  <c r="AD1875" i="1"/>
  <c r="AE1875" i="1"/>
  <c r="AF1875" i="1"/>
  <c r="AG1875" i="1"/>
  <c r="AH1875" i="1"/>
  <c r="F1867" i="1"/>
  <c r="J1867" i="1"/>
  <c r="AC1867" i="1"/>
  <c r="AD1867" i="1"/>
  <c r="AE1867" i="1"/>
  <c r="AF1867" i="1"/>
  <c r="AG1867" i="1"/>
  <c r="AH1867" i="1"/>
  <c r="F1856" i="1"/>
  <c r="J1856" i="1"/>
  <c r="AC1856" i="1"/>
  <c r="AD1856" i="1"/>
  <c r="AE1856" i="1"/>
  <c r="AF1856" i="1"/>
  <c r="AG1856" i="1"/>
  <c r="AH1856" i="1"/>
  <c r="F1841" i="1"/>
  <c r="J1841" i="1"/>
  <c r="AC1841" i="1"/>
  <c r="AD1841" i="1"/>
  <c r="AE1841" i="1"/>
  <c r="AF1841" i="1"/>
  <c r="AG1841" i="1"/>
  <c r="AH1841" i="1"/>
  <c r="F1839" i="1"/>
  <c r="J1839" i="1"/>
  <c r="K1839" i="1" s="1"/>
  <c r="AI1839" i="1" s="1"/>
  <c r="AC1839" i="1"/>
  <c r="AD1839" i="1"/>
  <c r="AE1839" i="1"/>
  <c r="AF1839" i="1"/>
  <c r="AG1839" i="1"/>
  <c r="AH1839" i="1"/>
  <c r="F1833" i="1"/>
  <c r="J1833" i="1"/>
  <c r="K1833" i="1" s="1"/>
  <c r="AI1833" i="1" s="1"/>
  <c r="AC1833" i="1"/>
  <c r="AD1833" i="1"/>
  <c r="AE1833" i="1"/>
  <c r="AF1833" i="1"/>
  <c r="AG1833" i="1"/>
  <c r="AH1833" i="1"/>
  <c r="F1830" i="1"/>
  <c r="J1830" i="1"/>
  <c r="K1830" i="1" s="1"/>
  <c r="AI1830" i="1" s="1"/>
  <c r="AC1830" i="1"/>
  <c r="AD1830" i="1"/>
  <c r="AE1830" i="1"/>
  <c r="AF1830" i="1"/>
  <c r="AG1830" i="1"/>
  <c r="AH1830" i="1"/>
  <c r="F1817" i="1"/>
  <c r="J1817" i="1"/>
  <c r="K1817" i="1" s="1"/>
  <c r="AI1817" i="1" s="1"/>
  <c r="AC1817" i="1"/>
  <c r="AD1817" i="1"/>
  <c r="AE1817" i="1"/>
  <c r="AF1817" i="1"/>
  <c r="AG1817" i="1"/>
  <c r="AH1817" i="1"/>
  <c r="F1807" i="1"/>
  <c r="J1807" i="1"/>
  <c r="K1807" i="1" s="1"/>
  <c r="AI1807" i="1" s="1"/>
  <c r="AC1807" i="1"/>
  <c r="AD1807" i="1"/>
  <c r="AE1807" i="1"/>
  <c r="AF1807" i="1"/>
  <c r="AG1807" i="1"/>
  <c r="AH1807" i="1"/>
  <c r="F1805" i="1"/>
  <c r="J1805" i="1"/>
  <c r="AC1805" i="1"/>
  <c r="AD1805" i="1"/>
  <c r="AE1805" i="1"/>
  <c r="AF1805" i="1"/>
  <c r="AG1805" i="1"/>
  <c r="AH1805" i="1"/>
  <c r="F1797" i="1"/>
  <c r="J1797" i="1"/>
  <c r="AC1797" i="1"/>
  <c r="AD1797" i="1"/>
  <c r="AE1797" i="1"/>
  <c r="AF1797" i="1"/>
  <c r="AG1797" i="1"/>
  <c r="AH1797" i="1"/>
  <c r="F1795" i="1"/>
  <c r="J1795" i="1"/>
  <c r="AC1795" i="1"/>
  <c r="AD1795" i="1"/>
  <c r="AE1795" i="1"/>
  <c r="AF1795" i="1"/>
  <c r="AG1795" i="1"/>
  <c r="AH1795" i="1"/>
  <c r="F1792" i="1"/>
  <c r="J1792" i="1"/>
  <c r="K1792" i="1" s="1"/>
  <c r="AI1792" i="1" s="1"/>
  <c r="AC1792" i="1"/>
  <c r="AD1792" i="1"/>
  <c r="AE1792" i="1"/>
  <c r="AF1792" i="1"/>
  <c r="AG1792" i="1"/>
  <c r="AH1792" i="1"/>
  <c r="F1789" i="1"/>
  <c r="J1789" i="1"/>
  <c r="K1789" i="1" s="1"/>
  <c r="AI1789" i="1" s="1"/>
  <c r="AC1789" i="1"/>
  <c r="AD1789" i="1"/>
  <c r="AE1789" i="1"/>
  <c r="AF1789" i="1"/>
  <c r="AG1789" i="1"/>
  <c r="AH1789" i="1"/>
  <c r="F1790" i="1"/>
  <c r="J1790" i="1"/>
  <c r="K1790" i="1" s="1"/>
  <c r="AI1790" i="1" s="1"/>
  <c r="AC1790" i="1"/>
  <c r="AD1790" i="1"/>
  <c r="AE1790" i="1"/>
  <c r="AF1790" i="1"/>
  <c r="AG1790" i="1"/>
  <c r="AH1790" i="1"/>
  <c r="F1783" i="1"/>
  <c r="J1783" i="1"/>
  <c r="K1783" i="1" s="1"/>
  <c r="AI1783" i="1" s="1"/>
  <c r="AC1783" i="1"/>
  <c r="AD1783" i="1"/>
  <c r="AE1783" i="1"/>
  <c r="AF1783" i="1"/>
  <c r="AG1783" i="1"/>
  <c r="AH1783" i="1"/>
  <c r="F1780" i="1"/>
  <c r="J1780" i="1"/>
  <c r="K1780" i="1" s="1"/>
  <c r="AI1780" i="1" s="1"/>
  <c r="AC1780" i="1"/>
  <c r="AD1780" i="1"/>
  <c r="AE1780" i="1"/>
  <c r="AF1780" i="1"/>
  <c r="AG1780" i="1"/>
  <c r="AH1780" i="1"/>
  <c r="F1776" i="1"/>
  <c r="J1776" i="1"/>
  <c r="AC1776" i="1"/>
  <c r="AD1776" i="1"/>
  <c r="AE1776" i="1"/>
  <c r="AF1776" i="1"/>
  <c r="AG1776" i="1"/>
  <c r="AH1776" i="1"/>
  <c r="F1777" i="1"/>
  <c r="J1777" i="1"/>
  <c r="AC1777" i="1"/>
  <c r="AD1777" i="1"/>
  <c r="AE1777" i="1"/>
  <c r="AF1777" i="1"/>
  <c r="AG1777" i="1"/>
  <c r="AH1777" i="1"/>
  <c r="F1771" i="1"/>
  <c r="J1771" i="1"/>
  <c r="AC1771" i="1"/>
  <c r="AD1771" i="1"/>
  <c r="AE1771" i="1"/>
  <c r="AF1771" i="1"/>
  <c r="AG1771" i="1"/>
  <c r="AH1771" i="1"/>
  <c r="F1772" i="1"/>
  <c r="J1772" i="1"/>
  <c r="K1772" i="1" s="1"/>
  <c r="AI1772" i="1" s="1"/>
  <c r="AC1772" i="1"/>
  <c r="AD1772" i="1"/>
  <c r="AE1772" i="1"/>
  <c r="AF1772" i="1"/>
  <c r="AG1772" i="1"/>
  <c r="AH1772" i="1"/>
  <c r="F1763" i="1"/>
  <c r="J1763" i="1"/>
  <c r="K1763" i="1" s="1"/>
  <c r="AI1763" i="1" s="1"/>
  <c r="AC1763" i="1"/>
  <c r="AD1763" i="1"/>
  <c r="AE1763" i="1"/>
  <c r="AF1763" i="1"/>
  <c r="AG1763" i="1"/>
  <c r="AH1763" i="1"/>
  <c r="F1764" i="1"/>
  <c r="J1764" i="1"/>
  <c r="K1764" i="1" s="1"/>
  <c r="AI1764" i="1" s="1"/>
  <c r="AC1764" i="1"/>
  <c r="AD1764" i="1"/>
  <c r="AE1764" i="1"/>
  <c r="AF1764" i="1"/>
  <c r="AG1764" i="1"/>
  <c r="AH1764" i="1"/>
  <c r="F1765" i="1"/>
  <c r="J1765" i="1"/>
  <c r="K1765" i="1" s="1"/>
  <c r="AI1765" i="1" s="1"/>
  <c r="AC1765" i="1"/>
  <c r="AD1765" i="1"/>
  <c r="AE1765" i="1"/>
  <c r="AF1765" i="1"/>
  <c r="AG1765" i="1"/>
  <c r="AH1765" i="1"/>
  <c r="F1760" i="1"/>
  <c r="J1760" i="1"/>
  <c r="K1760" i="1" s="1"/>
  <c r="AI1760" i="1" s="1"/>
  <c r="AC1760" i="1"/>
  <c r="AD1760" i="1"/>
  <c r="AE1760" i="1"/>
  <c r="AF1760" i="1"/>
  <c r="AG1760" i="1"/>
  <c r="AH1760" i="1"/>
  <c r="F1758" i="1"/>
  <c r="J1758" i="1"/>
  <c r="AC1758" i="1"/>
  <c r="AD1758" i="1"/>
  <c r="AE1758" i="1"/>
  <c r="AF1758" i="1"/>
  <c r="AG1758" i="1"/>
  <c r="AH1758" i="1"/>
  <c r="F1755" i="1"/>
  <c r="J1755" i="1"/>
  <c r="AC1755" i="1"/>
  <c r="AD1755" i="1"/>
  <c r="AE1755" i="1"/>
  <c r="AF1755" i="1"/>
  <c r="AG1755" i="1"/>
  <c r="AH1755" i="1"/>
  <c r="F1748" i="1"/>
  <c r="J1748" i="1"/>
  <c r="AC1748" i="1"/>
  <c r="AD1748" i="1"/>
  <c r="AE1748" i="1"/>
  <c r="AF1748" i="1"/>
  <c r="AG1748" i="1"/>
  <c r="AH1748" i="1"/>
  <c r="F1743" i="1"/>
  <c r="J1743" i="1"/>
  <c r="K1743" i="1" s="1"/>
  <c r="AI1743" i="1" s="1"/>
  <c r="AC1743" i="1"/>
  <c r="AD1743" i="1"/>
  <c r="AE1743" i="1"/>
  <c r="AF1743" i="1"/>
  <c r="AG1743" i="1"/>
  <c r="AH1743" i="1"/>
  <c r="F1733" i="1"/>
  <c r="J1733" i="1"/>
  <c r="K1733" i="1" s="1"/>
  <c r="AI1733" i="1" s="1"/>
  <c r="AC1733" i="1"/>
  <c r="AD1733" i="1"/>
  <c r="AE1733" i="1"/>
  <c r="AF1733" i="1"/>
  <c r="AG1733" i="1"/>
  <c r="AH1733" i="1"/>
  <c r="F1731" i="1"/>
  <c r="J1731" i="1"/>
  <c r="K1731" i="1" s="1"/>
  <c r="AI1731" i="1" s="1"/>
  <c r="AC1731" i="1"/>
  <c r="AD1731" i="1"/>
  <c r="AE1731" i="1"/>
  <c r="AF1731" i="1"/>
  <c r="AG1731" i="1"/>
  <c r="AH1731" i="1"/>
  <c r="F1728" i="1"/>
  <c r="J1728" i="1"/>
  <c r="K1728" i="1" s="1"/>
  <c r="AI1728" i="1" s="1"/>
  <c r="AC1728" i="1"/>
  <c r="AD1728" i="1"/>
  <c r="AE1728" i="1"/>
  <c r="AF1728" i="1"/>
  <c r="AG1728" i="1"/>
  <c r="AH1728" i="1"/>
  <c r="F1725" i="1"/>
  <c r="J1725" i="1"/>
  <c r="K1725" i="1" s="1"/>
  <c r="AI1725" i="1" s="1"/>
  <c r="AC1725" i="1"/>
  <c r="AD1725" i="1"/>
  <c r="AE1725" i="1"/>
  <c r="AF1725" i="1"/>
  <c r="AG1725" i="1"/>
  <c r="AH1725" i="1"/>
  <c r="F1726" i="1"/>
  <c r="J1726" i="1"/>
  <c r="AC1726" i="1"/>
  <c r="AD1726" i="1"/>
  <c r="AE1726" i="1"/>
  <c r="AF1726" i="1"/>
  <c r="AG1726" i="1"/>
  <c r="AH1726" i="1"/>
  <c r="F1722" i="1"/>
  <c r="J1722" i="1"/>
  <c r="AC1722" i="1"/>
  <c r="AD1722" i="1"/>
  <c r="AE1722" i="1"/>
  <c r="AF1722" i="1"/>
  <c r="AG1722" i="1"/>
  <c r="AH1722" i="1"/>
  <c r="F1723" i="1"/>
  <c r="J1723" i="1"/>
  <c r="AC1723" i="1"/>
  <c r="AD1723" i="1"/>
  <c r="AE1723" i="1"/>
  <c r="AF1723" i="1"/>
  <c r="AG1723" i="1"/>
  <c r="AH1723" i="1"/>
  <c r="F1719" i="1"/>
  <c r="J1719" i="1"/>
  <c r="K1719" i="1" s="1"/>
  <c r="AI1719" i="1" s="1"/>
  <c r="AC1719" i="1"/>
  <c r="AD1719" i="1"/>
  <c r="AE1719" i="1"/>
  <c r="AF1719" i="1"/>
  <c r="AG1719" i="1"/>
  <c r="AH1719" i="1"/>
  <c r="F1709" i="1"/>
  <c r="J1709" i="1"/>
  <c r="K1709" i="1" s="1"/>
  <c r="AI1709" i="1" s="1"/>
  <c r="AC1709" i="1"/>
  <c r="AD1709" i="1"/>
  <c r="AE1709" i="1"/>
  <c r="AF1709" i="1"/>
  <c r="AG1709" i="1"/>
  <c r="AH1709" i="1"/>
  <c r="F1710" i="1"/>
  <c r="J1710" i="1"/>
  <c r="K1710" i="1" s="1"/>
  <c r="AI1710" i="1" s="1"/>
  <c r="AC1710" i="1"/>
  <c r="AD1710" i="1"/>
  <c r="AE1710" i="1"/>
  <c r="AF1710" i="1"/>
  <c r="AG1710" i="1"/>
  <c r="AH1710" i="1"/>
  <c r="F1706" i="1"/>
  <c r="J1706" i="1"/>
  <c r="K1706" i="1" s="1"/>
  <c r="AI1706" i="1" s="1"/>
  <c r="AC1706" i="1"/>
  <c r="AD1706" i="1"/>
  <c r="AE1706" i="1"/>
  <c r="AF1706" i="1"/>
  <c r="AG1706" i="1"/>
  <c r="AH1706" i="1"/>
  <c r="F1701" i="1"/>
  <c r="J1701" i="1"/>
  <c r="K1701" i="1" s="1"/>
  <c r="AI1701" i="1" s="1"/>
  <c r="AC1701" i="1"/>
  <c r="AD1701" i="1"/>
  <c r="AE1701" i="1"/>
  <c r="AF1701" i="1"/>
  <c r="AG1701" i="1"/>
  <c r="AH1701" i="1"/>
  <c r="F1688" i="1"/>
  <c r="J1688" i="1"/>
  <c r="AC1688" i="1"/>
  <c r="AD1688" i="1"/>
  <c r="AE1688" i="1"/>
  <c r="AF1688" i="1"/>
  <c r="AG1688" i="1"/>
  <c r="AH1688" i="1"/>
  <c r="F1677" i="1"/>
  <c r="J1677" i="1"/>
  <c r="AC1677" i="1"/>
  <c r="AD1677" i="1"/>
  <c r="AE1677" i="1"/>
  <c r="AF1677" i="1"/>
  <c r="AG1677" i="1"/>
  <c r="AH1677" i="1"/>
  <c r="F1678" i="1"/>
  <c r="J1678" i="1"/>
  <c r="AC1678" i="1"/>
  <c r="AD1678" i="1"/>
  <c r="AE1678" i="1"/>
  <c r="AF1678" i="1"/>
  <c r="AG1678" i="1"/>
  <c r="AH1678" i="1"/>
  <c r="F1658" i="1"/>
  <c r="J1658" i="1"/>
  <c r="K1658" i="1" s="1"/>
  <c r="AI1658" i="1" s="1"/>
  <c r="AC1658" i="1"/>
  <c r="AD1658" i="1"/>
  <c r="AE1658" i="1"/>
  <c r="AF1658" i="1"/>
  <c r="AG1658" i="1"/>
  <c r="AH1658" i="1"/>
  <c r="F1648" i="1"/>
  <c r="J1648" i="1"/>
  <c r="K1648" i="1" s="1"/>
  <c r="AI1648" i="1" s="1"/>
  <c r="AC1648" i="1"/>
  <c r="AD1648" i="1"/>
  <c r="AE1648" i="1"/>
  <c r="AF1648" i="1"/>
  <c r="AG1648" i="1"/>
  <c r="AH1648" i="1"/>
  <c r="F1646" i="1"/>
  <c r="J1646" i="1"/>
  <c r="K1646" i="1" s="1"/>
  <c r="AI1646" i="1" s="1"/>
  <c r="AC1646" i="1"/>
  <c r="AD1646" i="1"/>
  <c r="AE1646" i="1"/>
  <c r="AF1646" i="1"/>
  <c r="AG1646" i="1"/>
  <c r="AH1646" i="1"/>
  <c r="F1644" i="1"/>
  <c r="J1644" i="1"/>
  <c r="K1644" i="1" s="1"/>
  <c r="AI1644" i="1" s="1"/>
  <c r="AC1644" i="1"/>
  <c r="AD1644" i="1"/>
  <c r="AE1644" i="1"/>
  <c r="AF1644" i="1"/>
  <c r="AG1644" i="1"/>
  <c r="AH1644" i="1"/>
  <c r="F1637" i="1"/>
  <c r="J1637" i="1"/>
  <c r="K1637" i="1" s="1"/>
  <c r="AI1637" i="1" s="1"/>
  <c r="AC1637" i="1"/>
  <c r="AD1637" i="1"/>
  <c r="AE1637" i="1"/>
  <c r="AF1637" i="1"/>
  <c r="AG1637" i="1"/>
  <c r="AH1637" i="1"/>
  <c r="F1638" i="1"/>
  <c r="J1638" i="1"/>
  <c r="AC1638" i="1"/>
  <c r="AD1638" i="1"/>
  <c r="AE1638" i="1"/>
  <c r="AF1638" i="1"/>
  <c r="AG1638" i="1"/>
  <c r="AH1638" i="1"/>
  <c r="F1632" i="1"/>
  <c r="J1632" i="1"/>
  <c r="AC1632" i="1"/>
  <c r="AD1632" i="1"/>
  <c r="AE1632" i="1"/>
  <c r="AF1632" i="1"/>
  <c r="AG1632" i="1"/>
  <c r="AH1632" i="1"/>
  <c r="F1625" i="1"/>
  <c r="J1625" i="1"/>
  <c r="AC1625" i="1"/>
  <c r="AD1625" i="1"/>
  <c r="AE1625" i="1"/>
  <c r="AF1625" i="1"/>
  <c r="AG1625" i="1"/>
  <c r="AH1625" i="1"/>
  <c r="F1622" i="1"/>
  <c r="J1622" i="1"/>
  <c r="K1622" i="1" s="1"/>
  <c r="AI1622" i="1" s="1"/>
  <c r="AC1622" i="1"/>
  <c r="AD1622" i="1"/>
  <c r="AE1622" i="1"/>
  <c r="AF1622" i="1"/>
  <c r="AG1622" i="1"/>
  <c r="AH1622" i="1"/>
  <c r="F1618" i="1"/>
  <c r="J1618" i="1"/>
  <c r="K1618" i="1" s="1"/>
  <c r="AI1618" i="1" s="1"/>
  <c r="AC1618" i="1"/>
  <c r="AD1618" i="1"/>
  <c r="AE1618" i="1"/>
  <c r="AF1618" i="1"/>
  <c r="AG1618" i="1"/>
  <c r="AH1618" i="1"/>
  <c r="F1616" i="1"/>
  <c r="J1616" i="1"/>
  <c r="K1616" i="1" s="1"/>
  <c r="AI1616" i="1" s="1"/>
  <c r="AC1616" i="1"/>
  <c r="AD1616" i="1"/>
  <c r="AE1616" i="1"/>
  <c r="AF1616" i="1"/>
  <c r="AG1616" i="1"/>
  <c r="AH1616" i="1"/>
  <c r="F1613" i="1"/>
  <c r="J1613" i="1"/>
  <c r="K1613" i="1" s="1"/>
  <c r="AI1613" i="1" s="1"/>
  <c r="AC1613" i="1"/>
  <c r="AD1613" i="1"/>
  <c r="AE1613" i="1"/>
  <c r="AF1613" i="1"/>
  <c r="AG1613" i="1"/>
  <c r="AH1613" i="1"/>
  <c r="F1610" i="1"/>
  <c r="J1610" i="1"/>
  <c r="K1610" i="1" s="1"/>
  <c r="AI1610" i="1" s="1"/>
  <c r="AC1610" i="1"/>
  <c r="AD1610" i="1"/>
  <c r="AE1610" i="1"/>
  <c r="AF1610" i="1"/>
  <c r="AG1610" i="1"/>
  <c r="AH1610" i="1"/>
  <c r="F1606" i="1"/>
  <c r="J1606" i="1"/>
  <c r="AC1606" i="1"/>
  <c r="AD1606" i="1"/>
  <c r="AE1606" i="1"/>
  <c r="AF1606" i="1"/>
  <c r="AG1606" i="1"/>
  <c r="AH1606" i="1"/>
  <c r="F1586" i="1"/>
  <c r="J1586" i="1"/>
  <c r="AC1586" i="1"/>
  <c r="AD1586" i="1"/>
  <c r="AE1586" i="1"/>
  <c r="AF1586" i="1"/>
  <c r="AG1586" i="1"/>
  <c r="AH1586" i="1"/>
  <c r="F1583" i="1"/>
  <c r="J1583" i="1"/>
  <c r="AC1583" i="1"/>
  <c r="AD1583" i="1"/>
  <c r="AE1583" i="1"/>
  <c r="AF1583" i="1"/>
  <c r="AG1583" i="1"/>
  <c r="AH1583" i="1"/>
  <c r="F1567" i="1"/>
  <c r="J1567" i="1"/>
  <c r="K1567" i="1" s="1"/>
  <c r="AI1567" i="1" s="1"/>
  <c r="AC1567" i="1"/>
  <c r="AD1567" i="1"/>
  <c r="AE1567" i="1"/>
  <c r="AF1567" i="1"/>
  <c r="AG1567" i="1"/>
  <c r="AH1567" i="1"/>
  <c r="F1568" i="1"/>
  <c r="J1568" i="1"/>
  <c r="K1568" i="1" s="1"/>
  <c r="AI1568" i="1" s="1"/>
  <c r="AC1568" i="1"/>
  <c r="AD1568" i="1"/>
  <c r="AE1568" i="1"/>
  <c r="AF1568" i="1"/>
  <c r="AG1568" i="1"/>
  <c r="AH1568" i="1"/>
  <c r="F1559" i="1"/>
  <c r="J1559" i="1"/>
  <c r="K1559" i="1" s="1"/>
  <c r="AI1559" i="1" s="1"/>
  <c r="AC1559" i="1"/>
  <c r="AD1559" i="1"/>
  <c r="AE1559" i="1"/>
  <c r="AF1559" i="1"/>
  <c r="AG1559" i="1"/>
  <c r="AH1559" i="1"/>
  <c r="F1556" i="1"/>
  <c r="J1556" i="1"/>
  <c r="K1556" i="1" s="1"/>
  <c r="AI1556" i="1" s="1"/>
  <c r="AC1556" i="1"/>
  <c r="AD1556" i="1"/>
  <c r="AE1556" i="1"/>
  <c r="AF1556" i="1"/>
  <c r="AG1556" i="1"/>
  <c r="AH1556" i="1"/>
  <c r="F1550" i="1"/>
  <c r="J1550" i="1"/>
  <c r="K1550" i="1" s="1"/>
  <c r="AI1550" i="1" s="1"/>
  <c r="AC1550" i="1"/>
  <c r="AD1550" i="1"/>
  <c r="AE1550" i="1"/>
  <c r="AF1550" i="1"/>
  <c r="AG1550" i="1"/>
  <c r="AH1550" i="1"/>
  <c r="F1542" i="1"/>
  <c r="J1542" i="1"/>
  <c r="AC1542" i="1"/>
  <c r="AD1542" i="1"/>
  <c r="AE1542" i="1"/>
  <c r="AF1542" i="1"/>
  <c r="AG1542" i="1"/>
  <c r="AH1542" i="1"/>
  <c r="F1543" i="1"/>
  <c r="J1543" i="1"/>
  <c r="AC1543" i="1"/>
  <c r="AD1543" i="1"/>
  <c r="AE1543" i="1"/>
  <c r="AF1543" i="1"/>
  <c r="AG1543" i="1"/>
  <c r="AH1543" i="1"/>
  <c r="F1538" i="1"/>
  <c r="J1538" i="1"/>
  <c r="AC1538" i="1"/>
  <c r="AD1538" i="1"/>
  <c r="AE1538" i="1"/>
  <c r="AF1538" i="1"/>
  <c r="AG1538" i="1"/>
  <c r="AH1538" i="1"/>
  <c r="F1539" i="1"/>
  <c r="J1539" i="1"/>
  <c r="K1539" i="1" s="1"/>
  <c r="AI1539" i="1" s="1"/>
  <c r="AC1539" i="1"/>
  <c r="AD1539" i="1"/>
  <c r="AE1539" i="1"/>
  <c r="AF1539" i="1"/>
  <c r="AG1539" i="1"/>
  <c r="AH1539" i="1"/>
  <c r="F1540" i="1"/>
  <c r="J1540" i="1"/>
  <c r="K1540" i="1" s="1"/>
  <c r="AI1540" i="1" s="1"/>
  <c r="AC1540" i="1"/>
  <c r="AD1540" i="1"/>
  <c r="AE1540" i="1"/>
  <c r="AF1540" i="1"/>
  <c r="AG1540" i="1"/>
  <c r="AH1540" i="1"/>
  <c r="F1534" i="1"/>
  <c r="J1534" i="1"/>
  <c r="K1534" i="1" s="1"/>
  <c r="AI1534" i="1" s="1"/>
  <c r="AC1534" i="1"/>
  <c r="AD1534" i="1"/>
  <c r="AE1534" i="1"/>
  <c r="AF1534" i="1"/>
  <c r="AG1534" i="1"/>
  <c r="AH1534" i="1"/>
  <c r="F1525" i="1"/>
  <c r="J1525" i="1"/>
  <c r="K1525" i="1" s="1"/>
  <c r="AI1525" i="1" s="1"/>
  <c r="AC1525" i="1"/>
  <c r="AD1525" i="1"/>
  <c r="AE1525" i="1"/>
  <c r="AF1525" i="1"/>
  <c r="AG1525" i="1"/>
  <c r="AH1525" i="1"/>
  <c r="F1516" i="1"/>
  <c r="J1516" i="1"/>
  <c r="K1516" i="1" s="1"/>
  <c r="AI1516" i="1" s="1"/>
  <c r="AC1516" i="1"/>
  <c r="AD1516" i="1"/>
  <c r="AE1516" i="1"/>
  <c r="AF1516" i="1"/>
  <c r="AG1516" i="1"/>
  <c r="AH1516" i="1"/>
  <c r="F1514" i="1"/>
  <c r="J1514" i="1"/>
  <c r="AC1514" i="1"/>
  <c r="AD1514" i="1"/>
  <c r="AE1514" i="1"/>
  <c r="AF1514" i="1"/>
  <c r="AG1514" i="1"/>
  <c r="AH1514" i="1"/>
  <c r="F1506" i="1"/>
  <c r="J1506" i="1"/>
  <c r="AC1506" i="1"/>
  <c r="AD1506" i="1"/>
  <c r="AE1506" i="1"/>
  <c r="AF1506" i="1"/>
  <c r="AG1506" i="1"/>
  <c r="AH1506" i="1"/>
  <c r="F1503" i="1"/>
  <c r="J1503" i="1"/>
  <c r="AC1503" i="1"/>
  <c r="AD1503" i="1"/>
  <c r="AE1503" i="1"/>
  <c r="AF1503" i="1"/>
  <c r="AG1503" i="1"/>
  <c r="AH1503" i="1"/>
  <c r="F1504" i="1"/>
  <c r="J1504" i="1"/>
  <c r="K1504" i="1" s="1"/>
  <c r="AI1504" i="1" s="1"/>
  <c r="AC1504" i="1"/>
  <c r="AD1504" i="1"/>
  <c r="AE1504" i="1"/>
  <c r="AF1504" i="1"/>
  <c r="AG1504" i="1"/>
  <c r="AH1504" i="1"/>
  <c r="F1501" i="1"/>
  <c r="J1501" i="1"/>
  <c r="K1501" i="1" s="1"/>
  <c r="AI1501" i="1" s="1"/>
  <c r="AC1501" i="1"/>
  <c r="AD1501" i="1"/>
  <c r="AE1501" i="1"/>
  <c r="AF1501" i="1"/>
  <c r="AG1501" i="1"/>
  <c r="AH1501" i="1"/>
  <c r="F1498" i="1"/>
  <c r="J1498" i="1"/>
  <c r="K1498" i="1" s="1"/>
  <c r="AI1498" i="1" s="1"/>
  <c r="AC1498" i="1"/>
  <c r="AD1498" i="1"/>
  <c r="AE1498" i="1"/>
  <c r="AF1498" i="1"/>
  <c r="AG1498" i="1"/>
  <c r="AH1498" i="1"/>
  <c r="F1486" i="1"/>
  <c r="J1486" i="1"/>
  <c r="K1486" i="1" s="1"/>
  <c r="AI1486" i="1" s="1"/>
  <c r="AC1486" i="1"/>
  <c r="AD1486" i="1"/>
  <c r="AE1486" i="1"/>
  <c r="AF1486" i="1"/>
  <c r="AG1486" i="1"/>
  <c r="AH1486" i="1"/>
  <c r="F1487" i="1"/>
  <c r="J1487" i="1"/>
  <c r="K1487" i="1" s="1"/>
  <c r="AI1487" i="1" s="1"/>
  <c r="AC1487" i="1"/>
  <c r="AD1487" i="1"/>
  <c r="AE1487" i="1"/>
  <c r="AF1487" i="1"/>
  <c r="AG1487" i="1"/>
  <c r="AH1487" i="1"/>
  <c r="F1483" i="1"/>
  <c r="J1483" i="1"/>
  <c r="AC1483" i="1"/>
  <c r="AD1483" i="1"/>
  <c r="AE1483" i="1"/>
  <c r="AF1483" i="1"/>
  <c r="AG1483" i="1"/>
  <c r="AH1483" i="1"/>
  <c r="F1481" i="1"/>
  <c r="J1481" i="1"/>
  <c r="AC1481" i="1"/>
  <c r="AD1481" i="1"/>
  <c r="AE1481" i="1"/>
  <c r="AF1481" i="1"/>
  <c r="AG1481" i="1"/>
  <c r="AH1481" i="1"/>
  <c r="F1478" i="1"/>
  <c r="J1478" i="1"/>
  <c r="AC1478" i="1"/>
  <c r="AD1478" i="1"/>
  <c r="AE1478" i="1"/>
  <c r="AF1478" i="1"/>
  <c r="AG1478" i="1"/>
  <c r="AH1478" i="1"/>
  <c r="F1479" i="1"/>
  <c r="J1479" i="1"/>
  <c r="K1479" i="1" s="1"/>
  <c r="AI1479" i="1" s="1"/>
  <c r="AC1479" i="1"/>
  <c r="AD1479" i="1"/>
  <c r="AE1479" i="1"/>
  <c r="AF1479" i="1"/>
  <c r="AG1479" i="1"/>
  <c r="AH1479" i="1"/>
  <c r="F1463" i="1"/>
  <c r="J1463" i="1"/>
  <c r="K1463" i="1" s="1"/>
  <c r="AI1463" i="1" s="1"/>
  <c r="AC1463" i="1"/>
  <c r="AD1463" i="1"/>
  <c r="AE1463" i="1"/>
  <c r="AF1463" i="1"/>
  <c r="AG1463" i="1"/>
  <c r="AH1463" i="1"/>
  <c r="F1461" i="1"/>
  <c r="J1461" i="1"/>
  <c r="K1461" i="1" s="1"/>
  <c r="AI1461" i="1" s="1"/>
  <c r="AC1461" i="1"/>
  <c r="AD1461" i="1"/>
  <c r="AE1461" i="1"/>
  <c r="AF1461" i="1"/>
  <c r="AG1461" i="1"/>
  <c r="AH1461" i="1"/>
  <c r="F1451" i="1"/>
  <c r="J1451" i="1"/>
  <c r="K1451" i="1" s="1"/>
  <c r="AI1451" i="1" s="1"/>
  <c r="AC1451" i="1"/>
  <c r="AD1451" i="1"/>
  <c r="AE1451" i="1"/>
  <c r="AF1451" i="1"/>
  <c r="AG1451" i="1"/>
  <c r="AH1451" i="1"/>
  <c r="F1452" i="1"/>
  <c r="J1452" i="1"/>
  <c r="K1452" i="1" s="1"/>
  <c r="AI1452" i="1" s="1"/>
  <c r="AC1452" i="1"/>
  <c r="AD1452" i="1"/>
  <c r="AE1452" i="1"/>
  <c r="AF1452" i="1"/>
  <c r="AG1452" i="1"/>
  <c r="AH1452" i="1"/>
  <c r="F1447" i="1"/>
  <c r="J1447" i="1"/>
  <c r="AC1447" i="1"/>
  <c r="AD1447" i="1"/>
  <c r="AE1447" i="1"/>
  <c r="AF1447" i="1"/>
  <c r="AG1447" i="1"/>
  <c r="AH1447" i="1"/>
  <c r="F1437" i="1"/>
  <c r="J1437" i="1"/>
  <c r="AC1437" i="1"/>
  <c r="AD1437" i="1"/>
  <c r="AE1437" i="1"/>
  <c r="AF1437" i="1"/>
  <c r="AG1437" i="1"/>
  <c r="AH1437" i="1"/>
  <c r="F1438" i="1"/>
  <c r="J1438" i="1"/>
  <c r="AC1438" i="1"/>
  <c r="AD1438" i="1"/>
  <c r="AE1438" i="1"/>
  <c r="AF1438" i="1"/>
  <c r="AG1438" i="1"/>
  <c r="AH1438" i="1"/>
  <c r="F1432" i="1"/>
  <c r="J1432" i="1"/>
  <c r="K1432" i="1" s="1"/>
  <c r="AI1432" i="1" s="1"/>
  <c r="AC1432" i="1"/>
  <c r="AD1432" i="1"/>
  <c r="AE1432" i="1"/>
  <c r="AF1432" i="1"/>
  <c r="AG1432" i="1"/>
  <c r="AH1432" i="1"/>
  <c r="F1424" i="1"/>
  <c r="J1424" i="1"/>
  <c r="K1424" i="1" s="1"/>
  <c r="AI1424" i="1" s="1"/>
  <c r="AC1424" i="1"/>
  <c r="AD1424" i="1"/>
  <c r="AE1424" i="1"/>
  <c r="AF1424" i="1"/>
  <c r="AG1424" i="1"/>
  <c r="AH1424" i="1"/>
  <c r="F1418" i="1"/>
  <c r="J1418" i="1"/>
  <c r="K1418" i="1" s="1"/>
  <c r="AI1418" i="1" s="1"/>
  <c r="AC1418" i="1"/>
  <c r="AD1418" i="1"/>
  <c r="AE1418" i="1"/>
  <c r="AF1418" i="1"/>
  <c r="AG1418" i="1"/>
  <c r="AH1418" i="1"/>
  <c r="F1416" i="1"/>
  <c r="J1416" i="1"/>
  <c r="K1416" i="1" s="1"/>
  <c r="AI1416" i="1" s="1"/>
  <c r="AC1416" i="1"/>
  <c r="AD1416" i="1"/>
  <c r="AE1416" i="1"/>
  <c r="AF1416" i="1"/>
  <c r="AG1416" i="1"/>
  <c r="AH1416" i="1"/>
  <c r="F1403" i="1"/>
  <c r="J1403" i="1"/>
  <c r="K1403" i="1" s="1"/>
  <c r="AI1403" i="1" s="1"/>
  <c r="AC1403" i="1"/>
  <c r="AD1403" i="1"/>
  <c r="AE1403" i="1"/>
  <c r="AF1403" i="1"/>
  <c r="AG1403" i="1"/>
  <c r="AH1403" i="1"/>
  <c r="F1399" i="1"/>
  <c r="J1399" i="1"/>
  <c r="AC1399" i="1"/>
  <c r="AD1399" i="1"/>
  <c r="AE1399" i="1"/>
  <c r="AF1399" i="1"/>
  <c r="AG1399" i="1"/>
  <c r="AH1399" i="1"/>
  <c r="F1393" i="1"/>
  <c r="J1393" i="1"/>
  <c r="AC1393" i="1"/>
  <c r="AD1393" i="1"/>
  <c r="AE1393" i="1"/>
  <c r="AF1393" i="1"/>
  <c r="AG1393" i="1"/>
  <c r="AH1393" i="1"/>
  <c r="F1379" i="1"/>
  <c r="J1379" i="1"/>
  <c r="AC1379" i="1"/>
  <c r="AD1379" i="1"/>
  <c r="AE1379" i="1"/>
  <c r="AF1379" i="1"/>
  <c r="AG1379" i="1"/>
  <c r="AH1379" i="1"/>
  <c r="F1369" i="1"/>
  <c r="J1369" i="1"/>
  <c r="K1369" i="1" s="1"/>
  <c r="AI1369" i="1" s="1"/>
  <c r="AC1369" i="1"/>
  <c r="AD1369" i="1"/>
  <c r="AE1369" i="1"/>
  <c r="AF1369" i="1"/>
  <c r="AG1369" i="1"/>
  <c r="AH1369" i="1"/>
  <c r="F1370" i="1"/>
  <c r="J1370" i="1"/>
  <c r="K1370" i="1" s="1"/>
  <c r="AI1370" i="1" s="1"/>
  <c r="AC1370" i="1"/>
  <c r="AD1370" i="1"/>
  <c r="AE1370" i="1"/>
  <c r="AF1370" i="1"/>
  <c r="AG1370" i="1"/>
  <c r="AH1370" i="1"/>
  <c r="F1364" i="1"/>
  <c r="J1364" i="1"/>
  <c r="K1364" i="1" s="1"/>
  <c r="AI1364" i="1" s="1"/>
  <c r="AC1364" i="1"/>
  <c r="AD1364" i="1"/>
  <c r="AE1364" i="1"/>
  <c r="AF1364" i="1"/>
  <c r="AG1364" i="1"/>
  <c r="AH1364" i="1"/>
  <c r="F1360" i="1"/>
  <c r="J1360" i="1"/>
  <c r="K1360" i="1" s="1"/>
  <c r="AI1360" i="1" s="1"/>
  <c r="AC1360" i="1"/>
  <c r="AD1360" i="1"/>
  <c r="AE1360" i="1"/>
  <c r="AF1360" i="1"/>
  <c r="AG1360" i="1"/>
  <c r="AH1360" i="1"/>
  <c r="F1354" i="1"/>
  <c r="J1354" i="1"/>
  <c r="K1354" i="1" s="1"/>
  <c r="AI1354" i="1" s="1"/>
  <c r="AC1354" i="1"/>
  <c r="AD1354" i="1"/>
  <c r="AE1354" i="1"/>
  <c r="AF1354" i="1"/>
  <c r="AG1354" i="1"/>
  <c r="AH1354" i="1"/>
  <c r="F1352" i="1"/>
  <c r="J1352" i="1"/>
  <c r="AC1352" i="1"/>
  <c r="AD1352" i="1"/>
  <c r="AE1352" i="1"/>
  <c r="AF1352" i="1"/>
  <c r="AG1352" i="1"/>
  <c r="AH1352" i="1"/>
  <c r="F1350" i="1"/>
  <c r="J1350" i="1"/>
  <c r="AC1350" i="1"/>
  <c r="AD1350" i="1"/>
  <c r="AE1350" i="1"/>
  <c r="AF1350" i="1"/>
  <c r="AG1350" i="1"/>
  <c r="AH1350" i="1"/>
  <c r="F1334" i="1"/>
  <c r="J1334" i="1"/>
  <c r="AC1334" i="1"/>
  <c r="AD1334" i="1"/>
  <c r="AE1334" i="1"/>
  <c r="AF1334" i="1"/>
  <c r="AG1334" i="1"/>
  <c r="AH1334" i="1"/>
  <c r="F1327" i="1"/>
  <c r="J1327" i="1"/>
  <c r="K1327" i="1" s="1"/>
  <c r="AI1327" i="1" s="1"/>
  <c r="AC1327" i="1"/>
  <c r="AD1327" i="1"/>
  <c r="AE1327" i="1"/>
  <c r="AF1327" i="1"/>
  <c r="AG1327" i="1"/>
  <c r="AH1327" i="1"/>
  <c r="F1324" i="1"/>
  <c r="J1324" i="1"/>
  <c r="AC1324" i="1"/>
  <c r="AD1324" i="1"/>
  <c r="AE1324" i="1"/>
  <c r="AF1324" i="1"/>
  <c r="AG1324" i="1"/>
  <c r="AH1324" i="1"/>
  <c r="F1310" i="1"/>
  <c r="J1310" i="1"/>
  <c r="K1310" i="1" s="1"/>
  <c r="AI1310" i="1" s="1"/>
  <c r="AC1310" i="1"/>
  <c r="AD1310" i="1"/>
  <c r="AE1310" i="1"/>
  <c r="AF1310" i="1"/>
  <c r="AG1310" i="1"/>
  <c r="AH1310" i="1"/>
  <c r="F1285" i="1"/>
  <c r="J1285" i="1"/>
  <c r="K1285" i="1" s="1"/>
  <c r="AI1285" i="1" s="1"/>
  <c r="AC1285" i="1"/>
  <c r="AD1285" i="1"/>
  <c r="AE1285" i="1"/>
  <c r="AF1285" i="1"/>
  <c r="AG1285" i="1"/>
  <c r="AH1285" i="1"/>
  <c r="F1277" i="1"/>
  <c r="J1277" i="1"/>
  <c r="K1277" i="1" s="1"/>
  <c r="AI1277" i="1" s="1"/>
  <c r="AC1277" i="1"/>
  <c r="AD1277" i="1"/>
  <c r="AE1277" i="1"/>
  <c r="AF1277" i="1"/>
  <c r="AG1277" i="1"/>
  <c r="AH1277" i="1"/>
  <c r="F1278" i="1"/>
  <c r="J1278" i="1"/>
  <c r="AC1278" i="1"/>
  <c r="AD1278" i="1"/>
  <c r="AE1278" i="1"/>
  <c r="AF1278" i="1"/>
  <c r="AG1278" i="1"/>
  <c r="AH1278" i="1"/>
  <c r="F1268" i="1"/>
  <c r="J1268" i="1"/>
  <c r="AC1268" i="1"/>
  <c r="AD1268" i="1"/>
  <c r="AE1268" i="1"/>
  <c r="AF1268" i="1"/>
  <c r="AG1268" i="1"/>
  <c r="AH1268" i="1"/>
  <c r="F1262" i="1"/>
  <c r="J1262" i="1"/>
  <c r="AC1262" i="1"/>
  <c r="AD1262" i="1"/>
  <c r="AE1262" i="1"/>
  <c r="AF1262" i="1"/>
  <c r="AG1262" i="1"/>
  <c r="AH1262" i="1"/>
  <c r="F1258" i="1"/>
  <c r="J1258" i="1"/>
  <c r="K1258" i="1" s="1"/>
  <c r="AI1258" i="1" s="1"/>
  <c r="AC1258" i="1"/>
  <c r="AD1258" i="1"/>
  <c r="AE1258" i="1"/>
  <c r="AF1258" i="1"/>
  <c r="AG1258" i="1"/>
  <c r="AH1258" i="1"/>
  <c r="F1255" i="1"/>
  <c r="J1255" i="1"/>
  <c r="K1255" i="1" s="1"/>
  <c r="AI1255" i="1" s="1"/>
  <c r="AC1255" i="1"/>
  <c r="AD1255" i="1"/>
  <c r="AE1255" i="1"/>
  <c r="AF1255" i="1"/>
  <c r="AG1255" i="1"/>
  <c r="AH1255" i="1"/>
  <c r="F1245" i="1"/>
  <c r="J1245" i="1"/>
  <c r="K1245" i="1" s="1"/>
  <c r="AI1245" i="1" s="1"/>
  <c r="AC1245" i="1"/>
  <c r="AD1245" i="1"/>
  <c r="AE1245" i="1"/>
  <c r="AF1245" i="1"/>
  <c r="AG1245" i="1"/>
  <c r="AH1245" i="1"/>
  <c r="F1235" i="1"/>
  <c r="J1235" i="1"/>
  <c r="K1235" i="1" s="1"/>
  <c r="AI1235" i="1" s="1"/>
  <c r="AC1235" i="1"/>
  <c r="AD1235" i="1"/>
  <c r="AE1235" i="1"/>
  <c r="AF1235" i="1"/>
  <c r="AG1235" i="1"/>
  <c r="AH1235" i="1"/>
  <c r="F1220" i="1"/>
  <c r="J1220" i="1"/>
  <c r="K1220" i="1" s="1"/>
  <c r="AI1220" i="1" s="1"/>
  <c r="AC1220" i="1"/>
  <c r="AD1220" i="1"/>
  <c r="AE1220" i="1"/>
  <c r="AF1220" i="1"/>
  <c r="AG1220" i="1"/>
  <c r="AH1220" i="1"/>
  <c r="F1202" i="1"/>
  <c r="J1202" i="1"/>
  <c r="AC1202" i="1"/>
  <c r="AD1202" i="1"/>
  <c r="AE1202" i="1"/>
  <c r="AF1202" i="1"/>
  <c r="AG1202" i="1"/>
  <c r="AH1202" i="1"/>
  <c r="F1197" i="1"/>
  <c r="J1197" i="1"/>
  <c r="AC1197" i="1"/>
  <c r="AD1197" i="1"/>
  <c r="AE1197" i="1"/>
  <c r="AF1197" i="1"/>
  <c r="AG1197" i="1"/>
  <c r="AH1197" i="1"/>
  <c r="F1198" i="1"/>
  <c r="J1198" i="1"/>
  <c r="AC1198" i="1"/>
  <c r="AD1198" i="1"/>
  <c r="AE1198" i="1"/>
  <c r="AF1198" i="1"/>
  <c r="AG1198" i="1"/>
  <c r="AH1198" i="1"/>
  <c r="F1193" i="1"/>
  <c r="J1193" i="1"/>
  <c r="K1193" i="1" s="1"/>
  <c r="AI1193" i="1" s="1"/>
  <c r="AC1193" i="1"/>
  <c r="AD1193" i="1"/>
  <c r="AE1193" i="1"/>
  <c r="AF1193" i="1"/>
  <c r="AG1193" i="1"/>
  <c r="AH1193" i="1"/>
  <c r="F1186" i="1"/>
  <c r="J1186" i="1"/>
  <c r="K1186" i="1" s="1"/>
  <c r="AI1186" i="1" s="1"/>
  <c r="AC1186" i="1"/>
  <c r="AD1186" i="1"/>
  <c r="AE1186" i="1"/>
  <c r="AF1186" i="1"/>
  <c r="AG1186" i="1"/>
  <c r="AH1186" i="1"/>
  <c r="F1187" i="1"/>
  <c r="J1187" i="1"/>
  <c r="K1187" i="1" s="1"/>
  <c r="AI1187" i="1" s="1"/>
  <c r="AC1187" i="1"/>
  <c r="AD1187" i="1"/>
  <c r="AE1187" i="1"/>
  <c r="AF1187" i="1"/>
  <c r="AG1187" i="1"/>
  <c r="AH1187" i="1"/>
  <c r="F1188" i="1"/>
  <c r="J1188" i="1"/>
  <c r="K1188" i="1" s="1"/>
  <c r="AI1188" i="1" s="1"/>
  <c r="AC1188" i="1"/>
  <c r="AD1188" i="1"/>
  <c r="AE1188" i="1"/>
  <c r="AF1188" i="1"/>
  <c r="AG1188" i="1"/>
  <c r="AH1188" i="1"/>
  <c r="F1180" i="1"/>
  <c r="J1180" i="1"/>
  <c r="K1180" i="1" s="1"/>
  <c r="AI1180" i="1" s="1"/>
  <c r="AC1180" i="1"/>
  <c r="AD1180" i="1"/>
  <c r="AE1180" i="1"/>
  <c r="AF1180" i="1"/>
  <c r="AG1180" i="1"/>
  <c r="AH1180" i="1"/>
  <c r="F1168" i="1"/>
  <c r="J1168" i="1"/>
  <c r="AC1168" i="1"/>
  <c r="AD1168" i="1"/>
  <c r="AE1168" i="1"/>
  <c r="AF1168" i="1"/>
  <c r="AG1168" i="1"/>
  <c r="AH1168" i="1"/>
  <c r="F1166" i="1"/>
  <c r="J1166" i="1"/>
  <c r="AC1166" i="1"/>
  <c r="AD1166" i="1"/>
  <c r="AE1166" i="1"/>
  <c r="AF1166" i="1"/>
  <c r="AG1166" i="1"/>
  <c r="AH1166" i="1"/>
  <c r="F1139" i="1"/>
  <c r="J1139" i="1"/>
  <c r="AC1139" i="1"/>
  <c r="AD1139" i="1"/>
  <c r="AE1139" i="1"/>
  <c r="AF1139" i="1"/>
  <c r="AG1139" i="1"/>
  <c r="AH1139" i="1"/>
  <c r="F1128" i="1"/>
  <c r="J1128" i="1"/>
  <c r="K1128" i="1" s="1"/>
  <c r="AI1128" i="1" s="1"/>
  <c r="AC1128" i="1"/>
  <c r="AD1128" i="1"/>
  <c r="AE1128" i="1"/>
  <c r="AF1128" i="1"/>
  <c r="AG1128" i="1"/>
  <c r="AH1128" i="1"/>
  <c r="F1125" i="1"/>
  <c r="J1125" i="1"/>
  <c r="K1125" i="1" s="1"/>
  <c r="AI1125" i="1" s="1"/>
  <c r="AC1125" i="1"/>
  <c r="AD1125" i="1"/>
  <c r="AE1125" i="1"/>
  <c r="AF1125" i="1"/>
  <c r="AG1125" i="1"/>
  <c r="AH1125" i="1"/>
  <c r="F1122" i="1"/>
  <c r="J1122" i="1"/>
  <c r="K1122" i="1" s="1"/>
  <c r="AI1122" i="1" s="1"/>
  <c r="AC1122" i="1"/>
  <c r="AD1122" i="1"/>
  <c r="AE1122" i="1"/>
  <c r="AF1122" i="1"/>
  <c r="AG1122" i="1"/>
  <c r="AH1122" i="1"/>
  <c r="F1116" i="1"/>
  <c r="J1116" i="1"/>
  <c r="K1116" i="1" s="1"/>
  <c r="AI1116" i="1" s="1"/>
  <c r="AC1116" i="1"/>
  <c r="AD1116" i="1"/>
  <c r="AE1116" i="1"/>
  <c r="AF1116" i="1"/>
  <c r="AG1116" i="1"/>
  <c r="AH1116" i="1"/>
  <c r="F1103" i="1"/>
  <c r="J1103" i="1"/>
  <c r="K1103" i="1" s="1"/>
  <c r="AI1103" i="1" s="1"/>
  <c r="AC1103" i="1"/>
  <c r="AD1103" i="1"/>
  <c r="AE1103" i="1"/>
  <c r="AF1103" i="1"/>
  <c r="AG1103" i="1"/>
  <c r="AH1103" i="1"/>
  <c r="F1101" i="1"/>
  <c r="J1101" i="1"/>
  <c r="AC1101" i="1"/>
  <c r="AD1101" i="1"/>
  <c r="AE1101" i="1"/>
  <c r="AF1101" i="1"/>
  <c r="AG1101" i="1"/>
  <c r="AH1101" i="1"/>
  <c r="F1091" i="1"/>
  <c r="J1091" i="1"/>
  <c r="AC1091" i="1"/>
  <c r="AD1091" i="1"/>
  <c r="AE1091" i="1"/>
  <c r="AF1091" i="1"/>
  <c r="AG1091" i="1"/>
  <c r="AH1091" i="1"/>
  <c r="F1084" i="1"/>
  <c r="J1084" i="1"/>
  <c r="AC1084" i="1"/>
  <c r="AD1084" i="1"/>
  <c r="AE1084" i="1"/>
  <c r="AF1084" i="1"/>
  <c r="AG1084" i="1"/>
  <c r="AH1084" i="1"/>
  <c r="F1079" i="1"/>
  <c r="J1079" i="1"/>
  <c r="K1079" i="1" s="1"/>
  <c r="AI1079" i="1" s="1"/>
  <c r="AC1079" i="1"/>
  <c r="AD1079" i="1"/>
  <c r="AE1079" i="1"/>
  <c r="AF1079" i="1"/>
  <c r="AG1079" i="1"/>
  <c r="AH1079" i="1"/>
  <c r="F1068" i="1"/>
  <c r="J1068" i="1"/>
  <c r="K1068" i="1" s="1"/>
  <c r="AI1068" i="1" s="1"/>
  <c r="AC1068" i="1"/>
  <c r="AD1068" i="1"/>
  <c r="AE1068" i="1"/>
  <c r="AF1068" i="1"/>
  <c r="AG1068" i="1"/>
  <c r="AH1068" i="1"/>
  <c r="F1050" i="1"/>
  <c r="J1050" i="1"/>
  <c r="K1050" i="1" s="1"/>
  <c r="AI1050" i="1" s="1"/>
  <c r="AC1050" i="1"/>
  <c r="AD1050" i="1"/>
  <c r="AE1050" i="1"/>
  <c r="AF1050" i="1"/>
  <c r="AG1050" i="1"/>
  <c r="AH1050" i="1"/>
  <c r="F1048" i="1"/>
  <c r="J1048" i="1"/>
  <c r="K1048" i="1" s="1"/>
  <c r="AI1048" i="1" s="1"/>
  <c r="AC1048" i="1"/>
  <c r="AD1048" i="1"/>
  <c r="AE1048" i="1"/>
  <c r="AF1048" i="1"/>
  <c r="AG1048" i="1"/>
  <c r="AH1048" i="1"/>
  <c r="F1043" i="1"/>
  <c r="J1043" i="1"/>
  <c r="K1043" i="1" s="1"/>
  <c r="AI1043" i="1" s="1"/>
  <c r="AC1043" i="1"/>
  <c r="AD1043" i="1"/>
  <c r="AE1043" i="1"/>
  <c r="AF1043" i="1"/>
  <c r="AG1043" i="1"/>
  <c r="AH1043" i="1"/>
  <c r="F1044" i="1"/>
  <c r="J1044" i="1"/>
  <c r="AC1044" i="1"/>
  <c r="AD1044" i="1"/>
  <c r="AE1044" i="1"/>
  <c r="AF1044" i="1"/>
  <c r="AG1044" i="1"/>
  <c r="AH1044" i="1"/>
  <c r="F1036" i="1"/>
  <c r="J1036" i="1"/>
  <c r="K1036" i="1" s="1"/>
  <c r="AI1036" i="1" s="1"/>
  <c r="AC1036" i="1"/>
  <c r="AD1036" i="1"/>
  <c r="AE1036" i="1"/>
  <c r="AF1036" i="1"/>
  <c r="AG1036" i="1"/>
  <c r="AH1036" i="1"/>
  <c r="F1037" i="1"/>
  <c r="J1037" i="1"/>
  <c r="K1037" i="1" s="1"/>
  <c r="AI1037" i="1" s="1"/>
  <c r="AC1037" i="1"/>
  <c r="AD1037" i="1"/>
  <c r="AE1037" i="1"/>
  <c r="AF1037" i="1"/>
  <c r="AG1037" i="1"/>
  <c r="AH1037" i="1"/>
  <c r="F1038" i="1"/>
  <c r="J1038" i="1"/>
  <c r="K1038" i="1" s="1"/>
  <c r="AI1038" i="1" s="1"/>
  <c r="AC1038" i="1"/>
  <c r="AD1038" i="1"/>
  <c r="AE1038" i="1"/>
  <c r="AF1038" i="1"/>
  <c r="AG1038" i="1"/>
  <c r="AH1038" i="1"/>
  <c r="F1032" i="1"/>
  <c r="J1032" i="1"/>
  <c r="K1032" i="1" s="1"/>
  <c r="AI1032" i="1" s="1"/>
  <c r="AC1032" i="1"/>
  <c r="AD1032" i="1"/>
  <c r="AE1032" i="1"/>
  <c r="AF1032" i="1"/>
  <c r="AG1032" i="1"/>
  <c r="AH1032" i="1"/>
  <c r="F1029" i="1"/>
  <c r="J1029" i="1"/>
  <c r="K1029" i="1" s="1"/>
  <c r="AI1029" i="1" s="1"/>
  <c r="AC1029" i="1"/>
  <c r="AD1029" i="1"/>
  <c r="AE1029" i="1"/>
  <c r="AF1029" i="1"/>
  <c r="AG1029" i="1"/>
  <c r="AH1029" i="1"/>
  <c r="F1026" i="1"/>
  <c r="J1026" i="1"/>
  <c r="K1026" i="1" s="1"/>
  <c r="AI1026" i="1" s="1"/>
  <c r="AC1026" i="1"/>
  <c r="AD1026" i="1"/>
  <c r="AE1026" i="1"/>
  <c r="AF1026" i="1"/>
  <c r="AG1026" i="1"/>
  <c r="AH1026" i="1"/>
  <c r="F1021" i="1"/>
  <c r="J1021" i="1"/>
  <c r="K1021" i="1" s="1"/>
  <c r="AI1021" i="1" s="1"/>
  <c r="AC1021" i="1"/>
  <c r="AD1021" i="1"/>
  <c r="AE1021" i="1"/>
  <c r="AF1021" i="1"/>
  <c r="AG1021" i="1"/>
  <c r="AH1021" i="1"/>
  <c r="F1016" i="1"/>
  <c r="J1016" i="1"/>
  <c r="AC1016" i="1"/>
  <c r="AD1016" i="1"/>
  <c r="AE1016" i="1"/>
  <c r="AF1016" i="1"/>
  <c r="AG1016" i="1"/>
  <c r="AH1016" i="1"/>
  <c r="F1006" i="1"/>
  <c r="J1006" i="1"/>
  <c r="K1006" i="1" s="1"/>
  <c r="AI1006" i="1" s="1"/>
  <c r="AC1006" i="1"/>
  <c r="AD1006" i="1"/>
  <c r="AE1006" i="1"/>
  <c r="AF1006" i="1"/>
  <c r="AG1006" i="1"/>
  <c r="AH1006" i="1"/>
  <c r="F1001" i="1"/>
  <c r="J1001" i="1"/>
  <c r="K1001" i="1" s="1"/>
  <c r="AI1001" i="1" s="1"/>
  <c r="AC1001" i="1"/>
  <c r="AD1001" i="1"/>
  <c r="AE1001" i="1"/>
  <c r="AF1001" i="1"/>
  <c r="AG1001" i="1"/>
  <c r="AH1001" i="1"/>
  <c r="F998" i="1"/>
  <c r="J998" i="1"/>
  <c r="K998" i="1" s="1"/>
  <c r="AI998" i="1" s="1"/>
  <c r="AC998" i="1"/>
  <c r="AD998" i="1"/>
  <c r="AE998" i="1"/>
  <c r="AF998" i="1"/>
  <c r="AG998" i="1"/>
  <c r="AH998" i="1"/>
  <c r="F996" i="1"/>
  <c r="J996" i="1"/>
  <c r="K996" i="1" s="1"/>
  <c r="AI996" i="1" s="1"/>
  <c r="AC996" i="1"/>
  <c r="AD996" i="1"/>
  <c r="AE996" i="1"/>
  <c r="AF996" i="1"/>
  <c r="AG996" i="1"/>
  <c r="AH996" i="1"/>
  <c r="F979" i="1"/>
  <c r="J979" i="1"/>
  <c r="K979" i="1" s="1"/>
  <c r="AI979" i="1" s="1"/>
  <c r="AC979" i="1"/>
  <c r="AD979" i="1"/>
  <c r="AE979" i="1"/>
  <c r="AF979" i="1"/>
  <c r="AG979" i="1"/>
  <c r="AH979" i="1"/>
  <c r="F974" i="1"/>
  <c r="J974" i="1"/>
  <c r="AC974" i="1"/>
  <c r="AD974" i="1"/>
  <c r="AE974" i="1"/>
  <c r="AF974" i="1"/>
  <c r="AG974" i="1"/>
  <c r="AH974" i="1"/>
  <c r="F975" i="1"/>
  <c r="J975" i="1"/>
  <c r="K975" i="1" s="1"/>
  <c r="AI975" i="1" s="1"/>
  <c r="AC975" i="1"/>
  <c r="AD975" i="1"/>
  <c r="AE975" i="1"/>
  <c r="AF975" i="1"/>
  <c r="AG975" i="1"/>
  <c r="AH975" i="1"/>
  <c r="F965" i="1"/>
  <c r="J965" i="1"/>
  <c r="AC965" i="1"/>
  <c r="AD965" i="1"/>
  <c r="AE965" i="1"/>
  <c r="AF965" i="1"/>
  <c r="AG965" i="1"/>
  <c r="AH965" i="1"/>
  <c r="F966" i="1"/>
  <c r="J966" i="1"/>
  <c r="K966" i="1" s="1"/>
  <c r="AI966" i="1" s="1"/>
  <c r="AC966" i="1"/>
  <c r="AD966" i="1"/>
  <c r="AE966" i="1"/>
  <c r="AF966" i="1"/>
  <c r="AG966" i="1"/>
  <c r="AH966" i="1"/>
  <c r="F953" i="1"/>
  <c r="J953" i="1"/>
  <c r="K953" i="1" s="1"/>
  <c r="AI953" i="1" s="1"/>
  <c r="AC953" i="1"/>
  <c r="AD953" i="1"/>
  <c r="AE953" i="1"/>
  <c r="AF953" i="1"/>
  <c r="AG953" i="1"/>
  <c r="AH953" i="1"/>
  <c r="F954" i="1"/>
  <c r="J954" i="1"/>
  <c r="K954" i="1" s="1"/>
  <c r="AI954" i="1" s="1"/>
  <c r="AC954" i="1"/>
  <c r="AD954" i="1"/>
  <c r="AE954" i="1"/>
  <c r="AF954" i="1"/>
  <c r="AG954" i="1"/>
  <c r="AH954" i="1"/>
  <c r="F947" i="1"/>
  <c r="J947" i="1"/>
  <c r="K947" i="1" s="1"/>
  <c r="AI947" i="1" s="1"/>
  <c r="AC947" i="1"/>
  <c r="AD947" i="1"/>
  <c r="AE947" i="1"/>
  <c r="AF947" i="1"/>
  <c r="AG947" i="1"/>
  <c r="AH947" i="1"/>
  <c r="F941" i="1"/>
  <c r="J941" i="1"/>
  <c r="K941" i="1" s="1"/>
  <c r="AI941" i="1" s="1"/>
  <c r="AC941" i="1"/>
  <c r="AD941" i="1"/>
  <c r="AE941" i="1"/>
  <c r="AF941" i="1"/>
  <c r="AG941" i="1"/>
  <c r="AH941" i="1"/>
  <c r="F939" i="1"/>
  <c r="J939" i="1"/>
  <c r="AC939" i="1"/>
  <c r="AD939" i="1"/>
  <c r="AE939" i="1"/>
  <c r="AF939" i="1"/>
  <c r="AG939" i="1"/>
  <c r="AH939" i="1"/>
  <c r="F937" i="1"/>
  <c r="J937" i="1"/>
  <c r="K937" i="1" s="1"/>
  <c r="AI937" i="1" s="1"/>
  <c r="AC937" i="1"/>
  <c r="AD937" i="1"/>
  <c r="AE937" i="1"/>
  <c r="AF937" i="1"/>
  <c r="AG937" i="1"/>
  <c r="AH937" i="1"/>
  <c r="F925" i="1"/>
  <c r="J925" i="1"/>
  <c r="AC925" i="1"/>
  <c r="AD925" i="1"/>
  <c r="AE925" i="1"/>
  <c r="AF925" i="1"/>
  <c r="AG925" i="1"/>
  <c r="AH925" i="1"/>
  <c r="F921" i="1"/>
  <c r="J921" i="1"/>
  <c r="K921" i="1" s="1"/>
  <c r="AI921" i="1" s="1"/>
  <c r="AC921" i="1"/>
  <c r="AD921" i="1"/>
  <c r="AE921" i="1"/>
  <c r="AF921" i="1"/>
  <c r="AG921" i="1"/>
  <c r="AH921" i="1"/>
  <c r="F917" i="1"/>
  <c r="J917" i="1"/>
  <c r="K917" i="1" s="1"/>
  <c r="AI917" i="1" s="1"/>
  <c r="AC917" i="1"/>
  <c r="AD917" i="1"/>
  <c r="AE917" i="1"/>
  <c r="AF917" i="1"/>
  <c r="AG917" i="1"/>
  <c r="AH917" i="1"/>
  <c r="F909" i="1"/>
  <c r="J909" i="1"/>
  <c r="K909" i="1" s="1"/>
  <c r="AI909" i="1" s="1"/>
  <c r="AC909" i="1"/>
  <c r="AD909" i="1"/>
  <c r="AE909" i="1"/>
  <c r="AF909" i="1"/>
  <c r="AG909" i="1"/>
  <c r="AH909" i="1"/>
  <c r="F891" i="1"/>
  <c r="J891" i="1"/>
  <c r="K891" i="1" s="1"/>
  <c r="AI891" i="1" s="1"/>
  <c r="AC891" i="1"/>
  <c r="AD891" i="1"/>
  <c r="AE891" i="1"/>
  <c r="AF891" i="1"/>
  <c r="AG891" i="1"/>
  <c r="AH891" i="1"/>
  <c r="F889" i="1"/>
  <c r="J889" i="1"/>
  <c r="K889" i="1" s="1"/>
  <c r="AI889" i="1" s="1"/>
  <c r="AC889" i="1"/>
  <c r="AD889" i="1"/>
  <c r="AE889" i="1"/>
  <c r="AF889" i="1"/>
  <c r="AG889" i="1"/>
  <c r="AH889" i="1"/>
  <c r="F874" i="1"/>
  <c r="J874" i="1"/>
  <c r="AC874" i="1"/>
  <c r="AD874" i="1"/>
  <c r="AE874" i="1"/>
  <c r="AF874" i="1"/>
  <c r="AG874" i="1"/>
  <c r="AH874" i="1"/>
  <c r="F875" i="1"/>
  <c r="J875" i="1"/>
  <c r="K875" i="1" s="1"/>
  <c r="AI875" i="1" s="1"/>
  <c r="AC875" i="1"/>
  <c r="AD875" i="1"/>
  <c r="AE875" i="1"/>
  <c r="AF875" i="1"/>
  <c r="AG875" i="1"/>
  <c r="AH875" i="1"/>
  <c r="F868" i="1"/>
  <c r="J868" i="1"/>
  <c r="AC868" i="1"/>
  <c r="AD868" i="1"/>
  <c r="AE868" i="1"/>
  <c r="AF868" i="1"/>
  <c r="AG868" i="1"/>
  <c r="AH868" i="1"/>
  <c r="F865" i="1"/>
  <c r="J865" i="1"/>
  <c r="K865" i="1" s="1"/>
  <c r="AI865" i="1" s="1"/>
  <c r="AC865" i="1"/>
  <c r="AD865" i="1"/>
  <c r="AE865" i="1"/>
  <c r="AF865" i="1"/>
  <c r="AG865" i="1"/>
  <c r="AH865" i="1"/>
  <c r="F861" i="1"/>
  <c r="J861" i="1"/>
  <c r="AC861" i="1"/>
  <c r="AD861" i="1"/>
  <c r="AE861" i="1"/>
  <c r="AF861" i="1"/>
  <c r="AG861" i="1"/>
  <c r="AH861" i="1"/>
  <c r="F862" i="1"/>
  <c r="J862" i="1"/>
  <c r="K862" i="1" s="1"/>
  <c r="AI862" i="1" s="1"/>
  <c r="AC862" i="1"/>
  <c r="AD862" i="1"/>
  <c r="AE862" i="1"/>
  <c r="AF862" i="1"/>
  <c r="AG862" i="1"/>
  <c r="AH862" i="1"/>
  <c r="F856" i="1"/>
  <c r="J856" i="1"/>
  <c r="K856" i="1" s="1"/>
  <c r="AI856" i="1" s="1"/>
  <c r="AC856" i="1"/>
  <c r="AD856" i="1"/>
  <c r="AE856" i="1"/>
  <c r="AF856" i="1"/>
  <c r="AG856" i="1"/>
  <c r="AH856" i="1"/>
  <c r="F853" i="1"/>
  <c r="J853" i="1"/>
  <c r="K853" i="1" s="1"/>
  <c r="AI853" i="1" s="1"/>
  <c r="AC853" i="1"/>
  <c r="AD853" i="1"/>
  <c r="AE853" i="1"/>
  <c r="AF853" i="1"/>
  <c r="AG853" i="1"/>
  <c r="AH853" i="1"/>
  <c r="F840" i="1"/>
  <c r="J840" i="1"/>
  <c r="AC840" i="1"/>
  <c r="AD840" i="1"/>
  <c r="AE840" i="1"/>
  <c r="AF840" i="1"/>
  <c r="AG840" i="1"/>
  <c r="AH840" i="1"/>
  <c r="F836" i="1"/>
  <c r="J836" i="1"/>
  <c r="K836" i="1" s="1"/>
  <c r="AI836" i="1" s="1"/>
  <c r="AC836" i="1"/>
  <c r="AD836" i="1"/>
  <c r="AE836" i="1"/>
  <c r="AF836" i="1"/>
  <c r="AG836" i="1"/>
  <c r="AH836" i="1"/>
  <c r="F824" i="1"/>
  <c r="J824" i="1"/>
  <c r="AC824" i="1"/>
  <c r="AD824" i="1"/>
  <c r="AE824" i="1"/>
  <c r="AF824" i="1"/>
  <c r="AG824" i="1"/>
  <c r="AH824" i="1"/>
  <c r="F818" i="1"/>
  <c r="J818" i="1"/>
  <c r="K818" i="1" s="1"/>
  <c r="AI818" i="1" s="1"/>
  <c r="AC818" i="1"/>
  <c r="AD818" i="1"/>
  <c r="AE818" i="1"/>
  <c r="AF818" i="1"/>
  <c r="AG818" i="1"/>
  <c r="AH818" i="1"/>
  <c r="F812" i="1"/>
  <c r="J812" i="1"/>
  <c r="AC812" i="1"/>
  <c r="AD812" i="1"/>
  <c r="AE812" i="1"/>
  <c r="AF812" i="1"/>
  <c r="AG812" i="1"/>
  <c r="AH812" i="1"/>
  <c r="F795" i="1"/>
  <c r="J795" i="1"/>
  <c r="K795" i="1" s="1"/>
  <c r="AI795" i="1" s="1"/>
  <c r="AC795" i="1"/>
  <c r="AD795" i="1"/>
  <c r="AE795" i="1"/>
  <c r="AF795" i="1"/>
  <c r="AG795" i="1"/>
  <c r="AH795" i="1"/>
  <c r="F793" i="1"/>
  <c r="J793" i="1"/>
  <c r="K793" i="1" s="1"/>
  <c r="AI793" i="1" s="1"/>
  <c r="AC793" i="1"/>
  <c r="AD793" i="1"/>
  <c r="AE793" i="1"/>
  <c r="AF793" i="1"/>
  <c r="AG793" i="1"/>
  <c r="AH793" i="1"/>
  <c r="F789" i="1"/>
  <c r="J789" i="1"/>
  <c r="K789" i="1" s="1"/>
  <c r="AI789" i="1" s="1"/>
  <c r="AC789" i="1"/>
  <c r="AD789" i="1"/>
  <c r="AE789" i="1"/>
  <c r="AF789" i="1"/>
  <c r="AG789" i="1"/>
  <c r="AH789" i="1"/>
  <c r="F784" i="1"/>
  <c r="J784" i="1"/>
  <c r="AC784" i="1"/>
  <c r="AD784" i="1"/>
  <c r="AE784" i="1"/>
  <c r="AF784" i="1"/>
  <c r="AG784" i="1"/>
  <c r="AH784" i="1"/>
  <c r="F769" i="1"/>
  <c r="J769" i="1"/>
  <c r="K769" i="1" s="1"/>
  <c r="AI769" i="1" s="1"/>
  <c r="AC769" i="1"/>
  <c r="AD769" i="1"/>
  <c r="AE769" i="1"/>
  <c r="AF769" i="1"/>
  <c r="AG769" i="1"/>
  <c r="AH769" i="1"/>
  <c r="F770" i="1"/>
  <c r="J770" i="1"/>
  <c r="AC770" i="1"/>
  <c r="AD770" i="1"/>
  <c r="AE770" i="1"/>
  <c r="AF770" i="1"/>
  <c r="AG770" i="1"/>
  <c r="AH770" i="1"/>
  <c r="F771" i="1"/>
  <c r="J771" i="1"/>
  <c r="K771" i="1" s="1"/>
  <c r="AI771" i="1" s="1"/>
  <c r="AC771" i="1"/>
  <c r="AD771" i="1"/>
  <c r="AE771" i="1"/>
  <c r="AF771" i="1"/>
  <c r="AG771" i="1"/>
  <c r="AH771" i="1"/>
  <c r="F761" i="1"/>
  <c r="J761" i="1"/>
  <c r="AC761" i="1"/>
  <c r="AD761" i="1"/>
  <c r="AE761" i="1"/>
  <c r="AF761" i="1"/>
  <c r="AG761" i="1"/>
  <c r="AH761" i="1"/>
  <c r="F759" i="1"/>
  <c r="J759" i="1"/>
  <c r="K759" i="1" s="1"/>
  <c r="AI759" i="1" s="1"/>
  <c r="AC759" i="1"/>
  <c r="AD759" i="1"/>
  <c r="AE759" i="1"/>
  <c r="AF759" i="1"/>
  <c r="AG759" i="1"/>
  <c r="AH759" i="1"/>
  <c r="F751" i="1"/>
  <c r="J751" i="1"/>
  <c r="K751" i="1" s="1"/>
  <c r="AI751" i="1" s="1"/>
  <c r="AC751" i="1"/>
  <c r="AD751" i="1"/>
  <c r="AE751" i="1"/>
  <c r="AF751" i="1"/>
  <c r="AG751" i="1"/>
  <c r="AH751" i="1"/>
  <c r="F743" i="1"/>
  <c r="J743" i="1"/>
  <c r="K743" i="1" s="1"/>
  <c r="AI743" i="1" s="1"/>
  <c r="AC743" i="1"/>
  <c r="AD743" i="1"/>
  <c r="AE743" i="1"/>
  <c r="AF743" i="1"/>
  <c r="AG743" i="1"/>
  <c r="AH743" i="1"/>
  <c r="F735" i="1"/>
  <c r="J735" i="1"/>
  <c r="AC735" i="1"/>
  <c r="AD735" i="1"/>
  <c r="AE735" i="1"/>
  <c r="AF735" i="1"/>
  <c r="AG735" i="1"/>
  <c r="AH735" i="1"/>
  <c r="F736" i="1"/>
  <c r="J736" i="1"/>
  <c r="K736" i="1" s="1"/>
  <c r="AI736" i="1" s="1"/>
  <c r="AC736" i="1"/>
  <c r="AD736" i="1"/>
  <c r="AE736" i="1"/>
  <c r="AF736" i="1"/>
  <c r="AG736" i="1"/>
  <c r="AH736" i="1"/>
  <c r="F728" i="1"/>
  <c r="J728" i="1"/>
  <c r="AC728" i="1"/>
  <c r="AD728" i="1"/>
  <c r="AE728" i="1"/>
  <c r="AF728" i="1"/>
  <c r="AG728" i="1"/>
  <c r="AH728" i="1"/>
  <c r="F721" i="1"/>
  <c r="J721" i="1"/>
  <c r="K721" i="1" s="1"/>
  <c r="AI721" i="1" s="1"/>
  <c r="AC721" i="1"/>
  <c r="AD721" i="1"/>
  <c r="AE721" i="1"/>
  <c r="AF721" i="1"/>
  <c r="AG721" i="1"/>
  <c r="AH721" i="1"/>
  <c r="F717" i="1"/>
  <c r="J717" i="1"/>
  <c r="K717" i="1" s="1"/>
  <c r="AI717" i="1" s="1"/>
  <c r="AC717" i="1"/>
  <c r="AD717" i="1"/>
  <c r="AE717" i="1"/>
  <c r="AF717" i="1"/>
  <c r="AG717" i="1"/>
  <c r="AH717" i="1"/>
  <c r="F718" i="1"/>
  <c r="J718" i="1"/>
  <c r="K718" i="1" s="1"/>
  <c r="AI718" i="1" s="1"/>
  <c r="AC718" i="1"/>
  <c r="AD718" i="1"/>
  <c r="AE718" i="1"/>
  <c r="AF718" i="1"/>
  <c r="AG718" i="1"/>
  <c r="AH718" i="1"/>
  <c r="F714" i="1"/>
  <c r="J714" i="1"/>
  <c r="K714" i="1" s="1"/>
  <c r="AI714" i="1" s="1"/>
  <c r="AC714" i="1"/>
  <c r="AD714" i="1"/>
  <c r="AE714" i="1"/>
  <c r="AF714" i="1"/>
  <c r="AG714" i="1"/>
  <c r="AH714" i="1"/>
  <c r="F715" i="1"/>
  <c r="J715" i="1"/>
  <c r="K715" i="1" s="1"/>
  <c r="AI715" i="1" s="1"/>
  <c r="AC715" i="1"/>
  <c r="AD715" i="1"/>
  <c r="AE715" i="1"/>
  <c r="AF715" i="1"/>
  <c r="AG715" i="1"/>
  <c r="AH715" i="1"/>
  <c r="F711" i="1"/>
  <c r="J711" i="1"/>
  <c r="K711" i="1" s="1"/>
  <c r="AI711" i="1" s="1"/>
  <c r="AC711" i="1"/>
  <c r="AD711" i="1"/>
  <c r="AE711" i="1"/>
  <c r="AF711" i="1"/>
  <c r="AG711" i="1"/>
  <c r="AH711" i="1"/>
  <c r="F707" i="1"/>
  <c r="J707" i="1"/>
  <c r="K707" i="1" s="1"/>
  <c r="AI707" i="1" s="1"/>
  <c r="AC707" i="1"/>
  <c r="AD707" i="1"/>
  <c r="AE707" i="1"/>
  <c r="AF707" i="1"/>
  <c r="AG707" i="1"/>
  <c r="AH707" i="1"/>
  <c r="F685" i="1"/>
  <c r="J685" i="1"/>
  <c r="AC685" i="1"/>
  <c r="AD685" i="1"/>
  <c r="AE685" i="1"/>
  <c r="AF685" i="1"/>
  <c r="AG685" i="1"/>
  <c r="AH685" i="1"/>
  <c r="F678" i="1"/>
  <c r="J678" i="1"/>
  <c r="K678" i="1" s="1"/>
  <c r="AI678" i="1" s="1"/>
  <c r="AC678" i="1"/>
  <c r="AD678" i="1"/>
  <c r="AE678" i="1"/>
  <c r="AF678" i="1"/>
  <c r="AG678" i="1"/>
  <c r="AH678" i="1"/>
  <c r="F672" i="1"/>
  <c r="J672" i="1"/>
  <c r="K672" i="1" s="1"/>
  <c r="AI672" i="1" s="1"/>
  <c r="AC672" i="1"/>
  <c r="AD672" i="1"/>
  <c r="AE672" i="1"/>
  <c r="AF672" i="1"/>
  <c r="AG672" i="1"/>
  <c r="AH672" i="1"/>
  <c r="F670" i="1"/>
  <c r="J670" i="1"/>
  <c r="AC670" i="1"/>
  <c r="AD670" i="1"/>
  <c r="AE670" i="1"/>
  <c r="AF670" i="1"/>
  <c r="AG670" i="1"/>
  <c r="AH670" i="1"/>
  <c r="F655" i="1"/>
  <c r="J655" i="1"/>
  <c r="K655" i="1" s="1"/>
  <c r="AI655" i="1" s="1"/>
  <c r="AC655" i="1"/>
  <c r="AD655" i="1"/>
  <c r="AE655" i="1"/>
  <c r="AF655" i="1"/>
  <c r="AG655" i="1"/>
  <c r="AH655" i="1"/>
  <c r="F650" i="1"/>
  <c r="J650" i="1"/>
  <c r="K650" i="1" s="1"/>
  <c r="AI650" i="1" s="1"/>
  <c r="AC650" i="1"/>
  <c r="AD650" i="1"/>
  <c r="AE650" i="1"/>
  <c r="AF650" i="1"/>
  <c r="AG650" i="1"/>
  <c r="AH650" i="1"/>
  <c r="F646" i="1"/>
  <c r="J646" i="1"/>
  <c r="K646" i="1" s="1"/>
  <c r="AI646" i="1" s="1"/>
  <c r="AC646" i="1"/>
  <c r="AD646" i="1"/>
  <c r="AE646" i="1"/>
  <c r="AF646" i="1"/>
  <c r="AG646" i="1"/>
  <c r="AH646" i="1"/>
  <c r="F634" i="1"/>
  <c r="J634" i="1"/>
  <c r="K634" i="1" s="1"/>
  <c r="AI634" i="1" s="1"/>
  <c r="AC634" i="1"/>
  <c r="AD634" i="1"/>
  <c r="AE634" i="1"/>
  <c r="AF634" i="1"/>
  <c r="AG634" i="1"/>
  <c r="AH634" i="1"/>
  <c r="F635" i="1"/>
  <c r="J635" i="1"/>
  <c r="AC635" i="1"/>
  <c r="AD635" i="1"/>
  <c r="AE635" i="1"/>
  <c r="AF635" i="1"/>
  <c r="AG635" i="1"/>
  <c r="AH635" i="1"/>
  <c r="F626" i="1"/>
  <c r="J626" i="1"/>
  <c r="K626" i="1" s="1"/>
  <c r="AI626" i="1" s="1"/>
  <c r="AC626" i="1"/>
  <c r="AD626" i="1"/>
  <c r="AE626" i="1"/>
  <c r="AF626" i="1"/>
  <c r="AG626" i="1"/>
  <c r="AH626" i="1"/>
  <c r="F627" i="1"/>
  <c r="J627" i="1"/>
  <c r="K627" i="1" s="1"/>
  <c r="AI627" i="1" s="1"/>
  <c r="AC627" i="1"/>
  <c r="AD627" i="1"/>
  <c r="AE627" i="1"/>
  <c r="AF627" i="1"/>
  <c r="AG627" i="1"/>
  <c r="AH627" i="1"/>
  <c r="F617" i="1"/>
  <c r="J617" i="1"/>
  <c r="K617" i="1" s="1"/>
  <c r="AI617" i="1" s="1"/>
  <c r="AC617" i="1"/>
  <c r="AD617" i="1"/>
  <c r="AE617" i="1"/>
  <c r="AF617" i="1"/>
  <c r="AG617" i="1"/>
  <c r="AH617" i="1"/>
  <c r="F598" i="1"/>
  <c r="J598" i="1"/>
  <c r="K598" i="1" s="1"/>
  <c r="AI598" i="1" s="1"/>
  <c r="AC598" i="1"/>
  <c r="AD598" i="1"/>
  <c r="AE598" i="1"/>
  <c r="AF598" i="1"/>
  <c r="AG598" i="1"/>
  <c r="AH598" i="1"/>
  <c r="F596" i="1"/>
  <c r="J596" i="1"/>
  <c r="K596" i="1" s="1"/>
  <c r="AI596" i="1" s="1"/>
  <c r="AC596" i="1"/>
  <c r="AD596" i="1"/>
  <c r="AE596" i="1"/>
  <c r="AF596" i="1"/>
  <c r="AG596" i="1"/>
  <c r="AH596" i="1"/>
  <c r="F591" i="1"/>
  <c r="J591" i="1"/>
  <c r="K591" i="1" s="1"/>
  <c r="AI591" i="1" s="1"/>
  <c r="AC591" i="1"/>
  <c r="AD591" i="1"/>
  <c r="AE591" i="1"/>
  <c r="AF591" i="1"/>
  <c r="AG591" i="1"/>
  <c r="AH591" i="1"/>
  <c r="F587" i="1"/>
  <c r="J587" i="1"/>
  <c r="K587" i="1" s="1"/>
  <c r="AI587" i="1" s="1"/>
  <c r="AC587" i="1"/>
  <c r="AD587" i="1"/>
  <c r="AE587" i="1"/>
  <c r="AF587" i="1"/>
  <c r="AG587" i="1"/>
  <c r="AH587" i="1"/>
  <c r="F573" i="1"/>
  <c r="J573" i="1"/>
  <c r="AC573" i="1"/>
  <c r="AD573" i="1"/>
  <c r="AE573" i="1"/>
  <c r="AF573" i="1"/>
  <c r="AG573" i="1"/>
  <c r="AH573" i="1"/>
  <c r="F566" i="1"/>
  <c r="J566" i="1"/>
  <c r="K566" i="1" s="1"/>
  <c r="AI566" i="1" s="1"/>
  <c r="AC566" i="1"/>
  <c r="AD566" i="1"/>
  <c r="AE566" i="1"/>
  <c r="AF566" i="1"/>
  <c r="AG566" i="1"/>
  <c r="AH566" i="1"/>
  <c r="F551" i="1"/>
  <c r="J551" i="1"/>
  <c r="K551" i="1" s="1"/>
  <c r="AI551" i="1" s="1"/>
  <c r="AC551" i="1"/>
  <c r="AD551" i="1"/>
  <c r="AE551" i="1"/>
  <c r="AF551" i="1"/>
  <c r="AG551" i="1"/>
  <c r="AH551" i="1"/>
  <c r="F542" i="1"/>
  <c r="J542" i="1"/>
  <c r="K542" i="1" s="1"/>
  <c r="AI542" i="1" s="1"/>
  <c r="AC542" i="1"/>
  <c r="AD542" i="1"/>
  <c r="AE542" i="1"/>
  <c r="AF542" i="1"/>
  <c r="AG542" i="1"/>
  <c r="AH542" i="1"/>
  <c r="F538" i="1"/>
  <c r="J538" i="1"/>
  <c r="K538" i="1" s="1"/>
  <c r="AI538" i="1" s="1"/>
  <c r="AC538" i="1"/>
  <c r="AD538" i="1"/>
  <c r="AE538" i="1"/>
  <c r="AF538" i="1"/>
  <c r="AG538" i="1"/>
  <c r="AH538" i="1"/>
  <c r="F535" i="1"/>
  <c r="J535" i="1"/>
  <c r="K535" i="1" s="1"/>
  <c r="AI535" i="1" s="1"/>
  <c r="AC535" i="1"/>
  <c r="AD535" i="1"/>
  <c r="AE535" i="1"/>
  <c r="AF535" i="1"/>
  <c r="AG535" i="1"/>
  <c r="AH535" i="1"/>
  <c r="F536" i="1"/>
  <c r="J536" i="1"/>
  <c r="K536" i="1" s="1"/>
  <c r="AI536" i="1" s="1"/>
  <c r="AC536" i="1"/>
  <c r="AD536" i="1"/>
  <c r="AE536" i="1"/>
  <c r="AF536" i="1"/>
  <c r="AG536" i="1"/>
  <c r="AH536" i="1"/>
  <c r="F526" i="1"/>
  <c r="J526" i="1"/>
  <c r="K526" i="1" s="1"/>
  <c r="AI526" i="1" s="1"/>
  <c r="AC526" i="1"/>
  <c r="AD526" i="1"/>
  <c r="AE526" i="1"/>
  <c r="AF526" i="1"/>
  <c r="AG526" i="1"/>
  <c r="AH526" i="1"/>
  <c r="F508" i="1"/>
  <c r="J508" i="1"/>
  <c r="AC508" i="1"/>
  <c r="AD508" i="1"/>
  <c r="AE508" i="1"/>
  <c r="AF508" i="1"/>
  <c r="AG508" i="1"/>
  <c r="AH508" i="1"/>
  <c r="F506" i="1"/>
  <c r="J506" i="1"/>
  <c r="K506" i="1" s="1"/>
  <c r="AI506" i="1" s="1"/>
  <c r="AC506" i="1"/>
  <c r="AD506" i="1"/>
  <c r="AE506" i="1"/>
  <c r="AF506" i="1"/>
  <c r="AG506" i="1"/>
  <c r="AH506" i="1"/>
  <c r="F496" i="1"/>
  <c r="J496" i="1"/>
  <c r="K496" i="1" s="1"/>
  <c r="AI496" i="1" s="1"/>
  <c r="AC496" i="1"/>
  <c r="AD496" i="1"/>
  <c r="AE496" i="1"/>
  <c r="AF496" i="1"/>
  <c r="AG496" i="1"/>
  <c r="AH496" i="1"/>
  <c r="F491" i="1"/>
  <c r="J491" i="1"/>
  <c r="K491" i="1" s="1"/>
  <c r="AI491" i="1" s="1"/>
  <c r="AC491" i="1"/>
  <c r="AD491" i="1"/>
  <c r="AE491" i="1"/>
  <c r="AF491" i="1"/>
  <c r="AG491" i="1"/>
  <c r="AH491" i="1"/>
  <c r="F489" i="1"/>
  <c r="J489" i="1"/>
  <c r="K489" i="1" s="1"/>
  <c r="AI489" i="1" s="1"/>
  <c r="AC489" i="1"/>
  <c r="AD489" i="1"/>
  <c r="AE489" i="1"/>
  <c r="AF489" i="1"/>
  <c r="AG489" i="1"/>
  <c r="AH489" i="1"/>
  <c r="F484" i="1"/>
  <c r="J484" i="1"/>
  <c r="K484" i="1" s="1"/>
  <c r="AI484" i="1" s="1"/>
  <c r="AC484" i="1"/>
  <c r="AD484" i="1"/>
  <c r="AE484" i="1"/>
  <c r="AF484" i="1"/>
  <c r="AG484" i="1"/>
  <c r="AH484" i="1"/>
  <c r="F459" i="1"/>
  <c r="J459" i="1"/>
  <c r="K459" i="1" s="1"/>
  <c r="AI459" i="1" s="1"/>
  <c r="AC459" i="1"/>
  <c r="AD459" i="1"/>
  <c r="AE459" i="1"/>
  <c r="AF459" i="1"/>
  <c r="AG459" i="1"/>
  <c r="AH459" i="1"/>
  <c r="F457" i="1"/>
  <c r="J457" i="1"/>
  <c r="K457" i="1" s="1"/>
  <c r="AI457" i="1" s="1"/>
  <c r="AC457" i="1"/>
  <c r="AD457" i="1"/>
  <c r="AE457" i="1"/>
  <c r="AF457" i="1"/>
  <c r="AG457" i="1"/>
  <c r="AH457" i="1"/>
  <c r="F441" i="1"/>
  <c r="J441" i="1"/>
  <c r="AC441" i="1"/>
  <c r="AD441" i="1"/>
  <c r="AE441" i="1"/>
  <c r="AF441" i="1"/>
  <c r="AG441" i="1"/>
  <c r="AH441" i="1"/>
  <c r="F434" i="1"/>
  <c r="J434" i="1"/>
  <c r="K434" i="1" s="1"/>
  <c r="AI434" i="1" s="1"/>
  <c r="AC434" i="1"/>
  <c r="AD434" i="1"/>
  <c r="AE434" i="1"/>
  <c r="AF434" i="1"/>
  <c r="AG434" i="1"/>
  <c r="AH434" i="1"/>
  <c r="F432" i="1"/>
  <c r="J432" i="1"/>
  <c r="K432" i="1" s="1"/>
  <c r="AI432" i="1" s="1"/>
  <c r="AC432" i="1"/>
  <c r="AD432" i="1"/>
  <c r="AE432" i="1"/>
  <c r="AF432" i="1"/>
  <c r="AG432" i="1"/>
  <c r="AH432" i="1"/>
  <c r="F430" i="1"/>
  <c r="J430" i="1"/>
  <c r="K430" i="1" s="1"/>
  <c r="AI430" i="1" s="1"/>
  <c r="AC430" i="1"/>
  <c r="AD430" i="1"/>
  <c r="AE430" i="1"/>
  <c r="AF430" i="1"/>
  <c r="AG430" i="1"/>
  <c r="AH430" i="1"/>
  <c r="F425" i="1"/>
  <c r="J425" i="1"/>
  <c r="K425" i="1" s="1"/>
  <c r="AI425" i="1" s="1"/>
  <c r="AC425" i="1"/>
  <c r="AD425" i="1"/>
  <c r="AE425" i="1"/>
  <c r="AF425" i="1"/>
  <c r="AG425" i="1"/>
  <c r="AH425" i="1"/>
  <c r="F426" i="1"/>
  <c r="J426" i="1"/>
  <c r="K426" i="1" s="1"/>
  <c r="AI426" i="1" s="1"/>
  <c r="AC426" i="1"/>
  <c r="AD426" i="1"/>
  <c r="AE426" i="1"/>
  <c r="AF426" i="1"/>
  <c r="AG426" i="1"/>
  <c r="AH426" i="1"/>
  <c r="F419" i="1"/>
  <c r="J419" i="1"/>
  <c r="K419" i="1" s="1"/>
  <c r="AI419" i="1" s="1"/>
  <c r="AC419" i="1"/>
  <c r="AD419" i="1"/>
  <c r="AE419" i="1"/>
  <c r="AF419" i="1"/>
  <c r="AG419" i="1"/>
  <c r="AH419" i="1"/>
  <c r="F415" i="1"/>
  <c r="J415" i="1"/>
  <c r="K415" i="1" s="1"/>
  <c r="AI415" i="1" s="1"/>
  <c r="AC415" i="1"/>
  <c r="AD415" i="1"/>
  <c r="AE415" i="1"/>
  <c r="AF415" i="1"/>
  <c r="AG415" i="1"/>
  <c r="AH415" i="1"/>
  <c r="F416" i="1"/>
  <c r="J416" i="1"/>
  <c r="AC416" i="1"/>
  <c r="AD416" i="1"/>
  <c r="AE416" i="1"/>
  <c r="AF416" i="1"/>
  <c r="AG416" i="1"/>
  <c r="AH416" i="1"/>
  <c r="F412" i="1"/>
  <c r="J412" i="1"/>
  <c r="K412" i="1" s="1"/>
  <c r="AI412" i="1" s="1"/>
  <c r="AC412" i="1"/>
  <c r="AD412" i="1"/>
  <c r="AE412" i="1"/>
  <c r="AF412" i="1"/>
  <c r="AG412" i="1"/>
  <c r="AH412" i="1"/>
  <c r="F407" i="1"/>
  <c r="J407" i="1"/>
  <c r="K407" i="1" s="1"/>
  <c r="AI407" i="1" s="1"/>
  <c r="AC407" i="1"/>
  <c r="AD407" i="1"/>
  <c r="AE407" i="1"/>
  <c r="AF407" i="1"/>
  <c r="AG407" i="1"/>
  <c r="AH407" i="1"/>
  <c r="F408" i="1"/>
  <c r="J408" i="1"/>
  <c r="K408" i="1" s="1"/>
  <c r="AI408" i="1" s="1"/>
  <c r="AC408" i="1"/>
  <c r="AD408" i="1"/>
  <c r="AE408" i="1"/>
  <c r="AF408" i="1"/>
  <c r="AG408" i="1"/>
  <c r="AH408" i="1"/>
  <c r="F396" i="1"/>
  <c r="J396" i="1"/>
  <c r="K396" i="1" s="1"/>
  <c r="AI396" i="1" s="1"/>
  <c r="AC396" i="1"/>
  <c r="AD396" i="1"/>
  <c r="AE396" i="1"/>
  <c r="AF396" i="1"/>
  <c r="AG396" i="1"/>
  <c r="AH396" i="1"/>
  <c r="F397" i="1"/>
  <c r="J397" i="1"/>
  <c r="K397" i="1" s="1"/>
  <c r="AI397" i="1" s="1"/>
  <c r="AC397" i="1"/>
  <c r="AD397" i="1"/>
  <c r="AE397" i="1"/>
  <c r="AF397" i="1"/>
  <c r="AG397" i="1"/>
  <c r="AH397" i="1"/>
  <c r="F398" i="1"/>
  <c r="J398" i="1"/>
  <c r="K398" i="1" s="1"/>
  <c r="AI398" i="1" s="1"/>
  <c r="AC398" i="1"/>
  <c r="AD398" i="1"/>
  <c r="AE398" i="1"/>
  <c r="AF398" i="1"/>
  <c r="AG398" i="1"/>
  <c r="AH398" i="1"/>
  <c r="F377" i="1"/>
  <c r="J377" i="1"/>
  <c r="K377" i="1" s="1"/>
  <c r="AI377" i="1" s="1"/>
  <c r="AC377" i="1"/>
  <c r="AD377" i="1"/>
  <c r="AE377" i="1"/>
  <c r="AF377" i="1"/>
  <c r="AG377" i="1"/>
  <c r="AH377" i="1"/>
  <c r="F362" i="1"/>
  <c r="J362" i="1"/>
  <c r="AC362" i="1"/>
  <c r="AD362" i="1"/>
  <c r="AE362" i="1"/>
  <c r="AF362" i="1"/>
  <c r="AG362" i="1"/>
  <c r="AH362" i="1"/>
  <c r="F351" i="1"/>
  <c r="J351" i="1"/>
  <c r="K351" i="1" s="1"/>
  <c r="AI351" i="1" s="1"/>
  <c r="AC351" i="1"/>
  <c r="AD351" i="1"/>
  <c r="AE351" i="1"/>
  <c r="AF351" i="1"/>
  <c r="AG351" i="1"/>
  <c r="AH351" i="1"/>
  <c r="F345" i="1"/>
  <c r="J345" i="1"/>
  <c r="K345" i="1" s="1"/>
  <c r="AI345" i="1" s="1"/>
  <c r="AC345" i="1"/>
  <c r="AD345" i="1"/>
  <c r="AE345" i="1"/>
  <c r="AF345" i="1"/>
  <c r="AG345" i="1"/>
  <c r="AH345" i="1"/>
  <c r="F321" i="1"/>
  <c r="J321" i="1"/>
  <c r="K321" i="1" s="1"/>
  <c r="AI321" i="1" s="1"/>
  <c r="AC321" i="1"/>
  <c r="AD321" i="1"/>
  <c r="AE321" i="1"/>
  <c r="AF321" i="1"/>
  <c r="AG321" i="1"/>
  <c r="AH321" i="1"/>
  <c r="F322" i="1"/>
  <c r="J322" i="1"/>
  <c r="K322" i="1" s="1"/>
  <c r="AI322" i="1" s="1"/>
  <c r="AC322" i="1"/>
  <c r="AD322" i="1"/>
  <c r="AE322" i="1"/>
  <c r="AF322" i="1"/>
  <c r="AG322" i="1"/>
  <c r="AH322" i="1"/>
  <c r="F316" i="1"/>
  <c r="J316" i="1"/>
  <c r="K316" i="1" s="1"/>
  <c r="AI316" i="1" s="1"/>
  <c r="AC316" i="1"/>
  <c r="AD316" i="1"/>
  <c r="AE316" i="1"/>
  <c r="AF316" i="1"/>
  <c r="AG316" i="1"/>
  <c r="AH316" i="1"/>
  <c r="F310" i="1"/>
  <c r="J310" i="1"/>
  <c r="K310" i="1" s="1"/>
  <c r="AI310" i="1" s="1"/>
  <c r="AC310" i="1"/>
  <c r="AD310" i="1"/>
  <c r="AE310" i="1"/>
  <c r="AF310" i="1"/>
  <c r="AG310" i="1"/>
  <c r="AH310" i="1"/>
  <c r="F295" i="1"/>
  <c r="J295" i="1"/>
  <c r="K295" i="1" s="1"/>
  <c r="AI295" i="1" s="1"/>
  <c r="AC295" i="1"/>
  <c r="AD295" i="1"/>
  <c r="AE295" i="1"/>
  <c r="AF295" i="1"/>
  <c r="AG295" i="1"/>
  <c r="AH295" i="1"/>
  <c r="F296" i="1"/>
  <c r="J296" i="1"/>
  <c r="AC296" i="1"/>
  <c r="AD296" i="1"/>
  <c r="AE296" i="1"/>
  <c r="AF296" i="1"/>
  <c r="AG296" i="1"/>
  <c r="AH296" i="1"/>
  <c r="F288" i="1"/>
  <c r="J288" i="1"/>
  <c r="K288" i="1" s="1"/>
  <c r="AI288" i="1" s="1"/>
  <c r="AC288" i="1"/>
  <c r="AD288" i="1"/>
  <c r="AE288" i="1"/>
  <c r="AF288" i="1"/>
  <c r="AG288" i="1"/>
  <c r="AH288" i="1"/>
  <c r="F277" i="1"/>
  <c r="J277" i="1"/>
  <c r="K277" i="1" s="1"/>
  <c r="AI277" i="1" s="1"/>
  <c r="AC277" i="1"/>
  <c r="AD277" i="1"/>
  <c r="AE277" i="1"/>
  <c r="AF277" i="1"/>
  <c r="AG277" i="1"/>
  <c r="AH277" i="1"/>
  <c r="F271" i="1"/>
  <c r="J271" i="1"/>
  <c r="K271" i="1" s="1"/>
  <c r="AI271" i="1" s="1"/>
  <c r="AC271" i="1"/>
  <c r="AD271" i="1"/>
  <c r="AE271" i="1"/>
  <c r="AF271" i="1"/>
  <c r="AG271" i="1"/>
  <c r="AH271" i="1"/>
  <c r="F269" i="1"/>
  <c r="J269" i="1"/>
  <c r="K269" i="1" s="1"/>
  <c r="AI269" i="1" s="1"/>
  <c r="AC269" i="1"/>
  <c r="AD269" i="1"/>
  <c r="AE269" i="1"/>
  <c r="AF269" i="1"/>
  <c r="AG269" i="1"/>
  <c r="AH269" i="1"/>
  <c r="F262" i="1"/>
  <c r="J262" i="1"/>
  <c r="K262" i="1" s="1"/>
  <c r="AI262" i="1" s="1"/>
  <c r="AC262" i="1"/>
  <c r="AD262" i="1"/>
  <c r="AE262" i="1"/>
  <c r="AF262" i="1"/>
  <c r="AG262" i="1"/>
  <c r="AH262" i="1"/>
  <c r="F259" i="1"/>
  <c r="J259" i="1"/>
  <c r="K259" i="1" s="1"/>
  <c r="AI259" i="1" s="1"/>
  <c r="AC259" i="1"/>
  <c r="AD259" i="1"/>
  <c r="AE259" i="1"/>
  <c r="AF259" i="1"/>
  <c r="AG259" i="1"/>
  <c r="AH259" i="1"/>
  <c r="F260" i="1"/>
  <c r="J260" i="1"/>
  <c r="K260" i="1" s="1"/>
  <c r="AI260" i="1" s="1"/>
  <c r="AC260" i="1"/>
  <c r="AD260" i="1"/>
  <c r="AE260" i="1"/>
  <c r="AF260" i="1"/>
  <c r="AG260" i="1"/>
  <c r="AH260" i="1"/>
  <c r="F256" i="1"/>
  <c r="J256" i="1"/>
  <c r="AC256" i="1"/>
  <c r="AD256" i="1"/>
  <c r="AE256" i="1"/>
  <c r="AF256" i="1"/>
  <c r="AG256" i="1"/>
  <c r="AH256" i="1"/>
  <c r="F246" i="1"/>
  <c r="J246" i="1"/>
  <c r="K246" i="1" s="1"/>
  <c r="AI246" i="1" s="1"/>
  <c r="AC246" i="1"/>
  <c r="AD246" i="1"/>
  <c r="AE246" i="1"/>
  <c r="AF246" i="1"/>
  <c r="AG246" i="1"/>
  <c r="AH246" i="1"/>
  <c r="F240" i="1"/>
  <c r="J240" i="1"/>
  <c r="K240" i="1" s="1"/>
  <c r="AI240" i="1" s="1"/>
  <c r="AC240" i="1"/>
  <c r="AD240" i="1"/>
  <c r="AE240" i="1"/>
  <c r="AF240" i="1"/>
  <c r="AG240" i="1"/>
  <c r="AH240" i="1"/>
  <c r="F223" i="1"/>
  <c r="J223" i="1"/>
  <c r="K223" i="1" s="1"/>
  <c r="AI223" i="1" s="1"/>
  <c r="AC223" i="1"/>
  <c r="AD223" i="1"/>
  <c r="AE223" i="1"/>
  <c r="AF223" i="1"/>
  <c r="AG223" i="1"/>
  <c r="AH223" i="1"/>
  <c r="F221" i="1"/>
  <c r="J221" i="1"/>
  <c r="K221" i="1" s="1"/>
  <c r="AI221" i="1" s="1"/>
  <c r="AC221" i="1"/>
  <c r="AD221" i="1"/>
  <c r="AE221" i="1"/>
  <c r="AF221" i="1"/>
  <c r="AG221" i="1"/>
  <c r="AH221" i="1"/>
  <c r="F214" i="1"/>
  <c r="J214" i="1"/>
  <c r="K214" i="1" s="1"/>
  <c r="AI214" i="1" s="1"/>
  <c r="AC214" i="1"/>
  <c r="AD214" i="1"/>
  <c r="AE214" i="1"/>
  <c r="AF214" i="1"/>
  <c r="AG214" i="1"/>
  <c r="AH214" i="1"/>
  <c r="F209" i="1"/>
  <c r="J209" i="1"/>
  <c r="K209" i="1" s="1"/>
  <c r="AI209" i="1" s="1"/>
  <c r="AC209" i="1"/>
  <c r="AD209" i="1"/>
  <c r="AE209" i="1"/>
  <c r="AF209" i="1"/>
  <c r="AG209" i="1"/>
  <c r="AH209" i="1"/>
  <c r="F202" i="1"/>
  <c r="J202" i="1"/>
  <c r="K202" i="1" s="1"/>
  <c r="AI202" i="1" s="1"/>
  <c r="AC202" i="1"/>
  <c r="AD202" i="1"/>
  <c r="AE202" i="1"/>
  <c r="AF202" i="1"/>
  <c r="AG202" i="1"/>
  <c r="AH202" i="1"/>
  <c r="F184" i="1"/>
  <c r="J184" i="1"/>
  <c r="AC184" i="1"/>
  <c r="AD184" i="1"/>
  <c r="AE184" i="1"/>
  <c r="AF184" i="1"/>
  <c r="AG184" i="1"/>
  <c r="AH184" i="1"/>
  <c r="F164" i="1"/>
  <c r="J164" i="1"/>
  <c r="K164" i="1" s="1"/>
  <c r="AI164" i="1" s="1"/>
  <c r="AC164" i="1"/>
  <c r="AD164" i="1"/>
  <c r="AE164" i="1"/>
  <c r="AF164" i="1"/>
  <c r="AG164" i="1"/>
  <c r="AH164" i="1"/>
  <c r="F160" i="1"/>
  <c r="J160" i="1"/>
  <c r="K160" i="1" s="1"/>
  <c r="AI160" i="1" s="1"/>
  <c r="AC160" i="1"/>
  <c r="AD160" i="1"/>
  <c r="AE160" i="1"/>
  <c r="AF160" i="1"/>
  <c r="AG160" i="1"/>
  <c r="AH160" i="1"/>
  <c r="F154" i="1"/>
  <c r="J154" i="1"/>
  <c r="K154" i="1" s="1"/>
  <c r="AI154" i="1" s="1"/>
  <c r="AC154" i="1"/>
  <c r="AD154" i="1"/>
  <c r="AE154" i="1"/>
  <c r="AF154" i="1"/>
  <c r="AG154" i="1"/>
  <c r="AH154" i="1"/>
  <c r="F150" i="1"/>
  <c r="J150" i="1"/>
  <c r="K150" i="1" s="1"/>
  <c r="AI150" i="1" s="1"/>
  <c r="AC150" i="1"/>
  <c r="AD150" i="1"/>
  <c r="AE150" i="1"/>
  <c r="AF150" i="1"/>
  <c r="AG150" i="1"/>
  <c r="AH150" i="1"/>
  <c r="F140" i="1"/>
  <c r="J140" i="1"/>
  <c r="K140" i="1" s="1"/>
  <c r="AI140" i="1" s="1"/>
  <c r="AC140" i="1"/>
  <c r="AD140" i="1"/>
  <c r="AE140" i="1"/>
  <c r="AF140" i="1"/>
  <c r="AG140" i="1"/>
  <c r="AH140" i="1"/>
  <c r="F138" i="1"/>
  <c r="J138" i="1"/>
  <c r="AC138" i="1"/>
  <c r="AD138" i="1"/>
  <c r="AE138" i="1"/>
  <c r="AF138" i="1"/>
  <c r="AG138" i="1"/>
  <c r="AH138" i="1"/>
  <c r="F135" i="1"/>
  <c r="J135" i="1"/>
  <c r="K135" i="1" s="1"/>
  <c r="AI135" i="1" s="1"/>
  <c r="AC135" i="1"/>
  <c r="AD135" i="1"/>
  <c r="AE135" i="1"/>
  <c r="AF135" i="1"/>
  <c r="AG135" i="1"/>
  <c r="AH135" i="1"/>
  <c r="F126" i="1"/>
  <c r="J126" i="1"/>
  <c r="AC126" i="1"/>
  <c r="AD126" i="1"/>
  <c r="AE126" i="1"/>
  <c r="AF126" i="1"/>
  <c r="AG126" i="1"/>
  <c r="AH126" i="1"/>
  <c r="F124" i="1"/>
  <c r="J124" i="1"/>
  <c r="K124" i="1" s="1"/>
  <c r="AI124" i="1" s="1"/>
  <c r="AC124" i="1"/>
  <c r="AD124" i="1"/>
  <c r="AE124" i="1"/>
  <c r="AF124" i="1"/>
  <c r="AG124" i="1"/>
  <c r="AH124" i="1"/>
  <c r="F121" i="1"/>
  <c r="J121" i="1"/>
  <c r="K121" i="1" s="1"/>
  <c r="AI121" i="1" s="1"/>
  <c r="AC121" i="1"/>
  <c r="AD121" i="1"/>
  <c r="AE121" i="1"/>
  <c r="AF121" i="1"/>
  <c r="AG121" i="1"/>
  <c r="AH121" i="1"/>
  <c r="F109" i="1"/>
  <c r="J109" i="1"/>
  <c r="K109" i="1" s="1"/>
  <c r="AI109" i="1" s="1"/>
  <c r="AC109" i="1"/>
  <c r="AD109" i="1"/>
  <c r="AE109" i="1"/>
  <c r="AF109" i="1"/>
  <c r="AG109" i="1"/>
  <c r="AH109" i="1"/>
  <c r="F101" i="1"/>
  <c r="J101" i="1"/>
  <c r="K101" i="1" s="1"/>
  <c r="AI101" i="1" s="1"/>
  <c r="AC101" i="1"/>
  <c r="AD101" i="1"/>
  <c r="AE101" i="1"/>
  <c r="AF101" i="1"/>
  <c r="AG101" i="1"/>
  <c r="AH101" i="1"/>
  <c r="F91" i="1"/>
  <c r="J91" i="1"/>
  <c r="K91" i="1" s="1"/>
  <c r="AI91" i="1" s="1"/>
  <c r="AC91" i="1"/>
  <c r="AD91" i="1"/>
  <c r="AE91" i="1"/>
  <c r="AF91" i="1"/>
  <c r="AG91" i="1"/>
  <c r="AH91" i="1"/>
  <c r="F89" i="1"/>
  <c r="J89" i="1"/>
  <c r="AC89" i="1"/>
  <c r="AD89" i="1"/>
  <c r="AE89" i="1"/>
  <c r="AF89" i="1"/>
  <c r="AG89" i="1"/>
  <c r="AH89" i="1"/>
  <c r="F85" i="1"/>
  <c r="J85" i="1"/>
  <c r="K85" i="1" s="1"/>
  <c r="AI85" i="1" s="1"/>
  <c r="AC85" i="1"/>
  <c r="AD85" i="1"/>
  <c r="AE85" i="1"/>
  <c r="AF85" i="1"/>
  <c r="AG85" i="1"/>
  <c r="AH85" i="1"/>
  <c r="F82" i="1"/>
  <c r="J82" i="1"/>
  <c r="AC82" i="1"/>
  <c r="AD82" i="1"/>
  <c r="AE82" i="1"/>
  <c r="AF82" i="1"/>
  <c r="AG82" i="1"/>
  <c r="AH82" i="1"/>
  <c r="F77" i="1"/>
  <c r="J77" i="1"/>
  <c r="K77" i="1" s="1"/>
  <c r="AI77" i="1" s="1"/>
  <c r="AC77" i="1"/>
  <c r="AD77" i="1"/>
  <c r="AE77" i="1"/>
  <c r="AF77" i="1"/>
  <c r="AG77" i="1"/>
  <c r="AH77" i="1"/>
  <c r="F71" i="1"/>
  <c r="J71" i="1"/>
  <c r="K71" i="1" s="1"/>
  <c r="AI71" i="1" s="1"/>
  <c r="AC71" i="1"/>
  <c r="AD71" i="1"/>
  <c r="AE71" i="1"/>
  <c r="AF71" i="1"/>
  <c r="AG71" i="1"/>
  <c r="AH71" i="1"/>
  <c r="F65" i="1"/>
  <c r="J65" i="1"/>
  <c r="K65" i="1" s="1"/>
  <c r="AI65" i="1" s="1"/>
  <c r="AC65" i="1"/>
  <c r="AD65" i="1"/>
  <c r="AE65" i="1"/>
  <c r="AF65" i="1"/>
  <c r="AG65" i="1"/>
  <c r="AH65" i="1"/>
  <c r="F61" i="1"/>
  <c r="J61" i="1"/>
  <c r="K61" i="1" s="1"/>
  <c r="AI61" i="1" s="1"/>
  <c r="AC61" i="1"/>
  <c r="AD61" i="1"/>
  <c r="AE61" i="1"/>
  <c r="AF61" i="1"/>
  <c r="AG61" i="1"/>
  <c r="AH61" i="1"/>
  <c r="F51" i="1"/>
  <c r="J51" i="1"/>
  <c r="K51" i="1" s="1"/>
  <c r="AI51" i="1" s="1"/>
  <c r="AC51" i="1"/>
  <c r="AD51" i="1"/>
  <c r="AE51" i="1"/>
  <c r="AF51" i="1"/>
  <c r="AG51" i="1"/>
  <c r="AH51" i="1"/>
  <c r="F52" i="1"/>
  <c r="J52" i="1"/>
  <c r="AC52" i="1"/>
  <c r="AD52" i="1"/>
  <c r="AE52" i="1"/>
  <c r="AF52" i="1"/>
  <c r="AG52" i="1"/>
  <c r="AH52" i="1"/>
  <c r="F48" i="1"/>
  <c r="J48" i="1"/>
  <c r="K48" i="1" s="1"/>
  <c r="AI48" i="1" s="1"/>
  <c r="AC48" i="1"/>
  <c r="AD48" i="1"/>
  <c r="AE48" i="1"/>
  <c r="AF48" i="1"/>
  <c r="AG48" i="1"/>
  <c r="AH48" i="1"/>
  <c r="F46" i="1"/>
  <c r="J46" i="1"/>
  <c r="AC46" i="1"/>
  <c r="AD46" i="1"/>
  <c r="AE46" i="1"/>
  <c r="AF46" i="1"/>
  <c r="AG46" i="1"/>
  <c r="AH46" i="1"/>
  <c r="F44" i="1"/>
  <c r="J44" i="1"/>
  <c r="K44" i="1" s="1"/>
  <c r="AI44" i="1" s="1"/>
  <c r="AC44" i="1"/>
  <c r="AD44" i="1"/>
  <c r="AE44" i="1"/>
  <c r="AF44" i="1"/>
  <c r="AG44" i="1"/>
  <c r="AH44" i="1"/>
  <c r="F40" i="1"/>
  <c r="J40" i="1"/>
  <c r="K40" i="1" s="1"/>
  <c r="AI40" i="1" s="1"/>
  <c r="AC40" i="1"/>
  <c r="AD40" i="1"/>
  <c r="AE40" i="1"/>
  <c r="AF40" i="1"/>
  <c r="AG40" i="1"/>
  <c r="AH40" i="1"/>
  <c r="F41" i="1"/>
  <c r="J41" i="1"/>
  <c r="K41" i="1" s="1"/>
  <c r="AI41" i="1" s="1"/>
  <c r="AC41" i="1"/>
  <c r="AD41" i="1"/>
  <c r="AE41" i="1"/>
  <c r="AF41" i="1"/>
  <c r="AG41" i="1"/>
  <c r="AH41" i="1"/>
  <c r="F30" i="1"/>
  <c r="J30" i="1"/>
  <c r="K30" i="1" s="1"/>
  <c r="AI30" i="1" s="1"/>
  <c r="AC30" i="1"/>
  <c r="AD30" i="1"/>
  <c r="AE30" i="1"/>
  <c r="AF30" i="1"/>
  <c r="AG30" i="1"/>
  <c r="AH30" i="1"/>
  <c r="F31" i="1"/>
  <c r="J31" i="1"/>
  <c r="K31" i="1" s="1"/>
  <c r="AI31" i="1" s="1"/>
  <c r="AC31" i="1"/>
  <c r="AD31" i="1"/>
  <c r="AE31" i="1"/>
  <c r="AF31" i="1"/>
  <c r="AG31" i="1"/>
  <c r="AH31" i="1"/>
  <c r="F24" i="1"/>
  <c r="J24" i="1"/>
  <c r="K24" i="1" s="1"/>
  <c r="AI24" i="1" s="1"/>
  <c r="AC24" i="1"/>
  <c r="AD24" i="1"/>
  <c r="AE24" i="1"/>
  <c r="AF24" i="1"/>
  <c r="AG24" i="1"/>
  <c r="AH24" i="1"/>
  <c r="F13" i="1"/>
  <c r="J13" i="1"/>
  <c r="K13" i="1" s="1"/>
  <c r="AI13" i="1" s="1"/>
  <c r="AC13" i="1"/>
  <c r="AD13" i="1"/>
  <c r="AE13" i="1"/>
  <c r="AF13" i="1"/>
  <c r="AG13" i="1"/>
  <c r="AH13" i="1"/>
  <c r="F2401" i="1"/>
  <c r="J2401" i="1"/>
  <c r="K2401" i="1" s="1"/>
  <c r="F2399" i="1"/>
  <c r="J2399" i="1"/>
  <c r="K2399" i="1" s="1"/>
  <c r="AI2399" i="1" s="1"/>
  <c r="AC2399" i="1"/>
  <c r="AD2399" i="1"/>
  <c r="AE2399" i="1"/>
  <c r="AF2399" i="1"/>
  <c r="AG2399" i="1"/>
  <c r="AH2399" i="1"/>
  <c r="F2392" i="1"/>
  <c r="J2392" i="1"/>
  <c r="K2392" i="1" s="1"/>
  <c r="AI2392" i="1" s="1"/>
  <c r="AC2392" i="1"/>
  <c r="AD2392" i="1"/>
  <c r="AE2392" i="1"/>
  <c r="AF2392" i="1"/>
  <c r="AG2392" i="1"/>
  <c r="AH2392" i="1"/>
  <c r="F2393" i="1"/>
  <c r="J2393" i="1"/>
  <c r="K2393" i="1" s="1"/>
  <c r="AI2393" i="1" s="1"/>
  <c r="AC2393" i="1"/>
  <c r="AD2393" i="1"/>
  <c r="AE2393" i="1"/>
  <c r="AF2393" i="1"/>
  <c r="AG2393" i="1"/>
  <c r="AH2393" i="1"/>
  <c r="F2395" i="1"/>
  <c r="J2395" i="1"/>
  <c r="K2395" i="1" s="1"/>
  <c r="AI2395" i="1" s="1"/>
  <c r="AC2395" i="1"/>
  <c r="AD2395" i="1"/>
  <c r="AE2395" i="1"/>
  <c r="AF2395" i="1"/>
  <c r="AG2395" i="1"/>
  <c r="AH2395" i="1"/>
  <c r="F2396" i="1"/>
  <c r="J2396" i="1"/>
  <c r="K2396" i="1" s="1"/>
  <c r="AI2396" i="1" s="1"/>
  <c r="AC2396" i="1"/>
  <c r="AD2396" i="1"/>
  <c r="AE2396" i="1"/>
  <c r="AF2396" i="1"/>
  <c r="AG2396" i="1"/>
  <c r="AH2396" i="1"/>
  <c r="F2387" i="1"/>
  <c r="J2387" i="1"/>
  <c r="K2387" i="1" s="1"/>
  <c r="AI2387" i="1" s="1"/>
  <c r="AC2387" i="1"/>
  <c r="AD2387" i="1"/>
  <c r="AE2387" i="1"/>
  <c r="AF2387" i="1"/>
  <c r="AG2387" i="1"/>
  <c r="AH2387" i="1"/>
  <c r="F2388" i="1"/>
  <c r="J2388" i="1"/>
  <c r="K2388" i="1" s="1"/>
  <c r="AI2388" i="1" s="1"/>
  <c r="AC2388" i="1"/>
  <c r="AD2388" i="1"/>
  <c r="AE2388" i="1"/>
  <c r="AF2388" i="1"/>
  <c r="AG2388" i="1"/>
  <c r="AH2388" i="1"/>
  <c r="F2389" i="1"/>
  <c r="J2389" i="1"/>
  <c r="K2389" i="1" s="1"/>
  <c r="AI2389" i="1" s="1"/>
  <c r="AC2389" i="1"/>
  <c r="AD2389" i="1"/>
  <c r="AE2389" i="1"/>
  <c r="AF2389" i="1"/>
  <c r="AG2389" i="1"/>
  <c r="AH2389" i="1"/>
  <c r="F2377" i="1"/>
  <c r="J2377" i="1"/>
  <c r="K2377" i="1" s="1"/>
  <c r="AI2377" i="1" s="1"/>
  <c r="AC2377" i="1"/>
  <c r="AD2377" i="1"/>
  <c r="AE2377" i="1"/>
  <c r="AF2377" i="1"/>
  <c r="AG2377" i="1"/>
  <c r="AH2377" i="1"/>
  <c r="F2378" i="1"/>
  <c r="J2378" i="1"/>
  <c r="K2378" i="1" s="1"/>
  <c r="AI2378" i="1" s="1"/>
  <c r="AC2378" i="1"/>
  <c r="AD2378" i="1"/>
  <c r="AE2378" i="1"/>
  <c r="AF2378" i="1"/>
  <c r="AG2378" i="1"/>
  <c r="AH2378" i="1"/>
  <c r="F2379" i="1"/>
  <c r="J2379" i="1"/>
  <c r="K2379" i="1" s="1"/>
  <c r="AI2379" i="1" s="1"/>
  <c r="AC2379" i="1"/>
  <c r="AD2379" i="1"/>
  <c r="AE2379" i="1"/>
  <c r="AF2379" i="1"/>
  <c r="AG2379" i="1"/>
  <c r="AH2379" i="1"/>
  <c r="F2380" i="1"/>
  <c r="J2380" i="1"/>
  <c r="AC2380" i="1"/>
  <c r="AD2380" i="1"/>
  <c r="AE2380" i="1"/>
  <c r="AF2380" i="1"/>
  <c r="AG2380" i="1"/>
  <c r="AH2380" i="1"/>
  <c r="F2383" i="1"/>
  <c r="J2383" i="1"/>
  <c r="K2383" i="1" s="1"/>
  <c r="AI2383" i="1" s="1"/>
  <c r="AC2383" i="1"/>
  <c r="AD2383" i="1"/>
  <c r="AE2383" i="1"/>
  <c r="AF2383" i="1"/>
  <c r="AG2383" i="1"/>
  <c r="AH2383" i="1"/>
  <c r="F2384" i="1"/>
  <c r="J2384" i="1"/>
  <c r="K2384" i="1" s="1"/>
  <c r="AI2384" i="1" s="1"/>
  <c r="AC2384" i="1"/>
  <c r="AD2384" i="1"/>
  <c r="AE2384" i="1"/>
  <c r="AF2384" i="1"/>
  <c r="AG2384" i="1"/>
  <c r="AH2384" i="1"/>
  <c r="F2368" i="1"/>
  <c r="J2368" i="1"/>
  <c r="K2368" i="1" s="1"/>
  <c r="AI2368" i="1" s="1"/>
  <c r="AC2368" i="1"/>
  <c r="AD2368" i="1"/>
  <c r="AE2368" i="1"/>
  <c r="AF2368" i="1"/>
  <c r="AG2368" i="1"/>
  <c r="AH2368" i="1"/>
  <c r="F2370" i="1"/>
  <c r="J2370" i="1"/>
  <c r="K2370" i="1" s="1"/>
  <c r="AI2370" i="1" s="1"/>
  <c r="AC2370" i="1"/>
  <c r="AD2370" i="1"/>
  <c r="AE2370" i="1"/>
  <c r="AF2370" i="1"/>
  <c r="AG2370" i="1"/>
  <c r="AH2370" i="1"/>
  <c r="F2371" i="1"/>
  <c r="J2371" i="1"/>
  <c r="K2371" i="1" s="1"/>
  <c r="AI2371" i="1" s="1"/>
  <c r="AC2371" i="1"/>
  <c r="AD2371" i="1"/>
  <c r="AE2371" i="1"/>
  <c r="AF2371" i="1"/>
  <c r="AG2371" i="1"/>
  <c r="AH2371" i="1"/>
  <c r="F2374" i="1"/>
  <c r="J2374" i="1"/>
  <c r="K2374" i="1" s="1"/>
  <c r="AI2374" i="1" s="1"/>
  <c r="AC2374" i="1"/>
  <c r="AD2374" i="1"/>
  <c r="AE2374" i="1"/>
  <c r="AF2374" i="1"/>
  <c r="AG2374" i="1"/>
  <c r="AH2374" i="1"/>
  <c r="F2375" i="1"/>
  <c r="J2375" i="1"/>
  <c r="K2375" i="1" s="1"/>
  <c r="AI2375" i="1" s="1"/>
  <c r="AC2375" i="1"/>
  <c r="AD2375" i="1"/>
  <c r="AE2375" i="1"/>
  <c r="AF2375" i="1"/>
  <c r="AG2375" i="1"/>
  <c r="AH2375" i="1"/>
  <c r="F2362" i="1"/>
  <c r="J2362" i="1"/>
  <c r="AC2362" i="1"/>
  <c r="AD2362" i="1"/>
  <c r="AE2362" i="1"/>
  <c r="AF2362" i="1"/>
  <c r="AG2362" i="1"/>
  <c r="AH2362" i="1"/>
  <c r="F2364" i="1"/>
  <c r="J2364" i="1"/>
  <c r="K2364" i="1" s="1"/>
  <c r="AI2364" i="1" s="1"/>
  <c r="AC2364" i="1"/>
  <c r="AD2364" i="1"/>
  <c r="AE2364" i="1"/>
  <c r="AF2364" i="1"/>
  <c r="AG2364" i="1"/>
  <c r="AH2364" i="1"/>
  <c r="F2365" i="1"/>
  <c r="J2365" i="1"/>
  <c r="K2365" i="1" s="1"/>
  <c r="AI2365" i="1" s="1"/>
  <c r="AC2365" i="1"/>
  <c r="AD2365" i="1"/>
  <c r="AE2365" i="1"/>
  <c r="AF2365" i="1"/>
  <c r="AG2365" i="1"/>
  <c r="AH2365" i="1"/>
  <c r="F2358" i="1"/>
  <c r="J2358" i="1"/>
  <c r="K2358" i="1" s="1"/>
  <c r="AI2358" i="1" s="1"/>
  <c r="AC2358" i="1"/>
  <c r="AD2358" i="1"/>
  <c r="AE2358" i="1"/>
  <c r="AF2358" i="1"/>
  <c r="AG2358" i="1"/>
  <c r="AH2358" i="1"/>
  <c r="F2359" i="1"/>
  <c r="J2359" i="1"/>
  <c r="K2359" i="1" s="1"/>
  <c r="AI2359" i="1" s="1"/>
  <c r="AC2359" i="1"/>
  <c r="AD2359" i="1"/>
  <c r="AE2359" i="1"/>
  <c r="AF2359" i="1"/>
  <c r="AG2359" i="1"/>
  <c r="AH2359" i="1"/>
  <c r="F2360" i="1"/>
  <c r="J2360" i="1"/>
  <c r="K2360" i="1" s="1"/>
  <c r="AI2360" i="1" s="1"/>
  <c r="AC2360" i="1"/>
  <c r="AD2360" i="1"/>
  <c r="AE2360" i="1"/>
  <c r="AF2360" i="1"/>
  <c r="AG2360" i="1"/>
  <c r="AH2360" i="1"/>
  <c r="F2355" i="1"/>
  <c r="J2355" i="1"/>
  <c r="K2355" i="1" s="1"/>
  <c r="AI2355" i="1" s="1"/>
  <c r="AC2355" i="1"/>
  <c r="AD2355" i="1"/>
  <c r="AE2355" i="1"/>
  <c r="AF2355" i="1"/>
  <c r="AG2355" i="1"/>
  <c r="AH2355" i="1"/>
  <c r="F2349" i="1"/>
  <c r="J2349" i="1"/>
  <c r="K2349" i="1" s="1"/>
  <c r="AI2349" i="1" s="1"/>
  <c r="AC2349" i="1"/>
  <c r="AD2349" i="1"/>
  <c r="AE2349" i="1"/>
  <c r="AF2349" i="1"/>
  <c r="AG2349" i="1"/>
  <c r="AH2349" i="1"/>
  <c r="F2350" i="1"/>
  <c r="J2350" i="1"/>
  <c r="K2350" i="1" s="1"/>
  <c r="AI2350" i="1" s="1"/>
  <c r="AC2350" i="1"/>
  <c r="AD2350" i="1"/>
  <c r="AE2350" i="1"/>
  <c r="AF2350" i="1"/>
  <c r="AG2350" i="1"/>
  <c r="AH2350" i="1"/>
  <c r="F2345" i="1"/>
  <c r="J2345" i="1"/>
  <c r="K2345" i="1" s="1"/>
  <c r="AI2345" i="1" s="1"/>
  <c r="AC2345" i="1"/>
  <c r="AD2345" i="1"/>
  <c r="AE2345" i="1"/>
  <c r="AF2345" i="1"/>
  <c r="AG2345" i="1"/>
  <c r="AH2345" i="1"/>
  <c r="F2342" i="1"/>
  <c r="J2342" i="1"/>
  <c r="K2342" i="1" s="1"/>
  <c r="AI2342" i="1" s="1"/>
  <c r="AC2342" i="1"/>
  <c r="AD2342" i="1"/>
  <c r="AE2342" i="1"/>
  <c r="AF2342" i="1"/>
  <c r="AG2342" i="1"/>
  <c r="AH2342" i="1"/>
  <c r="F2336" i="1"/>
  <c r="J2336" i="1"/>
  <c r="K2336" i="1" s="1"/>
  <c r="AI2336" i="1" s="1"/>
  <c r="AC2336" i="1"/>
  <c r="AD2336" i="1"/>
  <c r="AE2336" i="1"/>
  <c r="AF2336" i="1"/>
  <c r="AG2336" i="1"/>
  <c r="AH2336" i="1"/>
  <c r="F2337" i="1"/>
  <c r="J2337" i="1"/>
  <c r="K2337" i="1" s="1"/>
  <c r="AI2337" i="1" s="1"/>
  <c r="AC2337" i="1"/>
  <c r="AD2337" i="1"/>
  <c r="AE2337" i="1"/>
  <c r="AF2337" i="1"/>
  <c r="AG2337" i="1"/>
  <c r="AH2337" i="1"/>
  <c r="F2338" i="1"/>
  <c r="J2338" i="1"/>
  <c r="K2338" i="1" s="1"/>
  <c r="AI2338" i="1" s="1"/>
  <c r="AC2338" i="1"/>
  <c r="AD2338" i="1"/>
  <c r="AE2338" i="1"/>
  <c r="AF2338" i="1"/>
  <c r="AG2338" i="1"/>
  <c r="AH2338" i="1"/>
  <c r="F2339" i="1"/>
  <c r="J2339" i="1"/>
  <c r="K2339" i="1" s="1"/>
  <c r="AI2339" i="1" s="1"/>
  <c r="AC2339" i="1"/>
  <c r="AD2339" i="1"/>
  <c r="AE2339" i="1"/>
  <c r="AF2339" i="1"/>
  <c r="AG2339" i="1"/>
  <c r="AH2339" i="1"/>
  <c r="F2333" i="1"/>
  <c r="J2333" i="1"/>
  <c r="K2333" i="1" s="1"/>
  <c r="AI2333" i="1" s="1"/>
  <c r="AC2333" i="1"/>
  <c r="AD2333" i="1"/>
  <c r="AE2333" i="1"/>
  <c r="AF2333" i="1"/>
  <c r="AG2333" i="1"/>
  <c r="AH2333" i="1"/>
  <c r="F2330" i="1"/>
  <c r="J2330" i="1"/>
  <c r="K2330" i="1" s="1"/>
  <c r="AI2330" i="1" s="1"/>
  <c r="AC2330" i="1"/>
  <c r="AD2330" i="1"/>
  <c r="AE2330" i="1"/>
  <c r="AF2330" i="1"/>
  <c r="AG2330" i="1"/>
  <c r="AH2330" i="1"/>
  <c r="F2327" i="1"/>
  <c r="J2327" i="1"/>
  <c r="K2327" i="1" s="1"/>
  <c r="AI2327" i="1" s="1"/>
  <c r="AC2327" i="1"/>
  <c r="AD2327" i="1"/>
  <c r="AE2327" i="1"/>
  <c r="AF2327" i="1"/>
  <c r="AG2327" i="1"/>
  <c r="AH2327" i="1"/>
  <c r="F2323" i="1"/>
  <c r="J2323" i="1"/>
  <c r="K2323" i="1" s="1"/>
  <c r="AI2323" i="1" s="1"/>
  <c r="AC2323" i="1"/>
  <c r="AD2323" i="1"/>
  <c r="AE2323" i="1"/>
  <c r="AF2323" i="1"/>
  <c r="AG2323" i="1"/>
  <c r="AH2323" i="1"/>
  <c r="F2320" i="1"/>
  <c r="J2320" i="1"/>
  <c r="K2320" i="1" s="1"/>
  <c r="AI2320" i="1" s="1"/>
  <c r="AC2320" i="1"/>
  <c r="AD2320" i="1"/>
  <c r="AE2320" i="1"/>
  <c r="AF2320" i="1"/>
  <c r="AG2320" i="1"/>
  <c r="AH2320" i="1"/>
  <c r="F2315" i="1"/>
  <c r="J2315" i="1"/>
  <c r="K2315" i="1" s="1"/>
  <c r="AI2315" i="1" s="1"/>
  <c r="AC2315" i="1"/>
  <c r="AD2315" i="1"/>
  <c r="AE2315" i="1"/>
  <c r="AF2315" i="1"/>
  <c r="AG2315" i="1"/>
  <c r="AH2315" i="1"/>
  <c r="F2316" i="1"/>
  <c r="J2316" i="1"/>
  <c r="K2316" i="1" s="1"/>
  <c r="AI2316" i="1" s="1"/>
  <c r="AC2316" i="1"/>
  <c r="AD2316" i="1"/>
  <c r="AE2316" i="1"/>
  <c r="AF2316" i="1"/>
  <c r="AG2316" i="1"/>
  <c r="AH2316" i="1"/>
  <c r="F2313" i="1"/>
  <c r="J2313" i="1"/>
  <c r="K2313" i="1" s="1"/>
  <c r="AI2313" i="1" s="1"/>
  <c r="AC2313" i="1"/>
  <c r="AD2313" i="1"/>
  <c r="AE2313" i="1"/>
  <c r="AF2313" i="1"/>
  <c r="AG2313" i="1"/>
  <c r="AH2313" i="1"/>
  <c r="F2305" i="1"/>
  <c r="J2305" i="1"/>
  <c r="K2305" i="1" s="1"/>
  <c r="AI2305" i="1" s="1"/>
  <c r="AC2305" i="1"/>
  <c r="AD2305" i="1"/>
  <c r="AE2305" i="1"/>
  <c r="AF2305" i="1"/>
  <c r="AG2305" i="1"/>
  <c r="AH2305" i="1"/>
  <c r="F2306" i="1"/>
  <c r="J2306" i="1"/>
  <c r="K2306" i="1" s="1"/>
  <c r="AI2306" i="1" s="1"/>
  <c r="AC2306" i="1"/>
  <c r="AD2306" i="1"/>
  <c r="AE2306" i="1"/>
  <c r="AF2306" i="1"/>
  <c r="AG2306" i="1"/>
  <c r="AH2306" i="1"/>
  <c r="F2307" i="1"/>
  <c r="J2307" i="1"/>
  <c r="K2307" i="1" s="1"/>
  <c r="AI2307" i="1" s="1"/>
  <c r="AC2307" i="1"/>
  <c r="AD2307" i="1"/>
  <c r="AE2307" i="1"/>
  <c r="AF2307" i="1"/>
  <c r="AG2307" i="1"/>
  <c r="AH2307" i="1"/>
  <c r="F2303" i="1"/>
  <c r="J2303" i="1"/>
  <c r="K2303" i="1" s="1"/>
  <c r="AI2303" i="1" s="1"/>
  <c r="AC2303" i="1"/>
  <c r="AD2303" i="1"/>
  <c r="AE2303" i="1"/>
  <c r="AF2303" i="1"/>
  <c r="AG2303" i="1"/>
  <c r="AH2303" i="1"/>
  <c r="F2301" i="1"/>
  <c r="J2301" i="1"/>
  <c r="K2301" i="1" s="1"/>
  <c r="AI2301" i="1" s="1"/>
  <c r="AC2301" i="1"/>
  <c r="AD2301" i="1"/>
  <c r="AE2301" i="1"/>
  <c r="AF2301" i="1"/>
  <c r="AG2301" i="1"/>
  <c r="AH2301" i="1"/>
  <c r="F2297" i="1"/>
  <c r="J2297" i="1"/>
  <c r="K2297" i="1" s="1"/>
  <c r="AI2297" i="1" s="1"/>
  <c r="AC2297" i="1"/>
  <c r="AD2297" i="1"/>
  <c r="AE2297" i="1"/>
  <c r="AF2297" i="1"/>
  <c r="AG2297" i="1"/>
  <c r="AH2297" i="1"/>
  <c r="F2295" i="1"/>
  <c r="J2295" i="1"/>
  <c r="K2295" i="1" s="1"/>
  <c r="AI2295" i="1" s="1"/>
  <c r="AC2295" i="1"/>
  <c r="AD2295" i="1"/>
  <c r="AE2295" i="1"/>
  <c r="AF2295" i="1"/>
  <c r="AG2295" i="1"/>
  <c r="AH2295" i="1"/>
  <c r="F2285" i="1"/>
  <c r="J2285" i="1"/>
  <c r="K2285" i="1" s="1"/>
  <c r="AI2285" i="1" s="1"/>
  <c r="AC2285" i="1"/>
  <c r="AD2285" i="1"/>
  <c r="AE2285" i="1"/>
  <c r="AF2285" i="1"/>
  <c r="AG2285" i="1"/>
  <c r="AH2285" i="1"/>
  <c r="F2286" i="1"/>
  <c r="J2286" i="1"/>
  <c r="K2286" i="1" s="1"/>
  <c r="AI2286" i="1" s="1"/>
  <c r="AC2286" i="1"/>
  <c r="AD2286" i="1"/>
  <c r="AE2286" i="1"/>
  <c r="AF2286" i="1"/>
  <c r="AG2286" i="1"/>
  <c r="AH2286" i="1"/>
  <c r="F2287" i="1"/>
  <c r="J2287" i="1"/>
  <c r="K2287" i="1" s="1"/>
  <c r="AI2287" i="1" s="1"/>
  <c r="AC2287" i="1"/>
  <c r="AD2287" i="1"/>
  <c r="AE2287" i="1"/>
  <c r="AF2287" i="1"/>
  <c r="AG2287" i="1"/>
  <c r="AH2287" i="1"/>
  <c r="F2288" i="1"/>
  <c r="J2288" i="1"/>
  <c r="K2288" i="1" s="1"/>
  <c r="AI2288" i="1" s="1"/>
  <c r="AC2288" i="1"/>
  <c r="AD2288" i="1"/>
  <c r="AE2288" i="1"/>
  <c r="AF2288" i="1"/>
  <c r="AG2288" i="1"/>
  <c r="AH2288" i="1"/>
  <c r="F2289" i="1"/>
  <c r="J2289" i="1"/>
  <c r="K2289" i="1" s="1"/>
  <c r="AI2289" i="1" s="1"/>
  <c r="AC2289" i="1"/>
  <c r="AD2289" i="1"/>
  <c r="AE2289" i="1"/>
  <c r="AF2289" i="1"/>
  <c r="AG2289" i="1"/>
  <c r="AH2289" i="1"/>
  <c r="F2290" i="1"/>
  <c r="J2290" i="1"/>
  <c r="K2290" i="1" s="1"/>
  <c r="AI2290" i="1" s="1"/>
  <c r="AC2290" i="1"/>
  <c r="AD2290" i="1"/>
  <c r="AE2290" i="1"/>
  <c r="AF2290" i="1"/>
  <c r="AG2290" i="1"/>
  <c r="AH2290" i="1"/>
  <c r="F2292" i="1"/>
  <c r="J2292" i="1"/>
  <c r="K2292" i="1" s="1"/>
  <c r="AI2292" i="1" s="1"/>
  <c r="AC2292" i="1"/>
  <c r="AD2292" i="1"/>
  <c r="AE2292" i="1"/>
  <c r="AF2292" i="1"/>
  <c r="AG2292" i="1"/>
  <c r="AH2292" i="1"/>
  <c r="F2279" i="1"/>
  <c r="J2279" i="1"/>
  <c r="K2279" i="1" s="1"/>
  <c r="AI2279" i="1" s="1"/>
  <c r="AC2279" i="1"/>
  <c r="AD2279" i="1"/>
  <c r="AE2279" i="1"/>
  <c r="AF2279" i="1"/>
  <c r="AG2279" i="1"/>
  <c r="AH2279" i="1"/>
  <c r="F2280" i="1"/>
  <c r="J2280" i="1"/>
  <c r="K2280" i="1" s="1"/>
  <c r="AI2280" i="1" s="1"/>
  <c r="AC2280" i="1"/>
  <c r="AD2280" i="1"/>
  <c r="AE2280" i="1"/>
  <c r="AF2280" i="1"/>
  <c r="AG2280" i="1"/>
  <c r="AH2280" i="1"/>
  <c r="F2281" i="1"/>
  <c r="J2281" i="1"/>
  <c r="K2281" i="1" s="1"/>
  <c r="AI2281" i="1" s="1"/>
  <c r="AC2281" i="1"/>
  <c r="AD2281" i="1"/>
  <c r="AE2281" i="1"/>
  <c r="AF2281" i="1"/>
  <c r="AG2281" i="1"/>
  <c r="AH2281" i="1"/>
  <c r="F2282" i="1"/>
  <c r="J2282" i="1"/>
  <c r="K2282" i="1" s="1"/>
  <c r="AI2282" i="1" s="1"/>
  <c r="AC2282" i="1"/>
  <c r="AD2282" i="1"/>
  <c r="AE2282" i="1"/>
  <c r="AF2282" i="1"/>
  <c r="AG2282" i="1"/>
  <c r="AH2282" i="1"/>
  <c r="F2283" i="1"/>
  <c r="J2283" i="1"/>
  <c r="K2283" i="1" s="1"/>
  <c r="AI2283" i="1" s="1"/>
  <c r="AC2283" i="1"/>
  <c r="AD2283" i="1"/>
  <c r="AE2283" i="1"/>
  <c r="AF2283" i="1"/>
  <c r="AG2283" i="1"/>
  <c r="AH2283" i="1"/>
  <c r="F2276" i="1"/>
  <c r="J2276" i="1"/>
  <c r="K2276" i="1" s="1"/>
  <c r="AI2276" i="1" s="1"/>
  <c r="AC2276" i="1"/>
  <c r="AD2276" i="1"/>
  <c r="AE2276" i="1"/>
  <c r="AF2276" i="1"/>
  <c r="AG2276" i="1"/>
  <c r="AH2276" i="1"/>
  <c r="F2269" i="1"/>
  <c r="J2269" i="1"/>
  <c r="K2269" i="1" s="1"/>
  <c r="AI2269" i="1" s="1"/>
  <c r="AC2269" i="1"/>
  <c r="AD2269" i="1"/>
  <c r="AE2269" i="1"/>
  <c r="AF2269" i="1"/>
  <c r="AG2269" i="1"/>
  <c r="AH2269" i="1"/>
  <c r="F2271" i="1"/>
  <c r="J2271" i="1"/>
  <c r="K2271" i="1" s="1"/>
  <c r="AI2271" i="1" s="1"/>
  <c r="AC2271" i="1"/>
  <c r="AD2271" i="1"/>
  <c r="AE2271" i="1"/>
  <c r="AF2271" i="1"/>
  <c r="AG2271" i="1"/>
  <c r="AH2271" i="1"/>
  <c r="F2272" i="1"/>
  <c r="J2272" i="1"/>
  <c r="K2272" i="1" s="1"/>
  <c r="AI2272" i="1" s="1"/>
  <c r="AC2272" i="1"/>
  <c r="AD2272" i="1"/>
  <c r="AE2272" i="1"/>
  <c r="AF2272" i="1"/>
  <c r="AG2272" i="1"/>
  <c r="AH2272" i="1"/>
  <c r="F2273" i="1"/>
  <c r="J2273" i="1"/>
  <c r="K2273" i="1" s="1"/>
  <c r="AI2273" i="1" s="1"/>
  <c r="AC2273" i="1"/>
  <c r="AD2273" i="1"/>
  <c r="AE2273" i="1"/>
  <c r="AF2273" i="1"/>
  <c r="AG2273" i="1"/>
  <c r="AH2273" i="1"/>
  <c r="F2274" i="1"/>
  <c r="J2274" i="1"/>
  <c r="K2274" i="1" s="1"/>
  <c r="AI2274" i="1" s="1"/>
  <c r="AC2274" i="1"/>
  <c r="AD2274" i="1"/>
  <c r="AE2274" i="1"/>
  <c r="AF2274" i="1"/>
  <c r="AG2274" i="1"/>
  <c r="AH2274" i="1"/>
  <c r="F2267" i="1"/>
  <c r="J2267" i="1"/>
  <c r="K2267" i="1" s="1"/>
  <c r="AI2267" i="1" s="1"/>
  <c r="AC2267" i="1"/>
  <c r="AD2267" i="1"/>
  <c r="AE2267" i="1"/>
  <c r="AF2267" i="1"/>
  <c r="AG2267" i="1"/>
  <c r="AH2267" i="1"/>
  <c r="F2260" i="1"/>
  <c r="J2260" i="1"/>
  <c r="K2260" i="1" s="1"/>
  <c r="AI2260" i="1" s="1"/>
  <c r="AC2260" i="1"/>
  <c r="AD2260" i="1"/>
  <c r="AE2260" i="1"/>
  <c r="AF2260" i="1"/>
  <c r="AG2260" i="1"/>
  <c r="AH2260" i="1"/>
  <c r="F2261" i="1"/>
  <c r="J2261" i="1"/>
  <c r="K2261" i="1" s="1"/>
  <c r="AI2261" i="1" s="1"/>
  <c r="AC2261" i="1"/>
  <c r="AD2261" i="1"/>
  <c r="AE2261" i="1"/>
  <c r="AF2261" i="1"/>
  <c r="AG2261" i="1"/>
  <c r="AH2261" i="1"/>
  <c r="F2262" i="1"/>
  <c r="J2262" i="1"/>
  <c r="AC2262" i="1"/>
  <c r="AD2262" i="1"/>
  <c r="AE2262" i="1"/>
  <c r="AF2262" i="1"/>
  <c r="AG2262" i="1"/>
  <c r="AH2262" i="1"/>
  <c r="F2263" i="1"/>
  <c r="J2263" i="1"/>
  <c r="AC2263" i="1"/>
  <c r="AD2263" i="1"/>
  <c r="AE2263" i="1"/>
  <c r="AF2263" i="1"/>
  <c r="AG2263" i="1"/>
  <c r="AH2263" i="1"/>
  <c r="F2253" i="1"/>
  <c r="J2253" i="1"/>
  <c r="K2253" i="1" s="1"/>
  <c r="AI2253" i="1" s="1"/>
  <c r="AC2253" i="1"/>
  <c r="AD2253" i="1"/>
  <c r="AE2253" i="1"/>
  <c r="AF2253" i="1"/>
  <c r="AG2253" i="1"/>
  <c r="AH2253" i="1"/>
  <c r="F2255" i="1"/>
  <c r="J2255" i="1"/>
  <c r="K2255" i="1" s="1"/>
  <c r="AI2255" i="1" s="1"/>
  <c r="AC2255" i="1"/>
  <c r="AD2255" i="1"/>
  <c r="AE2255" i="1"/>
  <c r="AF2255" i="1"/>
  <c r="AG2255" i="1"/>
  <c r="AH2255" i="1"/>
  <c r="F2256" i="1"/>
  <c r="J2256" i="1"/>
  <c r="K2256" i="1" s="1"/>
  <c r="AI2256" i="1" s="1"/>
  <c r="AC2256" i="1"/>
  <c r="AD2256" i="1"/>
  <c r="AE2256" i="1"/>
  <c r="AF2256" i="1"/>
  <c r="AG2256" i="1"/>
  <c r="AH2256" i="1"/>
  <c r="F2257" i="1"/>
  <c r="J2257" i="1"/>
  <c r="K2257" i="1" s="1"/>
  <c r="AI2257" i="1" s="1"/>
  <c r="AC2257" i="1"/>
  <c r="AD2257" i="1"/>
  <c r="AE2257" i="1"/>
  <c r="AF2257" i="1"/>
  <c r="AG2257" i="1"/>
  <c r="AH2257" i="1"/>
  <c r="F2249" i="1"/>
  <c r="J2249" i="1"/>
  <c r="K2249" i="1" s="1"/>
  <c r="AI2249" i="1" s="1"/>
  <c r="AC2249" i="1"/>
  <c r="AD2249" i="1"/>
  <c r="AE2249" i="1"/>
  <c r="AF2249" i="1"/>
  <c r="AG2249" i="1"/>
  <c r="AH2249" i="1"/>
  <c r="F2250" i="1"/>
  <c r="J2250" i="1"/>
  <c r="K2250" i="1" s="1"/>
  <c r="AI2250" i="1" s="1"/>
  <c r="AC2250" i="1"/>
  <c r="AD2250" i="1"/>
  <c r="AE2250" i="1"/>
  <c r="AF2250" i="1"/>
  <c r="AG2250" i="1"/>
  <c r="AH2250" i="1"/>
  <c r="F2251" i="1"/>
  <c r="J2251" i="1"/>
  <c r="K2251" i="1" s="1"/>
  <c r="AI2251" i="1" s="1"/>
  <c r="AC2251" i="1"/>
  <c r="AD2251" i="1"/>
  <c r="AE2251" i="1"/>
  <c r="AF2251" i="1"/>
  <c r="AG2251" i="1"/>
  <c r="AH2251" i="1"/>
  <c r="F2246" i="1"/>
  <c r="J2246" i="1"/>
  <c r="AC2246" i="1"/>
  <c r="AD2246" i="1"/>
  <c r="AE2246" i="1"/>
  <c r="AF2246" i="1"/>
  <c r="AG2246" i="1"/>
  <c r="AH2246" i="1"/>
  <c r="F2243" i="1"/>
  <c r="J2243" i="1"/>
  <c r="K2243" i="1" s="1"/>
  <c r="AI2243" i="1" s="1"/>
  <c r="AC2243" i="1"/>
  <c r="AD2243" i="1"/>
  <c r="AE2243" i="1"/>
  <c r="AF2243" i="1"/>
  <c r="AG2243" i="1"/>
  <c r="AH2243" i="1"/>
  <c r="F2241" i="1"/>
  <c r="J2241" i="1"/>
  <c r="K2241" i="1" s="1"/>
  <c r="AI2241" i="1" s="1"/>
  <c r="AC2241" i="1"/>
  <c r="AD2241" i="1"/>
  <c r="AE2241" i="1"/>
  <c r="AF2241" i="1"/>
  <c r="AG2241" i="1"/>
  <c r="AH2241" i="1"/>
  <c r="F2237" i="1"/>
  <c r="J2237" i="1"/>
  <c r="K2237" i="1" s="1"/>
  <c r="AI2237" i="1" s="1"/>
  <c r="AC2237" i="1"/>
  <c r="AD2237" i="1"/>
  <c r="AE2237" i="1"/>
  <c r="AF2237" i="1"/>
  <c r="AG2237" i="1"/>
  <c r="AH2237" i="1"/>
  <c r="F2233" i="1"/>
  <c r="J2233" i="1"/>
  <c r="K2233" i="1" s="1"/>
  <c r="AI2233" i="1" s="1"/>
  <c r="AC2233" i="1"/>
  <c r="AD2233" i="1"/>
  <c r="AE2233" i="1"/>
  <c r="AF2233" i="1"/>
  <c r="AG2233" i="1"/>
  <c r="AH2233" i="1"/>
  <c r="F2234" i="1"/>
  <c r="J2234" i="1"/>
  <c r="K2234" i="1" s="1"/>
  <c r="AI2234" i="1" s="1"/>
  <c r="AC2234" i="1"/>
  <c r="AD2234" i="1"/>
  <c r="AE2234" i="1"/>
  <c r="AF2234" i="1"/>
  <c r="AG2234" i="1"/>
  <c r="AH2234" i="1"/>
  <c r="F2235" i="1"/>
  <c r="J2235" i="1"/>
  <c r="K2235" i="1" s="1"/>
  <c r="AI2235" i="1" s="1"/>
  <c r="AC2235" i="1"/>
  <c r="AD2235" i="1"/>
  <c r="AE2235" i="1"/>
  <c r="AF2235" i="1"/>
  <c r="AG2235" i="1"/>
  <c r="AH2235" i="1"/>
  <c r="F2231" i="1"/>
  <c r="J2231" i="1"/>
  <c r="K2231" i="1" s="1"/>
  <c r="AI2231" i="1" s="1"/>
  <c r="AC2231" i="1"/>
  <c r="AD2231" i="1"/>
  <c r="AE2231" i="1"/>
  <c r="AF2231" i="1"/>
  <c r="AG2231" i="1"/>
  <c r="AH2231" i="1"/>
  <c r="F2227" i="1"/>
  <c r="J2227" i="1"/>
  <c r="K2227" i="1" s="1"/>
  <c r="AI2227" i="1" s="1"/>
  <c r="AC2227" i="1"/>
  <c r="AD2227" i="1"/>
  <c r="AE2227" i="1"/>
  <c r="AF2227" i="1"/>
  <c r="AG2227" i="1"/>
  <c r="AH2227" i="1"/>
  <c r="F2228" i="1"/>
  <c r="J2228" i="1"/>
  <c r="K2228" i="1" s="1"/>
  <c r="AI2228" i="1" s="1"/>
  <c r="AC2228" i="1"/>
  <c r="AD2228" i="1"/>
  <c r="AE2228" i="1"/>
  <c r="AF2228" i="1"/>
  <c r="AG2228" i="1"/>
  <c r="AH2228" i="1"/>
  <c r="F2224" i="1"/>
  <c r="J2224" i="1"/>
  <c r="K2224" i="1" s="1"/>
  <c r="AI2224" i="1" s="1"/>
  <c r="AC2224" i="1"/>
  <c r="AD2224" i="1"/>
  <c r="AE2224" i="1"/>
  <c r="AF2224" i="1"/>
  <c r="AG2224" i="1"/>
  <c r="AH2224" i="1"/>
  <c r="F2217" i="1"/>
  <c r="J2217" i="1"/>
  <c r="AC2217" i="1"/>
  <c r="AD2217" i="1"/>
  <c r="AE2217" i="1"/>
  <c r="AF2217" i="1"/>
  <c r="AG2217" i="1"/>
  <c r="AH2217" i="1"/>
  <c r="F2218" i="1"/>
  <c r="J2218" i="1"/>
  <c r="K2218" i="1" s="1"/>
  <c r="AI2218" i="1" s="1"/>
  <c r="AC2218" i="1"/>
  <c r="AD2218" i="1"/>
  <c r="AE2218" i="1"/>
  <c r="AF2218" i="1"/>
  <c r="AG2218" i="1"/>
  <c r="AH2218" i="1"/>
  <c r="F2219" i="1"/>
  <c r="J2219" i="1"/>
  <c r="K2219" i="1" s="1"/>
  <c r="AI2219" i="1" s="1"/>
  <c r="AC2219" i="1"/>
  <c r="AD2219" i="1"/>
  <c r="AE2219" i="1"/>
  <c r="AF2219" i="1"/>
  <c r="AG2219" i="1"/>
  <c r="AH2219" i="1"/>
  <c r="F2212" i="1"/>
  <c r="J2212" i="1"/>
  <c r="AC2212" i="1"/>
  <c r="AD2212" i="1"/>
  <c r="AE2212" i="1"/>
  <c r="AF2212" i="1"/>
  <c r="AG2212" i="1"/>
  <c r="AH2212" i="1"/>
  <c r="F2213" i="1"/>
  <c r="J2213" i="1"/>
  <c r="K2213" i="1" s="1"/>
  <c r="AI2213" i="1" s="1"/>
  <c r="AC2213" i="1"/>
  <c r="AD2213" i="1"/>
  <c r="AE2213" i="1"/>
  <c r="AF2213" i="1"/>
  <c r="AG2213" i="1"/>
  <c r="AH2213" i="1"/>
  <c r="F2209" i="1"/>
  <c r="J2209" i="1"/>
  <c r="K2209" i="1" s="1"/>
  <c r="AI2209" i="1" s="1"/>
  <c r="AC2209" i="1"/>
  <c r="AD2209" i="1"/>
  <c r="AE2209" i="1"/>
  <c r="AF2209" i="1"/>
  <c r="AG2209" i="1"/>
  <c r="AH2209" i="1"/>
  <c r="F2207" i="1"/>
  <c r="J2207" i="1"/>
  <c r="K2207" i="1" s="1"/>
  <c r="AI2207" i="1" s="1"/>
  <c r="AC2207" i="1"/>
  <c r="AD2207" i="1"/>
  <c r="AE2207" i="1"/>
  <c r="AF2207" i="1"/>
  <c r="AG2207" i="1"/>
  <c r="AH2207" i="1"/>
  <c r="F2202" i="1"/>
  <c r="J2202" i="1"/>
  <c r="K2202" i="1" s="1"/>
  <c r="AI2202" i="1" s="1"/>
  <c r="AC2202" i="1"/>
  <c r="AD2202" i="1"/>
  <c r="AE2202" i="1"/>
  <c r="AF2202" i="1"/>
  <c r="AG2202" i="1"/>
  <c r="AH2202" i="1"/>
  <c r="F2203" i="1"/>
  <c r="J2203" i="1"/>
  <c r="K2203" i="1" s="1"/>
  <c r="AI2203" i="1" s="1"/>
  <c r="AC2203" i="1"/>
  <c r="AD2203" i="1"/>
  <c r="AE2203" i="1"/>
  <c r="AF2203" i="1"/>
  <c r="AG2203" i="1"/>
  <c r="AH2203" i="1"/>
  <c r="F2204" i="1"/>
  <c r="J2204" i="1"/>
  <c r="AC2204" i="1"/>
  <c r="AD2204" i="1"/>
  <c r="AE2204" i="1"/>
  <c r="AF2204" i="1"/>
  <c r="AG2204" i="1"/>
  <c r="AH2204" i="1"/>
  <c r="F2205" i="1"/>
  <c r="J2205" i="1"/>
  <c r="K2205" i="1" s="1"/>
  <c r="AI2205" i="1" s="1"/>
  <c r="AC2205" i="1"/>
  <c r="AD2205" i="1"/>
  <c r="AE2205" i="1"/>
  <c r="AF2205" i="1"/>
  <c r="AG2205" i="1"/>
  <c r="AH2205" i="1"/>
  <c r="F2199" i="1"/>
  <c r="J2199" i="1"/>
  <c r="K2199" i="1" s="1"/>
  <c r="AI2199" i="1" s="1"/>
  <c r="AC2199" i="1"/>
  <c r="AD2199" i="1"/>
  <c r="AE2199" i="1"/>
  <c r="AF2199" i="1"/>
  <c r="AG2199" i="1"/>
  <c r="AH2199" i="1"/>
  <c r="F2197" i="1"/>
  <c r="J2197" i="1"/>
  <c r="K2197" i="1" s="1"/>
  <c r="AI2197" i="1" s="1"/>
  <c r="AC2197" i="1"/>
  <c r="AD2197" i="1"/>
  <c r="AE2197" i="1"/>
  <c r="AF2197" i="1"/>
  <c r="AG2197" i="1"/>
  <c r="AH2197" i="1"/>
  <c r="F2189" i="1"/>
  <c r="J2189" i="1"/>
  <c r="K2189" i="1" s="1"/>
  <c r="AI2189" i="1" s="1"/>
  <c r="AC2189" i="1"/>
  <c r="AD2189" i="1"/>
  <c r="AE2189" i="1"/>
  <c r="AF2189" i="1"/>
  <c r="AG2189" i="1"/>
  <c r="AH2189" i="1"/>
  <c r="F2190" i="1"/>
  <c r="J2190" i="1"/>
  <c r="K2190" i="1" s="1"/>
  <c r="AI2190" i="1" s="1"/>
  <c r="AC2190" i="1"/>
  <c r="AD2190" i="1"/>
  <c r="AE2190" i="1"/>
  <c r="AF2190" i="1"/>
  <c r="AG2190" i="1"/>
  <c r="AH2190" i="1"/>
  <c r="F2186" i="1"/>
  <c r="J2186" i="1"/>
  <c r="K2186" i="1" s="1"/>
  <c r="AI2186" i="1" s="1"/>
  <c r="AC2186" i="1"/>
  <c r="AD2186" i="1"/>
  <c r="AE2186" i="1"/>
  <c r="AF2186" i="1"/>
  <c r="AG2186" i="1"/>
  <c r="AH2186" i="1"/>
  <c r="F2182" i="1"/>
  <c r="J2182" i="1"/>
  <c r="K2182" i="1" s="1"/>
  <c r="AI2182" i="1" s="1"/>
  <c r="AC2182" i="1"/>
  <c r="AD2182" i="1"/>
  <c r="AE2182" i="1"/>
  <c r="AF2182" i="1"/>
  <c r="AG2182" i="1"/>
  <c r="AH2182" i="1"/>
  <c r="F2183" i="1"/>
  <c r="J2183" i="1"/>
  <c r="K2183" i="1" s="1"/>
  <c r="AI2183" i="1" s="1"/>
  <c r="AC2183" i="1"/>
  <c r="AD2183" i="1"/>
  <c r="AE2183" i="1"/>
  <c r="AF2183" i="1"/>
  <c r="AG2183" i="1"/>
  <c r="AH2183" i="1"/>
  <c r="F2169" i="1"/>
  <c r="J2169" i="1"/>
  <c r="K2169" i="1" s="1"/>
  <c r="AI2169" i="1" s="1"/>
  <c r="AC2169" i="1"/>
  <c r="AD2169" i="1"/>
  <c r="AE2169" i="1"/>
  <c r="AF2169" i="1"/>
  <c r="AG2169" i="1"/>
  <c r="AH2169" i="1"/>
  <c r="F2171" i="1"/>
  <c r="J2171" i="1"/>
  <c r="K2171" i="1" s="1"/>
  <c r="AI2171" i="1" s="1"/>
  <c r="AC2171" i="1"/>
  <c r="AD2171" i="1"/>
  <c r="AE2171" i="1"/>
  <c r="AF2171" i="1"/>
  <c r="AG2171" i="1"/>
  <c r="AH2171" i="1"/>
  <c r="F2163" i="1"/>
  <c r="J2163" i="1"/>
  <c r="K2163" i="1" s="1"/>
  <c r="AI2163" i="1" s="1"/>
  <c r="AC2163" i="1"/>
  <c r="AD2163" i="1"/>
  <c r="AE2163" i="1"/>
  <c r="AF2163" i="1"/>
  <c r="AG2163" i="1"/>
  <c r="AH2163" i="1"/>
  <c r="F2164" i="1"/>
  <c r="J2164" i="1"/>
  <c r="K2164" i="1" s="1"/>
  <c r="AI2164" i="1" s="1"/>
  <c r="AC2164" i="1"/>
  <c r="AD2164" i="1"/>
  <c r="AE2164" i="1"/>
  <c r="AF2164" i="1"/>
  <c r="AG2164" i="1"/>
  <c r="AH2164" i="1"/>
  <c r="F2165" i="1"/>
  <c r="J2165" i="1"/>
  <c r="K2165" i="1" s="1"/>
  <c r="AI2165" i="1" s="1"/>
  <c r="AC2165" i="1"/>
  <c r="AD2165" i="1"/>
  <c r="AE2165" i="1"/>
  <c r="AF2165" i="1"/>
  <c r="AG2165" i="1"/>
  <c r="AH2165" i="1"/>
  <c r="F2167" i="1"/>
  <c r="J2167" i="1"/>
  <c r="K2167" i="1" s="1"/>
  <c r="AI2167" i="1" s="1"/>
  <c r="AC2167" i="1"/>
  <c r="AD2167" i="1"/>
  <c r="AE2167" i="1"/>
  <c r="AF2167" i="1"/>
  <c r="AG2167" i="1"/>
  <c r="AH2167" i="1"/>
  <c r="F2160" i="1"/>
  <c r="J2160" i="1"/>
  <c r="K2160" i="1" s="1"/>
  <c r="AI2160" i="1" s="1"/>
  <c r="AC2160" i="1"/>
  <c r="AD2160" i="1"/>
  <c r="AE2160" i="1"/>
  <c r="AF2160" i="1"/>
  <c r="AG2160" i="1"/>
  <c r="AH2160" i="1"/>
  <c r="F2152" i="1"/>
  <c r="J2152" i="1"/>
  <c r="K2152" i="1" s="1"/>
  <c r="AI2152" i="1" s="1"/>
  <c r="AC2152" i="1"/>
  <c r="AD2152" i="1"/>
  <c r="AE2152" i="1"/>
  <c r="AF2152" i="1"/>
  <c r="AG2152" i="1"/>
  <c r="AH2152" i="1"/>
  <c r="F2153" i="1"/>
  <c r="J2153" i="1"/>
  <c r="K2153" i="1" s="1"/>
  <c r="AI2153" i="1" s="1"/>
  <c r="AC2153" i="1"/>
  <c r="AD2153" i="1"/>
  <c r="AE2153" i="1"/>
  <c r="AF2153" i="1"/>
  <c r="AG2153" i="1"/>
  <c r="AH2153" i="1"/>
  <c r="F2154" i="1"/>
  <c r="J2154" i="1"/>
  <c r="K2154" i="1" s="1"/>
  <c r="AI2154" i="1" s="1"/>
  <c r="AC2154" i="1"/>
  <c r="AD2154" i="1"/>
  <c r="AE2154" i="1"/>
  <c r="AF2154" i="1"/>
  <c r="AG2154" i="1"/>
  <c r="AH2154" i="1"/>
  <c r="F2155" i="1"/>
  <c r="J2155" i="1"/>
  <c r="K2155" i="1" s="1"/>
  <c r="AI2155" i="1" s="1"/>
  <c r="AC2155" i="1"/>
  <c r="AD2155" i="1"/>
  <c r="AE2155" i="1"/>
  <c r="AF2155" i="1"/>
  <c r="AG2155" i="1"/>
  <c r="AH2155" i="1"/>
  <c r="F2148" i="1"/>
  <c r="J2148" i="1"/>
  <c r="K2148" i="1" s="1"/>
  <c r="AI2148" i="1" s="1"/>
  <c r="AC2148" i="1"/>
  <c r="AD2148" i="1"/>
  <c r="AE2148" i="1"/>
  <c r="AF2148" i="1"/>
  <c r="AG2148" i="1"/>
  <c r="AH2148" i="1"/>
  <c r="F2149" i="1"/>
  <c r="J2149" i="1"/>
  <c r="K2149" i="1" s="1"/>
  <c r="AI2149" i="1" s="1"/>
  <c r="AC2149" i="1"/>
  <c r="AD2149" i="1"/>
  <c r="AE2149" i="1"/>
  <c r="AF2149" i="1"/>
  <c r="AG2149" i="1"/>
  <c r="AH2149" i="1"/>
  <c r="F2142" i="1"/>
  <c r="J2142" i="1"/>
  <c r="K2142" i="1" s="1"/>
  <c r="AI2142" i="1" s="1"/>
  <c r="AC2142" i="1"/>
  <c r="AD2142" i="1"/>
  <c r="AE2142" i="1"/>
  <c r="AF2142" i="1"/>
  <c r="AG2142" i="1"/>
  <c r="AH2142" i="1"/>
  <c r="F2138" i="1"/>
  <c r="J2138" i="1"/>
  <c r="K2138" i="1" s="1"/>
  <c r="AI2138" i="1" s="1"/>
  <c r="AC2138" i="1"/>
  <c r="AD2138" i="1"/>
  <c r="AE2138" i="1"/>
  <c r="AF2138" i="1"/>
  <c r="AG2138" i="1"/>
  <c r="AH2138" i="1"/>
  <c r="F2139" i="1"/>
  <c r="J2139" i="1"/>
  <c r="K2139" i="1" s="1"/>
  <c r="AI2139" i="1" s="1"/>
  <c r="AC2139" i="1"/>
  <c r="AD2139" i="1"/>
  <c r="AE2139" i="1"/>
  <c r="AF2139" i="1"/>
  <c r="AG2139" i="1"/>
  <c r="AH2139" i="1"/>
  <c r="F2130" i="1"/>
  <c r="J2130" i="1"/>
  <c r="K2130" i="1" s="1"/>
  <c r="AI2130" i="1" s="1"/>
  <c r="AC2130" i="1"/>
  <c r="AD2130" i="1"/>
  <c r="AE2130" i="1"/>
  <c r="AF2130" i="1"/>
  <c r="AG2130" i="1"/>
  <c r="AH2130" i="1"/>
  <c r="F2131" i="1"/>
  <c r="J2131" i="1"/>
  <c r="K2131" i="1" s="1"/>
  <c r="AI2131" i="1" s="1"/>
  <c r="AC2131" i="1"/>
  <c r="AD2131" i="1"/>
  <c r="AE2131" i="1"/>
  <c r="AF2131" i="1"/>
  <c r="AG2131" i="1"/>
  <c r="AH2131" i="1"/>
  <c r="F2132" i="1"/>
  <c r="J2132" i="1"/>
  <c r="K2132" i="1" s="1"/>
  <c r="AI2132" i="1" s="1"/>
  <c r="AC2132" i="1"/>
  <c r="AD2132" i="1"/>
  <c r="AE2132" i="1"/>
  <c r="AF2132" i="1"/>
  <c r="AG2132" i="1"/>
  <c r="AH2132" i="1"/>
  <c r="F2133" i="1"/>
  <c r="J2133" i="1"/>
  <c r="AC2133" i="1"/>
  <c r="AD2133" i="1"/>
  <c r="AE2133" i="1"/>
  <c r="AF2133" i="1"/>
  <c r="AG2133" i="1"/>
  <c r="AH2133" i="1"/>
  <c r="F2134" i="1"/>
  <c r="J2134" i="1"/>
  <c r="AC2134" i="1"/>
  <c r="AD2134" i="1"/>
  <c r="AE2134" i="1"/>
  <c r="AF2134" i="1"/>
  <c r="AG2134" i="1"/>
  <c r="AH2134" i="1"/>
  <c r="F2135" i="1"/>
  <c r="J2135" i="1"/>
  <c r="K2135" i="1" s="1"/>
  <c r="AI2135" i="1" s="1"/>
  <c r="AC2135" i="1"/>
  <c r="AD2135" i="1"/>
  <c r="AE2135" i="1"/>
  <c r="AF2135" i="1"/>
  <c r="AG2135" i="1"/>
  <c r="AH2135" i="1"/>
  <c r="F2123" i="1"/>
  <c r="J2123" i="1"/>
  <c r="K2123" i="1" s="1"/>
  <c r="AI2123" i="1" s="1"/>
  <c r="AC2123" i="1"/>
  <c r="AD2123" i="1"/>
  <c r="AE2123" i="1"/>
  <c r="AF2123" i="1"/>
  <c r="AG2123" i="1"/>
  <c r="AH2123" i="1"/>
  <c r="F2119" i="1"/>
  <c r="J2119" i="1"/>
  <c r="K2119" i="1" s="1"/>
  <c r="AI2119" i="1" s="1"/>
  <c r="AC2119" i="1"/>
  <c r="AD2119" i="1"/>
  <c r="AE2119" i="1"/>
  <c r="AF2119" i="1"/>
  <c r="AG2119" i="1"/>
  <c r="AH2119" i="1"/>
  <c r="F2120" i="1"/>
  <c r="J2120" i="1"/>
  <c r="K2120" i="1" s="1"/>
  <c r="AI2120" i="1" s="1"/>
  <c r="AC2120" i="1"/>
  <c r="AD2120" i="1"/>
  <c r="AE2120" i="1"/>
  <c r="AF2120" i="1"/>
  <c r="AG2120" i="1"/>
  <c r="AH2120" i="1"/>
  <c r="F2121" i="1"/>
  <c r="J2121" i="1"/>
  <c r="K2121" i="1" s="1"/>
  <c r="AI2121" i="1" s="1"/>
  <c r="AC2121" i="1"/>
  <c r="AD2121" i="1"/>
  <c r="AE2121" i="1"/>
  <c r="AF2121" i="1"/>
  <c r="AG2121" i="1"/>
  <c r="AH2121" i="1"/>
  <c r="F2110" i="1"/>
  <c r="J2110" i="1"/>
  <c r="AC2110" i="1"/>
  <c r="AD2110" i="1"/>
  <c r="AE2110" i="1"/>
  <c r="AF2110" i="1"/>
  <c r="AG2110" i="1"/>
  <c r="AH2110" i="1"/>
  <c r="F2111" i="1"/>
  <c r="J2111" i="1"/>
  <c r="K2111" i="1" s="1"/>
  <c r="AI2111" i="1" s="1"/>
  <c r="AC2111" i="1"/>
  <c r="AD2111" i="1"/>
  <c r="AE2111" i="1"/>
  <c r="AF2111" i="1"/>
  <c r="AG2111" i="1"/>
  <c r="AH2111" i="1"/>
  <c r="F2112" i="1"/>
  <c r="J2112" i="1"/>
  <c r="AC2112" i="1"/>
  <c r="AD2112" i="1"/>
  <c r="AE2112" i="1"/>
  <c r="AF2112" i="1"/>
  <c r="AG2112" i="1"/>
  <c r="AH2112" i="1"/>
  <c r="F2114" i="1"/>
  <c r="J2114" i="1"/>
  <c r="K2114" i="1" s="1"/>
  <c r="AI2114" i="1" s="1"/>
  <c r="AC2114" i="1"/>
  <c r="AD2114" i="1"/>
  <c r="AE2114" i="1"/>
  <c r="AF2114" i="1"/>
  <c r="AG2114" i="1"/>
  <c r="AH2114" i="1"/>
  <c r="F2115" i="1"/>
  <c r="J2115" i="1"/>
  <c r="AC2115" i="1"/>
  <c r="AD2115" i="1"/>
  <c r="AE2115" i="1"/>
  <c r="AF2115" i="1"/>
  <c r="AG2115" i="1"/>
  <c r="AH2115" i="1"/>
  <c r="F2116" i="1"/>
  <c r="J2116" i="1"/>
  <c r="K2116" i="1" s="1"/>
  <c r="AI2116" i="1" s="1"/>
  <c r="AC2116" i="1"/>
  <c r="AD2116" i="1"/>
  <c r="AE2116" i="1"/>
  <c r="AF2116" i="1"/>
  <c r="AG2116" i="1"/>
  <c r="AH2116" i="1"/>
  <c r="F2106" i="1"/>
  <c r="J2106" i="1"/>
  <c r="K2106" i="1" s="1"/>
  <c r="AI2106" i="1" s="1"/>
  <c r="AC2106" i="1"/>
  <c r="AD2106" i="1"/>
  <c r="AE2106" i="1"/>
  <c r="AF2106" i="1"/>
  <c r="AG2106" i="1"/>
  <c r="AH2106" i="1"/>
  <c r="F2107" i="1"/>
  <c r="J2107" i="1"/>
  <c r="K2107" i="1" s="1"/>
  <c r="AI2107" i="1" s="1"/>
  <c r="AC2107" i="1"/>
  <c r="AD2107" i="1"/>
  <c r="AE2107" i="1"/>
  <c r="AF2107" i="1"/>
  <c r="AG2107" i="1"/>
  <c r="AH2107" i="1"/>
  <c r="F2108" i="1"/>
  <c r="J2108" i="1"/>
  <c r="K2108" i="1" s="1"/>
  <c r="AI2108" i="1" s="1"/>
  <c r="AC2108" i="1"/>
  <c r="AD2108" i="1"/>
  <c r="AE2108" i="1"/>
  <c r="AF2108" i="1"/>
  <c r="AG2108" i="1"/>
  <c r="AH2108" i="1"/>
  <c r="F2104" i="1"/>
  <c r="J2104" i="1"/>
  <c r="K2104" i="1" s="1"/>
  <c r="AI2104" i="1" s="1"/>
  <c r="AC2104" i="1"/>
  <c r="AD2104" i="1"/>
  <c r="AE2104" i="1"/>
  <c r="AF2104" i="1"/>
  <c r="AG2104" i="1"/>
  <c r="AH2104" i="1"/>
  <c r="F2099" i="1"/>
  <c r="J2099" i="1"/>
  <c r="AC2099" i="1"/>
  <c r="AD2099" i="1"/>
  <c r="AE2099" i="1"/>
  <c r="AF2099" i="1"/>
  <c r="AG2099" i="1"/>
  <c r="AH2099" i="1"/>
  <c r="F2094" i="1"/>
  <c r="J2094" i="1"/>
  <c r="K2094" i="1" s="1"/>
  <c r="AI2094" i="1" s="1"/>
  <c r="AC2094" i="1"/>
  <c r="AD2094" i="1"/>
  <c r="AE2094" i="1"/>
  <c r="AF2094" i="1"/>
  <c r="AG2094" i="1"/>
  <c r="AH2094" i="1"/>
  <c r="F2095" i="1"/>
  <c r="J2095" i="1"/>
  <c r="K2095" i="1" s="1"/>
  <c r="AI2095" i="1" s="1"/>
  <c r="AC2095" i="1"/>
  <c r="AD2095" i="1"/>
  <c r="AE2095" i="1"/>
  <c r="AF2095" i="1"/>
  <c r="AG2095" i="1"/>
  <c r="AH2095" i="1"/>
  <c r="F2096" i="1"/>
  <c r="J2096" i="1"/>
  <c r="K2096" i="1" s="1"/>
  <c r="AI2096" i="1" s="1"/>
  <c r="AC2096" i="1"/>
  <c r="AD2096" i="1"/>
  <c r="AE2096" i="1"/>
  <c r="AF2096" i="1"/>
  <c r="AG2096" i="1"/>
  <c r="AH2096" i="1"/>
  <c r="F2097" i="1"/>
  <c r="J2097" i="1"/>
  <c r="K2097" i="1" s="1"/>
  <c r="AI2097" i="1" s="1"/>
  <c r="AC2097" i="1"/>
  <c r="AD2097" i="1"/>
  <c r="AE2097" i="1"/>
  <c r="AF2097" i="1"/>
  <c r="AG2097" i="1"/>
  <c r="AH2097" i="1"/>
  <c r="F2086" i="1"/>
  <c r="J2086" i="1"/>
  <c r="AC2086" i="1"/>
  <c r="AD2086" i="1"/>
  <c r="AE2086" i="1"/>
  <c r="AF2086" i="1"/>
  <c r="AG2086" i="1"/>
  <c r="AH2086" i="1"/>
  <c r="F2082" i="1"/>
  <c r="J2082" i="1"/>
  <c r="K2082" i="1" s="1"/>
  <c r="AI2082" i="1" s="1"/>
  <c r="AC2082" i="1"/>
  <c r="AD2082" i="1"/>
  <c r="AE2082" i="1"/>
  <c r="AF2082" i="1"/>
  <c r="AG2082" i="1"/>
  <c r="AH2082" i="1"/>
  <c r="F2083" i="1"/>
  <c r="J2083" i="1"/>
  <c r="K2083" i="1" s="1"/>
  <c r="AI2083" i="1" s="1"/>
  <c r="AC2083" i="1"/>
  <c r="AD2083" i="1"/>
  <c r="AE2083" i="1"/>
  <c r="AF2083" i="1"/>
  <c r="AG2083" i="1"/>
  <c r="AH2083" i="1"/>
  <c r="F2077" i="1"/>
  <c r="J2077" i="1"/>
  <c r="AC2077" i="1"/>
  <c r="AD2077" i="1"/>
  <c r="AE2077" i="1"/>
  <c r="AF2077" i="1"/>
  <c r="AG2077" i="1"/>
  <c r="AH2077" i="1"/>
  <c r="F2078" i="1"/>
  <c r="J2078" i="1"/>
  <c r="K2078" i="1" s="1"/>
  <c r="AI2078" i="1" s="1"/>
  <c r="AC2078" i="1"/>
  <c r="AD2078" i="1"/>
  <c r="AE2078" i="1"/>
  <c r="AF2078" i="1"/>
  <c r="AG2078" i="1"/>
  <c r="AH2078" i="1"/>
  <c r="F2074" i="1"/>
  <c r="J2074" i="1"/>
  <c r="K2074" i="1" s="1"/>
  <c r="AI2074" i="1" s="1"/>
  <c r="AC2074" i="1"/>
  <c r="AD2074" i="1"/>
  <c r="AE2074" i="1"/>
  <c r="AF2074" i="1"/>
  <c r="AG2074" i="1"/>
  <c r="AH2074" i="1"/>
  <c r="F2075" i="1"/>
  <c r="J2075" i="1"/>
  <c r="K2075" i="1" s="1"/>
  <c r="AI2075" i="1" s="1"/>
  <c r="AC2075" i="1"/>
  <c r="AD2075" i="1"/>
  <c r="AE2075" i="1"/>
  <c r="AF2075" i="1"/>
  <c r="AG2075" i="1"/>
  <c r="AH2075" i="1"/>
  <c r="F2069" i="1"/>
  <c r="J2069" i="1"/>
  <c r="K2069" i="1" s="1"/>
  <c r="AI2069" i="1" s="1"/>
  <c r="AC2069" i="1"/>
  <c r="AD2069" i="1"/>
  <c r="AE2069" i="1"/>
  <c r="AF2069" i="1"/>
  <c r="AG2069" i="1"/>
  <c r="AH2069" i="1"/>
  <c r="F2066" i="1"/>
  <c r="J2066" i="1"/>
  <c r="K2066" i="1" s="1"/>
  <c r="AI2066" i="1" s="1"/>
  <c r="AC2066" i="1"/>
  <c r="AD2066" i="1"/>
  <c r="AE2066" i="1"/>
  <c r="AF2066" i="1"/>
  <c r="AG2066" i="1"/>
  <c r="AH2066" i="1"/>
  <c r="F2067" i="1"/>
  <c r="J2067" i="1"/>
  <c r="K2067" i="1" s="1"/>
  <c r="AI2067" i="1" s="1"/>
  <c r="AC2067" i="1"/>
  <c r="AD2067" i="1"/>
  <c r="AE2067" i="1"/>
  <c r="AF2067" i="1"/>
  <c r="AG2067" i="1"/>
  <c r="AH2067" i="1"/>
  <c r="F2058" i="1"/>
  <c r="J2058" i="1"/>
  <c r="K2058" i="1" s="1"/>
  <c r="AI2058" i="1" s="1"/>
  <c r="AC2058" i="1"/>
  <c r="AD2058" i="1"/>
  <c r="AE2058" i="1"/>
  <c r="AF2058" i="1"/>
  <c r="AG2058" i="1"/>
  <c r="AH2058" i="1"/>
  <c r="F2056" i="1"/>
  <c r="J2056" i="1"/>
  <c r="AC2056" i="1"/>
  <c r="AD2056" i="1"/>
  <c r="AE2056" i="1"/>
  <c r="AF2056" i="1"/>
  <c r="AG2056" i="1"/>
  <c r="AH2056" i="1"/>
  <c r="F2051" i="1"/>
  <c r="J2051" i="1"/>
  <c r="K2051" i="1" s="1"/>
  <c r="AI2051" i="1" s="1"/>
  <c r="AC2051" i="1"/>
  <c r="AD2051" i="1"/>
  <c r="AE2051" i="1"/>
  <c r="AF2051" i="1"/>
  <c r="AG2051" i="1"/>
  <c r="AH2051" i="1"/>
  <c r="F2052" i="1"/>
  <c r="J2052" i="1"/>
  <c r="K2052" i="1" s="1"/>
  <c r="AI2052" i="1" s="1"/>
  <c r="AC2052" i="1"/>
  <c r="AD2052" i="1"/>
  <c r="AE2052" i="1"/>
  <c r="AF2052" i="1"/>
  <c r="AG2052" i="1"/>
  <c r="AH2052" i="1"/>
  <c r="F2054" i="1"/>
  <c r="J2054" i="1"/>
  <c r="K2054" i="1" s="1"/>
  <c r="AI2054" i="1" s="1"/>
  <c r="AC2054" i="1"/>
  <c r="AD2054" i="1"/>
  <c r="AE2054" i="1"/>
  <c r="AF2054" i="1"/>
  <c r="AG2054" i="1"/>
  <c r="AH2054" i="1"/>
  <c r="F2047" i="1"/>
  <c r="J2047" i="1"/>
  <c r="K2047" i="1" s="1"/>
  <c r="AI2047" i="1" s="1"/>
  <c r="AC2047" i="1"/>
  <c r="AD2047" i="1"/>
  <c r="AE2047" i="1"/>
  <c r="AF2047" i="1"/>
  <c r="AG2047" i="1"/>
  <c r="AH2047" i="1"/>
  <c r="F2045" i="1"/>
  <c r="J2045" i="1"/>
  <c r="K2045" i="1" s="1"/>
  <c r="AI2045" i="1" s="1"/>
  <c r="AC2045" i="1"/>
  <c r="AD2045" i="1"/>
  <c r="AE2045" i="1"/>
  <c r="AF2045" i="1"/>
  <c r="AG2045" i="1"/>
  <c r="AH2045" i="1"/>
  <c r="F2042" i="1"/>
  <c r="J2042" i="1"/>
  <c r="K2042" i="1" s="1"/>
  <c r="AI2042" i="1" s="1"/>
  <c r="AC2042" i="1"/>
  <c r="AD2042" i="1"/>
  <c r="AE2042" i="1"/>
  <c r="AF2042" i="1"/>
  <c r="AG2042" i="1"/>
  <c r="AH2042" i="1"/>
  <c r="F2043" i="1"/>
  <c r="J2043" i="1"/>
  <c r="K2043" i="1" s="1"/>
  <c r="AI2043" i="1" s="1"/>
  <c r="AC2043" i="1"/>
  <c r="AD2043" i="1"/>
  <c r="AE2043" i="1"/>
  <c r="AF2043" i="1"/>
  <c r="AG2043" i="1"/>
  <c r="AH2043" i="1"/>
  <c r="F2036" i="1"/>
  <c r="J2036" i="1"/>
  <c r="AC2036" i="1"/>
  <c r="AD2036" i="1"/>
  <c r="AE2036" i="1"/>
  <c r="AF2036" i="1"/>
  <c r="AG2036" i="1"/>
  <c r="AH2036" i="1"/>
  <c r="F2038" i="1"/>
  <c r="J2038" i="1"/>
  <c r="K2038" i="1" s="1"/>
  <c r="AI2038" i="1" s="1"/>
  <c r="AC2038" i="1"/>
  <c r="AD2038" i="1"/>
  <c r="AE2038" i="1"/>
  <c r="AF2038" i="1"/>
  <c r="AG2038" i="1"/>
  <c r="AH2038" i="1"/>
  <c r="F2039" i="1"/>
  <c r="J2039" i="1"/>
  <c r="K2039" i="1" s="1"/>
  <c r="AI2039" i="1" s="1"/>
  <c r="AC2039" i="1"/>
  <c r="AD2039" i="1"/>
  <c r="AE2039" i="1"/>
  <c r="AF2039" i="1"/>
  <c r="AG2039" i="1"/>
  <c r="AH2039" i="1"/>
  <c r="F2040" i="1"/>
  <c r="J2040" i="1"/>
  <c r="K2040" i="1" s="1"/>
  <c r="AI2040" i="1" s="1"/>
  <c r="AC2040" i="1"/>
  <c r="AD2040" i="1"/>
  <c r="AE2040" i="1"/>
  <c r="AF2040" i="1"/>
  <c r="AG2040" i="1"/>
  <c r="AH2040" i="1"/>
  <c r="F2033" i="1"/>
  <c r="J2033" i="1"/>
  <c r="AC2033" i="1"/>
  <c r="AD2033" i="1"/>
  <c r="AE2033" i="1"/>
  <c r="AF2033" i="1"/>
  <c r="AG2033" i="1"/>
  <c r="AH2033" i="1"/>
  <c r="F2034" i="1"/>
  <c r="J2034" i="1"/>
  <c r="AC2034" i="1"/>
  <c r="AD2034" i="1"/>
  <c r="AE2034" i="1"/>
  <c r="AF2034" i="1"/>
  <c r="AG2034" i="1"/>
  <c r="AH2034" i="1"/>
  <c r="F2030" i="1"/>
  <c r="J2030" i="1"/>
  <c r="K2030" i="1" s="1"/>
  <c r="AI2030" i="1" s="1"/>
  <c r="AC2030" i="1"/>
  <c r="AD2030" i="1"/>
  <c r="AE2030" i="1"/>
  <c r="AF2030" i="1"/>
  <c r="AG2030" i="1"/>
  <c r="AH2030" i="1"/>
  <c r="F2031" i="1"/>
  <c r="J2031" i="1"/>
  <c r="K2031" i="1" s="1"/>
  <c r="AI2031" i="1" s="1"/>
  <c r="AC2031" i="1"/>
  <c r="AD2031" i="1"/>
  <c r="AE2031" i="1"/>
  <c r="AF2031" i="1"/>
  <c r="AG2031" i="1"/>
  <c r="AH2031" i="1"/>
  <c r="F2028" i="1"/>
  <c r="J2028" i="1"/>
  <c r="AC2028" i="1"/>
  <c r="AD2028" i="1"/>
  <c r="AE2028" i="1"/>
  <c r="AF2028" i="1"/>
  <c r="AG2028" i="1"/>
  <c r="AH2028" i="1"/>
  <c r="F2022" i="1"/>
  <c r="J2022" i="1"/>
  <c r="K2022" i="1" s="1"/>
  <c r="AI2022" i="1" s="1"/>
  <c r="AC2022" i="1"/>
  <c r="AD2022" i="1"/>
  <c r="AE2022" i="1"/>
  <c r="AF2022" i="1"/>
  <c r="AG2022" i="1"/>
  <c r="AH2022" i="1"/>
  <c r="F2019" i="1"/>
  <c r="J2019" i="1"/>
  <c r="K2019" i="1" s="1"/>
  <c r="AI2019" i="1" s="1"/>
  <c r="AC2019" i="1"/>
  <c r="AD2019" i="1"/>
  <c r="AE2019" i="1"/>
  <c r="AF2019" i="1"/>
  <c r="AG2019" i="1"/>
  <c r="AH2019" i="1"/>
  <c r="F2011" i="1"/>
  <c r="J2011" i="1"/>
  <c r="K2011" i="1" s="1"/>
  <c r="AI2011" i="1" s="1"/>
  <c r="AC2011" i="1"/>
  <c r="AD2011" i="1"/>
  <c r="AE2011" i="1"/>
  <c r="AF2011" i="1"/>
  <c r="AG2011" i="1"/>
  <c r="AH2011" i="1"/>
  <c r="F2012" i="1"/>
  <c r="J2012" i="1"/>
  <c r="AC2012" i="1"/>
  <c r="AD2012" i="1"/>
  <c r="AE2012" i="1"/>
  <c r="AF2012" i="1"/>
  <c r="AG2012" i="1"/>
  <c r="AH2012" i="1"/>
  <c r="F2009" i="1"/>
  <c r="J2009" i="1"/>
  <c r="K2009" i="1" s="1"/>
  <c r="AI2009" i="1" s="1"/>
  <c r="AC2009" i="1"/>
  <c r="AD2009" i="1"/>
  <c r="AE2009" i="1"/>
  <c r="AF2009" i="1"/>
  <c r="AG2009" i="1"/>
  <c r="AH2009" i="1"/>
  <c r="F2001" i="1"/>
  <c r="J2001" i="1"/>
  <c r="K2001" i="1" s="1"/>
  <c r="AI2001" i="1" s="1"/>
  <c r="AC2001" i="1"/>
  <c r="AD2001" i="1"/>
  <c r="AE2001" i="1"/>
  <c r="AF2001" i="1"/>
  <c r="AG2001" i="1"/>
  <c r="AH2001" i="1"/>
  <c r="F2002" i="1"/>
  <c r="J2002" i="1"/>
  <c r="K2002" i="1" s="1"/>
  <c r="AI2002" i="1" s="1"/>
  <c r="AC2002" i="1"/>
  <c r="AD2002" i="1"/>
  <c r="AE2002" i="1"/>
  <c r="AF2002" i="1"/>
  <c r="AG2002" i="1"/>
  <c r="AH2002" i="1"/>
  <c r="F2003" i="1"/>
  <c r="J2003" i="1"/>
  <c r="AC2003" i="1"/>
  <c r="AD2003" i="1"/>
  <c r="AE2003" i="1"/>
  <c r="AF2003" i="1"/>
  <c r="AG2003" i="1"/>
  <c r="AH2003" i="1"/>
  <c r="F2005" i="1"/>
  <c r="J2005" i="1"/>
  <c r="K2005" i="1" s="1"/>
  <c r="AI2005" i="1" s="1"/>
  <c r="AC2005" i="1"/>
  <c r="AD2005" i="1"/>
  <c r="AE2005" i="1"/>
  <c r="AF2005" i="1"/>
  <c r="AG2005" i="1"/>
  <c r="AH2005" i="1"/>
  <c r="F2006" i="1"/>
  <c r="J2006" i="1"/>
  <c r="K2006" i="1" s="1"/>
  <c r="AI2006" i="1" s="1"/>
  <c r="AC2006" i="1"/>
  <c r="AD2006" i="1"/>
  <c r="AE2006" i="1"/>
  <c r="AF2006" i="1"/>
  <c r="AG2006" i="1"/>
  <c r="AH2006" i="1"/>
  <c r="F2007" i="1"/>
  <c r="J2007" i="1"/>
  <c r="K2007" i="1" s="1"/>
  <c r="AI2007" i="1" s="1"/>
  <c r="AC2007" i="1"/>
  <c r="AD2007" i="1"/>
  <c r="AE2007" i="1"/>
  <c r="AF2007" i="1"/>
  <c r="AG2007" i="1"/>
  <c r="AH2007" i="1"/>
  <c r="F1998" i="1"/>
  <c r="J1998" i="1"/>
  <c r="AC1998" i="1"/>
  <c r="AD1998" i="1"/>
  <c r="AE1998" i="1"/>
  <c r="AF1998" i="1"/>
  <c r="AG1998" i="1"/>
  <c r="AH1998" i="1"/>
  <c r="F1995" i="1"/>
  <c r="J1995" i="1"/>
  <c r="K1995" i="1" s="1"/>
  <c r="AI1995" i="1" s="1"/>
  <c r="AC1995" i="1"/>
  <c r="AD1995" i="1"/>
  <c r="AE1995" i="1"/>
  <c r="AF1995" i="1"/>
  <c r="AG1995" i="1"/>
  <c r="AH1995" i="1"/>
  <c r="F1992" i="1"/>
  <c r="J1992" i="1"/>
  <c r="K1992" i="1" s="1"/>
  <c r="AI1992" i="1" s="1"/>
  <c r="AC1992" i="1"/>
  <c r="AD1992" i="1"/>
  <c r="AE1992" i="1"/>
  <c r="AF1992" i="1"/>
  <c r="AG1992" i="1"/>
  <c r="AH1992" i="1"/>
  <c r="F1989" i="1"/>
  <c r="J1989" i="1"/>
  <c r="K1989" i="1" s="1"/>
  <c r="AI1989" i="1" s="1"/>
  <c r="AC1989" i="1"/>
  <c r="AD1989" i="1"/>
  <c r="AE1989" i="1"/>
  <c r="AF1989" i="1"/>
  <c r="AG1989" i="1"/>
  <c r="AH1989" i="1"/>
  <c r="F1985" i="1"/>
  <c r="J1985" i="1"/>
  <c r="AC1985" i="1"/>
  <c r="AD1985" i="1"/>
  <c r="AE1985" i="1"/>
  <c r="AF1985" i="1"/>
  <c r="AG1985" i="1"/>
  <c r="AH1985" i="1"/>
  <c r="F1981" i="1"/>
  <c r="J1981" i="1"/>
  <c r="AC1981" i="1"/>
  <c r="AD1981" i="1"/>
  <c r="AE1981" i="1"/>
  <c r="AF1981" i="1"/>
  <c r="AG1981" i="1"/>
  <c r="AH1981" i="1"/>
  <c r="F1978" i="1"/>
  <c r="J1978" i="1"/>
  <c r="K1978" i="1" s="1"/>
  <c r="AI1978" i="1" s="1"/>
  <c r="AC1978" i="1"/>
  <c r="AD1978" i="1"/>
  <c r="AE1978" i="1"/>
  <c r="AF1978" i="1"/>
  <c r="AG1978" i="1"/>
  <c r="AH1978" i="1"/>
  <c r="F1979" i="1"/>
  <c r="J1979" i="1"/>
  <c r="K1979" i="1" s="1"/>
  <c r="AI1979" i="1" s="1"/>
  <c r="AC1979" i="1"/>
  <c r="AD1979" i="1"/>
  <c r="AE1979" i="1"/>
  <c r="AF1979" i="1"/>
  <c r="AG1979" i="1"/>
  <c r="AH1979" i="1"/>
  <c r="F1974" i="1"/>
  <c r="J1974" i="1"/>
  <c r="AC1974" i="1"/>
  <c r="AD1974" i="1"/>
  <c r="AE1974" i="1"/>
  <c r="AF1974" i="1"/>
  <c r="AG1974" i="1"/>
  <c r="AH1974" i="1"/>
  <c r="F1975" i="1"/>
  <c r="J1975" i="1"/>
  <c r="K1975" i="1" s="1"/>
  <c r="AI1975" i="1" s="1"/>
  <c r="AC1975" i="1"/>
  <c r="AD1975" i="1"/>
  <c r="AE1975" i="1"/>
  <c r="AF1975" i="1"/>
  <c r="AG1975" i="1"/>
  <c r="AH1975" i="1"/>
  <c r="F1976" i="1"/>
  <c r="J1976" i="1"/>
  <c r="K1976" i="1" s="1"/>
  <c r="AI1976" i="1" s="1"/>
  <c r="AC1976" i="1"/>
  <c r="AD1976" i="1"/>
  <c r="AE1976" i="1"/>
  <c r="AF1976" i="1"/>
  <c r="AG1976" i="1"/>
  <c r="AH1976" i="1"/>
  <c r="F1972" i="1"/>
  <c r="J1972" i="1"/>
  <c r="AC1972" i="1"/>
  <c r="AD1972" i="1"/>
  <c r="AE1972" i="1"/>
  <c r="AF1972" i="1"/>
  <c r="AG1972" i="1"/>
  <c r="AH1972" i="1"/>
  <c r="F1968" i="1"/>
  <c r="J1968" i="1"/>
  <c r="AC1968" i="1"/>
  <c r="AD1968" i="1"/>
  <c r="AE1968" i="1"/>
  <c r="AF1968" i="1"/>
  <c r="AG1968" i="1"/>
  <c r="AH1968" i="1"/>
  <c r="F1969" i="1"/>
  <c r="J1969" i="1"/>
  <c r="AC1969" i="1"/>
  <c r="AD1969" i="1"/>
  <c r="AE1969" i="1"/>
  <c r="AF1969" i="1"/>
  <c r="AG1969" i="1"/>
  <c r="AH1969" i="1"/>
  <c r="F1970" i="1"/>
  <c r="J1970" i="1"/>
  <c r="K1970" i="1" s="1"/>
  <c r="AI1970" i="1" s="1"/>
  <c r="AC1970" i="1"/>
  <c r="AD1970" i="1"/>
  <c r="AE1970" i="1"/>
  <c r="AF1970" i="1"/>
  <c r="AG1970" i="1"/>
  <c r="AH1970" i="1"/>
  <c r="F1966" i="1"/>
  <c r="J1966" i="1"/>
  <c r="K1966" i="1" s="1"/>
  <c r="AI1966" i="1" s="1"/>
  <c r="AC1966" i="1"/>
  <c r="AD1966" i="1"/>
  <c r="AE1966" i="1"/>
  <c r="AF1966" i="1"/>
  <c r="AG1966" i="1"/>
  <c r="AH1966" i="1"/>
  <c r="F1961" i="1"/>
  <c r="J1961" i="1"/>
  <c r="AC1961" i="1"/>
  <c r="AD1961" i="1"/>
  <c r="AE1961" i="1"/>
  <c r="AF1961" i="1"/>
  <c r="AG1961" i="1"/>
  <c r="AH1961" i="1"/>
  <c r="F1962" i="1"/>
  <c r="J1962" i="1"/>
  <c r="K1962" i="1" s="1"/>
  <c r="AI1962" i="1" s="1"/>
  <c r="AC1962" i="1"/>
  <c r="AD1962" i="1"/>
  <c r="AE1962" i="1"/>
  <c r="AF1962" i="1"/>
  <c r="AG1962" i="1"/>
  <c r="AH1962" i="1"/>
  <c r="F1963" i="1"/>
  <c r="J1963" i="1"/>
  <c r="K1963" i="1" s="1"/>
  <c r="AI1963" i="1" s="1"/>
  <c r="AC1963" i="1"/>
  <c r="AD1963" i="1"/>
  <c r="AE1963" i="1"/>
  <c r="AF1963" i="1"/>
  <c r="AG1963" i="1"/>
  <c r="AH1963" i="1"/>
  <c r="F1959" i="1"/>
  <c r="J1959" i="1"/>
  <c r="K1959" i="1" s="1"/>
  <c r="AI1959" i="1" s="1"/>
  <c r="AC1959" i="1"/>
  <c r="AD1959" i="1"/>
  <c r="AE1959" i="1"/>
  <c r="AF1959" i="1"/>
  <c r="AG1959" i="1"/>
  <c r="AH1959" i="1"/>
  <c r="F1947" i="1"/>
  <c r="J1947" i="1"/>
  <c r="AC1947" i="1"/>
  <c r="AD1947" i="1"/>
  <c r="AE1947" i="1"/>
  <c r="AF1947" i="1"/>
  <c r="AG1947" i="1"/>
  <c r="AH1947" i="1"/>
  <c r="F1948" i="1"/>
  <c r="J1948" i="1"/>
  <c r="K1948" i="1" s="1"/>
  <c r="AI1948" i="1" s="1"/>
  <c r="AC1948" i="1"/>
  <c r="AD1948" i="1"/>
  <c r="AE1948" i="1"/>
  <c r="AF1948" i="1"/>
  <c r="AG1948" i="1"/>
  <c r="AH1948" i="1"/>
  <c r="F1949" i="1"/>
  <c r="J1949" i="1"/>
  <c r="K1949" i="1" s="1"/>
  <c r="AI1949" i="1" s="1"/>
  <c r="AC1949" i="1"/>
  <c r="AD1949" i="1"/>
  <c r="AE1949" i="1"/>
  <c r="AF1949" i="1"/>
  <c r="AG1949" i="1"/>
  <c r="AH1949" i="1"/>
  <c r="F1953" i="1"/>
  <c r="J1953" i="1"/>
  <c r="K1953" i="1" s="1"/>
  <c r="AI1953" i="1" s="1"/>
  <c r="AC1953" i="1"/>
  <c r="AD1953" i="1"/>
  <c r="AE1953" i="1"/>
  <c r="AF1953" i="1"/>
  <c r="AG1953" i="1"/>
  <c r="AH1953" i="1"/>
  <c r="F1954" i="1"/>
  <c r="J1954" i="1"/>
  <c r="AC1954" i="1"/>
  <c r="AD1954" i="1"/>
  <c r="AE1954" i="1"/>
  <c r="AF1954" i="1"/>
  <c r="AG1954" i="1"/>
  <c r="AH1954" i="1"/>
  <c r="F1955" i="1"/>
  <c r="J1955" i="1"/>
  <c r="K1955" i="1" s="1"/>
  <c r="AI1955" i="1" s="1"/>
  <c r="AC1955" i="1"/>
  <c r="AD1955" i="1"/>
  <c r="AE1955" i="1"/>
  <c r="AF1955" i="1"/>
  <c r="AG1955" i="1"/>
  <c r="AH1955" i="1"/>
  <c r="F1956" i="1"/>
  <c r="J1956" i="1"/>
  <c r="K1956" i="1" s="1"/>
  <c r="AI1956" i="1" s="1"/>
  <c r="AC1956" i="1"/>
  <c r="AD1956" i="1"/>
  <c r="AE1956" i="1"/>
  <c r="AF1956" i="1"/>
  <c r="AG1956" i="1"/>
  <c r="AH1956" i="1"/>
  <c r="F1937" i="1"/>
  <c r="J1937" i="1"/>
  <c r="K1937" i="1" s="1"/>
  <c r="AI1937" i="1" s="1"/>
  <c r="AC1937" i="1"/>
  <c r="AD1937" i="1"/>
  <c r="AE1937" i="1"/>
  <c r="AF1937" i="1"/>
  <c r="AG1937" i="1"/>
  <c r="AH1937" i="1"/>
  <c r="F1938" i="1"/>
  <c r="J1938" i="1"/>
  <c r="AC1938" i="1"/>
  <c r="AD1938" i="1"/>
  <c r="AE1938" i="1"/>
  <c r="AF1938" i="1"/>
  <c r="AG1938" i="1"/>
  <c r="AH1938" i="1"/>
  <c r="F1940" i="1"/>
  <c r="J1940" i="1"/>
  <c r="K1940" i="1" s="1"/>
  <c r="AI1940" i="1" s="1"/>
  <c r="AC1940" i="1"/>
  <c r="AD1940" i="1"/>
  <c r="AE1940" i="1"/>
  <c r="AF1940" i="1"/>
  <c r="AG1940" i="1"/>
  <c r="AH1940" i="1"/>
  <c r="F1941" i="1"/>
  <c r="J1941" i="1"/>
  <c r="K1941" i="1" s="1"/>
  <c r="AI1941" i="1" s="1"/>
  <c r="AC1941" i="1"/>
  <c r="AD1941" i="1"/>
  <c r="AE1941" i="1"/>
  <c r="AF1941" i="1"/>
  <c r="AG1941" i="1"/>
  <c r="AH1941" i="1"/>
  <c r="F1944" i="1"/>
  <c r="J1944" i="1"/>
  <c r="K1944" i="1" s="1"/>
  <c r="AI1944" i="1" s="1"/>
  <c r="AC1944" i="1"/>
  <c r="AD1944" i="1"/>
  <c r="AE1944" i="1"/>
  <c r="AF1944" i="1"/>
  <c r="AG1944" i="1"/>
  <c r="AH1944" i="1"/>
  <c r="F1925" i="1"/>
  <c r="J1925" i="1"/>
  <c r="AC1925" i="1"/>
  <c r="AD1925" i="1"/>
  <c r="AE1925" i="1"/>
  <c r="AF1925" i="1"/>
  <c r="AG1925" i="1"/>
  <c r="AH1925" i="1"/>
  <c r="F1926" i="1"/>
  <c r="J1926" i="1"/>
  <c r="AC1926" i="1"/>
  <c r="AD1926" i="1"/>
  <c r="AE1926" i="1"/>
  <c r="AF1926" i="1"/>
  <c r="AG1926" i="1"/>
  <c r="AH1926" i="1"/>
  <c r="F1927" i="1"/>
  <c r="J1927" i="1"/>
  <c r="K1927" i="1" s="1"/>
  <c r="AI1927" i="1" s="1"/>
  <c r="AC1927" i="1"/>
  <c r="AD1927" i="1"/>
  <c r="AE1927" i="1"/>
  <c r="AF1927" i="1"/>
  <c r="AG1927" i="1"/>
  <c r="AH1927" i="1"/>
  <c r="F1930" i="1"/>
  <c r="J1930" i="1"/>
  <c r="K1930" i="1" s="1"/>
  <c r="AI1930" i="1" s="1"/>
  <c r="AC1930" i="1"/>
  <c r="AD1930" i="1"/>
  <c r="AE1930" i="1"/>
  <c r="AF1930" i="1"/>
  <c r="AG1930" i="1"/>
  <c r="AH1930" i="1"/>
  <c r="F1932" i="1"/>
  <c r="J1932" i="1"/>
  <c r="AC1932" i="1"/>
  <c r="AD1932" i="1"/>
  <c r="AE1932" i="1"/>
  <c r="AF1932" i="1"/>
  <c r="AG1932" i="1"/>
  <c r="AH1932" i="1"/>
  <c r="F1933" i="1"/>
  <c r="J1933" i="1"/>
  <c r="K1933" i="1" s="1"/>
  <c r="AI1933" i="1" s="1"/>
  <c r="AC1933" i="1"/>
  <c r="AD1933" i="1"/>
  <c r="AE1933" i="1"/>
  <c r="AF1933" i="1"/>
  <c r="AG1933" i="1"/>
  <c r="AH1933" i="1"/>
  <c r="F1934" i="1"/>
  <c r="J1934" i="1"/>
  <c r="K1934" i="1" s="1"/>
  <c r="AI1934" i="1" s="1"/>
  <c r="AC1934" i="1"/>
  <c r="AD1934" i="1"/>
  <c r="AE1934" i="1"/>
  <c r="AF1934" i="1"/>
  <c r="AG1934" i="1"/>
  <c r="AH1934" i="1"/>
  <c r="F1916" i="1"/>
  <c r="J1916" i="1"/>
  <c r="K1916" i="1" s="1"/>
  <c r="AI1916" i="1" s="1"/>
  <c r="AC1916" i="1"/>
  <c r="AD1916" i="1"/>
  <c r="AE1916" i="1"/>
  <c r="AF1916" i="1"/>
  <c r="AG1916" i="1"/>
  <c r="AH1916" i="1"/>
  <c r="F1906" i="1"/>
  <c r="J1906" i="1"/>
  <c r="AC1906" i="1"/>
  <c r="AD1906" i="1"/>
  <c r="AE1906" i="1"/>
  <c r="AF1906" i="1"/>
  <c r="AG1906" i="1"/>
  <c r="AH1906" i="1"/>
  <c r="F1907" i="1"/>
  <c r="J1907" i="1"/>
  <c r="K1907" i="1" s="1"/>
  <c r="AI1907" i="1" s="1"/>
  <c r="AC1907" i="1"/>
  <c r="AD1907" i="1"/>
  <c r="AE1907" i="1"/>
  <c r="AF1907" i="1"/>
  <c r="AG1907" i="1"/>
  <c r="AH1907" i="1"/>
  <c r="F1908" i="1"/>
  <c r="J1908" i="1"/>
  <c r="K1908" i="1" s="1"/>
  <c r="AI1908" i="1" s="1"/>
  <c r="AC1908" i="1"/>
  <c r="AD1908" i="1"/>
  <c r="AE1908" i="1"/>
  <c r="AF1908" i="1"/>
  <c r="AG1908" i="1"/>
  <c r="AH1908" i="1"/>
  <c r="F1909" i="1"/>
  <c r="J1909" i="1"/>
  <c r="K1909" i="1" s="1"/>
  <c r="AI1909" i="1" s="1"/>
  <c r="AC1909" i="1"/>
  <c r="AD1909" i="1"/>
  <c r="AE1909" i="1"/>
  <c r="AF1909" i="1"/>
  <c r="AG1909" i="1"/>
  <c r="AH1909" i="1"/>
  <c r="F1910" i="1"/>
  <c r="J1910" i="1"/>
  <c r="AC1910" i="1"/>
  <c r="AD1910" i="1"/>
  <c r="AE1910" i="1"/>
  <c r="AF1910" i="1"/>
  <c r="AG1910" i="1"/>
  <c r="AH1910" i="1"/>
  <c r="F1911" i="1"/>
  <c r="J1911" i="1"/>
  <c r="K1911" i="1" s="1"/>
  <c r="AI1911" i="1" s="1"/>
  <c r="AC1911" i="1"/>
  <c r="AD1911" i="1"/>
  <c r="AE1911" i="1"/>
  <c r="AF1911" i="1"/>
  <c r="AG1911" i="1"/>
  <c r="AH1911" i="1"/>
  <c r="F1913" i="1"/>
  <c r="J1913" i="1"/>
  <c r="K1913" i="1" s="1"/>
  <c r="AI1913" i="1" s="1"/>
  <c r="AC1913" i="1"/>
  <c r="AD1913" i="1"/>
  <c r="AE1913" i="1"/>
  <c r="AF1913" i="1"/>
  <c r="AG1913" i="1"/>
  <c r="AH1913" i="1"/>
  <c r="F1894" i="1"/>
  <c r="J1894" i="1"/>
  <c r="K1894" i="1" s="1"/>
  <c r="AI1894" i="1" s="1"/>
  <c r="AC1894" i="1"/>
  <c r="AD1894" i="1"/>
  <c r="AE1894" i="1"/>
  <c r="AF1894" i="1"/>
  <c r="AG1894" i="1"/>
  <c r="AH1894" i="1"/>
  <c r="F1896" i="1"/>
  <c r="J1896" i="1"/>
  <c r="AC1896" i="1"/>
  <c r="AD1896" i="1"/>
  <c r="AE1896" i="1"/>
  <c r="AF1896" i="1"/>
  <c r="AG1896" i="1"/>
  <c r="AH1896" i="1"/>
  <c r="F1897" i="1"/>
  <c r="J1897" i="1"/>
  <c r="K1897" i="1" s="1"/>
  <c r="AI1897" i="1" s="1"/>
  <c r="AC1897" i="1"/>
  <c r="AD1897" i="1"/>
  <c r="AE1897" i="1"/>
  <c r="AF1897" i="1"/>
  <c r="AG1897" i="1"/>
  <c r="AH1897" i="1"/>
  <c r="F1898" i="1"/>
  <c r="J1898" i="1"/>
  <c r="K1898" i="1" s="1"/>
  <c r="AI1898" i="1" s="1"/>
  <c r="AC1898" i="1"/>
  <c r="AD1898" i="1"/>
  <c r="AE1898" i="1"/>
  <c r="AF1898" i="1"/>
  <c r="AG1898" i="1"/>
  <c r="AH1898" i="1"/>
  <c r="F1899" i="1"/>
  <c r="J1899" i="1"/>
  <c r="K1899" i="1" s="1"/>
  <c r="AI1899" i="1" s="1"/>
  <c r="AC1899" i="1"/>
  <c r="AD1899" i="1"/>
  <c r="AE1899" i="1"/>
  <c r="AF1899" i="1"/>
  <c r="AG1899" i="1"/>
  <c r="AH1899" i="1"/>
  <c r="F1900" i="1"/>
  <c r="J1900" i="1"/>
  <c r="AC1900" i="1"/>
  <c r="AD1900" i="1"/>
  <c r="AE1900" i="1"/>
  <c r="AF1900" i="1"/>
  <c r="AG1900" i="1"/>
  <c r="AH1900" i="1"/>
  <c r="F1901" i="1"/>
  <c r="J1901" i="1"/>
  <c r="K1901" i="1" s="1"/>
  <c r="AI1901" i="1" s="1"/>
  <c r="AC1901" i="1"/>
  <c r="AD1901" i="1"/>
  <c r="AE1901" i="1"/>
  <c r="AF1901" i="1"/>
  <c r="AG1901" i="1"/>
  <c r="AH1901" i="1"/>
  <c r="F1903" i="1"/>
  <c r="J1903" i="1"/>
  <c r="AC1903" i="1"/>
  <c r="AD1903" i="1"/>
  <c r="AE1903" i="1"/>
  <c r="AF1903" i="1"/>
  <c r="AG1903" i="1"/>
  <c r="AH1903" i="1"/>
  <c r="F1888" i="1"/>
  <c r="J1888" i="1"/>
  <c r="K1888" i="1" s="1"/>
  <c r="AI1888" i="1" s="1"/>
  <c r="AC1888" i="1"/>
  <c r="AD1888" i="1"/>
  <c r="AE1888" i="1"/>
  <c r="AF1888" i="1"/>
  <c r="AG1888" i="1"/>
  <c r="AH1888" i="1"/>
  <c r="F1882" i="1"/>
  <c r="J1882" i="1"/>
  <c r="AC1882" i="1"/>
  <c r="AD1882" i="1"/>
  <c r="AE1882" i="1"/>
  <c r="AF1882" i="1"/>
  <c r="AG1882" i="1"/>
  <c r="AH1882" i="1"/>
  <c r="F1883" i="1"/>
  <c r="J1883" i="1"/>
  <c r="K1883" i="1" s="1"/>
  <c r="AI1883" i="1" s="1"/>
  <c r="AC1883" i="1"/>
  <c r="AD1883" i="1"/>
  <c r="AE1883" i="1"/>
  <c r="AF1883" i="1"/>
  <c r="AG1883" i="1"/>
  <c r="AH1883" i="1"/>
  <c r="F1884" i="1"/>
  <c r="J1884" i="1"/>
  <c r="K1884" i="1" s="1"/>
  <c r="AI1884" i="1" s="1"/>
  <c r="AC1884" i="1"/>
  <c r="AD1884" i="1"/>
  <c r="AE1884" i="1"/>
  <c r="AF1884" i="1"/>
  <c r="AG1884" i="1"/>
  <c r="AH1884" i="1"/>
  <c r="F1879" i="1"/>
  <c r="J1879" i="1"/>
  <c r="K1879" i="1" s="1"/>
  <c r="AI1879" i="1" s="1"/>
  <c r="AC1879" i="1"/>
  <c r="AD1879" i="1"/>
  <c r="AE1879" i="1"/>
  <c r="AF1879" i="1"/>
  <c r="AG1879" i="1"/>
  <c r="AH1879" i="1"/>
  <c r="F1880" i="1"/>
  <c r="J1880" i="1"/>
  <c r="AC1880" i="1"/>
  <c r="AD1880" i="1"/>
  <c r="AE1880" i="1"/>
  <c r="AF1880" i="1"/>
  <c r="AG1880" i="1"/>
  <c r="AH1880" i="1"/>
  <c r="F1872" i="1"/>
  <c r="J1872" i="1"/>
  <c r="K1872" i="1" s="1"/>
  <c r="AI1872" i="1" s="1"/>
  <c r="AC1872" i="1"/>
  <c r="AD1872" i="1"/>
  <c r="AE1872" i="1"/>
  <c r="AF1872" i="1"/>
  <c r="AG1872" i="1"/>
  <c r="AH1872" i="1"/>
  <c r="F1873" i="1"/>
  <c r="J1873" i="1"/>
  <c r="K1873" i="1" s="1"/>
  <c r="AI1873" i="1" s="1"/>
  <c r="AC1873" i="1"/>
  <c r="AD1873" i="1"/>
  <c r="AE1873" i="1"/>
  <c r="AF1873" i="1"/>
  <c r="AG1873" i="1"/>
  <c r="AH1873" i="1"/>
  <c r="F1874" i="1"/>
  <c r="J1874" i="1"/>
  <c r="K1874" i="1" s="1"/>
  <c r="AI1874" i="1" s="1"/>
  <c r="AC1874" i="1"/>
  <c r="AD1874" i="1"/>
  <c r="AE1874" i="1"/>
  <c r="AF1874" i="1"/>
  <c r="AG1874" i="1"/>
  <c r="AH1874" i="1"/>
  <c r="F1868" i="1"/>
  <c r="J1868" i="1"/>
  <c r="AC1868" i="1"/>
  <c r="AD1868" i="1"/>
  <c r="AE1868" i="1"/>
  <c r="AF1868" i="1"/>
  <c r="AG1868" i="1"/>
  <c r="AH1868" i="1"/>
  <c r="F1862" i="1"/>
  <c r="J1862" i="1"/>
  <c r="K1862" i="1" s="1"/>
  <c r="AI1862" i="1" s="1"/>
  <c r="AC1862" i="1"/>
  <c r="AD1862" i="1"/>
  <c r="AE1862" i="1"/>
  <c r="AF1862" i="1"/>
  <c r="AG1862" i="1"/>
  <c r="AH1862" i="1"/>
  <c r="F1863" i="1"/>
  <c r="J1863" i="1"/>
  <c r="K1863" i="1" s="1"/>
  <c r="AI1863" i="1" s="1"/>
  <c r="AC1863" i="1"/>
  <c r="AD1863" i="1"/>
  <c r="AE1863" i="1"/>
  <c r="AF1863" i="1"/>
  <c r="AG1863" i="1"/>
  <c r="AH1863" i="1"/>
  <c r="F1864" i="1"/>
  <c r="J1864" i="1"/>
  <c r="K1864" i="1" s="1"/>
  <c r="AI1864" i="1" s="1"/>
  <c r="AC1864" i="1"/>
  <c r="AD1864" i="1"/>
  <c r="AE1864" i="1"/>
  <c r="AF1864" i="1"/>
  <c r="AG1864" i="1"/>
  <c r="AH1864" i="1"/>
  <c r="F1865" i="1"/>
  <c r="J1865" i="1"/>
  <c r="AC1865" i="1"/>
  <c r="AD1865" i="1"/>
  <c r="AE1865" i="1"/>
  <c r="AF1865" i="1"/>
  <c r="AG1865" i="1"/>
  <c r="AH1865" i="1"/>
  <c r="F1855" i="1"/>
  <c r="J1855" i="1"/>
  <c r="K1855" i="1" s="1"/>
  <c r="AI1855" i="1" s="1"/>
  <c r="AC1855" i="1"/>
  <c r="AD1855" i="1"/>
  <c r="AE1855" i="1"/>
  <c r="AF1855" i="1"/>
  <c r="AG1855" i="1"/>
  <c r="AH1855" i="1"/>
  <c r="F1857" i="1"/>
  <c r="J1857" i="1"/>
  <c r="K1857" i="1" s="1"/>
  <c r="AI1857" i="1" s="1"/>
  <c r="AC1857" i="1"/>
  <c r="AD1857" i="1"/>
  <c r="AE1857" i="1"/>
  <c r="AF1857" i="1"/>
  <c r="AG1857" i="1"/>
  <c r="AH1857" i="1"/>
  <c r="F1858" i="1"/>
  <c r="J1858" i="1"/>
  <c r="AC1858" i="1"/>
  <c r="AD1858" i="1"/>
  <c r="AE1858" i="1"/>
  <c r="AF1858" i="1"/>
  <c r="AG1858" i="1"/>
  <c r="AH1858" i="1"/>
  <c r="F1859" i="1"/>
  <c r="J1859" i="1"/>
  <c r="AC1859" i="1"/>
  <c r="AD1859" i="1"/>
  <c r="AE1859" i="1"/>
  <c r="AF1859" i="1"/>
  <c r="AG1859" i="1"/>
  <c r="AH1859" i="1"/>
  <c r="F1853" i="1"/>
  <c r="J1853" i="1"/>
  <c r="K1853" i="1" s="1"/>
  <c r="AI1853" i="1" s="1"/>
  <c r="AC1853" i="1"/>
  <c r="AD1853" i="1"/>
  <c r="AE1853" i="1"/>
  <c r="AF1853" i="1"/>
  <c r="AG1853" i="1"/>
  <c r="AH1853" i="1"/>
  <c r="F1849" i="1"/>
  <c r="J1849" i="1"/>
  <c r="K1849" i="1" s="1"/>
  <c r="AI1849" i="1" s="1"/>
  <c r="AC1849" i="1"/>
  <c r="AD1849" i="1"/>
  <c r="AE1849" i="1"/>
  <c r="AF1849" i="1"/>
  <c r="AG1849" i="1"/>
  <c r="AH1849" i="1"/>
  <c r="F1850" i="1"/>
  <c r="J1850" i="1"/>
  <c r="K1850" i="1" s="1"/>
  <c r="AI1850" i="1" s="1"/>
  <c r="AC1850" i="1"/>
  <c r="AD1850" i="1"/>
  <c r="AE1850" i="1"/>
  <c r="AF1850" i="1"/>
  <c r="AG1850" i="1"/>
  <c r="AH1850" i="1"/>
  <c r="F1851" i="1"/>
  <c r="J1851" i="1"/>
  <c r="K1851" i="1" s="1"/>
  <c r="AI1851" i="1" s="1"/>
  <c r="AC1851" i="1"/>
  <c r="AD1851" i="1"/>
  <c r="AE1851" i="1"/>
  <c r="AF1851" i="1"/>
  <c r="AG1851" i="1"/>
  <c r="AH1851" i="1"/>
  <c r="F1843" i="1"/>
  <c r="J1843" i="1"/>
  <c r="K1843" i="1" s="1"/>
  <c r="AI1843" i="1" s="1"/>
  <c r="AC1843" i="1"/>
  <c r="AD1843" i="1"/>
  <c r="AE1843" i="1"/>
  <c r="AF1843" i="1"/>
  <c r="AG1843" i="1"/>
  <c r="AH1843" i="1"/>
  <c r="F1844" i="1"/>
  <c r="J1844" i="1"/>
  <c r="K1844" i="1" s="1"/>
  <c r="AI1844" i="1" s="1"/>
  <c r="AC1844" i="1"/>
  <c r="AD1844" i="1"/>
  <c r="AE1844" i="1"/>
  <c r="AF1844" i="1"/>
  <c r="AG1844" i="1"/>
  <c r="AH1844" i="1"/>
  <c r="F1845" i="1"/>
  <c r="J1845" i="1"/>
  <c r="AC1845" i="1"/>
  <c r="AD1845" i="1"/>
  <c r="AE1845" i="1"/>
  <c r="AF1845" i="1"/>
  <c r="AG1845" i="1"/>
  <c r="AH1845" i="1"/>
  <c r="F1837" i="1"/>
  <c r="J1837" i="1"/>
  <c r="AC1837" i="1"/>
  <c r="AD1837" i="1"/>
  <c r="AE1837" i="1"/>
  <c r="AF1837" i="1"/>
  <c r="AG1837" i="1"/>
  <c r="AH1837" i="1"/>
  <c r="F1838" i="1"/>
  <c r="J1838" i="1"/>
  <c r="K1838" i="1" s="1"/>
  <c r="AI1838" i="1" s="1"/>
  <c r="AC1838" i="1"/>
  <c r="AD1838" i="1"/>
  <c r="AE1838" i="1"/>
  <c r="AF1838" i="1"/>
  <c r="AG1838" i="1"/>
  <c r="AH1838" i="1"/>
  <c r="F1835" i="1"/>
  <c r="J1835" i="1"/>
  <c r="K1835" i="1" s="1"/>
  <c r="AI1835" i="1" s="1"/>
  <c r="AC1835" i="1"/>
  <c r="AD1835" i="1"/>
  <c r="AE1835" i="1"/>
  <c r="AF1835" i="1"/>
  <c r="AG1835" i="1"/>
  <c r="AH1835" i="1"/>
  <c r="F1826" i="1"/>
  <c r="J1826" i="1"/>
  <c r="AC1826" i="1"/>
  <c r="AD1826" i="1"/>
  <c r="AE1826" i="1"/>
  <c r="AF1826" i="1"/>
  <c r="AG1826" i="1"/>
  <c r="AH1826" i="1"/>
  <c r="F1822" i="1"/>
  <c r="J1822" i="1"/>
  <c r="AC1822" i="1"/>
  <c r="AD1822" i="1"/>
  <c r="AE1822" i="1"/>
  <c r="AF1822" i="1"/>
  <c r="AG1822" i="1"/>
  <c r="AH1822" i="1"/>
  <c r="F1823" i="1"/>
  <c r="J1823" i="1"/>
  <c r="K1823" i="1" s="1"/>
  <c r="AI1823" i="1" s="1"/>
  <c r="AC1823" i="1"/>
  <c r="AD1823" i="1"/>
  <c r="AE1823" i="1"/>
  <c r="AF1823" i="1"/>
  <c r="AG1823" i="1"/>
  <c r="AH1823" i="1"/>
  <c r="F1824" i="1"/>
  <c r="J1824" i="1"/>
  <c r="K1824" i="1" s="1"/>
  <c r="AI1824" i="1" s="1"/>
  <c r="AC1824" i="1"/>
  <c r="AD1824" i="1"/>
  <c r="AE1824" i="1"/>
  <c r="AF1824" i="1"/>
  <c r="AG1824" i="1"/>
  <c r="AH1824" i="1"/>
  <c r="F1819" i="1"/>
  <c r="J1819" i="1"/>
  <c r="AC1819" i="1"/>
  <c r="AD1819" i="1"/>
  <c r="AE1819" i="1"/>
  <c r="AF1819" i="1"/>
  <c r="AG1819" i="1"/>
  <c r="AH1819" i="1"/>
  <c r="F1816" i="1"/>
  <c r="J1816" i="1"/>
  <c r="AC1816" i="1"/>
  <c r="AD1816" i="1"/>
  <c r="AE1816" i="1"/>
  <c r="AF1816" i="1"/>
  <c r="AG1816" i="1"/>
  <c r="AH1816" i="1"/>
  <c r="F1809" i="1"/>
  <c r="J1809" i="1"/>
  <c r="K1809" i="1" s="1"/>
  <c r="AI1809" i="1" s="1"/>
  <c r="AC1809" i="1"/>
  <c r="AD1809" i="1"/>
  <c r="AE1809" i="1"/>
  <c r="AF1809" i="1"/>
  <c r="AG1809" i="1"/>
  <c r="AH1809" i="1"/>
  <c r="F1810" i="1"/>
  <c r="J1810" i="1"/>
  <c r="K1810" i="1" s="1"/>
  <c r="AI1810" i="1" s="1"/>
  <c r="AC1810" i="1"/>
  <c r="AD1810" i="1"/>
  <c r="AE1810" i="1"/>
  <c r="AF1810" i="1"/>
  <c r="AG1810" i="1"/>
  <c r="AH1810" i="1"/>
  <c r="F1811" i="1"/>
  <c r="J1811" i="1"/>
  <c r="K1811" i="1" s="1"/>
  <c r="AI1811" i="1" s="1"/>
  <c r="AC1811" i="1"/>
  <c r="AD1811" i="1"/>
  <c r="AE1811" i="1"/>
  <c r="AF1811" i="1"/>
  <c r="AG1811" i="1"/>
  <c r="AH1811" i="1"/>
  <c r="F1812" i="1"/>
  <c r="J1812" i="1"/>
  <c r="K1812" i="1" s="1"/>
  <c r="AI1812" i="1" s="1"/>
  <c r="AC1812" i="1"/>
  <c r="AD1812" i="1"/>
  <c r="AE1812" i="1"/>
  <c r="AF1812" i="1"/>
  <c r="AG1812" i="1"/>
  <c r="AH1812" i="1"/>
  <c r="F1813" i="1"/>
  <c r="J1813" i="1"/>
  <c r="K1813" i="1" s="1"/>
  <c r="AI1813" i="1" s="1"/>
  <c r="AC1813" i="1"/>
  <c r="AD1813" i="1"/>
  <c r="AE1813" i="1"/>
  <c r="AF1813" i="1"/>
  <c r="AG1813" i="1"/>
  <c r="AH1813" i="1"/>
  <c r="F1802" i="1"/>
  <c r="J1802" i="1"/>
  <c r="K1802" i="1" s="1"/>
  <c r="AI1802" i="1" s="1"/>
  <c r="AC1802" i="1"/>
  <c r="AD1802" i="1"/>
  <c r="AE1802" i="1"/>
  <c r="AF1802" i="1"/>
  <c r="AG1802" i="1"/>
  <c r="AH1802" i="1"/>
  <c r="F1803" i="1"/>
  <c r="J1803" i="1"/>
  <c r="AC1803" i="1"/>
  <c r="AD1803" i="1"/>
  <c r="AE1803" i="1"/>
  <c r="AF1803" i="1"/>
  <c r="AG1803" i="1"/>
  <c r="AH1803" i="1"/>
  <c r="F1800" i="1"/>
  <c r="J1800" i="1"/>
  <c r="AC1800" i="1"/>
  <c r="AD1800" i="1"/>
  <c r="AE1800" i="1"/>
  <c r="AF1800" i="1"/>
  <c r="AG1800" i="1"/>
  <c r="AH1800" i="1"/>
  <c r="F1794" i="1"/>
  <c r="J1794" i="1"/>
  <c r="K1794" i="1" s="1"/>
  <c r="AI1794" i="1" s="1"/>
  <c r="AC1794" i="1"/>
  <c r="AD1794" i="1"/>
  <c r="AE1794" i="1"/>
  <c r="AF1794" i="1"/>
  <c r="AG1794" i="1"/>
  <c r="AH1794" i="1"/>
  <c r="F1796" i="1"/>
  <c r="J1796" i="1"/>
  <c r="K1796" i="1" s="1"/>
  <c r="AI1796" i="1" s="1"/>
  <c r="AC1796" i="1"/>
  <c r="AD1796" i="1"/>
  <c r="AE1796" i="1"/>
  <c r="AF1796" i="1"/>
  <c r="AG1796" i="1"/>
  <c r="AH1796" i="1"/>
  <c r="F1791" i="1"/>
  <c r="J1791" i="1"/>
  <c r="K1791" i="1" s="1"/>
  <c r="AI1791" i="1" s="1"/>
  <c r="AC1791" i="1"/>
  <c r="AD1791" i="1"/>
  <c r="AE1791" i="1"/>
  <c r="AF1791" i="1"/>
  <c r="AG1791" i="1"/>
  <c r="AH1791" i="1"/>
  <c r="F1784" i="1"/>
  <c r="J1784" i="1"/>
  <c r="K1784" i="1" s="1"/>
  <c r="AI1784" i="1" s="1"/>
  <c r="AC1784" i="1"/>
  <c r="AD1784" i="1"/>
  <c r="AE1784" i="1"/>
  <c r="AF1784" i="1"/>
  <c r="AG1784" i="1"/>
  <c r="AH1784" i="1"/>
  <c r="F1785" i="1"/>
  <c r="J1785" i="1"/>
  <c r="K1785" i="1" s="1"/>
  <c r="AI1785" i="1" s="1"/>
  <c r="AC1785" i="1"/>
  <c r="AD1785" i="1"/>
  <c r="AE1785" i="1"/>
  <c r="AF1785" i="1"/>
  <c r="AG1785" i="1"/>
  <c r="AH1785" i="1"/>
  <c r="F1786" i="1"/>
  <c r="J1786" i="1"/>
  <c r="K1786" i="1" s="1"/>
  <c r="AI1786" i="1" s="1"/>
  <c r="AC1786" i="1"/>
  <c r="AD1786" i="1"/>
  <c r="AE1786" i="1"/>
  <c r="AF1786" i="1"/>
  <c r="AG1786" i="1"/>
  <c r="AH1786" i="1"/>
  <c r="F1781" i="1"/>
  <c r="J1781" i="1"/>
  <c r="AC1781" i="1"/>
  <c r="AD1781" i="1"/>
  <c r="AE1781" i="1"/>
  <c r="AF1781" i="1"/>
  <c r="AG1781" i="1"/>
  <c r="AH1781" i="1"/>
  <c r="F1778" i="1"/>
  <c r="J1778" i="1"/>
  <c r="AC1778" i="1"/>
  <c r="AD1778" i="1"/>
  <c r="AE1778" i="1"/>
  <c r="AF1778" i="1"/>
  <c r="AG1778" i="1"/>
  <c r="AH1778" i="1"/>
  <c r="F1769" i="1"/>
  <c r="J1769" i="1"/>
  <c r="K1769" i="1" s="1"/>
  <c r="AI1769" i="1" s="1"/>
  <c r="AC1769" i="1"/>
  <c r="AD1769" i="1"/>
  <c r="AE1769" i="1"/>
  <c r="AF1769" i="1"/>
  <c r="AG1769" i="1"/>
  <c r="AH1769" i="1"/>
  <c r="F1770" i="1"/>
  <c r="J1770" i="1"/>
  <c r="K1770" i="1" s="1"/>
  <c r="AI1770" i="1" s="1"/>
  <c r="AC1770" i="1"/>
  <c r="AD1770" i="1"/>
  <c r="AE1770" i="1"/>
  <c r="AF1770" i="1"/>
  <c r="AG1770" i="1"/>
  <c r="AH1770" i="1"/>
  <c r="F1773" i="1"/>
  <c r="J1773" i="1"/>
  <c r="K1773" i="1" s="1"/>
  <c r="AI1773" i="1" s="1"/>
  <c r="AC1773" i="1"/>
  <c r="AD1773" i="1"/>
  <c r="AE1773" i="1"/>
  <c r="AF1773" i="1"/>
  <c r="AG1773" i="1"/>
  <c r="AH1773" i="1"/>
  <c r="F1774" i="1"/>
  <c r="J1774" i="1"/>
  <c r="K1774" i="1" s="1"/>
  <c r="AI1774" i="1" s="1"/>
  <c r="AC1774" i="1"/>
  <c r="AD1774" i="1"/>
  <c r="AE1774" i="1"/>
  <c r="AF1774" i="1"/>
  <c r="AG1774" i="1"/>
  <c r="AH1774" i="1"/>
  <c r="F1767" i="1"/>
  <c r="J1767" i="1"/>
  <c r="K1767" i="1" s="1"/>
  <c r="AI1767" i="1" s="1"/>
  <c r="AC1767" i="1"/>
  <c r="AD1767" i="1"/>
  <c r="AE1767" i="1"/>
  <c r="AF1767" i="1"/>
  <c r="AG1767" i="1"/>
  <c r="AH1767" i="1"/>
  <c r="F1756" i="1"/>
  <c r="J1756" i="1"/>
  <c r="K1756" i="1" s="1"/>
  <c r="AI1756" i="1" s="1"/>
  <c r="AC1756" i="1"/>
  <c r="AD1756" i="1"/>
  <c r="AE1756" i="1"/>
  <c r="AF1756" i="1"/>
  <c r="AG1756" i="1"/>
  <c r="AH1756" i="1"/>
  <c r="F1757" i="1"/>
  <c r="J1757" i="1"/>
  <c r="AC1757" i="1"/>
  <c r="AD1757" i="1"/>
  <c r="AE1757" i="1"/>
  <c r="AF1757" i="1"/>
  <c r="AG1757" i="1"/>
  <c r="AH1757" i="1"/>
  <c r="F1759" i="1"/>
  <c r="J1759" i="1"/>
  <c r="AC1759" i="1"/>
  <c r="AD1759" i="1"/>
  <c r="AE1759" i="1"/>
  <c r="AF1759" i="1"/>
  <c r="AG1759" i="1"/>
  <c r="AH1759" i="1"/>
  <c r="F1761" i="1"/>
  <c r="J1761" i="1"/>
  <c r="K1761" i="1" s="1"/>
  <c r="AI1761" i="1" s="1"/>
  <c r="AC1761" i="1"/>
  <c r="AD1761" i="1"/>
  <c r="AE1761" i="1"/>
  <c r="AF1761" i="1"/>
  <c r="AG1761" i="1"/>
  <c r="AH1761" i="1"/>
  <c r="F1752" i="1"/>
  <c r="J1752" i="1"/>
  <c r="K1752" i="1" s="1"/>
  <c r="AI1752" i="1" s="1"/>
  <c r="AC1752" i="1"/>
  <c r="AD1752" i="1"/>
  <c r="AE1752" i="1"/>
  <c r="AF1752" i="1"/>
  <c r="AG1752" i="1"/>
  <c r="AH1752" i="1"/>
  <c r="F1753" i="1"/>
  <c r="J1753" i="1"/>
  <c r="K1753" i="1" s="1"/>
  <c r="AI1753" i="1" s="1"/>
  <c r="AC1753" i="1"/>
  <c r="AD1753" i="1"/>
  <c r="AE1753" i="1"/>
  <c r="AF1753" i="1"/>
  <c r="AG1753" i="1"/>
  <c r="AH1753" i="1"/>
  <c r="F1744" i="1"/>
  <c r="J1744" i="1"/>
  <c r="K1744" i="1" s="1"/>
  <c r="AI1744" i="1" s="1"/>
  <c r="AC1744" i="1"/>
  <c r="AD1744" i="1"/>
  <c r="AE1744" i="1"/>
  <c r="AF1744" i="1"/>
  <c r="AG1744" i="1"/>
  <c r="AH1744" i="1"/>
  <c r="F1745" i="1"/>
  <c r="J1745" i="1"/>
  <c r="K1745" i="1" s="1"/>
  <c r="AI1745" i="1" s="1"/>
  <c r="AC1745" i="1"/>
  <c r="AD1745" i="1"/>
  <c r="AE1745" i="1"/>
  <c r="AF1745" i="1"/>
  <c r="AG1745" i="1"/>
  <c r="AH1745" i="1"/>
  <c r="F1741" i="1"/>
  <c r="J1741" i="1"/>
  <c r="K1741" i="1" s="1"/>
  <c r="AI1741" i="1" s="1"/>
  <c r="AC1741" i="1"/>
  <c r="AD1741" i="1"/>
  <c r="AE1741" i="1"/>
  <c r="AF1741" i="1"/>
  <c r="AG1741" i="1"/>
  <c r="AH1741" i="1"/>
  <c r="F1734" i="1"/>
  <c r="J1734" i="1"/>
  <c r="AC1734" i="1"/>
  <c r="AD1734" i="1"/>
  <c r="AE1734" i="1"/>
  <c r="AF1734" i="1"/>
  <c r="AG1734" i="1"/>
  <c r="AH1734" i="1"/>
  <c r="F1735" i="1"/>
  <c r="J1735" i="1"/>
  <c r="AC1735" i="1"/>
  <c r="AD1735" i="1"/>
  <c r="AE1735" i="1"/>
  <c r="AF1735" i="1"/>
  <c r="AG1735" i="1"/>
  <c r="AH1735" i="1"/>
  <c r="F1736" i="1"/>
  <c r="J1736" i="1"/>
  <c r="K1736" i="1" s="1"/>
  <c r="AI1736" i="1" s="1"/>
  <c r="AC1736" i="1"/>
  <c r="AD1736" i="1"/>
  <c r="AE1736" i="1"/>
  <c r="AF1736" i="1"/>
  <c r="AG1736" i="1"/>
  <c r="AH1736" i="1"/>
  <c r="F1737" i="1"/>
  <c r="J1737" i="1"/>
  <c r="K1737" i="1" s="1"/>
  <c r="AI1737" i="1" s="1"/>
  <c r="AC1737" i="1"/>
  <c r="AD1737" i="1"/>
  <c r="AE1737" i="1"/>
  <c r="AF1737" i="1"/>
  <c r="AG1737" i="1"/>
  <c r="AH1737" i="1"/>
  <c r="F1730" i="1"/>
  <c r="J1730" i="1"/>
  <c r="K1730" i="1" s="1"/>
  <c r="AI1730" i="1" s="1"/>
  <c r="AC1730" i="1"/>
  <c r="AD1730" i="1"/>
  <c r="AE1730" i="1"/>
  <c r="AF1730" i="1"/>
  <c r="AG1730" i="1"/>
  <c r="AH1730" i="1"/>
  <c r="F1720" i="1"/>
  <c r="J1720" i="1"/>
  <c r="AC1720" i="1"/>
  <c r="AD1720" i="1"/>
  <c r="AE1720" i="1"/>
  <c r="AF1720" i="1"/>
  <c r="AG1720" i="1"/>
  <c r="AH1720" i="1"/>
  <c r="F1721" i="1"/>
  <c r="J1721" i="1"/>
  <c r="K1721" i="1" s="1"/>
  <c r="AI1721" i="1" s="1"/>
  <c r="AC1721" i="1"/>
  <c r="AD1721" i="1"/>
  <c r="AE1721" i="1"/>
  <c r="AF1721" i="1"/>
  <c r="AG1721" i="1"/>
  <c r="AH1721" i="1"/>
  <c r="F1724" i="1"/>
  <c r="J1724" i="1"/>
  <c r="K1724" i="1" s="1"/>
  <c r="AI1724" i="1" s="1"/>
  <c r="AC1724" i="1"/>
  <c r="AD1724" i="1"/>
  <c r="AE1724" i="1"/>
  <c r="AF1724" i="1"/>
  <c r="AG1724" i="1"/>
  <c r="AH1724" i="1"/>
  <c r="F1715" i="1"/>
  <c r="J1715" i="1"/>
  <c r="AC1715" i="1"/>
  <c r="AD1715" i="1"/>
  <c r="AE1715" i="1"/>
  <c r="AF1715" i="1"/>
  <c r="AG1715" i="1"/>
  <c r="AH1715" i="1"/>
  <c r="F1716" i="1"/>
  <c r="J1716" i="1"/>
  <c r="AC1716" i="1"/>
  <c r="AD1716" i="1"/>
  <c r="AE1716" i="1"/>
  <c r="AF1716" i="1"/>
  <c r="AG1716" i="1"/>
  <c r="AH1716" i="1"/>
  <c r="F1712" i="1"/>
  <c r="J1712" i="1"/>
  <c r="K1712" i="1" s="1"/>
  <c r="AI1712" i="1" s="1"/>
  <c r="AC1712" i="1"/>
  <c r="AD1712" i="1"/>
  <c r="AE1712" i="1"/>
  <c r="AF1712" i="1"/>
  <c r="AG1712" i="1"/>
  <c r="AH1712" i="1"/>
  <c r="F1707" i="1"/>
  <c r="J1707" i="1"/>
  <c r="K1707" i="1" s="1"/>
  <c r="AI1707" i="1" s="1"/>
  <c r="AC1707" i="1"/>
  <c r="AD1707" i="1"/>
  <c r="AE1707" i="1"/>
  <c r="AF1707" i="1"/>
  <c r="AG1707" i="1"/>
  <c r="AH1707" i="1"/>
  <c r="F1708" i="1"/>
  <c r="J1708" i="1"/>
  <c r="K1708" i="1" s="1"/>
  <c r="AI1708" i="1" s="1"/>
  <c r="AC1708" i="1"/>
  <c r="AD1708" i="1"/>
  <c r="AE1708" i="1"/>
  <c r="AF1708" i="1"/>
  <c r="AG1708" i="1"/>
  <c r="AH1708" i="1"/>
  <c r="F1700" i="1"/>
  <c r="J1700" i="1"/>
  <c r="K1700" i="1" s="1"/>
  <c r="AI1700" i="1" s="1"/>
  <c r="AC1700" i="1"/>
  <c r="AD1700" i="1"/>
  <c r="AE1700" i="1"/>
  <c r="AF1700" i="1"/>
  <c r="AG1700" i="1"/>
  <c r="AH1700" i="1"/>
  <c r="F1702" i="1"/>
  <c r="J1702" i="1"/>
  <c r="K1702" i="1" s="1"/>
  <c r="AI1702" i="1" s="1"/>
  <c r="AC1702" i="1"/>
  <c r="AD1702" i="1"/>
  <c r="AE1702" i="1"/>
  <c r="AF1702" i="1"/>
  <c r="AG1702" i="1"/>
  <c r="AH1702" i="1"/>
  <c r="F1703" i="1"/>
  <c r="J1703" i="1"/>
  <c r="K1703" i="1" s="1"/>
  <c r="AI1703" i="1" s="1"/>
  <c r="AC1703" i="1"/>
  <c r="AD1703" i="1"/>
  <c r="AE1703" i="1"/>
  <c r="AF1703" i="1"/>
  <c r="AG1703" i="1"/>
  <c r="AH1703" i="1"/>
  <c r="F1704" i="1"/>
  <c r="J1704" i="1"/>
  <c r="K1704" i="1" s="1"/>
  <c r="AI1704" i="1" s="1"/>
  <c r="AC1704" i="1"/>
  <c r="AD1704" i="1"/>
  <c r="AE1704" i="1"/>
  <c r="AF1704" i="1"/>
  <c r="AG1704" i="1"/>
  <c r="AH1704" i="1"/>
  <c r="F1692" i="1"/>
  <c r="J1692" i="1"/>
  <c r="K1692" i="1" s="1"/>
  <c r="AI1692" i="1" s="1"/>
  <c r="AC1692" i="1"/>
  <c r="AD1692" i="1"/>
  <c r="AE1692" i="1"/>
  <c r="AF1692" i="1"/>
  <c r="AG1692" i="1"/>
  <c r="AH1692" i="1"/>
  <c r="F1693" i="1"/>
  <c r="J1693" i="1"/>
  <c r="AC1693" i="1"/>
  <c r="AD1693" i="1"/>
  <c r="AE1693" i="1"/>
  <c r="AF1693" i="1"/>
  <c r="AG1693" i="1"/>
  <c r="AH1693" i="1"/>
  <c r="F1694" i="1"/>
  <c r="J1694" i="1"/>
  <c r="K1694" i="1" s="1"/>
  <c r="AI1694" i="1" s="1"/>
  <c r="AC1694" i="1"/>
  <c r="AD1694" i="1"/>
  <c r="AE1694" i="1"/>
  <c r="AF1694" i="1"/>
  <c r="AG1694" i="1"/>
  <c r="AH1694" i="1"/>
  <c r="F1687" i="1"/>
  <c r="J1687" i="1"/>
  <c r="K1687" i="1" s="1"/>
  <c r="AI1687" i="1" s="1"/>
  <c r="AC1687" i="1"/>
  <c r="AD1687" i="1"/>
  <c r="AE1687" i="1"/>
  <c r="AF1687" i="1"/>
  <c r="AG1687" i="1"/>
  <c r="AH1687" i="1"/>
  <c r="F1689" i="1"/>
  <c r="J1689" i="1"/>
  <c r="K1689" i="1" s="1"/>
  <c r="AI1689" i="1" s="1"/>
  <c r="AC1689" i="1"/>
  <c r="AD1689" i="1"/>
  <c r="AE1689" i="1"/>
  <c r="AF1689" i="1"/>
  <c r="AG1689" i="1"/>
  <c r="AH1689" i="1"/>
  <c r="F1682" i="1"/>
  <c r="J1682" i="1"/>
  <c r="K1682" i="1" s="1"/>
  <c r="AI1682" i="1" s="1"/>
  <c r="AC1682" i="1"/>
  <c r="AD1682" i="1"/>
  <c r="AE1682" i="1"/>
  <c r="AF1682" i="1"/>
  <c r="AG1682" i="1"/>
  <c r="AH1682" i="1"/>
  <c r="F1683" i="1"/>
  <c r="J1683" i="1"/>
  <c r="K1683" i="1" s="1"/>
  <c r="AI1683" i="1" s="1"/>
  <c r="AC1683" i="1"/>
  <c r="AD1683" i="1"/>
  <c r="AE1683" i="1"/>
  <c r="AF1683" i="1"/>
  <c r="AG1683" i="1"/>
  <c r="AH1683" i="1"/>
  <c r="F1684" i="1"/>
  <c r="J1684" i="1"/>
  <c r="K1684" i="1" s="1"/>
  <c r="AI1684" i="1" s="1"/>
  <c r="AC1684" i="1"/>
  <c r="AD1684" i="1"/>
  <c r="AE1684" i="1"/>
  <c r="AF1684" i="1"/>
  <c r="AG1684" i="1"/>
  <c r="AH1684" i="1"/>
  <c r="F1676" i="1"/>
  <c r="J1676" i="1"/>
  <c r="K1676" i="1" s="1"/>
  <c r="AI1676" i="1" s="1"/>
  <c r="AC1676" i="1"/>
  <c r="AD1676" i="1"/>
  <c r="AE1676" i="1"/>
  <c r="AF1676" i="1"/>
  <c r="AG1676" i="1"/>
  <c r="AH1676" i="1"/>
  <c r="F1671" i="1"/>
  <c r="J1671" i="1"/>
  <c r="K1671" i="1" s="1"/>
  <c r="AI1671" i="1" s="1"/>
  <c r="AC1671" i="1"/>
  <c r="AD1671" i="1"/>
  <c r="AE1671" i="1"/>
  <c r="AF1671" i="1"/>
  <c r="AG1671" i="1"/>
  <c r="AH1671" i="1"/>
  <c r="F1672" i="1"/>
  <c r="J1672" i="1"/>
  <c r="AC1672" i="1"/>
  <c r="AD1672" i="1"/>
  <c r="AE1672" i="1"/>
  <c r="AF1672" i="1"/>
  <c r="AG1672" i="1"/>
  <c r="AH1672" i="1"/>
  <c r="F1673" i="1"/>
  <c r="J1673" i="1"/>
  <c r="K1673" i="1" s="1"/>
  <c r="AI1673" i="1" s="1"/>
  <c r="AC1673" i="1"/>
  <c r="AD1673" i="1"/>
  <c r="AE1673" i="1"/>
  <c r="AF1673" i="1"/>
  <c r="AG1673" i="1"/>
  <c r="AH1673" i="1"/>
  <c r="F1668" i="1"/>
  <c r="J1668" i="1"/>
  <c r="K1668" i="1" s="1"/>
  <c r="AI1668" i="1" s="1"/>
  <c r="AC1668" i="1"/>
  <c r="AD1668" i="1"/>
  <c r="AE1668" i="1"/>
  <c r="AF1668" i="1"/>
  <c r="AG1668" i="1"/>
  <c r="AH1668" i="1"/>
  <c r="F1669" i="1"/>
  <c r="J1669" i="1"/>
  <c r="K1669" i="1" s="1"/>
  <c r="AI1669" i="1" s="1"/>
  <c r="AC1669" i="1"/>
  <c r="AD1669" i="1"/>
  <c r="AE1669" i="1"/>
  <c r="AF1669" i="1"/>
  <c r="AG1669" i="1"/>
  <c r="AH1669" i="1"/>
  <c r="F1664" i="1"/>
  <c r="J1664" i="1"/>
  <c r="K1664" i="1" s="1"/>
  <c r="AI1664" i="1" s="1"/>
  <c r="AC1664" i="1"/>
  <c r="AD1664" i="1"/>
  <c r="AE1664" i="1"/>
  <c r="AF1664" i="1"/>
  <c r="AG1664" i="1"/>
  <c r="AH1664" i="1"/>
  <c r="F1665" i="1"/>
  <c r="J1665" i="1"/>
  <c r="K1665" i="1" s="1"/>
  <c r="AI1665" i="1" s="1"/>
  <c r="AC1665" i="1"/>
  <c r="AD1665" i="1"/>
  <c r="AE1665" i="1"/>
  <c r="AF1665" i="1"/>
  <c r="AG1665" i="1"/>
  <c r="AH1665" i="1"/>
  <c r="F1666" i="1"/>
  <c r="J1666" i="1"/>
  <c r="K1666" i="1" s="1"/>
  <c r="AI1666" i="1" s="1"/>
  <c r="AC1666" i="1"/>
  <c r="AD1666" i="1"/>
  <c r="AE1666" i="1"/>
  <c r="AF1666" i="1"/>
  <c r="AG1666" i="1"/>
  <c r="AH1666" i="1"/>
  <c r="F1659" i="1"/>
  <c r="J1659" i="1"/>
  <c r="K1659" i="1" s="1"/>
  <c r="AI1659" i="1" s="1"/>
  <c r="AC1659" i="1"/>
  <c r="AD1659" i="1"/>
  <c r="AE1659" i="1"/>
  <c r="AF1659" i="1"/>
  <c r="AG1659" i="1"/>
  <c r="AH1659" i="1"/>
  <c r="F1660" i="1"/>
  <c r="J1660" i="1"/>
  <c r="K1660" i="1" s="1"/>
  <c r="AI1660" i="1" s="1"/>
  <c r="AC1660" i="1"/>
  <c r="AD1660" i="1"/>
  <c r="AE1660" i="1"/>
  <c r="AF1660" i="1"/>
  <c r="AG1660" i="1"/>
  <c r="AH1660" i="1"/>
  <c r="F1655" i="1"/>
  <c r="J1655" i="1"/>
  <c r="K1655" i="1" s="1"/>
  <c r="AI1655" i="1" s="1"/>
  <c r="AC1655" i="1"/>
  <c r="AD1655" i="1"/>
  <c r="AE1655" i="1"/>
  <c r="AF1655" i="1"/>
  <c r="AG1655" i="1"/>
  <c r="AH1655" i="1"/>
  <c r="F1656" i="1"/>
  <c r="J1656" i="1"/>
  <c r="K1656" i="1" s="1"/>
  <c r="AI1656" i="1" s="1"/>
  <c r="AC1656" i="1"/>
  <c r="AD1656" i="1"/>
  <c r="AE1656" i="1"/>
  <c r="AF1656" i="1"/>
  <c r="AG1656" i="1"/>
  <c r="AH1656" i="1"/>
  <c r="F1652" i="1"/>
  <c r="J1652" i="1"/>
  <c r="K1652" i="1" s="1"/>
  <c r="AI1652" i="1" s="1"/>
  <c r="AC1652" i="1"/>
  <c r="AD1652" i="1"/>
  <c r="AE1652" i="1"/>
  <c r="AF1652" i="1"/>
  <c r="AG1652" i="1"/>
  <c r="AH1652" i="1"/>
  <c r="F1649" i="1"/>
  <c r="J1649" i="1"/>
  <c r="K1649" i="1" s="1"/>
  <c r="AI1649" i="1" s="1"/>
  <c r="AC1649" i="1"/>
  <c r="AD1649" i="1"/>
  <c r="AE1649" i="1"/>
  <c r="AF1649" i="1"/>
  <c r="AG1649" i="1"/>
  <c r="AH1649" i="1"/>
  <c r="F1650" i="1"/>
  <c r="J1650" i="1"/>
  <c r="K1650" i="1" s="1"/>
  <c r="AI1650" i="1" s="1"/>
  <c r="AC1650" i="1"/>
  <c r="AD1650" i="1"/>
  <c r="AE1650" i="1"/>
  <c r="AF1650" i="1"/>
  <c r="AG1650" i="1"/>
  <c r="AH1650" i="1"/>
  <c r="F1643" i="1"/>
  <c r="J1643" i="1"/>
  <c r="K1643" i="1" s="1"/>
  <c r="AI1643" i="1" s="1"/>
  <c r="AC1643" i="1"/>
  <c r="AD1643" i="1"/>
  <c r="AE1643" i="1"/>
  <c r="AF1643" i="1"/>
  <c r="AG1643" i="1"/>
  <c r="AH1643" i="1"/>
  <c r="F1636" i="1"/>
  <c r="J1636" i="1"/>
  <c r="K1636" i="1" s="1"/>
  <c r="AI1636" i="1" s="1"/>
  <c r="AC1636" i="1"/>
  <c r="AD1636" i="1"/>
  <c r="AE1636" i="1"/>
  <c r="AF1636" i="1"/>
  <c r="AG1636" i="1"/>
  <c r="AH1636" i="1"/>
  <c r="F1634" i="1"/>
  <c r="J1634" i="1"/>
  <c r="K1634" i="1" s="1"/>
  <c r="AI1634" i="1" s="1"/>
  <c r="AC1634" i="1"/>
  <c r="AD1634" i="1"/>
  <c r="AE1634" i="1"/>
  <c r="AF1634" i="1"/>
  <c r="AG1634" i="1"/>
  <c r="AH1634" i="1"/>
  <c r="F1628" i="1"/>
  <c r="J1628" i="1"/>
  <c r="K1628" i="1" s="1"/>
  <c r="AI1628" i="1" s="1"/>
  <c r="AC1628" i="1"/>
  <c r="AD1628" i="1"/>
  <c r="AE1628" i="1"/>
  <c r="AF1628" i="1"/>
  <c r="AG1628" i="1"/>
  <c r="AH1628" i="1"/>
  <c r="F1629" i="1"/>
  <c r="J1629" i="1"/>
  <c r="K1629" i="1" s="1"/>
  <c r="AI1629" i="1" s="1"/>
  <c r="AC1629" i="1"/>
  <c r="AD1629" i="1"/>
  <c r="AE1629" i="1"/>
  <c r="AF1629" i="1"/>
  <c r="AG1629" i="1"/>
  <c r="AH1629" i="1"/>
  <c r="F1630" i="1"/>
  <c r="J1630" i="1"/>
  <c r="K1630" i="1" s="1"/>
  <c r="AI1630" i="1" s="1"/>
  <c r="AC1630" i="1"/>
  <c r="AD1630" i="1"/>
  <c r="AE1630" i="1"/>
  <c r="AF1630" i="1"/>
  <c r="AG1630" i="1"/>
  <c r="AH1630" i="1"/>
  <c r="F1631" i="1"/>
  <c r="J1631" i="1"/>
  <c r="K1631" i="1" s="1"/>
  <c r="AI1631" i="1" s="1"/>
  <c r="AC1631" i="1"/>
  <c r="AD1631" i="1"/>
  <c r="AE1631" i="1"/>
  <c r="AF1631" i="1"/>
  <c r="AG1631" i="1"/>
  <c r="AH1631" i="1"/>
  <c r="F1623" i="1"/>
  <c r="J1623" i="1"/>
  <c r="K1623" i="1" s="1"/>
  <c r="AI1623" i="1" s="1"/>
  <c r="AC1623" i="1"/>
  <c r="AD1623" i="1"/>
  <c r="AE1623" i="1"/>
  <c r="AF1623" i="1"/>
  <c r="AG1623" i="1"/>
  <c r="AH1623" i="1"/>
  <c r="F1624" i="1"/>
  <c r="J1624" i="1"/>
  <c r="K1624" i="1" s="1"/>
  <c r="AI1624" i="1" s="1"/>
  <c r="AC1624" i="1"/>
  <c r="AD1624" i="1"/>
  <c r="AE1624" i="1"/>
  <c r="AF1624" i="1"/>
  <c r="AG1624" i="1"/>
  <c r="AH1624" i="1"/>
  <c r="F1626" i="1"/>
  <c r="J1626" i="1"/>
  <c r="K1626" i="1" s="1"/>
  <c r="AI1626" i="1" s="1"/>
  <c r="AC1626" i="1"/>
  <c r="AD1626" i="1"/>
  <c r="AE1626" i="1"/>
  <c r="AF1626" i="1"/>
  <c r="AG1626" i="1"/>
  <c r="AH1626" i="1"/>
  <c r="F1620" i="1"/>
  <c r="J1620" i="1"/>
  <c r="K1620" i="1" s="1"/>
  <c r="AI1620" i="1" s="1"/>
  <c r="AC1620" i="1"/>
  <c r="AD1620" i="1"/>
  <c r="AE1620" i="1"/>
  <c r="AF1620" i="1"/>
  <c r="AG1620" i="1"/>
  <c r="AH1620" i="1"/>
  <c r="F1614" i="1"/>
  <c r="J1614" i="1"/>
  <c r="K1614" i="1" s="1"/>
  <c r="AI1614" i="1" s="1"/>
  <c r="AC1614" i="1"/>
  <c r="AD1614" i="1"/>
  <c r="AE1614" i="1"/>
  <c r="AF1614" i="1"/>
  <c r="AG1614" i="1"/>
  <c r="AH1614" i="1"/>
  <c r="F1609" i="1"/>
  <c r="J1609" i="1"/>
  <c r="K1609" i="1" s="1"/>
  <c r="AI1609" i="1" s="1"/>
  <c r="AC1609" i="1"/>
  <c r="AD1609" i="1"/>
  <c r="AE1609" i="1"/>
  <c r="AF1609" i="1"/>
  <c r="AG1609" i="1"/>
  <c r="AH1609" i="1"/>
  <c r="F1611" i="1"/>
  <c r="J1611" i="1"/>
  <c r="K1611" i="1" s="1"/>
  <c r="AI1611" i="1" s="1"/>
  <c r="AC1611" i="1"/>
  <c r="AD1611" i="1"/>
  <c r="AE1611" i="1"/>
  <c r="AF1611" i="1"/>
  <c r="AG1611" i="1"/>
  <c r="AH1611" i="1"/>
  <c r="F1607" i="1"/>
  <c r="J1607" i="1"/>
  <c r="K1607" i="1" s="1"/>
  <c r="AI1607" i="1" s="1"/>
  <c r="AC1607" i="1"/>
  <c r="AD1607" i="1"/>
  <c r="AE1607" i="1"/>
  <c r="AF1607" i="1"/>
  <c r="AG1607" i="1"/>
  <c r="AH1607" i="1"/>
  <c r="F1602" i="1"/>
  <c r="J1602" i="1"/>
  <c r="K1602" i="1" s="1"/>
  <c r="AI1602" i="1" s="1"/>
  <c r="AC1602" i="1"/>
  <c r="AD1602" i="1"/>
  <c r="AE1602" i="1"/>
  <c r="AF1602" i="1"/>
  <c r="AG1602" i="1"/>
  <c r="AH1602" i="1"/>
  <c r="F1603" i="1"/>
  <c r="J1603" i="1"/>
  <c r="K1603" i="1" s="1"/>
  <c r="AI1603" i="1" s="1"/>
  <c r="AC1603" i="1"/>
  <c r="AD1603" i="1"/>
  <c r="AE1603" i="1"/>
  <c r="AF1603" i="1"/>
  <c r="AG1603" i="1"/>
  <c r="AH1603" i="1"/>
  <c r="F1604" i="1"/>
  <c r="J1604" i="1"/>
  <c r="K1604" i="1" s="1"/>
  <c r="AI1604" i="1" s="1"/>
  <c r="AC1604" i="1"/>
  <c r="AD1604" i="1"/>
  <c r="AE1604" i="1"/>
  <c r="AF1604" i="1"/>
  <c r="AG1604" i="1"/>
  <c r="AH1604" i="1"/>
  <c r="F1600" i="1"/>
  <c r="J1600" i="1"/>
  <c r="K1600" i="1" s="1"/>
  <c r="AI1600" i="1" s="1"/>
  <c r="AC1600" i="1"/>
  <c r="AD1600" i="1"/>
  <c r="AE1600" i="1"/>
  <c r="AF1600" i="1"/>
  <c r="AG1600" i="1"/>
  <c r="AH1600" i="1"/>
  <c r="F1597" i="1"/>
  <c r="J1597" i="1"/>
  <c r="K1597" i="1" s="1"/>
  <c r="AI1597" i="1" s="1"/>
  <c r="AC1597" i="1"/>
  <c r="AD1597" i="1"/>
  <c r="AE1597" i="1"/>
  <c r="AF1597" i="1"/>
  <c r="AG1597" i="1"/>
  <c r="AH1597" i="1"/>
  <c r="F1592" i="1"/>
  <c r="J1592" i="1"/>
  <c r="AC1592" i="1"/>
  <c r="AD1592" i="1"/>
  <c r="AE1592" i="1"/>
  <c r="AF1592" i="1"/>
  <c r="AG1592" i="1"/>
  <c r="AH1592" i="1"/>
  <c r="F1593" i="1"/>
  <c r="J1593" i="1"/>
  <c r="K1593" i="1" s="1"/>
  <c r="AI1593" i="1" s="1"/>
  <c r="AC1593" i="1"/>
  <c r="AD1593" i="1"/>
  <c r="AE1593" i="1"/>
  <c r="AF1593" i="1"/>
  <c r="AG1593" i="1"/>
  <c r="AH1593" i="1"/>
  <c r="F1594" i="1"/>
  <c r="J1594" i="1"/>
  <c r="K1594" i="1" s="1"/>
  <c r="AI1594" i="1" s="1"/>
  <c r="AC1594" i="1"/>
  <c r="AD1594" i="1"/>
  <c r="AE1594" i="1"/>
  <c r="AF1594" i="1"/>
  <c r="AG1594" i="1"/>
  <c r="AH1594" i="1"/>
  <c r="F1588" i="1"/>
  <c r="J1588" i="1"/>
  <c r="K1588" i="1" s="1"/>
  <c r="AI1588" i="1" s="1"/>
  <c r="AC1588" i="1"/>
  <c r="AD1588" i="1"/>
  <c r="AE1588" i="1"/>
  <c r="AF1588" i="1"/>
  <c r="AG1588" i="1"/>
  <c r="AH1588" i="1"/>
  <c r="F1589" i="1"/>
  <c r="J1589" i="1"/>
  <c r="K1589" i="1" s="1"/>
  <c r="AI1589" i="1" s="1"/>
  <c r="AC1589" i="1"/>
  <c r="AD1589" i="1"/>
  <c r="AE1589" i="1"/>
  <c r="AF1589" i="1"/>
  <c r="AG1589" i="1"/>
  <c r="AH1589" i="1"/>
  <c r="F1582" i="1"/>
  <c r="J1582" i="1"/>
  <c r="K1582" i="1" s="1"/>
  <c r="AI1582" i="1" s="1"/>
  <c r="AC1582" i="1"/>
  <c r="AD1582" i="1"/>
  <c r="AE1582" i="1"/>
  <c r="AF1582" i="1"/>
  <c r="AG1582" i="1"/>
  <c r="AH1582" i="1"/>
  <c r="F1584" i="1"/>
  <c r="J1584" i="1"/>
  <c r="K1584" i="1" s="1"/>
  <c r="AI1584" i="1" s="1"/>
  <c r="AC1584" i="1"/>
  <c r="AD1584" i="1"/>
  <c r="AE1584" i="1"/>
  <c r="AF1584" i="1"/>
  <c r="AG1584" i="1"/>
  <c r="AH1584" i="1"/>
  <c r="F1580" i="1"/>
  <c r="J1580" i="1"/>
  <c r="K1580" i="1" s="1"/>
  <c r="AI1580" i="1" s="1"/>
  <c r="AC1580" i="1"/>
  <c r="AD1580" i="1"/>
  <c r="AE1580" i="1"/>
  <c r="AF1580" i="1"/>
  <c r="AG1580" i="1"/>
  <c r="AH1580" i="1"/>
  <c r="F1578" i="1"/>
  <c r="J1578" i="1"/>
  <c r="K1578" i="1" s="1"/>
  <c r="AI1578" i="1" s="1"/>
  <c r="AC1578" i="1"/>
  <c r="AD1578" i="1"/>
  <c r="AE1578" i="1"/>
  <c r="AF1578" i="1"/>
  <c r="AG1578" i="1"/>
  <c r="AH1578" i="1"/>
  <c r="F1574" i="1"/>
  <c r="J1574" i="1"/>
  <c r="K1574" i="1" s="1"/>
  <c r="AI1574" i="1" s="1"/>
  <c r="AC1574" i="1"/>
  <c r="AD1574" i="1"/>
  <c r="AE1574" i="1"/>
  <c r="AF1574" i="1"/>
  <c r="AG1574" i="1"/>
  <c r="AH1574" i="1"/>
  <c r="F1575" i="1"/>
  <c r="J1575" i="1"/>
  <c r="AC1575" i="1"/>
  <c r="AD1575" i="1"/>
  <c r="AE1575" i="1"/>
  <c r="AF1575" i="1"/>
  <c r="AG1575" i="1"/>
  <c r="AH1575" i="1"/>
  <c r="F1570" i="1"/>
  <c r="J1570" i="1"/>
  <c r="K1570" i="1" s="1"/>
  <c r="AI1570" i="1" s="1"/>
  <c r="AC1570" i="1"/>
  <c r="AD1570" i="1"/>
  <c r="AE1570" i="1"/>
  <c r="AF1570" i="1"/>
  <c r="AG1570" i="1"/>
  <c r="AH1570" i="1"/>
  <c r="F1571" i="1"/>
  <c r="J1571" i="1"/>
  <c r="K1571" i="1" s="1"/>
  <c r="AI1571" i="1" s="1"/>
  <c r="AC1571" i="1"/>
  <c r="AD1571" i="1"/>
  <c r="AE1571" i="1"/>
  <c r="AF1571" i="1"/>
  <c r="AG1571" i="1"/>
  <c r="AH1571" i="1"/>
  <c r="F1572" i="1"/>
  <c r="J1572" i="1"/>
  <c r="K1572" i="1" s="1"/>
  <c r="AI1572" i="1" s="1"/>
  <c r="AC1572" i="1"/>
  <c r="AD1572" i="1"/>
  <c r="AE1572" i="1"/>
  <c r="AF1572" i="1"/>
  <c r="AG1572" i="1"/>
  <c r="AH1572" i="1"/>
  <c r="F1562" i="1"/>
  <c r="J1562" i="1"/>
  <c r="K1562" i="1" s="1"/>
  <c r="AI1562" i="1" s="1"/>
  <c r="AC1562" i="1"/>
  <c r="AD1562" i="1"/>
  <c r="AE1562" i="1"/>
  <c r="AF1562" i="1"/>
  <c r="AG1562" i="1"/>
  <c r="AH1562" i="1"/>
  <c r="F1563" i="1"/>
  <c r="J1563" i="1"/>
  <c r="K1563" i="1" s="1"/>
  <c r="AI1563" i="1" s="1"/>
  <c r="AC1563" i="1"/>
  <c r="AD1563" i="1"/>
  <c r="AE1563" i="1"/>
  <c r="AF1563" i="1"/>
  <c r="AG1563" i="1"/>
  <c r="AH1563" i="1"/>
  <c r="F1558" i="1"/>
  <c r="J1558" i="1"/>
  <c r="K1558" i="1" s="1"/>
  <c r="AI1558" i="1" s="1"/>
  <c r="AC1558" i="1"/>
  <c r="AD1558" i="1"/>
  <c r="AE1558" i="1"/>
  <c r="AF1558" i="1"/>
  <c r="AG1558" i="1"/>
  <c r="AH1558" i="1"/>
  <c r="F1560" i="1"/>
  <c r="J1560" i="1"/>
  <c r="K1560" i="1" s="1"/>
  <c r="AI1560" i="1" s="1"/>
  <c r="AC1560" i="1"/>
  <c r="AD1560" i="1"/>
  <c r="AE1560" i="1"/>
  <c r="AF1560" i="1"/>
  <c r="AG1560" i="1"/>
  <c r="AH1560" i="1"/>
  <c r="F1554" i="1"/>
  <c r="J1554" i="1"/>
  <c r="AC1554" i="1"/>
  <c r="AD1554" i="1"/>
  <c r="AE1554" i="1"/>
  <c r="AF1554" i="1"/>
  <c r="AG1554" i="1"/>
  <c r="AH1554" i="1"/>
  <c r="F1555" i="1"/>
  <c r="J1555" i="1"/>
  <c r="K1555" i="1" s="1"/>
  <c r="AI1555" i="1" s="1"/>
  <c r="AC1555" i="1"/>
  <c r="AD1555" i="1"/>
  <c r="AE1555" i="1"/>
  <c r="AF1555" i="1"/>
  <c r="AG1555" i="1"/>
  <c r="AH1555" i="1"/>
  <c r="F1547" i="1"/>
  <c r="J1547" i="1"/>
  <c r="K1547" i="1" s="1"/>
  <c r="AI1547" i="1" s="1"/>
  <c r="AC1547" i="1"/>
  <c r="AD1547" i="1"/>
  <c r="AE1547" i="1"/>
  <c r="AF1547" i="1"/>
  <c r="AG1547" i="1"/>
  <c r="AH1547" i="1"/>
  <c r="F1548" i="1"/>
  <c r="J1548" i="1"/>
  <c r="K1548" i="1" s="1"/>
  <c r="AI1548" i="1" s="1"/>
  <c r="AC1548" i="1"/>
  <c r="AD1548" i="1"/>
  <c r="AE1548" i="1"/>
  <c r="AF1548" i="1"/>
  <c r="AG1548" i="1"/>
  <c r="AH1548" i="1"/>
  <c r="F1549" i="1"/>
  <c r="J1549" i="1"/>
  <c r="K1549" i="1" s="1"/>
  <c r="AI1549" i="1" s="1"/>
  <c r="AC1549" i="1"/>
  <c r="AD1549" i="1"/>
  <c r="AE1549" i="1"/>
  <c r="AF1549" i="1"/>
  <c r="AG1549" i="1"/>
  <c r="AH1549" i="1"/>
  <c r="F1551" i="1"/>
  <c r="J1551" i="1"/>
  <c r="K1551" i="1" s="1"/>
  <c r="AI1551" i="1" s="1"/>
  <c r="AC1551" i="1"/>
  <c r="AD1551" i="1"/>
  <c r="AE1551" i="1"/>
  <c r="AF1551" i="1"/>
  <c r="AG1551" i="1"/>
  <c r="AH1551" i="1"/>
  <c r="F1552" i="1"/>
  <c r="J1552" i="1"/>
  <c r="K1552" i="1" s="1"/>
  <c r="AI1552" i="1" s="1"/>
  <c r="AC1552" i="1"/>
  <c r="AD1552" i="1"/>
  <c r="AE1552" i="1"/>
  <c r="AF1552" i="1"/>
  <c r="AG1552" i="1"/>
  <c r="AH1552" i="1"/>
  <c r="F1545" i="1"/>
  <c r="J1545" i="1"/>
  <c r="K1545" i="1" s="1"/>
  <c r="AI1545" i="1" s="1"/>
  <c r="AC1545" i="1"/>
  <c r="AD1545" i="1"/>
  <c r="AE1545" i="1"/>
  <c r="AF1545" i="1"/>
  <c r="AG1545" i="1"/>
  <c r="AH1545" i="1"/>
  <c r="F1541" i="1"/>
  <c r="J1541" i="1"/>
  <c r="AC1541" i="1"/>
  <c r="AD1541" i="1"/>
  <c r="AE1541" i="1"/>
  <c r="AF1541" i="1"/>
  <c r="AG1541" i="1"/>
  <c r="AH1541" i="1"/>
  <c r="F1526" i="1"/>
  <c r="J1526" i="1"/>
  <c r="K1526" i="1" s="1"/>
  <c r="AI1526" i="1" s="1"/>
  <c r="AC1526" i="1"/>
  <c r="AD1526" i="1"/>
  <c r="AE1526" i="1"/>
  <c r="AF1526" i="1"/>
  <c r="AG1526" i="1"/>
  <c r="AH1526" i="1"/>
  <c r="F1527" i="1"/>
  <c r="J1527" i="1"/>
  <c r="K1527" i="1" s="1"/>
  <c r="AI1527" i="1" s="1"/>
  <c r="AC1527" i="1"/>
  <c r="AD1527" i="1"/>
  <c r="AE1527" i="1"/>
  <c r="AF1527" i="1"/>
  <c r="AG1527" i="1"/>
  <c r="AH1527" i="1"/>
  <c r="F1528" i="1"/>
  <c r="J1528" i="1"/>
  <c r="K1528" i="1" s="1"/>
  <c r="AI1528" i="1" s="1"/>
  <c r="AC1528" i="1"/>
  <c r="AD1528" i="1"/>
  <c r="AE1528" i="1"/>
  <c r="AF1528" i="1"/>
  <c r="AG1528" i="1"/>
  <c r="AH1528" i="1"/>
  <c r="F1529" i="1"/>
  <c r="J1529" i="1"/>
  <c r="K1529" i="1" s="1"/>
  <c r="AI1529" i="1" s="1"/>
  <c r="AC1529" i="1"/>
  <c r="AD1529" i="1"/>
  <c r="AE1529" i="1"/>
  <c r="AF1529" i="1"/>
  <c r="AG1529" i="1"/>
  <c r="AH1529" i="1"/>
  <c r="F1530" i="1"/>
  <c r="J1530" i="1"/>
  <c r="K1530" i="1" s="1"/>
  <c r="AI1530" i="1" s="1"/>
  <c r="AC1530" i="1"/>
  <c r="AD1530" i="1"/>
  <c r="AE1530" i="1"/>
  <c r="AF1530" i="1"/>
  <c r="AG1530" i="1"/>
  <c r="AH1530" i="1"/>
  <c r="F1521" i="1"/>
  <c r="J1521" i="1"/>
  <c r="K1521" i="1" s="1"/>
  <c r="AI1521" i="1" s="1"/>
  <c r="AC1521" i="1"/>
  <c r="AD1521" i="1"/>
  <c r="AE1521" i="1"/>
  <c r="AF1521" i="1"/>
  <c r="AG1521" i="1"/>
  <c r="AH1521" i="1"/>
  <c r="F1508" i="1"/>
  <c r="J1508" i="1"/>
  <c r="K1508" i="1" s="1"/>
  <c r="AI1508" i="1" s="1"/>
  <c r="AC1508" i="1"/>
  <c r="AD1508" i="1"/>
  <c r="AE1508" i="1"/>
  <c r="AF1508" i="1"/>
  <c r="AG1508" i="1"/>
  <c r="AH1508" i="1"/>
  <c r="F1509" i="1"/>
  <c r="J1509" i="1"/>
  <c r="AC1509" i="1"/>
  <c r="AD1509" i="1"/>
  <c r="AE1509" i="1"/>
  <c r="AF1509" i="1"/>
  <c r="AG1509" i="1"/>
  <c r="AH1509" i="1"/>
  <c r="F1510" i="1"/>
  <c r="J1510" i="1"/>
  <c r="K1510" i="1" s="1"/>
  <c r="AI1510" i="1" s="1"/>
  <c r="AC1510" i="1"/>
  <c r="AD1510" i="1"/>
  <c r="AE1510" i="1"/>
  <c r="AF1510" i="1"/>
  <c r="AG1510" i="1"/>
  <c r="AH1510" i="1"/>
  <c r="F1511" i="1"/>
  <c r="J1511" i="1"/>
  <c r="K1511" i="1" s="1"/>
  <c r="AI1511" i="1" s="1"/>
  <c r="AC1511" i="1"/>
  <c r="AD1511" i="1"/>
  <c r="AE1511" i="1"/>
  <c r="AF1511" i="1"/>
  <c r="AG1511" i="1"/>
  <c r="AH1511" i="1"/>
  <c r="F1512" i="1"/>
  <c r="J1512" i="1"/>
  <c r="AC1512" i="1"/>
  <c r="AD1512" i="1"/>
  <c r="AE1512" i="1"/>
  <c r="AF1512" i="1"/>
  <c r="AG1512" i="1"/>
  <c r="AH1512" i="1"/>
  <c r="F1513" i="1"/>
  <c r="J1513" i="1"/>
  <c r="K1513" i="1" s="1"/>
  <c r="AI1513" i="1" s="1"/>
  <c r="AC1513" i="1"/>
  <c r="AD1513" i="1"/>
  <c r="AE1513" i="1"/>
  <c r="AF1513" i="1"/>
  <c r="AG1513" i="1"/>
  <c r="AH1513" i="1"/>
  <c r="F1515" i="1"/>
  <c r="J1515" i="1"/>
  <c r="K1515" i="1" s="1"/>
  <c r="AI1515" i="1" s="1"/>
  <c r="AC1515" i="1"/>
  <c r="AD1515" i="1"/>
  <c r="AE1515" i="1"/>
  <c r="AF1515" i="1"/>
  <c r="AG1515" i="1"/>
  <c r="AH1515" i="1"/>
  <c r="F1517" i="1"/>
  <c r="J1517" i="1"/>
  <c r="K1517" i="1" s="1"/>
  <c r="AI1517" i="1" s="1"/>
  <c r="AC1517" i="1"/>
  <c r="AD1517" i="1"/>
  <c r="AE1517" i="1"/>
  <c r="AF1517" i="1"/>
  <c r="AG1517" i="1"/>
  <c r="AH1517" i="1"/>
  <c r="F1518" i="1"/>
  <c r="J1518" i="1"/>
  <c r="K1518" i="1" s="1"/>
  <c r="AI1518" i="1" s="1"/>
  <c r="AC1518" i="1"/>
  <c r="AD1518" i="1"/>
  <c r="AE1518" i="1"/>
  <c r="AF1518" i="1"/>
  <c r="AG1518" i="1"/>
  <c r="AH1518" i="1"/>
  <c r="F1519" i="1"/>
  <c r="J1519" i="1"/>
  <c r="AC1519" i="1"/>
  <c r="AD1519" i="1"/>
  <c r="AE1519" i="1"/>
  <c r="AF1519" i="1"/>
  <c r="AG1519" i="1"/>
  <c r="AH1519" i="1"/>
  <c r="F1500" i="1"/>
  <c r="J1500" i="1"/>
  <c r="K1500" i="1" s="1"/>
  <c r="AI1500" i="1" s="1"/>
  <c r="AC1500" i="1"/>
  <c r="AD1500" i="1"/>
  <c r="AE1500" i="1"/>
  <c r="AF1500" i="1"/>
  <c r="AG1500" i="1"/>
  <c r="AH1500" i="1"/>
  <c r="F1497" i="1"/>
  <c r="J1497" i="1"/>
  <c r="K1497" i="1" s="1"/>
  <c r="AI1497" i="1" s="1"/>
  <c r="AC1497" i="1"/>
  <c r="AD1497" i="1"/>
  <c r="AE1497" i="1"/>
  <c r="AF1497" i="1"/>
  <c r="AG1497" i="1"/>
  <c r="AH1497" i="1"/>
  <c r="F1494" i="1"/>
  <c r="J1494" i="1"/>
  <c r="K1494" i="1" s="1"/>
  <c r="AI1494" i="1" s="1"/>
  <c r="AC1494" i="1"/>
  <c r="AD1494" i="1"/>
  <c r="AE1494" i="1"/>
  <c r="AF1494" i="1"/>
  <c r="AG1494" i="1"/>
  <c r="AH1494" i="1"/>
  <c r="F1484" i="1"/>
  <c r="J1484" i="1"/>
  <c r="K1484" i="1" s="1"/>
  <c r="AI1484" i="1" s="1"/>
  <c r="AC1484" i="1"/>
  <c r="AD1484" i="1"/>
  <c r="AE1484" i="1"/>
  <c r="AF1484" i="1"/>
  <c r="AG1484" i="1"/>
  <c r="AH1484" i="1"/>
  <c r="F1485" i="1"/>
  <c r="J1485" i="1"/>
  <c r="K1485" i="1" s="1"/>
  <c r="AI1485" i="1" s="1"/>
  <c r="AC1485" i="1"/>
  <c r="AD1485" i="1"/>
  <c r="AE1485" i="1"/>
  <c r="AF1485" i="1"/>
  <c r="AG1485" i="1"/>
  <c r="AH1485" i="1"/>
  <c r="F1488" i="1"/>
  <c r="J1488" i="1"/>
  <c r="K1488" i="1" s="1"/>
  <c r="AI1488" i="1" s="1"/>
  <c r="AC1488" i="1"/>
  <c r="AD1488" i="1"/>
  <c r="AE1488" i="1"/>
  <c r="AF1488" i="1"/>
  <c r="AG1488" i="1"/>
  <c r="AH1488" i="1"/>
  <c r="F1489" i="1"/>
  <c r="J1489" i="1"/>
  <c r="K1489" i="1" s="1"/>
  <c r="AI1489" i="1" s="1"/>
  <c r="AC1489" i="1"/>
  <c r="AD1489" i="1"/>
  <c r="AE1489" i="1"/>
  <c r="AF1489" i="1"/>
  <c r="AG1489" i="1"/>
  <c r="AH1489" i="1"/>
  <c r="F1490" i="1"/>
  <c r="J1490" i="1"/>
  <c r="AC1490" i="1"/>
  <c r="AD1490" i="1"/>
  <c r="AE1490" i="1"/>
  <c r="AF1490" i="1"/>
  <c r="AG1490" i="1"/>
  <c r="AH1490" i="1"/>
  <c r="F1491" i="1"/>
  <c r="J1491" i="1"/>
  <c r="K1491" i="1" s="1"/>
  <c r="AI1491" i="1" s="1"/>
  <c r="AC1491" i="1"/>
  <c r="AD1491" i="1"/>
  <c r="AE1491" i="1"/>
  <c r="AF1491" i="1"/>
  <c r="AG1491" i="1"/>
  <c r="AH1491" i="1"/>
  <c r="F1492" i="1"/>
  <c r="J1492" i="1"/>
  <c r="K1492" i="1" s="1"/>
  <c r="AI1492" i="1" s="1"/>
  <c r="AC1492" i="1"/>
  <c r="AD1492" i="1"/>
  <c r="AE1492" i="1"/>
  <c r="AF1492" i="1"/>
  <c r="AG1492" i="1"/>
  <c r="AH1492" i="1"/>
  <c r="F1480" i="1"/>
  <c r="J1480" i="1"/>
  <c r="K1480" i="1" s="1"/>
  <c r="AI1480" i="1" s="1"/>
  <c r="AC1480" i="1"/>
  <c r="AD1480" i="1"/>
  <c r="AE1480" i="1"/>
  <c r="AF1480" i="1"/>
  <c r="AG1480" i="1"/>
  <c r="AH1480" i="1"/>
  <c r="F1472" i="1"/>
  <c r="J1472" i="1"/>
  <c r="K1472" i="1" s="1"/>
  <c r="AI1472" i="1" s="1"/>
  <c r="AC1472" i="1"/>
  <c r="AD1472" i="1"/>
  <c r="AE1472" i="1"/>
  <c r="AF1472" i="1"/>
  <c r="AG1472" i="1"/>
  <c r="AH1472" i="1"/>
  <c r="F1473" i="1"/>
  <c r="J1473" i="1"/>
  <c r="K1473" i="1" s="1"/>
  <c r="AI1473" i="1" s="1"/>
  <c r="AC1473" i="1"/>
  <c r="AD1473" i="1"/>
  <c r="AE1473" i="1"/>
  <c r="AF1473" i="1"/>
  <c r="AG1473" i="1"/>
  <c r="AH1473" i="1"/>
  <c r="F1469" i="1"/>
  <c r="J1469" i="1"/>
  <c r="AC1469" i="1"/>
  <c r="AD1469" i="1"/>
  <c r="AE1469" i="1"/>
  <c r="AF1469" i="1"/>
  <c r="AG1469" i="1"/>
  <c r="AH1469" i="1"/>
  <c r="F1462" i="1"/>
  <c r="J1462" i="1"/>
  <c r="K1462" i="1" s="1"/>
  <c r="AI1462" i="1" s="1"/>
  <c r="AC1462" i="1"/>
  <c r="AD1462" i="1"/>
  <c r="AE1462" i="1"/>
  <c r="AF1462" i="1"/>
  <c r="AG1462" i="1"/>
  <c r="AH1462" i="1"/>
  <c r="F1464" i="1"/>
  <c r="J1464" i="1"/>
  <c r="AC1464" i="1"/>
  <c r="AD1464" i="1"/>
  <c r="AE1464" i="1"/>
  <c r="AF1464" i="1"/>
  <c r="AG1464" i="1"/>
  <c r="AH1464" i="1"/>
  <c r="F1465" i="1"/>
  <c r="J1465" i="1"/>
  <c r="K1465" i="1" s="1"/>
  <c r="AI1465" i="1" s="1"/>
  <c r="AC1465" i="1"/>
  <c r="AD1465" i="1"/>
  <c r="AE1465" i="1"/>
  <c r="AF1465" i="1"/>
  <c r="AG1465" i="1"/>
  <c r="AH1465" i="1"/>
  <c r="F1466" i="1"/>
  <c r="J1466" i="1"/>
  <c r="K1466" i="1" s="1"/>
  <c r="AI1466" i="1" s="1"/>
  <c r="AC1466" i="1"/>
  <c r="AD1466" i="1"/>
  <c r="AE1466" i="1"/>
  <c r="AF1466" i="1"/>
  <c r="AG1466" i="1"/>
  <c r="AH1466" i="1"/>
  <c r="F1467" i="1"/>
  <c r="J1467" i="1"/>
  <c r="K1467" i="1" s="1"/>
  <c r="AI1467" i="1" s="1"/>
  <c r="AC1467" i="1"/>
  <c r="AD1467" i="1"/>
  <c r="AE1467" i="1"/>
  <c r="AF1467" i="1"/>
  <c r="AG1467" i="1"/>
  <c r="AH1467" i="1"/>
  <c r="F1453" i="1"/>
  <c r="J1453" i="1"/>
  <c r="K1453" i="1" s="1"/>
  <c r="AI1453" i="1" s="1"/>
  <c r="AC1453" i="1"/>
  <c r="AD1453" i="1"/>
  <c r="AE1453" i="1"/>
  <c r="AF1453" i="1"/>
  <c r="AG1453" i="1"/>
  <c r="AH1453" i="1"/>
  <c r="F1454" i="1"/>
  <c r="J1454" i="1"/>
  <c r="K1454" i="1" s="1"/>
  <c r="AI1454" i="1" s="1"/>
  <c r="AC1454" i="1"/>
  <c r="AD1454" i="1"/>
  <c r="AE1454" i="1"/>
  <c r="AF1454" i="1"/>
  <c r="AG1454" i="1"/>
  <c r="AH1454" i="1"/>
  <c r="F1455" i="1"/>
  <c r="J1455" i="1"/>
  <c r="K1455" i="1" s="1"/>
  <c r="AI1455" i="1" s="1"/>
  <c r="AC1455" i="1"/>
  <c r="AD1455" i="1"/>
  <c r="AE1455" i="1"/>
  <c r="AF1455" i="1"/>
  <c r="AG1455" i="1"/>
  <c r="AH1455" i="1"/>
  <c r="F1456" i="1"/>
  <c r="J1456" i="1"/>
  <c r="K1456" i="1" s="1"/>
  <c r="AI1456" i="1" s="1"/>
  <c r="AC1456" i="1"/>
  <c r="AD1456" i="1"/>
  <c r="AE1456" i="1"/>
  <c r="AF1456" i="1"/>
  <c r="AG1456" i="1"/>
  <c r="AH1456" i="1"/>
  <c r="F1457" i="1"/>
  <c r="J1457" i="1"/>
  <c r="AC1457" i="1"/>
  <c r="AD1457" i="1"/>
  <c r="AE1457" i="1"/>
  <c r="AF1457" i="1"/>
  <c r="AG1457" i="1"/>
  <c r="AH1457" i="1"/>
  <c r="F1458" i="1"/>
  <c r="J1458" i="1"/>
  <c r="AC1458" i="1"/>
  <c r="AD1458" i="1"/>
  <c r="AE1458" i="1"/>
  <c r="AF1458" i="1"/>
  <c r="AG1458" i="1"/>
  <c r="AH1458" i="1"/>
  <c r="F1459" i="1"/>
  <c r="J1459" i="1"/>
  <c r="K1459" i="1" s="1"/>
  <c r="AI1459" i="1" s="1"/>
  <c r="AC1459" i="1"/>
  <c r="AD1459" i="1"/>
  <c r="AE1459" i="1"/>
  <c r="AF1459" i="1"/>
  <c r="AG1459" i="1"/>
  <c r="AH1459" i="1"/>
  <c r="F1444" i="1"/>
  <c r="J1444" i="1"/>
  <c r="K1444" i="1" s="1"/>
  <c r="AI1444" i="1" s="1"/>
  <c r="AC1444" i="1"/>
  <c r="AD1444" i="1"/>
  <c r="AE1444" i="1"/>
  <c r="AF1444" i="1"/>
  <c r="AG1444" i="1"/>
  <c r="AH1444" i="1"/>
  <c r="F1445" i="1"/>
  <c r="J1445" i="1"/>
  <c r="K1445" i="1" s="1"/>
  <c r="AI1445" i="1" s="1"/>
  <c r="AC1445" i="1"/>
  <c r="AD1445" i="1"/>
  <c r="AE1445" i="1"/>
  <c r="AF1445" i="1"/>
  <c r="AG1445" i="1"/>
  <c r="AH1445" i="1"/>
  <c r="F1446" i="1"/>
  <c r="J1446" i="1"/>
  <c r="K1446" i="1" s="1"/>
  <c r="AI1446" i="1" s="1"/>
  <c r="AC1446" i="1"/>
  <c r="AD1446" i="1"/>
  <c r="AE1446" i="1"/>
  <c r="AF1446" i="1"/>
  <c r="AG1446" i="1"/>
  <c r="AH1446" i="1"/>
  <c r="F1448" i="1"/>
  <c r="J1448" i="1"/>
  <c r="K1448" i="1" s="1"/>
  <c r="AI1448" i="1" s="1"/>
  <c r="AC1448" i="1"/>
  <c r="AD1448" i="1"/>
  <c r="AE1448" i="1"/>
  <c r="AF1448" i="1"/>
  <c r="AG1448" i="1"/>
  <c r="AH1448" i="1"/>
  <c r="F1439" i="1"/>
  <c r="J1439" i="1"/>
  <c r="K1439" i="1" s="1"/>
  <c r="AI1439" i="1" s="1"/>
  <c r="AC1439" i="1"/>
  <c r="AD1439" i="1"/>
  <c r="AE1439" i="1"/>
  <c r="AF1439" i="1"/>
  <c r="AG1439" i="1"/>
  <c r="AH1439" i="1"/>
  <c r="F1440" i="1"/>
  <c r="J1440" i="1"/>
  <c r="AC1440" i="1"/>
  <c r="AD1440" i="1"/>
  <c r="AE1440" i="1"/>
  <c r="AF1440" i="1"/>
  <c r="AG1440" i="1"/>
  <c r="AH1440" i="1"/>
  <c r="F1435" i="1"/>
  <c r="J1435" i="1"/>
  <c r="AC1435" i="1"/>
  <c r="AD1435" i="1"/>
  <c r="AE1435" i="1"/>
  <c r="AF1435" i="1"/>
  <c r="AG1435" i="1"/>
  <c r="AH1435" i="1"/>
  <c r="F1431" i="1"/>
  <c r="J1431" i="1"/>
  <c r="AC1431" i="1"/>
  <c r="AD1431" i="1"/>
  <c r="AE1431" i="1"/>
  <c r="AF1431" i="1"/>
  <c r="AG1431" i="1"/>
  <c r="AH1431" i="1"/>
  <c r="F1433" i="1"/>
  <c r="J1433" i="1"/>
  <c r="K1433" i="1" s="1"/>
  <c r="AI1433" i="1" s="1"/>
  <c r="AC1433" i="1"/>
  <c r="AD1433" i="1"/>
  <c r="AE1433" i="1"/>
  <c r="AF1433" i="1"/>
  <c r="AG1433" i="1"/>
  <c r="AH1433" i="1"/>
  <c r="F1428" i="1"/>
  <c r="J1428" i="1"/>
  <c r="K1428" i="1" s="1"/>
  <c r="AI1428" i="1" s="1"/>
  <c r="AC1428" i="1"/>
  <c r="AD1428" i="1"/>
  <c r="AE1428" i="1"/>
  <c r="AF1428" i="1"/>
  <c r="AG1428" i="1"/>
  <c r="AH1428" i="1"/>
  <c r="F1426" i="1"/>
  <c r="J1426" i="1"/>
  <c r="K1426" i="1" s="1"/>
  <c r="AI1426" i="1" s="1"/>
  <c r="AC1426" i="1"/>
  <c r="AD1426" i="1"/>
  <c r="AE1426" i="1"/>
  <c r="AF1426" i="1"/>
  <c r="AG1426" i="1"/>
  <c r="AH1426" i="1"/>
  <c r="F1421" i="1"/>
  <c r="J1421" i="1"/>
  <c r="K1421" i="1" s="1"/>
  <c r="AI1421" i="1" s="1"/>
  <c r="AC1421" i="1"/>
  <c r="AD1421" i="1"/>
  <c r="AE1421" i="1"/>
  <c r="AF1421" i="1"/>
  <c r="AG1421" i="1"/>
  <c r="AH1421" i="1"/>
  <c r="F1422" i="1"/>
  <c r="J1422" i="1"/>
  <c r="AC1422" i="1"/>
  <c r="AD1422" i="1"/>
  <c r="AE1422" i="1"/>
  <c r="AF1422" i="1"/>
  <c r="AG1422" i="1"/>
  <c r="AH1422" i="1"/>
  <c r="F1415" i="1"/>
  <c r="J1415" i="1"/>
  <c r="AC1415" i="1"/>
  <c r="AD1415" i="1"/>
  <c r="AE1415" i="1"/>
  <c r="AF1415" i="1"/>
  <c r="AG1415" i="1"/>
  <c r="AH1415" i="1"/>
  <c r="F1417" i="1"/>
  <c r="J1417" i="1"/>
  <c r="AC1417" i="1"/>
  <c r="AD1417" i="1"/>
  <c r="AE1417" i="1"/>
  <c r="AF1417" i="1"/>
  <c r="AG1417" i="1"/>
  <c r="AH1417" i="1"/>
  <c r="F1419" i="1"/>
  <c r="J1419" i="1"/>
  <c r="K1419" i="1" s="1"/>
  <c r="AI1419" i="1" s="1"/>
  <c r="AC1419" i="1"/>
  <c r="AD1419" i="1"/>
  <c r="AE1419" i="1"/>
  <c r="AF1419" i="1"/>
  <c r="AG1419" i="1"/>
  <c r="AH1419" i="1"/>
  <c r="F1413" i="1"/>
  <c r="J1413" i="1"/>
  <c r="K1413" i="1" s="1"/>
  <c r="AI1413" i="1" s="1"/>
  <c r="AC1413" i="1"/>
  <c r="AD1413" i="1"/>
  <c r="AE1413" i="1"/>
  <c r="AF1413" i="1"/>
  <c r="AG1413" i="1"/>
  <c r="AH1413" i="1"/>
  <c r="F1405" i="1"/>
  <c r="J1405" i="1"/>
  <c r="K1405" i="1" s="1"/>
  <c r="AI1405" i="1" s="1"/>
  <c r="AC1405" i="1"/>
  <c r="AD1405" i="1"/>
  <c r="AE1405" i="1"/>
  <c r="AF1405" i="1"/>
  <c r="AG1405" i="1"/>
  <c r="AH1405" i="1"/>
  <c r="F1406" i="1"/>
  <c r="J1406" i="1"/>
  <c r="K1406" i="1" s="1"/>
  <c r="AI1406" i="1" s="1"/>
  <c r="AC1406" i="1"/>
  <c r="AD1406" i="1"/>
  <c r="AE1406" i="1"/>
  <c r="AF1406" i="1"/>
  <c r="AG1406" i="1"/>
  <c r="AH1406" i="1"/>
  <c r="F1407" i="1"/>
  <c r="J1407" i="1"/>
  <c r="K1407" i="1" s="1"/>
  <c r="AI1407" i="1" s="1"/>
  <c r="AC1407" i="1"/>
  <c r="AD1407" i="1"/>
  <c r="AE1407" i="1"/>
  <c r="AF1407" i="1"/>
  <c r="AG1407" i="1"/>
  <c r="AH1407" i="1"/>
  <c r="F1408" i="1"/>
  <c r="J1408" i="1"/>
  <c r="AC1408" i="1"/>
  <c r="AD1408" i="1"/>
  <c r="AE1408" i="1"/>
  <c r="AF1408" i="1"/>
  <c r="AG1408" i="1"/>
  <c r="AH1408" i="1"/>
  <c r="F1409" i="1"/>
  <c r="J1409" i="1"/>
  <c r="AC1409" i="1"/>
  <c r="AD1409" i="1"/>
  <c r="AE1409" i="1"/>
  <c r="AF1409" i="1"/>
  <c r="AG1409" i="1"/>
  <c r="AH1409" i="1"/>
  <c r="F1410" i="1"/>
  <c r="J1410" i="1"/>
  <c r="AC1410" i="1"/>
  <c r="AD1410" i="1"/>
  <c r="AE1410" i="1"/>
  <c r="AF1410" i="1"/>
  <c r="AG1410" i="1"/>
  <c r="AH1410" i="1"/>
  <c r="F1401" i="1"/>
  <c r="J1401" i="1"/>
  <c r="AC1401" i="1"/>
  <c r="AD1401" i="1"/>
  <c r="AE1401" i="1"/>
  <c r="AF1401" i="1"/>
  <c r="AG1401" i="1"/>
  <c r="AH1401" i="1"/>
  <c r="F1402" i="1"/>
  <c r="J1402" i="1"/>
  <c r="K1402" i="1" s="1"/>
  <c r="AI1402" i="1" s="1"/>
  <c r="AC1402" i="1"/>
  <c r="AD1402" i="1"/>
  <c r="AE1402" i="1"/>
  <c r="AF1402" i="1"/>
  <c r="AG1402" i="1"/>
  <c r="AH1402" i="1"/>
  <c r="F1398" i="1"/>
  <c r="J1398" i="1"/>
  <c r="K1398" i="1" s="1"/>
  <c r="AI1398" i="1" s="1"/>
  <c r="AC1398" i="1"/>
  <c r="AD1398" i="1"/>
  <c r="AE1398" i="1"/>
  <c r="AF1398" i="1"/>
  <c r="AG1398" i="1"/>
  <c r="AH1398" i="1"/>
  <c r="F1394" i="1"/>
  <c r="J1394" i="1"/>
  <c r="K1394" i="1" s="1"/>
  <c r="AI1394" i="1" s="1"/>
  <c r="AC1394" i="1"/>
  <c r="AD1394" i="1"/>
  <c r="AE1394" i="1"/>
  <c r="AF1394" i="1"/>
  <c r="AG1394" i="1"/>
  <c r="AH1394" i="1"/>
  <c r="F1395" i="1"/>
  <c r="J1395" i="1"/>
  <c r="K1395" i="1" s="1"/>
  <c r="AI1395" i="1" s="1"/>
  <c r="AC1395" i="1"/>
  <c r="AD1395" i="1"/>
  <c r="AE1395" i="1"/>
  <c r="AF1395" i="1"/>
  <c r="AG1395" i="1"/>
  <c r="AH1395" i="1"/>
  <c r="F1396" i="1"/>
  <c r="J1396" i="1"/>
  <c r="AC1396" i="1"/>
  <c r="AD1396" i="1"/>
  <c r="AE1396" i="1"/>
  <c r="AF1396" i="1"/>
  <c r="AG1396" i="1"/>
  <c r="AH1396" i="1"/>
  <c r="F1391" i="1"/>
  <c r="J1391" i="1"/>
  <c r="AC1391" i="1"/>
  <c r="AD1391" i="1"/>
  <c r="AE1391" i="1"/>
  <c r="AF1391" i="1"/>
  <c r="AG1391" i="1"/>
  <c r="AH1391" i="1"/>
  <c r="F1388" i="1"/>
  <c r="J1388" i="1"/>
  <c r="AC1388" i="1"/>
  <c r="AD1388" i="1"/>
  <c r="AE1388" i="1"/>
  <c r="AF1388" i="1"/>
  <c r="AG1388" i="1"/>
  <c r="AH1388" i="1"/>
  <c r="F1386" i="1"/>
  <c r="J1386" i="1"/>
  <c r="K1386" i="1" s="1"/>
  <c r="AI1386" i="1" s="1"/>
  <c r="AC1386" i="1"/>
  <c r="AD1386" i="1"/>
  <c r="AE1386" i="1"/>
  <c r="AF1386" i="1"/>
  <c r="AG1386" i="1"/>
  <c r="AH1386" i="1"/>
  <c r="F1381" i="1"/>
  <c r="J1381" i="1"/>
  <c r="AC1381" i="1"/>
  <c r="AD1381" i="1"/>
  <c r="AE1381" i="1"/>
  <c r="AF1381" i="1"/>
  <c r="AG1381" i="1"/>
  <c r="AH1381" i="1"/>
  <c r="F1382" i="1"/>
  <c r="J1382" i="1"/>
  <c r="K1382" i="1" s="1"/>
  <c r="AI1382" i="1" s="1"/>
  <c r="AC1382" i="1"/>
  <c r="AD1382" i="1"/>
  <c r="AE1382" i="1"/>
  <c r="AF1382" i="1"/>
  <c r="AG1382" i="1"/>
  <c r="AH1382" i="1"/>
  <c r="F1383" i="1"/>
  <c r="J1383" i="1"/>
  <c r="K1383" i="1" s="1"/>
  <c r="AI1383" i="1" s="1"/>
  <c r="AC1383" i="1"/>
  <c r="AD1383" i="1"/>
  <c r="AE1383" i="1"/>
  <c r="AF1383" i="1"/>
  <c r="AG1383" i="1"/>
  <c r="AH1383" i="1"/>
  <c r="F1384" i="1"/>
  <c r="J1384" i="1"/>
  <c r="K1384" i="1" s="1"/>
  <c r="AI1384" i="1" s="1"/>
  <c r="AC1384" i="1"/>
  <c r="AD1384" i="1"/>
  <c r="AE1384" i="1"/>
  <c r="AF1384" i="1"/>
  <c r="AG1384" i="1"/>
  <c r="AH1384" i="1"/>
  <c r="F1374" i="1"/>
  <c r="J1374" i="1"/>
  <c r="AC1374" i="1"/>
  <c r="AD1374" i="1"/>
  <c r="AE1374" i="1"/>
  <c r="AF1374" i="1"/>
  <c r="AG1374" i="1"/>
  <c r="AH1374" i="1"/>
  <c r="F1375" i="1"/>
  <c r="J1375" i="1"/>
  <c r="AC1375" i="1"/>
  <c r="AD1375" i="1"/>
  <c r="AE1375" i="1"/>
  <c r="AF1375" i="1"/>
  <c r="AG1375" i="1"/>
  <c r="AH1375" i="1"/>
  <c r="F1376" i="1"/>
  <c r="J1376" i="1"/>
  <c r="AC1376" i="1"/>
  <c r="AD1376" i="1"/>
  <c r="AE1376" i="1"/>
  <c r="AF1376" i="1"/>
  <c r="AG1376" i="1"/>
  <c r="AH1376" i="1"/>
  <c r="F1359" i="1"/>
  <c r="J1359" i="1"/>
  <c r="K1359" i="1" s="1"/>
  <c r="AI1359" i="1" s="1"/>
  <c r="AC1359" i="1"/>
  <c r="AD1359" i="1"/>
  <c r="AE1359" i="1"/>
  <c r="AF1359" i="1"/>
  <c r="AG1359" i="1"/>
  <c r="AH1359" i="1"/>
  <c r="F1361" i="1"/>
  <c r="J1361" i="1"/>
  <c r="K1361" i="1" s="1"/>
  <c r="AI1361" i="1" s="1"/>
  <c r="AC1361" i="1"/>
  <c r="AD1361" i="1"/>
  <c r="AE1361" i="1"/>
  <c r="AF1361" i="1"/>
  <c r="AG1361" i="1"/>
  <c r="AH1361" i="1"/>
  <c r="F1362" i="1"/>
  <c r="J1362" i="1"/>
  <c r="AC1362" i="1"/>
  <c r="AD1362" i="1"/>
  <c r="AE1362" i="1"/>
  <c r="AF1362" i="1"/>
  <c r="AG1362" i="1"/>
  <c r="AH1362" i="1"/>
  <c r="F1363" i="1"/>
  <c r="J1363" i="1"/>
  <c r="K1363" i="1" s="1"/>
  <c r="AI1363" i="1" s="1"/>
  <c r="AC1363" i="1"/>
  <c r="AD1363" i="1"/>
  <c r="AE1363" i="1"/>
  <c r="AF1363" i="1"/>
  <c r="AG1363" i="1"/>
  <c r="AH1363" i="1"/>
  <c r="F1365" i="1"/>
  <c r="J1365" i="1"/>
  <c r="K1365" i="1" s="1"/>
  <c r="AI1365" i="1" s="1"/>
  <c r="AC1365" i="1"/>
  <c r="AD1365" i="1"/>
  <c r="AE1365" i="1"/>
  <c r="AF1365" i="1"/>
  <c r="AG1365" i="1"/>
  <c r="AH1365" i="1"/>
  <c r="F1366" i="1"/>
  <c r="J1366" i="1"/>
  <c r="AC1366" i="1"/>
  <c r="AD1366" i="1"/>
  <c r="AE1366" i="1"/>
  <c r="AF1366" i="1"/>
  <c r="AG1366" i="1"/>
  <c r="AH1366" i="1"/>
  <c r="F1357" i="1"/>
  <c r="J1357" i="1"/>
  <c r="K1357" i="1" s="1"/>
  <c r="AI1357" i="1" s="1"/>
  <c r="AC1357" i="1"/>
  <c r="AD1357" i="1"/>
  <c r="AE1357" i="1"/>
  <c r="AF1357" i="1"/>
  <c r="AG1357" i="1"/>
  <c r="AH1357" i="1"/>
  <c r="F1353" i="1"/>
  <c r="J1353" i="1"/>
  <c r="AC1353" i="1"/>
  <c r="AD1353" i="1"/>
  <c r="AE1353" i="1"/>
  <c r="AF1353" i="1"/>
  <c r="AG1353" i="1"/>
  <c r="AH1353" i="1"/>
  <c r="F1355" i="1"/>
  <c r="J1355" i="1"/>
  <c r="K1355" i="1" s="1"/>
  <c r="AI1355" i="1" s="1"/>
  <c r="AC1355" i="1"/>
  <c r="AD1355" i="1"/>
  <c r="AE1355" i="1"/>
  <c r="AF1355" i="1"/>
  <c r="AG1355" i="1"/>
  <c r="AH1355" i="1"/>
  <c r="F1347" i="1"/>
  <c r="J1347" i="1"/>
  <c r="K1347" i="1" s="1"/>
  <c r="AI1347" i="1" s="1"/>
  <c r="AC1347" i="1"/>
  <c r="AD1347" i="1"/>
  <c r="AE1347" i="1"/>
  <c r="AF1347" i="1"/>
  <c r="AG1347" i="1"/>
  <c r="AH1347" i="1"/>
  <c r="F1348" i="1"/>
  <c r="J1348" i="1"/>
  <c r="K1348" i="1" s="1"/>
  <c r="AI1348" i="1" s="1"/>
  <c r="AC1348" i="1"/>
  <c r="AD1348" i="1"/>
  <c r="AE1348" i="1"/>
  <c r="AF1348" i="1"/>
  <c r="AG1348" i="1"/>
  <c r="AH1348" i="1"/>
  <c r="F1349" i="1"/>
  <c r="J1349" i="1"/>
  <c r="K1349" i="1" s="1"/>
  <c r="AI1349" i="1" s="1"/>
  <c r="AC1349" i="1"/>
  <c r="AD1349" i="1"/>
  <c r="AE1349" i="1"/>
  <c r="AF1349" i="1"/>
  <c r="AG1349" i="1"/>
  <c r="AH1349" i="1"/>
  <c r="F1344" i="1"/>
  <c r="J1344" i="1"/>
  <c r="K1344" i="1" s="1"/>
  <c r="AI1344" i="1" s="1"/>
  <c r="AC1344" i="1"/>
  <c r="AD1344" i="1"/>
  <c r="AE1344" i="1"/>
  <c r="AF1344" i="1"/>
  <c r="AG1344" i="1"/>
  <c r="AH1344" i="1"/>
  <c r="F1339" i="1"/>
  <c r="J1339" i="1"/>
  <c r="AC1339" i="1"/>
  <c r="AD1339" i="1"/>
  <c r="AE1339" i="1"/>
  <c r="AF1339" i="1"/>
  <c r="AG1339" i="1"/>
  <c r="AH1339" i="1"/>
  <c r="F1340" i="1"/>
  <c r="J1340" i="1"/>
  <c r="K1340" i="1" s="1"/>
  <c r="AI1340" i="1" s="1"/>
  <c r="AC1340" i="1"/>
  <c r="AD1340" i="1"/>
  <c r="AE1340" i="1"/>
  <c r="AF1340" i="1"/>
  <c r="AG1340" i="1"/>
  <c r="AH1340" i="1"/>
  <c r="F1336" i="1"/>
  <c r="J1336" i="1"/>
  <c r="AC1336" i="1"/>
  <c r="AD1336" i="1"/>
  <c r="AE1336" i="1"/>
  <c r="AF1336" i="1"/>
  <c r="AG1336" i="1"/>
  <c r="AH1336" i="1"/>
  <c r="F1337" i="1"/>
  <c r="J1337" i="1"/>
  <c r="K1337" i="1" s="1"/>
  <c r="AI1337" i="1" s="1"/>
  <c r="AC1337" i="1"/>
  <c r="AD1337" i="1"/>
  <c r="AE1337" i="1"/>
  <c r="AF1337" i="1"/>
  <c r="AG1337" i="1"/>
  <c r="AH1337" i="1"/>
  <c r="F1331" i="1"/>
  <c r="J1331" i="1"/>
  <c r="K1331" i="1" s="1"/>
  <c r="AI1331" i="1" s="1"/>
  <c r="AC1331" i="1"/>
  <c r="AD1331" i="1"/>
  <c r="AE1331" i="1"/>
  <c r="AF1331" i="1"/>
  <c r="AG1331" i="1"/>
  <c r="AH1331" i="1"/>
  <c r="F1332" i="1"/>
  <c r="J1332" i="1"/>
  <c r="K1332" i="1" s="1"/>
  <c r="AI1332" i="1" s="1"/>
  <c r="AC1332" i="1"/>
  <c r="AD1332" i="1"/>
  <c r="AE1332" i="1"/>
  <c r="AF1332" i="1"/>
  <c r="AG1332" i="1"/>
  <c r="AH1332" i="1"/>
  <c r="F1326" i="1"/>
  <c r="J1326" i="1"/>
  <c r="K1326" i="1" s="1"/>
  <c r="AI1326" i="1" s="1"/>
  <c r="AC1326" i="1"/>
  <c r="AD1326" i="1"/>
  <c r="AE1326" i="1"/>
  <c r="AF1326" i="1"/>
  <c r="AG1326" i="1"/>
  <c r="AH1326" i="1"/>
  <c r="F1328" i="1"/>
  <c r="J1328" i="1"/>
  <c r="K1328" i="1" s="1"/>
  <c r="AI1328" i="1" s="1"/>
  <c r="AC1328" i="1"/>
  <c r="AD1328" i="1"/>
  <c r="AE1328" i="1"/>
  <c r="AF1328" i="1"/>
  <c r="AG1328" i="1"/>
  <c r="AH1328" i="1"/>
  <c r="F1320" i="1"/>
  <c r="J1320" i="1"/>
  <c r="AC1320" i="1"/>
  <c r="AD1320" i="1"/>
  <c r="AE1320" i="1"/>
  <c r="AF1320" i="1"/>
  <c r="AG1320" i="1"/>
  <c r="AH1320" i="1"/>
  <c r="F1321" i="1"/>
  <c r="J1321" i="1"/>
  <c r="K1321" i="1" s="1"/>
  <c r="AI1321" i="1" s="1"/>
  <c r="AC1321" i="1"/>
  <c r="AD1321" i="1"/>
  <c r="AE1321" i="1"/>
  <c r="AF1321" i="1"/>
  <c r="AG1321" i="1"/>
  <c r="AH1321" i="1"/>
  <c r="F1322" i="1"/>
  <c r="J1322" i="1"/>
  <c r="K1322" i="1" s="1"/>
  <c r="AI1322" i="1" s="1"/>
  <c r="AC1322" i="1"/>
  <c r="AD1322" i="1"/>
  <c r="AE1322" i="1"/>
  <c r="AF1322" i="1"/>
  <c r="AG1322" i="1"/>
  <c r="AH1322" i="1"/>
  <c r="F1323" i="1"/>
  <c r="J1323" i="1"/>
  <c r="K1323" i="1" s="1"/>
  <c r="AI1323" i="1" s="1"/>
  <c r="AC1323" i="1"/>
  <c r="AD1323" i="1"/>
  <c r="AE1323" i="1"/>
  <c r="AF1323" i="1"/>
  <c r="AG1323" i="1"/>
  <c r="AH1323" i="1"/>
  <c r="F1317" i="1"/>
  <c r="J1317" i="1"/>
  <c r="K1317" i="1" s="1"/>
  <c r="AI1317" i="1" s="1"/>
  <c r="AC1317" i="1"/>
  <c r="AD1317" i="1"/>
  <c r="AE1317" i="1"/>
  <c r="AF1317" i="1"/>
  <c r="AG1317" i="1"/>
  <c r="AH1317" i="1"/>
  <c r="F1318" i="1"/>
  <c r="J1318" i="1"/>
  <c r="K1318" i="1" s="1"/>
  <c r="AI1318" i="1" s="1"/>
  <c r="AC1318" i="1"/>
  <c r="AD1318" i="1"/>
  <c r="AE1318" i="1"/>
  <c r="AF1318" i="1"/>
  <c r="AG1318" i="1"/>
  <c r="AH1318" i="1"/>
  <c r="F1314" i="1"/>
  <c r="J1314" i="1"/>
  <c r="AC1314" i="1"/>
  <c r="AD1314" i="1"/>
  <c r="AE1314" i="1"/>
  <c r="AF1314" i="1"/>
  <c r="AG1314" i="1"/>
  <c r="AH1314" i="1"/>
  <c r="F1315" i="1"/>
  <c r="J1315" i="1"/>
  <c r="K1315" i="1" s="1"/>
  <c r="AI1315" i="1" s="1"/>
  <c r="AC1315" i="1"/>
  <c r="AD1315" i="1"/>
  <c r="AE1315" i="1"/>
  <c r="AF1315" i="1"/>
  <c r="AG1315" i="1"/>
  <c r="AH1315" i="1"/>
  <c r="F1304" i="1"/>
  <c r="J1304" i="1"/>
  <c r="K1304" i="1" s="1"/>
  <c r="AI1304" i="1" s="1"/>
  <c r="AC1304" i="1"/>
  <c r="AD1304" i="1"/>
  <c r="AE1304" i="1"/>
  <c r="AF1304" i="1"/>
  <c r="AG1304" i="1"/>
  <c r="AH1304" i="1"/>
  <c r="F1305" i="1"/>
  <c r="J1305" i="1"/>
  <c r="K1305" i="1" s="1"/>
  <c r="AI1305" i="1" s="1"/>
  <c r="AC1305" i="1"/>
  <c r="AD1305" i="1"/>
  <c r="AE1305" i="1"/>
  <c r="AF1305" i="1"/>
  <c r="AG1305" i="1"/>
  <c r="AH1305" i="1"/>
  <c r="F1306" i="1"/>
  <c r="J1306" i="1"/>
  <c r="K1306" i="1" s="1"/>
  <c r="AI1306" i="1" s="1"/>
  <c r="AC1306" i="1"/>
  <c r="AD1306" i="1"/>
  <c r="AE1306" i="1"/>
  <c r="AF1306" i="1"/>
  <c r="AG1306" i="1"/>
  <c r="AH1306" i="1"/>
  <c r="F1307" i="1"/>
  <c r="J1307" i="1"/>
  <c r="K1307" i="1" s="1"/>
  <c r="AI1307" i="1" s="1"/>
  <c r="AC1307" i="1"/>
  <c r="AD1307" i="1"/>
  <c r="AE1307" i="1"/>
  <c r="AF1307" i="1"/>
  <c r="AG1307" i="1"/>
  <c r="AH1307" i="1"/>
  <c r="F1308" i="1"/>
  <c r="J1308" i="1"/>
  <c r="K1308" i="1" s="1"/>
  <c r="AI1308" i="1" s="1"/>
  <c r="AC1308" i="1"/>
  <c r="AD1308" i="1"/>
  <c r="AE1308" i="1"/>
  <c r="AF1308" i="1"/>
  <c r="AG1308" i="1"/>
  <c r="AH1308" i="1"/>
  <c r="F1309" i="1"/>
  <c r="J1309" i="1"/>
  <c r="AC1309" i="1"/>
  <c r="AD1309" i="1"/>
  <c r="AE1309" i="1"/>
  <c r="AF1309" i="1"/>
  <c r="AG1309" i="1"/>
  <c r="AH1309" i="1"/>
  <c r="F1311" i="1"/>
  <c r="J1311" i="1"/>
  <c r="K1311" i="1" s="1"/>
  <c r="AI1311" i="1" s="1"/>
  <c r="AC1311" i="1"/>
  <c r="AD1311" i="1"/>
  <c r="AE1311" i="1"/>
  <c r="AF1311" i="1"/>
  <c r="AG1311" i="1"/>
  <c r="AH1311" i="1"/>
  <c r="F1312" i="1"/>
  <c r="J1312" i="1"/>
  <c r="K1312" i="1" s="1"/>
  <c r="AI1312" i="1" s="1"/>
  <c r="AC1312" i="1"/>
  <c r="AD1312" i="1"/>
  <c r="AE1312" i="1"/>
  <c r="AF1312" i="1"/>
  <c r="AG1312" i="1"/>
  <c r="AH1312" i="1"/>
  <c r="F1300" i="1"/>
  <c r="J1300" i="1"/>
  <c r="K1300" i="1" s="1"/>
  <c r="AI1300" i="1" s="1"/>
  <c r="AC1300" i="1"/>
  <c r="AD1300" i="1"/>
  <c r="AE1300" i="1"/>
  <c r="AF1300" i="1"/>
  <c r="AG1300" i="1"/>
  <c r="AH1300" i="1"/>
  <c r="F1294" i="1"/>
  <c r="J1294" i="1"/>
  <c r="K1294" i="1" s="1"/>
  <c r="AI1294" i="1" s="1"/>
  <c r="AC1294" i="1"/>
  <c r="AD1294" i="1"/>
  <c r="AE1294" i="1"/>
  <c r="AF1294" i="1"/>
  <c r="AG1294" i="1"/>
  <c r="AH1294" i="1"/>
  <c r="F1295" i="1"/>
  <c r="J1295" i="1"/>
  <c r="K1295" i="1" s="1"/>
  <c r="AI1295" i="1" s="1"/>
  <c r="AC1295" i="1"/>
  <c r="AD1295" i="1"/>
  <c r="AE1295" i="1"/>
  <c r="AF1295" i="1"/>
  <c r="AG1295" i="1"/>
  <c r="AH1295" i="1"/>
  <c r="F1296" i="1"/>
  <c r="J1296" i="1"/>
  <c r="K1296" i="1" s="1"/>
  <c r="AI1296" i="1" s="1"/>
  <c r="AC1296" i="1"/>
  <c r="AD1296" i="1"/>
  <c r="AE1296" i="1"/>
  <c r="AF1296" i="1"/>
  <c r="AG1296" i="1"/>
  <c r="AH1296" i="1"/>
  <c r="F1297" i="1"/>
  <c r="J1297" i="1"/>
  <c r="K1297" i="1" s="1"/>
  <c r="AI1297" i="1" s="1"/>
  <c r="AC1297" i="1"/>
  <c r="AD1297" i="1"/>
  <c r="AE1297" i="1"/>
  <c r="AF1297" i="1"/>
  <c r="AG1297" i="1"/>
  <c r="AH1297" i="1"/>
  <c r="F1292" i="1"/>
  <c r="J1292" i="1"/>
  <c r="K1292" i="1" s="1"/>
  <c r="AI1292" i="1" s="1"/>
  <c r="AC1292" i="1"/>
  <c r="AD1292" i="1"/>
  <c r="AE1292" i="1"/>
  <c r="AF1292" i="1"/>
  <c r="AG1292" i="1"/>
  <c r="AH1292" i="1"/>
  <c r="F1288" i="1"/>
  <c r="J1288" i="1"/>
  <c r="K1288" i="1" s="1"/>
  <c r="AI1288" i="1" s="1"/>
  <c r="AC1288" i="1"/>
  <c r="AD1288" i="1"/>
  <c r="AE1288" i="1"/>
  <c r="AF1288" i="1"/>
  <c r="AG1288" i="1"/>
  <c r="AH1288" i="1"/>
  <c r="F1289" i="1"/>
  <c r="J1289" i="1"/>
  <c r="K1289" i="1" s="1"/>
  <c r="AI1289" i="1" s="1"/>
  <c r="AC1289" i="1"/>
  <c r="AD1289" i="1"/>
  <c r="AE1289" i="1"/>
  <c r="AF1289" i="1"/>
  <c r="AG1289" i="1"/>
  <c r="AH1289" i="1"/>
  <c r="F1286" i="1"/>
  <c r="J1286" i="1"/>
  <c r="K1286" i="1" s="1"/>
  <c r="AI1286" i="1" s="1"/>
  <c r="AC1286" i="1"/>
  <c r="AD1286" i="1"/>
  <c r="AE1286" i="1"/>
  <c r="AF1286" i="1"/>
  <c r="AG1286" i="1"/>
  <c r="AH1286" i="1"/>
  <c r="F1282" i="1"/>
  <c r="J1282" i="1"/>
  <c r="K1282" i="1" s="1"/>
  <c r="AI1282" i="1" s="1"/>
  <c r="AC1282" i="1"/>
  <c r="AD1282" i="1"/>
  <c r="AE1282" i="1"/>
  <c r="AF1282" i="1"/>
  <c r="AG1282" i="1"/>
  <c r="AH1282" i="1"/>
  <c r="F1283" i="1"/>
  <c r="J1283" i="1"/>
  <c r="K1283" i="1" s="1"/>
  <c r="AI1283" i="1" s="1"/>
  <c r="AC1283" i="1"/>
  <c r="AD1283" i="1"/>
  <c r="AE1283" i="1"/>
  <c r="AF1283" i="1"/>
  <c r="AG1283" i="1"/>
  <c r="AH1283" i="1"/>
  <c r="F1280" i="1"/>
  <c r="J1280" i="1"/>
  <c r="K1280" i="1" s="1"/>
  <c r="AI1280" i="1" s="1"/>
  <c r="AC1280" i="1"/>
  <c r="AD1280" i="1"/>
  <c r="AE1280" i="1"/>
  <c r="AF1280" i="1"/>
  <c r="AG1280" i="1"/>
  <c r="AH1280" i="1"/>
  <c r="F1275" i="1"/>
  <c r="J1275" i="1"/>
  <c r="K1275" i="1" s="1"/>
  <c r="AI1275" i="1" s="1"/>
  <c r="AC1275" i="1"/>
  <c r="AD1275" i="1"/>
  <c r="AE1275" i="1"/>
  <c r="AF1275" i="1"/>
  <c r="AG1275" i="1"/>
  <c r="AH1275" i="1"/>
  <c r="F1276" i="1"/>
  <c r="J1276" i="1"/>
  <c r="K1276" i="1" s="1"/>
  <c r="AI1276" i="1" s="1"/>
  <c r="AC1276" i="1"/>
  <c r="AD1276" i="1"/>
  <c r="AE1276" i="1"/>
  <c r="AF1276" i="1"/>
  <c r="AG1276" i="1"/>
  <c r="AH1276" i="1"/>
  <c r="F1270" i="1"/>
  <c r="J1270" i="1"/>
  <c r="K1270" i="1" s="1"/>
  <c r="AI1270" i="1" s="1"/>
  <c r="AC1270" i="1"/>
  <c r="AD1270" i="1"/>
  <c r="AE1270" i="1"/>
  <c r="AF1270" i="1"/>
  <c r="AG1270" i="1"/>
  <c r="AH1270" i="1"/>
  <c r="F1271" i="1"/>
  <c r="J1271" i="1"/>
  <c r="K1271" i="1" s="1"/>
  <c r="AI1271" i="1" s="1"/>
  <c r="AC1271" i="1"/>
  <c r="AD1271" i="1"/>
  <c r="AE1271" i="1"/>
  <c r="AF1271" i="1"/>
  <c r="AG1271" i="1"/>
  <c r="AH1271" i="1"/>
  <c r="F1272" i="1"/>
  <c r="J1272" i="1"/>
  <c r="K1272" i="1" s="1"/>
  <c r="AI1272" i="1" s="1"/>
  <c r="AC1272" i="1"/>
  <c r="AD1272" i="1"/>
  <c r="AE1272" i="1"/>
  <c r="AF1272" i="1"/>
  <c r="AG1272" i="1"/>
  <c r="AH1272" i="1"/>
  <c r="F1267" i="1"/>
  <c r="J1267" i="1"/>
  <c r="K1267" i="1" s="1"/>
  <c r="AI1267" i="1" s="1"/>
  <c r="AC1267" i="1"/>
  <c r="AD1267" i="1"/>
  <c r="AE1267" i="1"/>
  <c r="AF1267" i="1"/>
  <c r="AG1267" i="1"/>
  <c r="AH1267" i="1"/>
  <c r="F1265" i="1"/>
  <c r="J1265" i="1"/>
  <c r="K1265" i="1" s="1"/>
  <c r="AI1265" i="1" s="1"/>
  <c r="AC1265" i="1"/>
  <c r="AD1265" i="1"/>
  <c r="AE1265" i="1"/>
  <c r="AF1265" i="1"/>
  <c r="AG1265" i="1"/>
  <c r="AH1265" i="1"/>
  <c r="F1259" i="1"/>
  <c r="J1259" i="1"/>
  <c r="AC1259" i="1"/>
  <c r="AD1259" i="1"/>
  <c r="AE1259" i="1"/>
  <c r="AF1259" i="1"/>
  <c r="AG1259" i="1"/>
  <c r="AH1259" i="1"/>
  <c r="F1260" i="1"/>
  <c r="J1260" i="1"/>
  <c r="K1260" i="1" s="1"/>
  <c r="AI1260" i="1" s="1"/>
  <c r="AC1260" i="1"/>
  <c r="AD1260" i="1"/>
  <c r="AE1260" i="1"/>
  <c r="AF1260" i="1"/>
  <c r="AG1260" i="1"/>
  <c r="AH1260" i="1"/>
  <c r="F1261" i="1"/>
  <c r="J1261" i="1"/>
  <c r="K1261" i="1" s="1"/>
  <c r="AI1261" i="1" s="1"/>
  <c r="AC1261" i="1"/>
  <c r="AD1261" i="1"/>
  <c r="AE1261" i="1"/>
  <c r="AF1261" i="1"/>
  <c r="AG1261" i="1"/>
  <c r="AH1261" i="1"/>
  <c r="F1263" i="1"/>
  <c r="J1263" i="1"/>
  <c r="K1263" i="1" s="1"/>
  <c r="AI1263" i="1" s="1"/>
  <c r="AC1263" i="1"/>
  <c r="AD1263" i="1"/>
  <c r="AE1263" i="1"/>
  <c r="AF1263" i="1"/>
  <c r="AG1263" i="1"/>
  <c r="AH1263" i="1"/>
  <c r="F1252" i="1"/>
  <c r="J1252" i="1"/>
  <c r="K1252" i="1" s="1"/>
  <c r="AI1252" i="1" s="1"/>
  <c r="AC1252" i="1"/>
  <c r="AD1252" i="1"/>
  <c r="AE1252" i="1"/>
  <c r="AF1252" i="1"/>
  <c r="AG1252" i="1"/>
  <c r="AH1252" i="1"/>
  <c r="F1253" i="1"/>
  <c r="J1253" i="1"/>
  <c r="K1253" i="1" s="1"/>
  <c r="AI1253" i="1" s="1"/>
  <c r="AC1253" i="1"/>
  <c r="AD1253" i="1"/>
  <c r="AE1253" i="1"/>
  <c r="AF1253" i="1"/>
  <c r="AG1253" i="1"/>
  <c r="AH1253" i="1"/>
  <c r="F1254" i="1"/>
  <c r="J1254" i="1"/>
  <c r="K1254" i="1" s="1"/>
  <c r="AI1254" i="1" s="1"/>
  <c r="AC1254" i="1"/>
  <c r="AD1254" i="1"/>
  <c r="AE1254" i="1"/>
  <c r="AF1254" i="1"/>
  <c r="AG1254" i="1"/>
  <c r="AH1254" i="1"/>
  <c r="F1256" i="1"/>
  <c r="J1256" i="1"/>
  <c r="K1256" i="1" s="1"/>
  <c r="AI1256" i="1" s="1"/>
  <c r="AC1256" i="1"/>
  <c r="AD1256" i="1"/>
  <c r="AE1256" i="1"/>
  <c r="AF1256" i="1"/>
  <c r="AG1256" i="1"/>
  <c r="AH1256" i="1"/>
  <c r="F1250" i="1"/>
  <c r="J1250" i="1"/>
  <c r="K1250" i="1" s="1"/>
  <c r="AI1250" i="1" s="1"/>
  <c r="AC1250" i="1"/>
  <c r="AD1250" i="1"/>
  <c r="AE1250" i="1"/>
  <c r="AF1250" i="1"/>
  <c r="AG1250" i="1"/>
  <c r="AH1250" i="1"/>
  <c r="F1241" i="1"/>
  <c r="J1241" i="1"/>
  <c r="K1241" i="1" s="1"/>
  <c r="AI1241" i="1" s="1"/>
  <c r="AC1241" i="1"/>
  <c r="AD1241" i="1"/>
  <c r="AE1241" i="1"/>
  <c r="AF1241" i="1"/>
  <c r="AG1241" i="1"/>
  <c r="AH1241" i="1"/>
  <c r="F1242" i="1"/>
  <c r="J1242" i="1"/>
  <c r="K1242" i="1" s="1"/>
  <c r="AI1242" i="1" s="1"/>
  <c r="AC1242" i="1"/>
  <c r="AD1242" i="1"/>
  <c r="AE1242" i="1"/>
  <c r="AF1242" i="1"/>
  <c r="AG1242" i="1"/>
  <c r="AH1242" i="1"/>
  <c r="F1243" i="1"/>
  <c r="J1243" i="1"/>
  <c r="K1243" i="1" s="1"/>
  <c r="AI1243" i="1" s="1"/>
  <c r="AC1243" i="1"/>
  <c r="AD1243" i="1"/>
  <c r="AE1243" i="1"/>
  <c r="AF1243" i="1"/>
  <c r="AG1243" i="1"/>
  <c r="AH1243" i="1"/>
  <c r="F1244" i="1"/>
  <c r="J1244" i="1"/>
  <c r="K1244" i="1" s="1"/>
  <c r="AI1244" i="1" s="1"/>
  <c r="AC1244" i="1"/>
  <c r="AD1244" i="1"/>
  <c r="AE1244" i="1"/>
  <c r="AF1244" i="1"/>
  <c r="AG1244" i="1"/>
  <c r="AH1244" i="1"/>
  <c r="F1246" i="1"/>
  <c r="J1246" i="1"/>
  <c r="K1246" i="1" s="1"/>
  <c r="AI1246" i="1" s="1"/>
  <c r="AC1246" i="1"/>
  <c r="AD1246" i="1"/>
  <c r="AE1246" i="1"/>
  <c r="AF1246" i="1"/>
  <c r="AG1246" i="1"/>
  <c r="AH1246" i="1"/>
  <c r="F1247" i="1"/>
  <c r="J1247" i="1"/>
  <c r="K1247" i="1" s="1"/>
  <c r="AI1247" i="1" s="1"/>
  <c r="AC1247" i="1"/>
  <c r="AD1247" i="1"/>
  <c r="AE1247" i="1"/>
  <c r="AF1247" i="1"/>
  <c r="AG1247" i="1"/>
  <c r="AH1247" i="1"/>
  <c r="F1230" i="1"/>
  <c r="J1230" i="1"/>
  <c r="K1230" i="1" s="1"/>
  <c r="AI1230" i="1" s="1"/>
  <c r="AC1230" i="1"/>
  <c r="AD1230" i="1"/>
  <c r="AE1230" i="1"/>
  <c r="AF1230" i="1"/>
  <c r="AG1230" i="1"/>
  <c r="AH1230" i="1"/>
  <c r="F1231" i="1"/>
  <c r="J1231" i="1"/>
  <c r="K1231" i="1" s="1"/>
  <c r="AI1231" i="1" s="1"/>
  <c r="AC1231" i="1"/>
  <c r="AD1231" i="1"/>
  <c r="AE1231" i="1"/>
  <c r="AF1231" i="1"/>
  <c r="AG1231" i="1"/>
  <c r="AH1231" i="1"/>
  <c r="F1222" i="1"/>
  <c r="J1222" i="1"/>
  <c r="K1222" i="1" s="1"/>
  <c r="AI1222" i="1" s="1"/>
  <c r="AC1222" i="1"/>
  <c r="AD1222" i="1"/>
  <c r="AE1222" i="1"/>
  <c r="AF1222" i="1"/>
  <c r="AG1222" i="1"/>
  <c r="AH1222" i="1"/>
  <c r="F1223" i="1"/>
  <c r="J1223" i="1"/>
  <c r="K1223" i="1" s="1"/>
  <c r="AI1223" i="1" s="1"/>
  <c r="AC1223" i="1"/>
  <c r="AD1223" i="1"/>
  <c r="AE1223" i="1"/>
  <c r="AF1223" i="1"/>
  <c r="AG1223" i="1"/>
  <c r="AH1223" i="1"/>
  <c r="F1224" i="1"/>
  <c r="J1224" i="1"/>
  <c r="K1224" i="1" s="1"/>
  <c r="AI1224" i="1" s="1"/>
  <c r="AC1224" i="1"/>
  <c r="AD1224" i="1"/>
  <c r="AE1224" i="1"/>
  <c r="AF1224" i="1"/>
  <c r="AG1224" i="1"/>
  <c r="AH1224" i="1"/>
  <c r="F1225" i="1"/>
  <c r="J1225" i="1"/>
  <c r="K1225" i="1" s="1"/>
  <c r="AI1225" i="1" s="1"/>
  <c r="AC1225" i="1"/>
  <c r="AD1225" i="1"/>
  <c r="AE1225" i="1"/>
  <c r="AF1225" i="1"/>
  <c r="AG1225" i="1"/>
  <c r="AH1225" i="1"/>
  <c r="F1226" i="1"/>
  <c r="J1226" i="1"/>
  <c r="K1226" i="1" s="1"/>
  <c r="AI1226" i="1" s="1"/>
  <c r="AC1226" i="1"/>
  <c r="AD1226" i="1"/>
  <c r="AE1226" i="1"/>
  <c r="AF1226" i="1"/>
  <c r="AG1226" i="1"/>
  <c r="AH1226" i="1"/>
  <c r="F1227" i="1"/>
  <c r="J1227" i="1"/>
  <c r="K1227" i="1" s="1"/>
  <c r="AI1227" i="1" s="1"/>
  <c r="AC1227" i="1"/>
  <c r="AD1227" i="1"/>
  <c r="AE1227" i="1"/>
  <c r="AF1227" i="1"/>
  <c r="AG1227" i="1"/>
  <c r="AH1227" i="1"/>
  <c r="F1228" i="1"/>
  <c r="J1228" i="1"/>
  <c r="K1228" i="1" s="1"/>
  <c r="AI1228" i="1" s="1"/>
  <c r="AC1228" i="1"/>
  <c r="AD1228" i="1"/>
  <c r="AE1228" i="1"/>
  <c r="AF1228" i="1"/>
  <c r="AG1228" i="1"/>
  <c r="AH1228" i="1"/>
  <c r="F1208" i="1"/>
  <c r="J1208" i="1"/>
  <c r="K1208" i="1" s="1"/>
  <c r="AI1208" i="1" s="1"/>
  <c r="AC1208" i="1"/>
  <c r="AD1208" i="1"/>
  <c r="AE1208" i="1"/>
  <c r="AF1208" i="1"/>
  <c r="AG1208" i="1"/>
  <c r="AH1208" i="1"/>
  <c r="F1209" i="1"/>
  <c r="J1209" i="1"/>
  <c r="K1209" i="1" s="1"/>
  <c r="AI1209" i="1" s="1"/>
  <c r="AC1209" i="1"/>
  <c r="AD1209" i="1"/>
  <c r="AE1209" i="1"/>
  <c r="AF1209" i="1"/>
  <c r="AG1209" i="1"/>
  <c r="AH1209" i="1"/>
  <c r="F1210" i="1"/>
  <c r="J1210" i="1"/>
  <c r="K1210" i="1" s="1"/>
  <c r="AI1210" i="1" s="1"/>
  <c r="AC1210" i="1"/>
  <c r="AD1210" i="1"/>
  <c r="AE1210" i="1"/>
  <c r="AF1210" i="1"/>
  <c r="AG1210" i="1"/>
  <c r="AH1210" i="1"/>
  <c r="F1211" i="1"/>
  <c r="J1211" i="1"/>
  <c r="K1211" i="1" s="1"/>
  <c r="AI1211" i="1" s="1"/>
  <c r="AC1211" i="1"/>
  <c r="AD1211" i="1"/>
  <c r="AE1211" i="1"/>
  <c r="AF1211" i="1"/>
  <c r="AG1211" i="1"/>
  <c r="AH1211" i="1"/>
  <c r="F1212" i="1"/>
  <c r="J1212" i="1"/>
  <c r="K1212" i="1" s="1"/>
  <c r="AI1212" i="1" s="1"/>
  <c r="AC1212" i="1"/>
  <c r="AD1212" i="1"/>
  <c r="AE1212" i="1"/>
  <c r="AF1212" i="1"/>
  <c r="AG1212" i="1"/>
  <c r="AH1212" i="1"/>
  <c r="F1213" i="1"/>
  <c r="J1213" i="1"/>
  <c r="K1213" i="1" s="1"/>
  <c r="AI1213" i="1" s="1"/>
  <c r="AC1213" i="1"/>
  <c r="AD1213" i="1"/>
  <c r="AE1213" i="1"/>
  <c r="AF1213" i="1"/>
  <c r="AG1213" i="1"/>
  <c r="AH1213" i="1"/>
  <c r="F1214" i="1"/>
  <c r="J1214" i="1"/>
  <c r="K1214" i="1" s="1"/>
  <c r="AI1214" i="1" s="1"/>
  <c r="AC1214" i="1"/>
  <c r="AD1214" i="1"/>
  <c r="AE1214" i="1"/>
  <c r="AF1214" i="1"/>
  <c r="AG1214" i="1"/>
  <c r="AH1214" i="1"/>
  <c r="F1215" i="1"/>
  <c r="J1215" i="1"/>
  <c r="K1215" i="1" s="1"/>
  <c r="AI1215" i="1" s="1"/>
  <c r="AC1215" i="1"/>
  <c r="AD1215" i="1"/>
  <c r="AE1215" i="1"/>
  <c r="AF1215" i="1"/>
  <c r="AG1215" i="1"/>
  <c r="AH1215" i="1"/>
  <c r="F1216" i="1"/>
  <c r="J1216" i="1"/>
  <c r="K1216" i="1" s="1"/>
  <c r="AI1216" i="1" s="1"/>
  <c r="AC1216" i="1"/>
  <c r="AD1216" i="1"/>
  <c r="AE1216" i="1"/>
  <c r="AF1216" i="1"/>
  <c r="AG1216" i="1"/>
  <c r="AH1216" i="1"/>
  <c r="F1217" i="1"/>
  <c r="J1217" i="1"/>
  <c r="K1217" i="1" s="1"/>
  <c r="AI1217" i="1" s="1"/>
  <c r="AC1217" i="1"/>
  <c r="AD1217" i="1"/>
  <c r="AE1217" i="1"/>
  <c r="AF1217" i="1"/>
  <c r="AG1217" i="1"/>
  <c r="AH1217" i="1"/>
  <c r="F1218" i="1"/>
  <c r="J1218" i="1"/>
  <c r="K1218" i="1" s="1"/>
  <c r="AI1218" i="1" s="1"/>
  <c r="AC1218" i="1"/>
  <c r="AD1218" i="1"/>
  <c r="AE1218" i="1"/>
  <c r="AF1218" i="1"/>
  <c r="AG1218" i="1"/>
  <c r="AH1218" i="1"/>
  <c r="F1219" i="1"/>
  <c r="J1219" i="1"/>
  <c r="K1219" i="1" s="1"/>
  <c r="AI1219" i="1" s="1"/>
  <c r="AC1219" i="1"/>
  <c r="AD1219" i="1"/>
  <c r="AE1219" i="1"/>
  <c r="AF1219" i="1"/>
  <c r="AG1219" i="1"/>
  <c r="AH1219" i="1"/>
  <c r="F1204" i="1"/>
  <c r="J1204" i="1"/>
  <c r="K1204" i="1" s="1"/>
  <c r="AI1204" i="1" s="1"/>
  <c r="AC1204" i="1"/>
  <c r="AD1204" i="1"/>
  <c r="AE1204" i="1"/>
  <c r="AF1204" i="1"/>
  <c r="AG1204" i="1"/>
  <c r="AH1204" i="1"/>
  <c r="F1205" i="1"/>
  <c r="J1205" i="1"/>
  <c r="K1205" i="1" s="1"/>
  <c r="AI1205" i="1" s="1"/>
  <c r="AC1205" i="1"/>
  <c r="AD1205" i="1"/>
  <c r="AE1205" i="1"/>
  <c r="AF1205" i="1"/>
  <c r="AG1205" i="1"/>
  <c r="AH1205" i="1"/>
  <c r="F1206" i="1"/>
  <c r="J1206" i="1"/>
  <c r="K1206" i="1" s="1"/>
  <c r="AI1206" i="1" s="1"/>
  <c r="AC1206" i="1"/>
  <c r="AD1206" i="1"/>
  <c r="AE1206" i="1"/>
  <c r="AF1206" i="1"/>
  <c r="AG1206" i="1"/>
  <c r="AH1206" i="1"/>
  <c r="F1199" i="1"/>
  <c r="J1199" i="1"/>
  <c r="K1199" i="1" s="1"/>
  <c r="AI1199" i="1" s="1"/>
  <c r="AC1199" i="1"/>
  <c r="AD1199" i="1"/>
  <c r="AE1199" i="1"/>
  <c r="AF1199" i="1"/>
  <c r="AG1199" i="1"/>
  <c r="AH1199" i="1"/>
  <c r="F1192" i="1"/>
  <c r="J1192" i="1"/>
  <c r="K1192" i="1" s="1"/>
  <c r="AI1192" i="1" s="1"/>
  <c r="AC1192" i="1"/>
  <c r="AD1192" i="1"/>
  <c r="AE1192" i="1"/>
  <c r="AF1192" i="1"/>
  <c r="AG1192" i="1"/>
  <c r="AH1192" i="1"/>
  <c r="F1194" i="1"/>
  <c r="J1194" i="1"/>
  <c r="K1194" i="1" s="1"/>
  <c r="AI1194" i="1" s="1"/>
  <c r="AC1194" i="1"/>
  <c r="AD1194" i="1"/>
  <c r="AE1194" i="1"/>
  <c r="AF1194" i="1"/>
  <c r="AG1194" i="1"/>
  <c r="AH1194" i="1"/>
  <c r="F1195" i="1"/>
  <c r="J1195" i="1"/>
  <c r="K1195" i="1" s="1"/>
  <c r="AI1195" i="1" s="1"/>
  <c r="AC1195" i="1"/>
  <c r="AD1195" i="1"/>
  <c r="AE1195" i="1"/>
  <c r="AF1195" i="1"/>
  <c r="AG1195" i="1"/>
  <c r="AH1195" i="1"/>
  <c r="F1182" i="1"/>
  <c r="J1182" i="1"/>
  <c r="AC1182" i="1"/>
  <c r="AD1182" i="1"/>
  <c r="AE1182" i="1"/>
  <c r="AF1182" i="1"/>
  <c r="AG1182" i="1"/>
  <c r="AH1182" i="1"/>
  <c r="F1183" i="1"/>
  <c r="J1183" i="1"/>
  <c r="K1183" i="1" s="1"/>
  <c r="AI1183" i="1" s="1"/>
  <c r="AC1183" i="1"/>
  <c r="AD1183" i="1"/>
  <c r="AE1183" i="1"/>
  <c r="AF1183" i="1"/>
  <c r="AG1183" i="1"/>
  <c r="AH1183" i="1"/>
  <c r="F1184" i="1"/>
  <c r="J1184" i="1"/>
  <c r="K1184" i="1" s="1"/>
  <c r="AI1184" i="1" s="1"/>
  <c r="AC1184" i="1"/>
  <c r="AD1184" i="1"/>
  <c r="AE1184" i="1"/>
  <c r="AF1184" i="1"/>
  <c r="AG1184" i="1"/>
  <c r="AH1184" i="1"/>
  <c r="F1185" i="1"/>
  <c r="J1185" i="1"/>
  <c r="K1185" i="1" s="1"/>
  <c r="AI1185" i="1" s="1"/>
  <c r="AC1185" i="1"/>
  <c r="AD1185" i="1"/>
  <c r="AE1185" i="1"/>
  <c r="AF1185" i="1"/>
  <c r="AG1185" i="1"/>
  <c r="AH1185" i="1"/>
  <c r="F1189" i="1"/>
  <c r="J1189" i="1"/>
  <c r="K1189" i="1" s="1"/>
  <c r="AI1189" i="1" s="1"/>
  <c r="AC1189" i="1"/>
  <c r="AD1189" i="1"/>
  <c r="AE1189" i="1"/>
  <c r="AF1189" i="1"/>
  <c r="AG1189" i="1"/>
  <c r="AH1189" i="1"/>
  <c r="F1176" i="1"/>
  <c r="J1176" i="1"/>
  <c r="AC1176" i="1"/>
  <c r="AD1176" i="1"/>
  <c r="AE1176" i="1"/>
  <c r="AF1176" i="1"/>
  <c r="AG1176" i="1"/>
  <c r="AH1176" i="1"/>
  <c r="F1177" i="1"/>
  <c r="J1177" i="1"/>
  <c r="K1177" i="1" s="1"/>
  <c r="AI1177" i="1" s="1"/>
  <c r="AC1177" i="1"/>
  <c r="AD1177" i="1"/>
  <c r="AE1177" i="1"/>
  <c r="AF1177" i="1"/>
  <c r="AG1177" i="1"/>
  <c r="AH1177" i="1"/>
  <c r="F1178" i="1"/>
  <c r="J1178" i="1"/>
  <c r="K1178" i="1" s="1"/>
  <c r="AI1178" i="1" s="1"/>
  <c r="AC1178" i="1"/>
  <c r="AD1178" i="1"/>
  <c r="AE1178" i="1"/>
  <c r="AF1178" i="1"/>
  <c r="AG1178" i="1"/>
  <c r="AH1178" i="1"/>
  <c r="F1174" i="1"/>
  <c r="J1174" i="1"/>
  <c r="K1174" i="1" s="1"/>
  <c r="AI1174" i="1" s="1"/>
  <c r="AC1174" i="1"/>
  <c r="AD1174" i="1"/>
  <c r="AE1174" i="1"/>
  <c r="AF1174" i="1"/>
  <c r="AG1174" i="1"/>
  <c r="AH1174" i="1"/>
  <c r="F1167" i="1"/>
  <c r="J1167" i="1"/>
  <c r="K1167" i="1" s="1"/>
  <c r="AI1167" i="1" s="1"/>
  <c r="AC1167" i="1"/>
  <c r="AD1167" i="1"/>
  <c r="AE1167" i="1"/>
  <c r="AF1167" i="1"/>
  <c r="AG1167" i="1"/>
  <c r="AH1167" i="1"/>
  <c r="F1169" i="1"/>
  <c r="J1169" i="1"/>
  <c r="K1169" i="1" s="1"/>
  <c r="AI1169" i="1" s="1"/>
  <c r="AC1169" i="1"/>
  <c r="AD1169" i="1"/>
  <c r="AE1169" i="1"/>
  <c r="AF1169" i="1"/>
  <c r="AG1169" i="1"/>
  <c r="AH1169" i="1"/>
  <c r="F1170" i="1"/>
  <c r="J1170" i="1"/>
  <c r="K1170" i="1" s="1"/>
  <c r="AI1170" i="1" s="1"/>
  <c r="AC1170" i="1"/>
  <c r="AD1170" i="1"/>
  <c r="AE1170" i="1"/>
  <c r="AF1170" i="1"/>
  <c r="AG1170" i="1"/>
  <c r="AH1170" i="1"/>
  <c r="F1171" i="1"/>
  <c r="J1171" i="1"/>
  <c r="K1171" i="1" s="1"/>
  <c r="AI1171" i="1" s="1"/>
  <c r="AC1171" i="1"/>
  <c r="AD1171" i="1"/>
  <c r="AE1171" i="1"/>
  <c r="AF1171" i="1"/>
  <c r="AG1171" i="1"/>
  <c r="AH1171" i="1"/>
  <c r="F1160" i="1"/>
  <c r="J1160" i="1"/>
  <c r="AC1160" i="1"/>
  <c r="AD1160" i="1"/>
  <c r="AE1160" i="1"/>
  <c r="AF1160" i="1"/>
  <c r="AG1160" i="1"/>
  <c r="AH1160" i="1"/>
  <c r="F1161" i="1"/>
  <c r="J1161" i="1"/>
  <c r="K1161" i="1" s="1"/>
  <c r="AI1161" i="1" s="1"/>
  <c r="AC1161" i="1"/>
  <c r="AD1161" i="1"/>
  <c r="AE1161" i="1"/>
  <c r="AF1161" i="1"/>
  <c r="AG1161" i="1"/>
  <c r="AH1161" i="1"/>
  <c r="F1162" i="1"/>
  <c r="J1162" i="1"/>
  <c r="K1162" i="1" s="1"/>
  <c r="AI1162" i="1" s="1"/>
  <c r="AC1162" i="1"/>
  <c r="AD1162" i="1"/>
  <c r="AE1162" i="1"/>
  <c r="AF1162" i="1"/>
  <c r="AG1162" i="1"/>
  <c r="AH1162" i="1"/>
  <c r="F1163" i="1"/>
  <c r="J1163" i="1"/>
  <c r="K1163" i="1" s="1"/>
  <c r="AI1163" i="1" s="1"/>
  <c r="AC1163" i="1"/>
  <c r="AD1163" i="1"/>
  <c r="AE1163" i="1"/>
  <c r="AF1163" i="1"/>
  <c r="AG1163" i="1"/>
  <c r="AH1163" i="1"/>
  <c r="F1164" i="1"/>
  <c r="J1164" i="1"/>
  <c r="K1164" i="1" s="1"/>
  <c r="AI1164" i="1" s="1"/>
  <c r="AC1164" i="1"/>
  <c r="AD1164" i="1"/>
  <c r="AE1164" i="1"/>
  <c r="AF1164" i="1"/>
  <c r="AG1164" i="1"/>
  <c r="AH1164" i="1"/>
  <c r="F1158" i="1"/>
  <c r="J1158" i="1"/>
  <c r="K1158" i="1" s="1"/>
  <c r="AI1158" i="1" s="1"/>
  <c r="AC1158" i="1"/>
  <c r="AD1158" i="1"/>
  <c r="AE1158" i="1"/>
  <c r="AF1158" i="1"/>
  <c r="AG1158" i="1"/>
  <c r="AH1158" i="1"/>
  <c r="F1151" i="1"/>
  <c r="J1151" i="1"/>
  <c r="K1151" i="1" s="1"/>
  <c r="AI1151" i="1" s="1"/>
  <c r="AC1151" i="1"/>
  <c r="AD1151" i="1"/>
  <c r="AE1151" i="1"/>
  <c r="AF1151" i="1"/>
  <c r="AG1151" i="1"/>
  <c r="AH1151" i="1"/>
  <c r="F1152" i="1"/>
  <c r="J1152" i="1"/>
  <c r="K1152" i="1" s="1"/>
  <c r="AI1152" i="1" s="1"/>
  <c r="AC1152" i="1"/>
  <c r="AD1152" i="1"/>
  <c r="AE1152" i="1"/>
  <c r="AF1152" i="1"/>
  <c r="AG1152" i="1"/>
  <c r="AH1152" i="1"/>
  <c r="F1153" i="1"/>
  <c r="J1153" i="1"/>
  <c r="AC1153" i="1"/>
  <c r="AD1153" i="1"/>
  <c r="AE1153" i="1"/>
  <c r="AF1153" i="1"/>
  <c r="AG1153" i="1"/>
  <c r="AH1153" i="1"/>
  <c r="F1154" i="1"/>
  <c r="J1154" i="1"/>
  <c r="K1154" i="1" s="1"/>
  <c r="AI1154" i="1" s="1"/>
  <c r="AC1154" i="1"/>
  <c r="AD1154" i="1"/>
  <c r="AE1154" i="1"/>
  <c r="AF1154" i="1"/>
  <c r="AG1154" i="1"/>
  <c r="AH1154" i="1"/>
  <c r="F1155" i="1"/>
  <c r="J1155" i="1"/>
  <c r="K1155" i="1" s="1"/>
  <c r="AI1155" i="1" s="1"/>
  <c r="AC1155" i="1"/>
  <c r="AD1155" i="1"/>
  <c r="AE1155" i="1"/>
  <c r="AF1155" i="1"/>
  <c r="AG1155" i="1"/>
  <c r="AH1155" i="1"/>
  <c r="F1149" i="1"/>
  <c r="J1149" i="1"/>
  <c r="K1149" i="1" s="1"/>
  <c r="AI1149" i="1" s="1"/>
  <c r="AC1149" i="1"/>
  <c r="AD1149" i="1"/>
  <c r="AE1149" i="1"/>
  <c r="AF1149" i="1"/>
  <c r="AG1149" i="1"/>
  <c r="AH1149" i="1"/>
  <c r="F1143" i="1"/>
  <c r="J1143" i="1"/>
  <c r="K1143" i="1" s="1"/>
  <c r="AI1143" i="1" s="1"/>
  <c r="AC1143" i="1"/>
  <c r="AD1143" i="1"/>
  <c r="AE1143" i="1"/>
  <c r="AF1143" i="1"/>
  <c r="AG1143" i="1"/>
  <c r="AH1143" i="1"/>
  <c r="F1144" i="1"/>
  <c r="J1144" i="1"/>
  <c r="K1144" i="1" s="1"/>
  <c r="AI1144" i="1" s="1"/>
  <c r="AC1144" i="1"/>
  <c r="AD1144" i="1"/>
  <c r="AE1144" i="1"/>
  <c r="AF1144" i="1"/>
  <c r="AG1144" i="1"/>
  <c r="AH1144" i="1"/>
  <c r="F1141" i="1"/>
  <c r="J1141" i="1"/>
  <c r="K1141" i="1" s="1"/>
  <c r="AI1141" i="1" s="1"/>
  <c r="AC1141" i="1"/>
  <c r="AD1141" i="1"/>
  <c r="AE1141" i="1"/>
  <c r="AF1141" i="1"/>
  <c r="AG1141" i="1"/>
  <c r="AH1141" i="1"/>
  <c r="F1135" i="1"/>
  <c r="J1135" i="1"/>
  <c r="K1135" i="1" s="1"/>
  <c r="AI1135" i="1" s="1"/>
  <c r="AC1135" i="1"/>
  <c r="AD1135" i="1"/>
  <c r="AE1135" i="1"/>
  <c r="AF1135" i="1"/>
  <c r="AG1135" i="1"/>
  <c r="AH1135" i="1"/>
  <c r="F1136" i="1"/>
  <c r="J1136" i="1"/>
  <c r="AC1136" i="1"/>
  <c r="AD1136" i="1"/>
  <c r="AE1136" i="1"/>
  <c r="AF1136" i="1"/>
  <c r="AG1136" i="1"/>
  <c r="AH1136" i="1"/>
  <c r="F1137" i="1"/>
  <c r="J1137" i="1"/>
  <c r="AC1137" i="1"/>
  <c r="AD1137" i="1"/>
  <c r="AE1137" i="1"/>
  <c r="AF1137" i="1"/>
  <c r="AG1137" i="1"/>
  <c r="AH1137" i="1"/>
  <c r="F1132" i="1"/>
  <c r="J1132" i="1"/>
  <c r="K1132" i="1" s="1"/>
  <c r="AI1132" i="1" s="1"/>
  <c r="AC1132" i="1"/>
  <c r="AD1132" i="1"/>
  <c r="AE1132" i="1"/>
  <c r="AF1132" i="1"/>
  <c r="AG1132" i="1"/>
  <c r="AH1132" i="1"/>
  <c r="F1133" i="1"/>
  <c r="J1133" i="1"/>
  <c r="K1133" i="1" s="1"/>
  <c r="AI1133" i="1" s="1"/>
  <c r="AC1133" i="1"/>
  <c r="AD1133" i="1"/>
  <c r="AE1133" i="1"/>
  <c r="AF1133" i="1"/>
  <c r="AG1133" i="1"/>
  <c r="AH1133" i="1"/>
  <c r="F1130" i="1"/>
  <c r="J1130" i="1"/>
  <c r="K1130" i="1" s="1"/>
  <c r="AI1130" i="1" s="1"/>
  <c r="AC1130" i="1"/>
  <c r="AD1130" i="1"/>
  <c r="AE1130" i="1"/>
  <c r="AF1130" i="1"/>
  <c r="AG1130" i="1"/>
  <c r="AH1130" i="1"/>
  <c r="F1121" i="1"/>
  <c r="J1121" i="1"/>
  <c r="K1121" i="1" s="1"/>
  <c r="AI1121" i="1" s="1"/>
  <c r="AC1121" i="1"/>
  <c r="AD1121" i="1"/>
  <c r="AE1121" i="1"/>
  <c r="AF1121" i="1"/>
  <c r="AG1121" i="1"/>
  <c r="AH1121" i="1"/>
  <c r="F1123" i="1"/>
  <c r="J1123" i="1"/>
  <c r="K1123" i="1" s="1"/>
  <c r="AI1123" i="1" s="1"/>
  <c r="AC1123" i="1"/>
  <c r="AD1123" i="1"/>
  <c r="AE1123" i="1"/>
  <c r="AF1123" i="1"/>
  <c r="AG1123" i="1"/>
  <c r="AH1123" i="1"/>
  <c r="F1124" i="1"/>
  <c r="J1124" i="1"/>
  <c r="K1124" i="1" s="1"/>
  <c r="AI1124" i="1" s="1"/>
  <c r="AC1124" i="1"/>
  <c r="AD1124" i="1"/>
  <c r="AE1124" i="1"/>
  <c r="AF1124" i="1"/>
  <c r="AG1124" i="1"/>
  <c r="AH1124" i="1"/>
  <c r="F1126" i="1"/>
  <c r="J1126" i="1"/>
  <c r="AC1126" i="1"/>
  <c r="AD1126" i="1"/>
  <c r="AE1126" i="1"/>
  <c r="AF1126" i="1"/>
  <c r="AG1126" i="1"/>
  <c r="AH1126" i="1"/>
  <c r="F1119" i="1"/>
  <c r="J1119" i="1"/>
  <c r="AC1119" i="1"/>
  <c r="AD1119" i="1"/>
  <c r="AE1119" i="1"/>
  <c r="AF1119" i="1"/>
  <c r="AG1119" i="1"/>
  <c r="AH1119" i="1"/>
  <c r="F1115" i="1"/>
  <c r="J1115" i="1"/>
  <c r="K1115" i="1" s="1"/>
  <c r="AI1115" i="1" s="1"/>
  <c r="AC1115" i="1"/>
  <c r="AD1115" i="1"/>
  <c r="AE1115" i="1"/>
  <c r="AF1115" i="1"/>
  <c r="AG1115" i="1"/>
  <c r="AH1115" i="1"/>
  <c r="F1117" i="1"/>
  <c r="J1117" i="1"/>
  <c r="K1117" i="1" s="1"/>
  <c r="AI1117" i="1" s="1"/>
  <c r="AC1117" i="1"/>
  <c r="AD1117" i="1"/>
  <c r="AE1117" i="1"/>
  <c r="AF1117" i="1"/>
  <c r="AG1117" i="1"/>
  <c r="AH1117" i="1"/>
  <c r="F1112" i="1"/>
  <c r="J1112" i="1"/>
  <c r="K1112" i="1" s="1"/>
  <c r="AI1112" i="1" s="1"/>
  <c r="AC1112" i="1"/>
  <c r="AD1112" i="1"/>
  <c r="AE1112" i="1"/>
  <c r="AF1112" i="1"/>
  <c r="AG1112" i="1"/>
  <c r="AH1112" i="1"/>
  <c r="F1109" i="1"/>
  <c r="J1109" i="1"/>
  <c r="K1109" i="1" s="1"/>
  <c r="AI1109" i="1" s="1"/>
  <c r="AC1109" i="1"/>
  <c r="AD1109" i="1"/>
  <c r="AE1109" i="1"/>
  <c r="AF1109" i="1"/>
  <c r="AG1109" i="1"/>
  <c r="AH1109" i="1"/>
  <c r="F1105" i="1"/>
  <c r="J1105" i="1"/>
  <c r="AC1105" i="1"/>
  <c r="AD1105" i="1"/>
  <c r="AE1105" i="1"/>
  <c r="AF1105" i="1"/>
  <c r="AG1105" i="1"/>
  <c r="AH1105" i="1"/>
  <c r="F1106" i="1"/>
  <c r="J1106" i="1"/>
  <c r="K1106" i="1" s="1"/>
  <c r="AI1106" i="1" s="1"/>
  <c r="AC1106" i="1"/>
  <c r="AD1106" i="1"/>
  <c r="AE1106" i="1"/>
  <c r="AF1106" i="1"/>
  <c r="AG1106" i="1"/>
  <c r="AH1106" i="1"/>
  <c r="F1107" i="1"/>
  <c r="J1107" i="1"/>
  <c r="AC1107" i="1"/>
  <c r="AD1107" i="1"/>
  <c r="AE1107" i="1"/>
  <c r="AF1107" i="1"/>
  <c r="AG1107" i="1"/>
  <c r="AH1107" i="1"/>
  <c r="F1097" i="1"/>
  <c r="J1097" i="1"/>
  <c r="AC1097" i="1"/>
  <c r="AD1097" i="1"/>
  <c r="AE1097" i="1"/>
  <c r="AF1097" i="1"/>
  <c r="AG1097" i="1"/>
  <c r="AH1097" i="1"/>
  <c r="F1098" i="1"/>
  <c r="J1098" i="1"/>
  <c r="K1098" i="1" s="1"/>
  <c r="AI1098" i="1" s="1"/>
  <c r="AC1098" i="1"/>
  <c r="AD1098" i="1"/>
  <c r="AE1098" i="1"/>
  <c r="AF1098" i="1"/>
  <c r="AG1098" i="1"/>
  <c r="AH1098" i="1"/>
  <c r="F1090" i="1"/>
  <c r="J1090" i="1"/>
  <c r="K1090" i="1" s="1"/>
  <c r="AI1090" i="1" s="1"/>
  <c r="AC1090" i="1"/>
  <c r="AD1090" i="1"/>
  <c r="AE1090" i="1"/>
  <c r="AF1090" i="1"/>
  <c r="AG1090" i="1"/>
  <c r="AH1090" i="1"/>
  <c r="F1092" i="1"/>
  <c r="J1092" i="1"/>
  <c r="K1092" i="1" s="1"/>
  <c r="AI1092" i="1" s="1"/>
  <c r="AC1092" i="1"/>
  <c r="AD1092" i="1"/>
  <c r="AE1092" i="1"/>
  <c r="AF1092" i="1"/>
  <c r="AG1092" i="1"/>
  <c r="AH1092" i="1"/>
  <c r="F1093" i="1"/>
  <c r="J1093" i="1"/>
  <c r="K1093" i="1" s="1"/>
  <c r="AI1093" i="1" s="1"/>
  <c r="AC1093" i="1"/>
  <c r="AD1093" i="1"/>
  <c r="AE1093" i="1"/>
  <c r="AF1093" i="1"/>
  <c r="AG1093" i="1"/>
  <c r="AH1093" i="1"/>
  <c r="F1094" i="1"/>
  <c r="J1094" i="1"/>
  <c r="K1094" i="1" s="1"/>
  <c r="AI1094" i="1" s="1"/>
  <c r="AC1094" i="1"/>
  <c r="AD1094" i="1"/>
  <c r="AE1094" i="1"/>
  <c r="AF1094" i="1"/>
  <c r="AG1094" i="1"/>
  <c r="AH1094" i="1"/>
  <c r="F1095" i="1"/>
  <c r="J1095" i="1"/>
  <c r="K1095" i="1" s="1"/>
  <c r="AI1095" i="1" s="1"/>
  <c r="AC1095" i="1"/>
  <c r="AD1095" i="1"/>
  <c r="AE1095" i="1"/>
  <c r="AF1095" i="1"/>
  <c r="AG1095" i="1"/>
  <c r="AH1095" i="1"/>
  <c r="F1086" i="1"/>
  <c r="J1086" i="1"/>
  <c r="AC1086" i="1"/>
  <c r="AD1086" i="1"/>
  <c r="AE1086" i="1"/>
  <c r="AF1086" i="1"/>
  <c r="AG1086" i="1"/>
  <c r="AH1086" i="1"/>
  <c r="F1087" i="1"/>
  <c r="J1087" i="1"/>
  <c r="AC1087" i="1"/>
  <c r="AD1087" i="1"/>
  <c r="AE1087" i="1"/>
  <c r="AF1087" i="1"/>
  <c r="AG1087" i="1"/>
  <c r="AH1087" i="1"/>
  <c r="F1088" i="1"/>
  <c r="J1088" i="1"/>
  <c r="K1088" i="1" s="1"/>
  <c r="AI1088" i="1" s="1"/>
  <c r="AC1088" i="1"/>
  <c r="AD1088" i="1"/>
  <c r="AE1088" i="1"/>
  <c r="AF1088" i="1"/>
  <c r="AG1088" i="1"/>
  <c r="AH1088" i="1"/>
  <c r="F1082" i="1"/>
  <c r="J1082" i="1"/>
  <c r="K1082" i="1" s="1"/>
  <c r="AI1082" i="1" s="1"/>
  <c r="AC1082" i="1"/>
  <c r="AD1082" i="1"/>
  <c r="AE1082" i="1"/>
  <c r="AF1082" i="1"/>
  <c r="AG1082" i="1"/>
  <c r="AH1082" i="1"/>
  <c r="F1083" i="1"/>
  <c r="J1083" i="1"/>
  <c r="K1083" i="1" s="1"/>
  <c r="AI1083" i="1" s="1"/>
  <c r="AC1083" i="1"/>
  <c r="AD1083" i="1"/>
  <c r="AE1083" i="1"/>
  <c r="AF1083" i="1"/>
  <c r="AG1083" i="1"/>
  <c r="AH1083" i="1"/>
  <c r="F1077" i="1"/>
  <c r="J1077" i="1"/>
  <c r="K1077" i="1" s="1"/>
  <c r="AI1077" i="1" s="1"/>
  <c r="AC1077" i="1"/>
  <c r="AD1077" i="1"/>
  <c r="AE1077" i="1"/>
  <c r="AF1077" i="1"/>
  <c r="AG1077" i="1"/>
  <c r="AH1077" i="1"/>
  <c r="F1078" i="1"/>
  <c r="J1078" i="1"/>
  <c r="K1078" i="1" s="1"/>
  <c r="AI1078" i="1" s="1"/>
  <c r="AC1078" i="1"/>
  <c r="AD1078" i="1"/>
  <c r="AE1078" i="1"/>
  <c r="AF1078" i="1"/>
  <c r="AG1078" i="1"/>
  <c r="AH1078" i="1"/>
  <c r="F1080" i="1"/>
  <c r="J1080" i="1"/>
  <c r="K1080" i="1" s="1"/>
  <c r="AI1080" i="1" s="1"/>
  <c r="AC1080" i="1"/>
  <c r="AD1080" i="1"/>
  <c r="AE1080" i="1"/>
  <c r="AF1080" i="1"/>
  <c r="AG1080" i="1"/>
  <c r="AH1080" i="1"/>
  <c r="F1074" i="1"/>
  <c r="J1074" i="1"/>
  <c r="AC1074" i="1"/>
  <c r="AD1074" i="1"/>
  <c r="AE1074" i="1"/>
  <c r="AF1074" i="1"/>
  <c r="AG1074" i="1"/>
  <c r="AH1074" i="1"/>
  <c r="F1072" i="1"/>
  <c r="J1072" i="1"/>
  <c r="AC1072" i="1"/>
  <c r="AD1072" i="1"/>
  <c r="AE1072" i="1"/>
  <c r="AF1072" i="1"/>
  <c r="AG1072" i="1"/>
  <c r="AH1072" i="1"/>
  <c r="F1064" i="1"/>
  <c r="J1064" i="1"/>
  <c r="K1064" i="1" s="1"/>
  <c r="AI1064" i="1" s="1"/>
  <c r="AC1064" i="1"/>
  <c r="AD1064" i="1"/>
  <c r="AE1064" i="1"/>
  <c r="AF1064" i="1"/>
  <c r="AG1064" i="1"/>
  <c r="AH1064" i="1"/>
  <c r="F1065" i="1"/>
  <c r="J1065" i="1"/>
  <c r="AC1065" i="1"/>
  <c r="AD1065" i="1"/>
  <c r="AE1065" i="1"/>
  <c r="AF1065" i="1"/>
  <c r="AG1065" i="1"/>
  <c r="AH1065" i="1"/>
  <c r="F1066" i="1"/>
  <c r="J1066" i="1"/>
  <c r="K1066" i="1" s="1"/>
  <c r="AI1066" i="1" s="1"/>
  <c r="AC1066" i="1"/>
  <c r="AD1066" i="1"/>
  <c r="AE1066" i="1"/>
  <c r="AF1066" i="1"/>
  <c r="AG1066" i="1"/>
  <c r="AH1066" i="1"/>
  <c r="F1067" i="1"/>
  <c r="J1067" i="1"/>
  <c r="K1067" i="1" s="1"/>
  <c r="AI1067" i="1" s="1"/>
  <c r="AC1067" i="1"/>
  <c r="AD1067" i="1"/>
  <c r="AE1067" i="1"/>
  <c r="AF1067" i="1"/>
  <c r="AG1067" i="1"/>
  <c r="AH1067" i="1"/>
  <c r="F1059" i="1"/>
  <c r="J1059" i="1"/>
  <c r="K1059" i="1" s="1"/>
  <c r="AI1059" i="1" s="1"/>
  <c r="AC1059" i="1"/>
  <c r="AD1059" i="1"/>
  <c r="AE1059" i="1"/>
  <c r="AF1059" i="1"/>
  <c r="AG1059" i="1"/>
  <c r="AH1059" i="1"/>
  <c r="F1060" i="1"/>
  <c r="J1060" i="1"/>
  <c r="K1060" i="1" s="1"/>
  <c r="AI1060" i="1" s="1"/>
  <c r="AC1060" i="1"/>
  <c r="AD1060" i="1"/>
  <c r="AE1060" i="1"/>
  <c r="AF1060" i="1"/>
  <c r="AG1060" i="1"/>
  <c r="AH1060" i="1"/>
  <c r="F1061" i="1"/>
  <c r="J1061" i="1"/>
  <c r="AC1061" i="1"/>
  <c r="AD1061" i="1"/>
  <c r="AE1061" i="1"/>
  <c r="AF1061" i="1"/>
  <c r="AG1061" i="1"/>
  <c r="AH1061" i="1"/>
  <c r="F1062" i="1"/>
  <c r="J1062" i="1"/>
  <c r="AC1062" i="1"/>
  <c r="AD1062" i="1"/>
  <c r="AE1062" i="1"/>
  <c r="AF1062" i="1"/>
  <c r="AG1062" i="1"/>
  <c r="AH1062" i="1"/>
  <c r="F1057" i="1"/>
  <c r="J1057" i="1"/>
  <c r="K1057" i="1" s="1"/>
  <c r="AI1057" i="1" s="1"/>
  <c r="AC1057" i="1"/>
  <c r="AD1057" i="1"/>
  <c r="AE1057" i="1"/>
  <c r="AF1057" i="1"/>
  <c r="AG1057" i="1"/>
  <c r="AH1057" i="1"/>
  <c r="F1054" i="1"/>
  <c r="J1054" i="1"/>
  <c r="K1054" i="1" s="1"/>
  <c r="AI1054" i="1" s="1"/>
  <c r="AC1054" i="1"/>
  <c r="AD1054" i="1"/>
  <c r="AE1054" i="1"/>
  <c r="AF1054" i="1"/>
  <c r="AG1054" i="1"/>
  <c r="AH1054" i="1"/>
  <c r="F1046" i="1"/>
  <c r="J1046" i="1"/>
  <c r="K1046" i="1" s="1"/>
  <c r="AI1046" i="1" s="1"/>
  <c r="AC1046" i="1"/>
  <c r="AD1046" i="1"/>
  <c r="AE1046" i="1"/>
  <c r="AF1046" i="1"/>
  <c r="AG1046" i="1"/>
  <c r="AH1046" i="1"/>
  <c r="F1047" i="1"/>
  <c r="J1047" i="1"/>
  <c r="AC1047" i="1"/>
  <c r="AD1047" i="1"/>
  <c r="AE1047" i="1"/>
  <c r="AF1047" i="1"/>
  <c r="AG1047" i="1"/>
  <c r="AH1047" i="1"/>
  <c r="F1049" i="1"/>
  <c r="J1049" i="1"/>
  <c r="K1049" i="1" s="1"/>
  <c r="AI1049" i="1" s="1"/>
  <c r="AC1049" i="1"/>
  <c r="AD1049" i="1"/>
  <c r="AE1049" i="1"/>
  <c r="AF1049" i="1"/>
  <c r="AG1049" i="1"/>
  <c r="AH1049" i="1"/>
  <c r="F1051" i="1"/>
  <c r="J1051" i="1"/>
  <c r="AC1051" i="1"/>
  <c r="AD1051" i="1"/>
  <c r="AE1051" i="1"/>
  <c r="AF1051" i="1"/>
  <c r="AG1051" i="1"/>
  <c r="AH1051" i="1"/>
  <c r="F1030" i="1"/>
  <c r="J1030" i="1"/>
  <c r="AC1030" i="1"/>
  <c r="AD1030" i="1"/>
  <c r="AE1030" i="1"/>
  <c r="AF1030" i="1"/>
  <c r="AG1030" i="1"/>
  <c r="AH1030" i="1"/>
  <c r="F1031" i="1"/>
  <c r="J1031" i="1"/>
  <c r="AC1031" i="1"/>
  <c r="AD1031" i="1"/>
  <c r="AE1031" i="1"/>
  <c r="AF1031" i="1"/>
  <c r="AG1031" i="1"/>
  <c r="AH1031" i="1"/>
  <c r="F1033" i="1"/>
  <c r="J1033" i="1"/>
  <c r="K1033" i="1" s="1"/>
  <c r="AI1033" i="1" s="1"/>
  <c r="AC1033" i="1"/>
  <c r="AD1033" i="1"/>
  <c r="AE1033" i="1"/>
  <c r="AF1033" i="1"/>
  <c r="AG1033" i="1"/>
  <c r="AH1033" i="1"/>
  <c r="F1027" i="1"/>
  <c r="J1027" i="1"/>
  <c r="K1027" i="1" s="1"/>
  <c r="AI1027" i="1" s="1"/>
  <c r="AC1027" i="1"/>
  <c r="AD1027" i="1"/>
  <c r="AE1027" i="1"/>
  <c r="AF1027" i="1"/>
  <c r="AG1027" i="1"/>
  <c r="AH1027" i="1"/>
  <c r="F1020" i="1"/>
  <c r="J1020" i="1"/>
  <c r="K1020" i="1" s="1"/>
  <c r="AI1020" i="1" s="1"/>
  <c r="AC1020" i="1"/>
  <c r="AD1020" i="1"/>
  <c r="AE1020" i="1"/>
  <c r="AF1020" i="1"/>
  <c r="AG1020" i="1"/>
  <c r="AH1020" i="1"/>
  <c r="F1022" i="1"/>
  <c r="J1022" i="1"/>
  <c r="K1022" i="1" s="1"/>
  <c r="AI1022" i="1" s="1"/>
  <c r="AC1022" i="1"/>
  <c r="AD1022" i="1"/>
  <c r="AE1022" i="1"/>
  <c r="AF1022" i="1"/>
  <c r="AG1022" i="1"/>
  <c r="AH1022" i="1"/>
  <c r="F1023" i="1"/>
  <c r="J1023" i="1"/>
  <c r="K1023" i="1" s="1"/>
  <c r="AI1023" i="1" s="1"/>
  <c r="AC1023" i="1"/>
  <c r="AD1023" i="1"/>
  <c r="AE1023" i="1"/>
  <c r="AF1023" i="1"/>
  <c r="AG1023" i="1"/>
  <c r="AH1023" i="1"/>
  <c r="F1024" i="1"/>
  <c r="J1024" i="1"/>
  <c r="AC1024" i="1"/>
  <c r="AD1024" i="1"/>
  <c r="AE1024" i="1"/>
  <c r="AF1024" i="1"/>
  <c r="AG1024" i="1"/>
  <c r="AH1024" i="1"/>
  <c r="F1018" i="1"/>
  <c r="J1018" i="1"/>
  <c r="AC1018" i="1"/>
  <c r="AD1018" i="1"/>
  <c r="AE1018" i="1"/>
  <c r="AF1018" i="1"/>
  <c r="AG1018" i="1"/>
  <c r="AH1018" i="1"/>
  <c r="F1013" i="1"/>
  <c r="J1013" i="1"/>
  <c r="AC1013" i="1"/>
  <c r="AD1013" i="1"/>
  <c r="AE1013" i="1"/>
  <c r="AF1013" i="1"/>
  <c r="AG1013" i="1"/>
  <c r="AH1013" i="1"/>
  <c r="F1009" i="1"/>
  <c r="J1009" i="1"/>
  <c r="K1009" i="1" s="1"/>
  <c r="AI1009" i="1" s="1"/>
  <c r="AC1009" i="1"/>
  <c r="AD1009" i="1"/>
  <c r="AE1009" i="1"/>
  <c r="AF1009" i="1"/>
  <c r="AG1009" i="1"/>
  <c r="AH1009" i="1"/>
  <c r="F1005" i="1"/>
  <c r="J1005" i="1"/>
  <c r="AC1005" i="1"/>
  <c r="AD1005" i="1"/>
  <c r="AE1005" i="1"/>
  <c r="AF1005" i="1"/>
  <c r="AG1005" i="1"/>
  <c r="AH1005" i="1"/>
  <c r="F1007" i="1"/>
  <c r="J1007" i="1"/>
  <c r="K1007" i="1" s="1"/>
  <c r="AI1007" i="1" s="1"/>
  <c r="AC1007" i="1"/>
  <c r="AD1007" i="1"/>
  <c r="AE1007" i="1"/>
  <c r="AF1007" i="1"/>
  <c r="AG1007" i="1"/>
  <c r="AH1007" i="1"/>
  <c r="F1000" i="1"/>
  <c r="J1000" i="1"/>
  <c r="K1000" i="1" s="1"/>
  <c r="AI1000" i="1" s="1"/>
  <c r="AC1000" i="1"/>
  <c r="AD1000" i="1"/>
  <c r="AE1000" i="1"/>
  <c r="AF1000" i="1"/>
  <c r="AG1000" i="1"/>
  <c r="AH1000" i="1"/>
  <c r="F1002" i="1"/>
  <c r="J1002" i="1"/>
  <c r="K1002" i="1" s="1"/>
  <c r="AI1002" i="1" s="1"/>
  <c r="AC1002" i="1"/>
  <c r="AD1002" i="1"/>
  <c r="AE1002" i="1"/>
  <c r="AF1002" i="1"/>
  <c r="AG1002" i="1"/>
  <c r="AH1002" i="1"/>
  <c r="F1003" i="1"/>
  <c r="J1003" i="1"/>
  <c r="AC1003" i="1"/>
  <c r="AD1003" i="1"/>
  <c r="AE1003" i="1"/>
  <c r="AF1003" i="1"/>
  <c r="AG1003" i="1"/>
  <c r="AH1003" i="1"/>
  <c r="F997" i="1"/>
  <c r="J997" i="1"/>
  <c r="K997" i="1" s="1"/>
  <c r="AI997" i="1" s="1"/>
  <c r="AC997" i="1"/>
  <c r="AD997" i="1"/>
  <c r="AE997" i="1"/>
  <c r="AF997" i="1"/>
  <c r="AG997" i="1"/>
  <c r="AH997" i="1"/>
  <c r="F994" i="1"/>
  <c r="J994" i="1"/>
  <c r="AC994" i="1"/>
  <c r="AD994" i="1"/>
  <c r="AE994" i="1"/>
  <c r="AF994" i="1"/>
  <c r="AG994" i="1"/>
  <c r="AH994" i="1"/>
  <c r="F991" i="1"/>
  <c r="J991" i="1"/>
  <c r="K991" i="1" s="1"/>
  <c r="AI991" i="1" s="1"/>
  <c r="AC991" i="1"/>
  <c r="AD991" i="1"/>
  <c r="AE991" i="1"/>
  <c r="AF991" i="1"/>
  <c r="AG991" i="1"/>
  <c r="AH991" i="1"/>
  <c r="F992" i="1"/>
  <c r="J992" i="1"/>
  <c r="K992" i="1" s="1"/>
  <c r="AI992" i="1" s="1"/>
  <c r="AC992" i="1"/>
  <c r="AD992" i="1"/>
  <c r="AE992" i="1"/>
  <c r="AF992" i="1"/>
  <c r="AG992" i="1"/>
  <c r="AH992" i="1"/>
  <c r="F988" i="1"/>
  <c r="J988" i="1"/>
  <c r="K988" i="1" s="1"/>
  <c r="AI988" i="1" s="1"/>
  <c r="AC988" i="1"/>
  <c r="AD988" i="1"/>
  <c r="AE988" i="1"/>
  <c r="AF988" i="1"/>
  <c r="AG988" i="1"/>
  <c r="AH988" i="1"/>
  <c r="F989" i="1"/>
  <c r="J989" i="1"/>
  <c r="K989" i="1" s="1"/>
  <c r="AI989" i="1" s="1"/>
  <c r="AC989" i="1"/>
  <c r="AD989" i="1"/>
  <c r="AE989" i="1"/>
  <c r="AF989" i="1"/>
  <c r="AG989" i="1"/>
  <c r="AH989" i="1"/>
  <c r="F983" i="1"/>
  <c r="J983" i="1"/>
  <c r="K983" i="1" s="1"/>
  <c r="AI983" i="1" s="1"/>
  <c r="AC983" i="1"/>
  <c r="AD983" i="1"/>
  <c r="AE983" i="1"/>
  <c r="AF983" i="1"/>
  <c r="AG983" i="1"/>
  <c r="AH983" i="1"/>
  <c r="F984" i="1"/>
  <c r="J984" i="1"/>
  <c r="AC984" i="1"/>
  <c r="AD984" i="1"/>
  <c r="AE984" i="1"/>
  <c r="AF984" i="1"/>
  <c r="AG984" i="1"/>
  <c r="AH984" i="1"/>
  <c r="F985" i="1"/>
  <c r="J985" i="1"/>
  <c r="K985" i="1" s="1"/>
  <c r="AI985" i="1" s="1"/>
  <c r="AC985" i="1"/>
  <c r="AD985" i="1"/>
  <c r="AE985" i="1"/>
  <c r="AF985" i="1"/>
  <c r="AG985" i="1"/>
  <c r="AH985" i="1"/>
  <c r="F973" i="1"/>
  <c r="J973" i="1"/>
  <c r="AC973" i="1"/>
  <c r="AD973" i="1"/>
  <c r="AE973" i="1"/>
  <c r="AF973" i="1"/>
  <c r="AG973" i="1"/>
  <c r="AH973" i="1"/>
  <c r="F976" i="1"/>
  <c r="J976" i="1"/>
  <c r="K976" i="1" s="1"/>
  <c r="AI976" i="1" s="1"/>
  <c r="AC976" i="1"/>
  <c r="AD976" i="1"/>
  <c r="AE976" i="1"/>
  <c r="AF976" i="1"/>
  <c r="AG976" i="1"/>
  <c r="AH976" i="1"/>
  <c r="F977" i="1"/>
  <c r="J977" i="1"/>
  <c r="K977" i="1" s="1"/>
  <c r="AI977" i="1" s="1"/>
  <c r="AC977" i="1"/>
  <c r="AD977" i="1"/>
  <c r="AE977" i="1"/>
  <c r="AF977" i="1"/>
  <c r="AG977" i="1"/>
  <c r="AH977" i="1"/>
  <c r="F978" i="1"/>
  <c r="J978" i="1"/>
  <c r="K978" i="1" s="1"/>
  <c r="AI978" i="1" s="1"/>
  <c r="AC978" i="1"/>
  <c r="AD978" i="1"/>
  <c r="AE978" i="1"/>
  <c r="AF978" i="1"/>
  <c r="AG978" i="1"/>
  <c r="AH978" i="1"/>
  <c r="F980" i="1"/>
  <c r="J980" i="1"/>
  <c r="K980" i="1" s="1"/>
  <c r="AI980" i="1" s="1"/>
  <c r="AC980" i="1"/>
  <c r="AD980" i="1"/>
  <c r="AE980" i="1"/>
  <c r="AF980" i="1"/>
  <c r="AG980" i="1"/>
  <c r="AH980" i="1"/>
  <c r="F967" i="1"/>
  <c r="J967" i="1"/>
  <c r="K967" i="1" s="1"/>
  <c r="AI967" i="1" s="1"/>
  <c r="AC967" i="1"/>
  <c r="AD967" i="1"/>
  <c r="AE967" i="1"/>
  <c r="AF967" i="1"/>
  <c r="AG967" i="1"/>
  <c r="AH967" i="1"/>
  <c r="F968" i="1"/>
  <c r="J968" i="1"/>
  <c r="AC968" i="1"/>
  <c r="AD968" i="1"/>
  <c r="AE968" i="1"/>
  <c r="AF968" i="1"/>
  <c r="AG968" i="1"/>
  <c r="AH968" i="1"/>
  <c r="F963" i="1"/>
  <c r="J963" i="1"/>
  <c r="K963" i="1" s="1"/>
  <c r="AI963" i="1" s="1"/>
  <c r="AC963" i="1"/>
  <c r="AD963" i="1"/>
  <c r="AE963" i="1"/>
  <c r="AF963" i="1"/>
  <c r="AG963" i="1"/>
  <c r="AH963" i="1"/>
  <c r="F959" i="1"/>
  <c r="J959" i="1"/>
  <c r="AC959" i="1"/>
  <c r="AD959" i="1"/>
  <c r="AE959" i="1"/>
  <c r="AF959" i="1"/>
  <c r="AG959" i="1"/>
  <c r="AH959" i="1"/>
  <c r="F960" i="1"/>
  <c r="J960" i="1"/>
  <c r="K960" i="1" s="1"/>
  <c r="AI960" i="1" s="1"/>
  <c r="AC960" i="1"/>
  <c r="AD960" i="1"/>
  <c r="AE960" i="1"/>
  <c r="AF960" i="1"/>
  <c r="AG960" i="1"/>
  <c r="AH960" i="1"/>
  <c r="F952" i="1"/>
  <c r="J952" i="1"/>
  <c r="K952" i="1" s="1"/>
  <c r="AI952" i="1" s="1"/>
  <c r="AC952" i="1"/>
  <c r="AD952" i="1"/>
  <c r="AE952" i="1"/>
  <c r="AF952" i="1"/>
  <c r="AG952" i="1"/>
  <c r="AH952" i="1"/>
  <c r="F950" i="1"/>
  <c r="J950" i="1"/>
  <c r="K950" i="1" s="1"/>
  <c r="AI950" i="1" s="1"/>
  <c r="AC950" i="1"/>
  <c r="AD950" i="1"/>
  <c r="AE950" i="1"/>
  <c r="AF950" i="1"/>
  <c r="AG950" i="1"/>
  <c r="AH950" i="1"/>
  <c r="F948" i="1"/>
  <c r="J948" i="1"/>
  <c r="K948" i="1" s="1"/>
  <c r="AI948" i="1" s="1"/>
  <c r="AC948" i="1"/>
  <c r="AD948" i="1"/>
  <c r="AE948" i="1"/>
  <c r="AF948" i="1"/>
  <c r="AG948" i="1"/>
  <c r="AH948" i="1"/>
  <c r="F940" i="1"/>
  <c r="J940" i="1"/>
  <c r="AC940" i="1"/>
  <c r="AD940" i="1"/>
  <c r="AE940" i="1"/>
  <c r="AF940" i="1"/>
  <c r="AG940" i="1"/>
  <c r="AH940" i="1"/>
  <c r="F942" i="1"/>
  <c r="J942" i="1"/>
  <c r="AC942" i="1"/>
  <c r="AD942" i="1"/>
  <c r="AE942" i="1"/>
  <c r="AF942" i="1"/>
  <c r="AG942" i="1"/>
  <c r="AH942" i="1"/>
  <c r="F943" i="1"/>
  <c r="J943" i="1"/>
  <c r="K943" i="1" s="1"/>
  <c r="AI943" i="1" s="1"/>
  <c r="AC943" i="1"/>
  <c r="AD943" i="1"/>
  <c r="AE943" i="1"/>
  <c r="AF943" i="1"/>
  <c r="AG943" i="1"/>
  <c r="AH943" i="1"/>
  <c r="F944" i="1"/>
  <c r="J944" i="1"/>
  <c r="AC944" i="1"/>
  <c r="AD944" i="1"/>
  <c r="AE944" i="1"/>
  <c r="AF944" i="1"/>
  <c r="AG944" i="1"/>
  <c r="AH944" i="1"/>
  <c r="F945" i="1"/>
  <c r="J945" i="1"/>
  <c r="K945" i="1" s="1"/>
  <c r="AI945" i="1" s="1"/>
  <c r="AC945" i="1"/>
  <c r="AD945" i="1"/>
  <c r="AE945" i="1"/>
  <c r="AF945" i="1"/>
  <c r="AG945" i="1"/>
  <c r="AH945" i="1"/>
  <c r="F934" i="1"/>
  <c r="J934" i="1"/>
  <c r="K934" i="1" s="1"/>
  <c r="AI934" i="1" s="1"/>
  <c r="AC934" i="1"/>
  <c r="AD934" i="1"/>
  <c r="AE934" i="1"/>
  <c r="AF934" i="1"/>
  <c r="AG934" i="1"/>
  <c r="AH934" i="1"/>
  <c r="F931" i="1"/>
  <c r="J931" i="1"/>
  <c r="K931" i="1" s="1"/>
  <c r="AI931" i="1" s="1"/>
  <c r="AC931" i="1"/>
  <c r="AD931" i="1"/>
  <c r="AE931" i="1"/>
  <c r="AF931" i="1"/>
  <c r="AG931" i="1"/>
  <c r="AH931" i="1"/>
  <c r="F932" i="1"/>
  <c r="J932" i="1"/>
  <c r="K932" i="1" s="1"/>
  <c r="AI932" i="1" s="1"/>
  <c r="AC932" i="1"/>
  <c r="AD932" i="1"/>
  <c r="AE932" i="1"/>
  <c r="AF932" i="1"/>
  <c r="AG932" i="1"/>
  <c r="AH932" i="1"/>
  <c r="F929" i="1"/>
  <c r="J929" i="1"/>
  <c r="K929" i="1" s="1"/>
  <c r="AI929" i="1" s="1"/>
  <c r="AC929" i="1"/>
  <c r="AD929" i="1"/>
  <c r="AE929" i="1"/>
  <c r="AF929" i="1"/>
  <c r="AG929" i="1"/>
  <c r="AH929" i="1"/>
  <c r="F922" i="1"/>
  <c r="J922" i="1"/>
  <c r="AC922" i="1"/>
  <c r="AD922" i="1"/>
  <c r="AE922" i="1"/>
  <c r="AF922" i="1"/>
  <c r="AG922" i="1"/>
  <c r="AH922" i="1"/>
  <c r="F914" i="1"/>
  <c r="J914" i="1"/>
  <c r="K914" i="1" s="1"/>
  <c r="AI914" i="1" s="1"/>
  <c r="AC914" i="1"/>
  <c r="AD914" i="1"/>
  <c r="AE914" i="1"/>
  <c r="AF914" i="1"/>
  <c r="AG914" i="1"/>
  <c r="AH914" i="1"/>
  <c r="F915" i="1"/>
  <c r="J915" i="1"/>
  <c r="K915" i="1" s="1"/>
  <c r="AC915" i="1"/>
  <c r="AD915" i="1"/>
  <c r="AE915" i="1"/>
  <c r="AF915" i="1"/>
  <c r="AG915" i="1"/>
  <c r="AH915" i="1"/>
  <c r="F910" i="1"/>
  <c r="J910" i="1"/>
  <c r="K910" i="1" s="1"/>
  <c r="AI910" i="1" s="1"/>
  <c r="AC910" i="1"/>
  <c r="AD910" i="1"/>
  <c r="AE910" i="1"/>
  <c r="AF910" i="1"/>
  <c r="AG910" i="1"/>
  <c r="AH910" i="1"/>
  <c r="F911" i="1"/>
  <c r="J911" i="1"/>
  <c r="K911" i="1" s="1"/>
  <c r="AI911" i="1" s="1"/>
  <c r="AC911" i="1"/>
  <c r="AD911" i="1"/>
  <c r="AE911" i="1"/>
  <c r="AF911" i="1"/>
  <c r="AG911" i="1"/>
  <c r="AH911" i="1"/>
  <c r="F903" i="1"/>
  <c r="J903" i="1"/>
  <c r="K903" i="1" s="1"/>
  <c r="AI903" i="1" s="1"/>
  <c r="AC903" i="1"/>
  <c r="AD903" i="1"/>
  <c r="AE903" i="1"/>
  <c r="AF903" i="1"/>
  <c r="AG903" i="1"/>
  <c r="AH903" i="1"/>
  <c r="F900" i="1"/>
  <c r="J900" i="1"/>
  <c r="K900" i="1" s="1"/>
  <c r="AI900" i="1" s="1"/>
  <c r="AC900" i="1"/>
  <c r="AD900" i="1"/>
  <c r="AE900" i="1"/>
  <c r="AF900" i="1"/>
  <c r="AG900" i="1"/>
  <c r="AH900" i="1"/>
  <c r="F898" i="1"/>
  <c r="J898" i="1"/>
  <c r="K898" i="1" s="1"/>
  <c r="AI898" i="1" s="1"/>
  <c r="AC898" i="1"/>
  <c r="AD898" i="1"/>
  <c r="AE898" i="1"/>
  <c r="AF898" i="1"/>
  <c r="AG898" i="1"/>
  <c r="AH898" i="1"/>
  <c r="F895" i="1"/>
  <c r="J895" i="1"/>
  <c r="K895" i="1" s="1"/>
  <c r="AI895" i="1" s="1"/>
  <c r="AC895" i="1"/>
  <c r="AD895" i="1"/>
  <c r="AE895" i="1"/>
  <c r="AF895" i="1"/>
  <c r="AG895" i="1"/>
  <c r="AH895" i="1"/>
  <c r="F893" i="1"/>
  <c r="J893" i="1"/>
  <c r="K893" i="1" s="1"/>
  <c r="AI893" i="1" s="1"/>
  <c r="AC893" i="1"/>
  <c r="AD893" i="1"/>
  <c r="AE893" i="1"/>
  <c r="AF893" i="1"/>
  <c r="AG893" i="1"/>
  <c r="AH893" i="1"/>
  <c r="F885" i="1"/>
  <c r="J885" i="1"/>
  <c r="K885" i="1" s="1"/>
  <c r="AI885" i="1" s="1"/>
  <c r="AC885" i="1"/>
  <c r="AD885" i="1"/>
  <c r="AE885" i="1"/>
  <c r="AF885" i="1"/>
  <c r="AG885" i="1"/>
  <c r="AH885" i="1"/>
  <c r="F886" i="1"/>
  <c r="J886" i="1"/>
  <c r="K886" i="1" s="1"/>
  <c r="AI886" i="1" s="1"/>
  <c r="AC886" i="1"/>
  <c r="AD886" i="1"/>
  <c r="AE886" i="1"/>
  <c r="AF886" i="1"/>
  <c r="AG886" i="1"/>
  <c r="AH886" i="1"/>
  <c r="F887" i="1"/>
  <c r="J887" i="1"/>
  <c r="K887" i="1" s="1"/>
  <c r="AI887" i="1" s="1"/>
  <c r="AC887" i="1"/>
  <c r="AD887" i="1"/>
  <c r="AE887" i="1"/>
  <c r="AF887" i="1"/>
  <c r="AG887" i="1"/>
  <c r="AH887" i="1"/>
  <c r="F888" i="1"/>
  <c r="J888" i="1"/>
  <c r="K888" i="1" s="1"/>
  <c r="AI888" i="1" s="1"/>
  <c r="AC888" i="1"/>
  <c r="AD888" i="1"/>
  <c r="AE888" i="1"/>
  <c r="AF888" i="1"/>
  <c r="AG888" i="1"/>
  <c r="AH888" i="1"/>
  <c r="F890" i="1"/>
  <c r="J890" i="1"/>
  <c r="K890" i="1" s="1"/>
  <c r="AI890" i="1" s="1"/>
  <c r="AC890" i="1"/>
  <c r="AD890" i="1"/>
  <c r="AE890" i="1"/>
  <c r="AF890" i="1"/>
  <c r="AG890" i="1"/>
  <c r="AH890" i="1"/>
  <c r="F881" i="1"/>
  <c r="J881" i="1"/>
  <c r="K881" i="1" s="1"/>
  <c r="AI881" i="1" s="1"/>
  <c r="AC881" i="1"/>
  <c r="AD881" i="1"/>
  <c r="AE881" i="1"/>
  <c r="AF881" i="1"/>
  <c r="AG881" i="1"/>
  <c r="AH881" i="1"/>
  <c r="F882" i="1"/>
  <c r="J882" i="1"/>
  <c r="K882" i="1" s="1"/>
  <c r="AI882" i="1" s="1"/>
  <c r="AC882" i="1"/>
  <c r="AD882" i="1"/>
  <c r="AE882" i="1"/>
  <c r="AF882" i="1"/>
  <c r="AG882" i="1"/>
  <c r="AH882" i="1"/>
  <c r="F883" i="1"/>
  <c r="J883" i="1"/>
  <c r="K883" i="1" s="1"/>
  <c r="AI883" i="1" s="1"/>
  <c r="AC883" i="1"/>
  <c r="AD883" i="1"/>
  <c r="AE883" i="1"/>
  <c r="AF883" i="1"/>
  <c r="AG883" i="1"/>
  <c r="AH883" i="1"/>
  <c r="F878" i="1"/>
  <c r="J878" i="1"/>
  <c r="K878" i="1" s="1"/>
  <c r="AI878" i="1" s="1"/>
  <c r="AC878" i="1"/>
  <c r="AD878" i="1"/>
  <c r="AE878" i="1"/>
  <c r="AF878" i="1"/>
  <c r="AG878" i="1"/>
  <c r="AH878" i="1"/>
  <c r="F879" i="1"/>
  <c r="J879" i="1"/>
  <c r="K879" i="1" s="1"/>
  <c r="AI879" i="1" s="1"/>
  <c r="AC879" i="1"/>
  <c r="AD879" i="1"/>
  <c r="AE879" i="1"/>
  <c r="AF879" i="1"/>
  <c r="AG879" i="1"/>
  <c r="AH879" i="1"/>
  <c r="F871" i="1"/>
  <c r="J871" i="1"/>
  <c r="K871" i="1" s="1"/>
  <c r="AI871" i="1" s="1"/>
  <c r="AC871" i="1"/>
  <c r="AD871" i="1"/>
  <c r="AE871" i="1"/>
  <c r="AF871" i="1"/>
  <c r="AG871" i="1"/>
  <c r="AH871" i="1"/>
  <c r="F872" i="1"/>
  <c r="J872" i="1"/>
  <c r="K872" i="1" s="1"/>
  <c r="AI872" i="1" s="1"/>
  <c r="AC872" i="1"/>
  <c r="AD872" i="1"/>
  <c r="AE872" i="1"/>
  <c r="AF872" i="1"/>
  <c r="AG872" i="1"/>
  <c r="AH872" i="1"/>
  <c r="F873" i="1"/>
  <c r="J873" i="1"/>
  <c r="K873" i="1" s="1"/>
  <c r="AI873" i="1" s="1"/>
  <c r="AC873" i="1"/>
  <c r="AD873" i="1"/>
  <c r="AE873" i="1"/>
  <c r="AF873" i="1"/>
  <c r="AG873" i="1"/>
  <c r="AH873" i="1"/>
  <c r="F876" i="1"/>
  <c r="J876" i="1"/>
  <c r="K876" i="1" s="1"/>
  <c r="AI876" i="1" s="1"/>
  <c r="AC876" i="1"/>
  <c r="AD876" i="1"/>
  <c r="AE876" i="1"/>
  <c r="AF876" i="1"/>
  <c r="AG876" i="1"/>
  <c r="AH876" i="1"/>
  <c r="F864" i="1"/>
  <c r="J864" i="1"/>
  <c r="K864" i="1" s="1"/>
  <c r="AI864" i="1" s="1"/>
  <c r="AC864" i="1"/>
  <c r="AD864" i="1"/>
  <c r="AE864" i="1"/>
  <c r="AF864" i="1"/>
  <c r="AG864" i="1"/>
  <c r="AH864" i="1"/>
  <c r="F860" i="1"/>
  <c r="J860" i="1"/>
  <c r="K860" i="1" s="1"/>
  <c r="AI860" i="1" s="1"/>
  <c r="AC860" i="1"/>
  <c r="AD860" i="1"/>
  <c r="AE860" i="1"/>
  <c r="AF860" i="1"/>
  <c r="AG860" i="1"/>
  <c r="AH860" i="1"/>
  <c r="F857" i="1"/>
  <c r="J857" i="1"/>
  <c r="AC857" i="1"/>
  <c r="AD857" i="1"/>
  <c r="AE857" i="1"/>
  <c r="AF857" i="1"/>
  <c r="AG857" i="1"/>
  <c r="AH857" i="1"/>
  <c r="F852" i="1"/>
  <c r="J852" i="1"/>
  <c r="K852" i="1" s="1"/>
  <c r="AI852" i="1" s="1"/>
  <c r="AC852" i="1"/>
  <c r="AD852" i="1"/>
  <c r="AE852" i="1"/>
  <c r="AF852" i="1"/>
  <c r="AG852" i="1"/>
  <c r="AH852" i="1"/>
  <c r="F850" i="1"/>
  <c r="J850" i="1"/>
  <c r="K850" i="1" s="1"/>
  <c r="AI850" i="1" s="1"/>
  <c r="AC850" i="1"/>
  <c r="AD850" i="1"/>
  <c r="AE850" i="1"/>
  <c r="AF850" i="1"/>
  <c r="AG850" i="1"/>
  <c r="AH850" i="1"/>
  <c r="F844" i="1"/>
  <c r="J844" i="1"/>
  <c r="K844" i="1" s="1"/>
  <c r="AI844" i="1" s="1"/>
  <c r="AC844" i="1"/>
  <c r="AD844" i="1"/>
  <c r="AE844" i="1"/>
  <c r="AF844" i="1"/>
  <c r="AG844" i="1"/>
  <c r="AH844" i="1"/>
  <c r="F845" i="1"/>
  <c r="J845" i="1"/>
  <c r="K845" i="1" s="1"/>
  <c r="AI845" i="1" s="1"/>
  <c r="AC845" i="1"/>
  <c r="AD845" i="1"/>
  <c r="AE845" i="1"/>
  <c r="AF845" i="1"/>
  <c r="AG845" i="1"/>
  <c r="AH845" i="1"/>
  <c r="F846" i="1"/>
  <c r="J846" i="1"/>
  <c r="K846" i="1" s="1"/>
  <c r="AI846" i="1" s="1"/>
  <c r="AC846" i="1"/>
  <c r="AD846" i="1"/>
  <c r="AE846" i="1"/>
  <c r="AF846" i="1"/>
  <c r="AG846" i="1"/>
  <c r="AH846" i="1"/>
  <c r="F847" i="1"/>
  <c r="J847" i="1"/>
  <c r="K847" i="1" s="1"/>
  <c r="AI847" i="1" s="1"/>
  <c r="AC847" i="1"/>
  <c r="AD847" i="1"/>
  <c r="AE847" i="1"/>
  <c r="AF847" i="1"/>
  <c r="AG847" i="1"/>
  <c r="AH847" i="1"/>
  <c r="F848" i="1"/>
  <c r="J848" i="1"/>
  <c r="K848" i="1" s="1"/>
  <c r="AI848" i="1" s="1"/>
  <c r="AC848" i="1"/>
  <c r="AD848" i="1"/>
  <c r="AE848" i="1"/>
  <c r="AF848" i="1"/>
  <c r="AG848" i="1"/>
  <c r="AH848" i="1"/>
  <c r="F833" i="1"/>
  <c r="J833" i="1"/>
  <c r="K833" i="1" s="1"/>
  <c r="AI833" i="1" s="1"/>
  <c r="AC833" i="1"/>
  <c r="AD833" i="1"/>
  <c r="AE833" i="1"/>
  <c r="AF833" i="1"/>
  <c r="AG833" i="1"/>
  <c r="AH833" i="1"/>
  <c r="F834" i="1"/>
  <c r="J834" i="1"/>
  <c r="K834" i="1" s="1"/>
  <c r="AI834" i="1" s="1"/>
  <c r="AC834" i="1"/>
  <c r="AD834" i="1"/>
  <c r="AE834" i="1"/>
  <c r="AF834" i="1"/>
  <c r="AG834" i="1"/>
  <c r="AH834" i="1"/>
  <c r="F835" i="1"/>
  <c r="J835" i="1"/>
  <c r="K835" i="1" s="1"/>
  <c r="AI835" i="1" s="1"/>
  <c r="AC835" i="1"/>
  <c r="AD835" i="1"/>
  <c r="AE835" i="1"/>
  <c r="AF835" i="1"/>
  <c r="AG835" i="1"/>
  <c r="AH835" i="1"/>
  <c r="F837" i="1"/>
  <c r="J837" i="1"/>
  <c r="K837" i="1" s="1"/>
  <c r="AI837" i="1" s="1"/>
  <c r="AC837" i="1"/>
  <c r="AD837" i="1"/>
  <c r="AE837" i="1"/>
  <c r="AF837" i="1"/>
  <c r="AG837" i="1"/>
  <c r="AH837" i="1"/>
  <c r="F838" i="1"/>
  <c r="J838" i="1"/>
  <c r="K838" i="1" s="1"/>
  <c r="AI838" i="1" s="1"/>
  <c r="AC838" i="1"/>
  <c r="AD838" i="1"/>
  <c r="AE838" i="1"/>
  <c r="AF838" i="1"/>
  <c r="AG838" i="1"/>
  <c r="AH838" i="1"/>
  <c r="F839" i="1"/>
  <c r="J839" i="1"/>
  <c r="K839" i="1" s="1"/>
  <c r="AI839" i="1" s="1"/>
  <c r="AC839" i="1"/>
  <c r="AD839" i="1"/>
  <c r="AE839" i="1"/>
  <c r="AF839" i="1"/>
  <c r="AG839" i="1"/>
  <c r="AH839" i="1"/>
  <c r="F841" i="1"/>
  <c r="J841" i="1"/>
  <c r="K841" i="1" s="1"/>
  <c r="AI841" i="1" s="1"/>
  <c r="AC841" i="1"/>
  <c r="AD841" i="1"/>
  <c r="AE841" i="1"/>
  <c r="AF841" i="1"/>
  <c r="AG841" i="1"/>
  <c r="AH841" i="1"/>
  <c r="F831" i="1"/>
  <c r="J831" i="1"/>
  <c r="K831" i="1" s="1"/>
  <c r="AI831" i="1" s="1"/>
  <c r="AC831" i="1"/>
  <c r="AD831" i="1"/>
  <c r="AE831" i="1"/>
  <c r="AF831" i="1"/>
  <c r="AG831" i="1"/>
  <c r="AH831" i="1"/>
  <c r="F828" i="1"/>
  <c r="J828" i="1"/>
  <c r="K828" i="1" s="1"/>
  <c r="AI828" i="1" s="1"/>
  <c r="AC828" i="1"/>
  <c r="AD828" i="1"/>
  <c r="AE828" i="1"/>
  <c r="AF828" i="1"/>
  <c r="AG828" i="1"/>
  <c r="AH828" i="1"/>
  <c r="F823" i="1"/>
  <c r="J823" i="1"/>
  <c r="K823" i="1" s="1"/>
  <c r="AI823" i="1" s="1"/>
  <c r="AC823" i="1"/>
  <c r="AD823" i="1"/>
  <c r="AE823" i="1"/>
  <c r="AF823" i="1"/>
  <c r="AG823" i="1"/>
  <c r="AH823" i="1"/>
  <c r="F821" i="1"/>
  <c r="J821" i="1"/>
  <c r="K821" i="1" s="1"/>
  <c r="AI821" i="1" s="1"/>
  <c r="AC821" i="1"/>
  <c r="AD821" i="1"/>
  <c r="AE821" i="1"/>
  <c r="AF821" i="1"/>
  <c r="AG821" i="1"/>
  <c r="AH821" i="1"/>
  <c r="F819" i="1"/>
  <c r="J819" i="1"/>
  <c r="K819" i="1" s="1"/>
  <c r="AI819" i="1" s="1"/>
  <c r="AC819" i="1"/>
  <c r="AD819" i="1"/>
  <c r="AE819" i="1"/>
  <c r="AF819" i="1"/>
  <c r="AG819" i="1"/>
  <c r="AH819" i="1"/>
  <c r="F815" i="1"/>
  <c r="J815" i="1"/>
  <c r="K815" i="1" s="1"/>
  <c r="AI815" i="1" s="1"/>
  <c r="AC815" i="1"/>
  <c r="AD815" i="1"/>
  <c r="AE815" i="1"/>
  <c r="AF815" i="1"/>
  <c r="AG815" i="1"/>
  <c r="AH815" i="1"/>
  <c r="F816" i="1"/>
  <c r="J816" i="1"/>
  <c r="K816" i="1" s="1"/>
  <c r="AI816" i="1" s="1"/>
  <c r="AC816" i="1"/>
  <c r="AD816" i="1"/>
  <c r="AE816" i="1"/>
  <c r="AF816" i="1"/>
  <c r="AG816" i="1"/>
  <c r="AH816" i="1"/>
  <c r="F810" i="1"/>
  <c r="J810" i="1"/>
  <c r="K810" i="1" s="1"/>
  <c r="AI810" i="1" s="1"/>
  <c r="AC810" i="1"/>
  <c r="AD810" i="1"/>
  <c r="AE810" i="1"/>
  <c r="AF810" i="1"/>
  <c r="AG810" i="1"/>
  <c r="AH810" i="1"/>
  <c r="F806" i="1"/>
  <c r="J806" i="1"/>
  <c r="K806" i="1" s="1"/>
  <c r="AI806" i="1" s="1"/>
  <c r="AC806" i="1"/>
  <c r="AD806" i="1"/>
  <c r="AE806" i="1"/>
  <c r="AF806" i="1"/>
  <c r="AG806" i="1"/>
  <c r="AH806" i="1"/>
  <c r="F807" i="1"/>
  <c r="J807" i="1"/>
  <c r="K807" i="1" s="1"/>
  <c r="AI807" i="1" s="1"/>
  <c r="AC807" i="1"/>
  <c r="AD807" i="1"/>
  <c r="AE807" i="1"/>
  <c r="AF807" i="1"/>
  <c r="AG807" i="1"/>
  <c r="AH807" i="1"/>
  <c r="F808" i="1"/>
  <c r="J808" i="1"/>
  <c r="K808" i="1" s="1"/>
  <c r="AI808" i="1" s="1"/>
  <c r="AC808" i="1"/>
  <c r="AD808" i="1"/>
  <c r="AE808" i="1"/>
  <c r="AF808" i="1"/>
  <c r="AG808" i="1"/>
  <c r="AH808" i="1"/>
  <c r="F802" i="1"/>
  <c r="J802" i="1"/>
  <c r="K802" i="1" s="1"/>
  <c r="AI802" i="1" s="1"/>
  <c r="AC802" i="1"/>
  <c r="AD802" i="1"/>
  <c r="AE802" i="1"/>
  <c r="AF802" i="1"/>
  <c r="AG802" i="1"/>
  <c r="AH802" i="1"/>
  <c r="F803" i="1"/>
  <c r="J803" i="1"/>
  <c r="K803" i="1" s="1"/>
  <c r="AI803" i="1" s="1"/>
  <c r="AC803" i="1"/>
  <c r="AD803" i="1"/>
  <c r="AE803" i="1"/>
  <c r="AF803" i="1"/>
  <c r="AG803" i="1"/>
  <c r="AH803" i="1"/>
  <c r="F804" i="1"/>
  <c r="J804" i="1"/>
  <c r="K804" i="1" s="1"/>
  <c r="AI804" i="1" s="1"/>
  <c r="AC804" i="1"/>
  <c r="AD804" i="1"/>
  <c r="AE804" i="1"/>
  <c r="AF804" i="1"/>
  <c r="AG804" i="1"/>
  <c r="AH804" i="1"/>
  <c r="F797" i="1"/>
  <c r="J797" i="1"/>
  <c r="K797" i="1" s="1"/>
  <c r="AI797" i="1" s="1"/>
  <c r="AC797" i="1"/>
  <c r="AD797" i="1"/>
  <c r="AE797" i="1"/>
  <c r="AF797" i="1"/>
  <c r="AG797" i="1"/>
  <c r="AH797" i="1"/>
  <c r="F786" i="1"/>
  <c r="J786" i="1"/>
  <c r="AC786" i="1"/>
  <c r="AD786" i="1"/>
  <c r="AE786" i="1"/>
  <c r="AF786" i="1"/>
  <c r="AG786" i="1"/>
  <c r="AH786" i="1"/>
  <c r="F782" i="1"/>
  <c r="J782" i="1"/>
  <c r="K782" i="1" s="1"/>
  <c r="AI782" i="1" s="1"/>
  <c r="AC782" i="1"/>
  <c r="AD782" i="1"/>
  <c r="AE782" i="1"/>
  <c r="AF782" i="1"/>
  <c r="AG782" i="1"/>
  <c r="AH782" i="1"/>
  <c r="F783" i="1"/>
  <c r="J783" i="1"/>
  <c r="K783" i="1" s="1"/>
  <c r="AI783" i="1" s="1"/>
  <c r="AC783" i="1"/>
  <c r="AD783" i="1"/>
  <c r="AE783" i="1"/>
  <c r="AF783" i="1"/>
  <c r="AG783" i="1"/>
  <c r="AH783" i="1"/>
  <c r="F778" i="1"/>
  <c r="J778" i="1"/>
  <c r="K778" i="1" s="1"/>
  <c r="AI778" i="1" s="1"/>
  <c r="AC778" i="1"/>
  <c r="AD778" i="1"/>
  <c r="AE778" i="1"/>
  <c r="AF778" i="1"/>
  <c r="AG778" i="1"/>
  <c r="AH778" i="1"/>
  <c r="F779" i="1"/>
  <c r="J779" i="1"/>
  <c r="K779" i="1" s="1"/>
  <c r="AI779" i="1" s="1"/>
  <c r="AC779" i="1"/>
  <c r="AD779" i="1"/>
  <c r="AE779" i="1"/>
  <c r="AF779" i="1"/>
  <c r="AG779" i="1"/>
  <c r="AH779" i="1"/>
  <c r="F780" i="1"/>
  <c r="J780" i="1"/>
  <c r="K780" i="1" s="1"/>
  <c r="AI780" i="1" s="1"/>
  <c r="AC780" i="1"/>
  <c r="AD780" i="1"/>
  <c r="AE780" i="1"/>
  <c r="AF780" i="1"/>
  <c r="AG780" i="1"/>
  <c r="AH780" i="1"/>
  <c r="F773" i="1"/>
  <c r="J773" i="1"/>
  <c r="K773" i="1" s="1"/>
  <c r="AI773" i="1" s="1"/>
  <c r="AC773" i="1"/>
  <c r="AD773" i="1"/>
  <c r="AE773" i="1"/>
  <c r="AF773" i="1"/>
  <c r="AG773" i="1"/>
  <c r="AH773" i="1"/>
  <c r="F774" i="1"/>
  <c r="J774" i="1"/>
  <c r="K774" i="1" s="1"/>
  <c r="AI774" i="1" s="1"/>
  <c r="AC774" i="1"/>
  <c r="AD774" i="1"/>
  <c r="AE774" i="1"/>
  <c r="AF774" i="1"/>
  <c r="AG774" i="1"/>
  <c r="AH774" i="1"/>
  <c r="F775" i="1"/>
  <c r="J775" i="1"/>
  <c r="K775" i="1" s="1"/>
  <c r="AI775" i="1" s="1"/>
  <c r="AC775" i="1"/>
  <c r="AD775" i="1"/>
  <c r="AE775" i="1"/>
  <c r="AF775" i="1"/>
  <c r="AG775" i="1"/>
  <c r="AH775" i="1"/>
  <c r="F776" i="1"/>
  <c r="J776" i="1"/>
  <c r="K776" i="1" s="1"/>
  <c r="AI776" i="1" s="1"/>
  <c r="AC776" i="1"/>
  <c r="AD776" i="1"/>
  <c r="AE776" i="1"/>
  <c r="AF776" i="1"/>
  <c r="AG776" i="1"/>
  <c r="AH776" i="1"/>
  <c r="F767" i="1"/>
  <c r="J767" i="1"/>
  <c r="K767" i="1" s="1"/>
  <c r="AI767" i="1" s="1"/>
  <c r="AC767" i="1"/>
  <c r="AD767" i="1"/>
  <c r="AE767" i="1"/>
  <c r="AF767" i="1"/>
  <c r="AG767" i="1"/>
  <c r="AH767" i="1"/>
  <c r="F768" i="1"/>
  <c r="J768" i="1"/>
  <c r="K768" i="1" s="1"/>
  <c r="AI768" i="1" s="1"/>
  <c r="AC768" i="1"/>
  <c r="AD768" i="1"/>
  <c r="AE768" i="1"/>
  <c r="AF768" i="1"/>
  <c r="AG768" i="1"/>
  <c r="AH768" i="1"/>
  <c r="F760" i="1"/>
  <c r="J760" i="1"/>
  <c r="K760" i="1" s="1"/>
  <c r="AI760" i="1" s="1"/>
  <c r="AC760" i="1"/>
  <c r="AD760" i="1"/>
  <c r="AE760" i="1"/>
  <c r="AF760" i="1"/>
  <c r="AG760" i="1"/>
  <c r="AH760" i="1"/>
  <c r="F762" i="1"/>
  <c r="J762" i="1"/>
  <c r="K762" i="1" s="1"/>
  <c r="AI762" i="1" s="1"/>
  <c r="AC762" i="1"/>
  <c r="AD762" i="1"/>
  <c r="AE762" i="1"/>
  <c r="AF762" i="1"/>
  <c r="AG762" i="1"/>
  <c r="AH762" i="1"/>
  <c r="F763" i="1"/>
  <c r="J763" i="1"/>
  <c r="K763" i="1" s="1"/>
  <c r="AI763" i="1" s="1"/>
  <c r="AC763" i="1"/>
  <c r="AD763" i="1"/>
  <c r="AE763" i="1"/>
  <c r="AF763" i="1"/>
  <c r="AG763" i="1"/>
  <c r="AH763" i="1"/>
  <c r="F755" i="1"/>
  <c r="J755" i="1"/>
  <c r="K755" i="1" s="1"/>
  <c r="AI755" i="1" s="1"/>
  <c r="AC755" i="1"/>
  <c r="AD755" i="1"/>
  <c r="AE755" i="1"/>
  <c r="AF755" i="1"/>
  <c r="AG755" i="1"/>
  <c r="AH755" i="1"/>
  <c r="F756" i="1"/>
  <c r="J756" i="1"/>
  <c r="K756" i="1" s="1"/>
  <c r="AI756" i="1" s="1"/>
  <c r="AC756" i="1"/>
  <c r="AD756" i="1"/>
  <c r="AE756" i="1"/>
  <c r="AF756" i="1"/>
  <c r="AG756" i="1"/>
  <c r="AH756" i="1"/>
  <c r="F748" i="1"/>
  <c r="J748" i="1"/>
  <c r="K748" i="1" s="1"/>
  <c r="AI748" i="1" s="1"/>
  <c r="AC748" i="1"/>
  <c r="AD748" i="1"/>
  <c r="AE748" i="1"/>
  <c r="AF748" i="1"/>
  <c r="AG748" i="1"/>
  <c r="AH748" i="1"/>
  <c r="F749" i="1"/>
  <c r="J749" i="1"/>
  <c r="K749" i="1" s="1"/>
  <c r="AI749" i="1" s="1"/>
  <c r="AC749" i="1"/>
  <c r="AD749" i="1"/>
  <c r="AE749" i="1"/>
  <c r="AF749" i="1"/>
  <c r="AG749" i="1"/>
  <c r="AH749" i="1"/>
  <c r="F750" i="1"/>
  <c r="J750" i="1"/>
  <c r="K750" i="1" s="1"/>
  <c r="AI750" i="1" s="1"/>
  <c r="AC750" i="1"/>
  <c r="AD750" i="1"/>
  <c r="AE750" i="1"/>
  <c r="AF750" i="1"/>
  <c r="AG750" i="1"/>
  <c r="AH750" i="1"/>
  <c r="F752" i="1"/>
  <c r="J752" i="1"/>
  <c r="K752" i="1" s="1"/>
  <c r="AI752" i="1" s="1"/>
  <c r="AC752" i="1"/>
  <c r="AD752" i="1"/>
  <c r="AE752" i="1"/>
  <c r="AF752" i="1"/>
  <c r="AG752" i="1"/>
  <c r="AH752" i="1"/>
  <c r="F753" i="1"/>
  <c r="J753" i="1"/>
  <c r="K753" i="1" s="1"/>
  <c r="AI753" i="1" s="1"/>
  <c r="AC753" i="1"/>
  <c r="AD753" i="1"/>
  <c r="AE753" i="1"/>
  <c r="AF753" i="1"/>
  <c r="AG753" i="1"/>
  <c r="AH753" i="1"/>
  <c r="F740" i="1"/>
  <c r="J740" i="1"/>
  <c r="K740" i="1" s="1"/>
  <c r="AI740" i="1" s="1"/>
  <c r="AC740" i="1"/>
  <c r="AD740" i="1"/>
  <c r="AE740" i="1"/>
  <c r="AF740" i="1"/>
  <c r="AG740" i="1"/>
  <c r="AH740" i="1"/>
  <c r="F741" i="1"/>
  <c r="J741" i="1"/>
  <c r="K741" i="1" s="1"/>
  <c r="AI741" i="1" s="1"/>
  <c r="AC741" i="1"/>
  <c r="AD741" i="1"/>
  <c r="AE741" i="1"/>
  <c r="AF741" i="1"/>
  <c r="AG741" i="1"/>
  <c r="AH741" i="1"/>
  <c r="F742" i="1"/>
  <c r="J742" i="1"/>
  <c r="K742" i="1" s="1"/>
  <c r="AI742" i="1" s="1"/>
  <c r="AC742" i="1"/>
  <c r="AD742" i="1"/>
  <c r="AE742" i="1"/>
  <c r="AF742" i="1"/>
  <c r="AG742" i="1"/>
  <c r="AH742" i="1"/>
  <c r="F744" i="1"/>
  <c r="J744" i="1"/>
  <c r="K744" i="1" s="1"/>
  <c r="AI744" i="1" s="1"/>
  <c r="AC744" i="1"/>
  <c r="AD744" i="1"/>
  <c r="AE744" i="1"/>
  <c r="AF744" i="1"/>
  <c r="AG744" i="1"/>
  <c r="AH744" i="1"/>
  <c r="F733" i="1"/>
  <c r="J733" i="1"/>
  <c r="K733" i="1" s="1"/>
  <c r="AI733" i="1" s="1"/>
  <c r="AC733" i="1"/>
  <c r="AD733" i="1"/>
  <c r="AE733" i="1"/>
  <c r="AF733" i="1"/>
  <c r="AG733" i="1"/>
  <c r="AH733" i="1"/>
  <c r="F734" i="1"/>
  <c r="J734" i="1"/>
  <c r="K734" i="1" s="1"/>
  <c r="AI734" i="1" s="1"/>
  <c r="AC734" i="1"/>
  <c r="AD734" i="1"/>
  <c r="AE734" i="1"/>
  <c r="AF734" i="1"/>
  <c r="AG734" i="1"/>
  <c r="AH734" i="1"/>
  <c r="F737" i="1"/>
  <c r="J737" i="1"/>
  <c r="AC737" i="1"/>
  <c r="AD737" i="1"/>
  <c r="AE737" i="1"/>
  <c r="AF737" i="1"/>
  <c r="AG737" i="1"/>
  <c r="AH737" i="1"/>
  <c r="F738" i="1"/>
  <c r="J738" i="1"/>
  <c r="K738" i="1" s="1"/>
  <c r="AI738" i="1" s="1"/>
  <c r="AC738" i="1"/>
  <c r="AD738" i="1"/>
  <c r="AE738" i="1"/>
  <c r="AF738" i="1"/>
  <c r="AG738" i="1"/>
  <c r="AH738" i="1"/>
  <c r="F724" i="1"/>
  <c r="J724" i="1"/>
  <c r="K724" i="1" s="1"/>
  <c r="AI724" i="1" s="1"/>
  <c r="AC724" i="1"/>
  <c r="AD724" i="1"/>
  <c r="AE724" i="1"/>
  <c r="AF724" i="1"/>
  <c r="AG724" i="1"/>
  <c r="AH724" i="1"/>
  <c r="F719" i="1"/>
  <c r="J719" i="1"/>
  <c r="K719" i="1" s="1"/>
  <c r="AI719" i="1" s="1"/>
  <c r="AC719" i="1"/>
  <c r="AD719" i="1"/>
  <c r="AE719" i="1"/>
  <c r="AF719" i="1"/>
  <c r="AG719" i="1"/>
  <c r="AH719" i="1"/>
  <c r="F713" i="1"/>
  <c r="J713" i="1"/>
  <c r="AC713" i="1"/>
  <c r="AD713" i="1"/>
  <c r="AE713" i="1"/>
  <c r="AF713" i="1"/>
  <c r="AG713" i="1"/>
  <c r="AH713" i="1"/>
  <c r="F709" i="1"/>
  <c r="J709" i="1"/>
  <c r="K709" i="1" s="1"/>
  <c r="AI709" i="1" s="1"/>
  <c r="AC709" i="1"/>
  <c r="AD709" i="1"/>
  <c r="AE709" i="1"/>
  <c r="AF709" i="1"/>
  <c r="AG709" i="1"/>
  <c r="AH709" i="1"/>
  <c r="F710" i="1"/>
  <c r="J710" i="1"/>
  <c r="K710" i="1" s="1"/>
  <c r="AI710" i="1" s="1"/>
  <c r="AC710" i="1"/>
  <c r="AD710" i="1"/>
  <c r="AE710" i="1"/>
  <c r="AF710" i="1"/>
  <c r="AG710" i="1"/>
  <c r="AH710" i="1"/>
  <c r="F703" i="1"/>
  <c r="J703" i="1"/>
  <c r="K703" i="1" s="1"/>
  <c r="AI703" i="1" s="1"/>
  <c r="AC703" i="1"/>
  <c r="AD703" i="1"/>
  <c r="AE703" i="1"/>
  <c r="AF703" i="1"/>
  <c r="AG703" i="1"/>
  <c r="AH703" i="1"/>
  <c r="F699" i="1"/>
  <c r="J699" i="1"/>
  <c r="AC699" i="1"/>
  <c r="AD699" i="1"/>
  <c r="AE699" i="1"/>
  <c r="AF699" i="1"/>
  <c r="AG699" i="1"/>
  <c r="AH699" i="1"/>
  <c r="F694" i="1"/>
  <c r="J694" i="1"/>
  <c r="K694" i="1" s="1"/>
  <c r="AI694" i="1" s="1"/>
  <c r="AC694" i="1"/>
  <c r="AD694" i="1"/>
  <c r="AE694" i="1"/>
  <c r="AF694" i="1"/>
  <c r="AG694" i="1"/>
  <c r="AH694" i="1"/>
  <c r="F695" i="1"/>
  <c r="J695" i="1"/>
  <c r="K695" i="1" s="1"/>
  <c r="AI695" i="1" s="1"/>
  <c r="AC695" i="1"/>
  <c r="AD695" i="1"/>
  <c r="AE695" i="1"/>
  <c r="AF695" i="1"/>
  <c r="AG695" i="1"/>
  <c r="AH695" i="1"/>
  <c r="F696" i="1"/>
  <c r="J696" i="1"/>
  <c r="K696" i="1" s="1"/>
  <c r="AI696" i="1" s="1"/>
  <c r="AC696" i="1"/>
  <c r="AD696" i="1"/>
  <c r="AE696" i="1"/>
  <c r="AF696" i="1"/>
  <c r="AG696" i="1"/>
  <c r="AH696" i="1"/>
  <c r="F697" i="1"/>
  <c r="J697" i="1"/>
  <c r="K697" i="1" s="1"/>
  <c r="AI697" i="1" s="1"/>
  <c r="AC697" i="1"/>
  <c r="AD697" i="1"/>
  <c r="AE697" i="1"/>
  <c r="AF697" i="1"/>
  <c r="AG697" i="1"/>
  <c r="AH697" i="1"/>
  <c r="F691" i="1"/>
  <c r="J691" i="1"/>
  <c r="K691" i="1" s="1"/>
  <c r="AI691" i="1" s="1"/>
  <c r="AC691" i="1"/>
  <c r="AD691" i="1"/>
  <c r="AE691" i="1"/>
  <c r="AF691" i="1"/>
  <c r="AG691" i="1"/>
  <c r="AH691" i="1"/>
  <c r="F692" i="1"/>
  <c r="J692" i="1"/>
  <c r="K692" i="1" s="1"/>
  <c r="AI692" i="1" s="1"/>
  <c r="AC692" i="1"/>
  <c r="AD692" i="1"/>
  <c r="AE692" i="1"/>
  <c r="AF692" i="1"/>
  <c r="AG692" i="1"/>
  <c r="AH692" i="1"/>
  <c r="F684" i="1"/>
  <c r="J684" i="1"/>
  <c r="K684" i="1" s="1"/>
  <c r="AI684" i="1" s="1"/>
  <c r="AC684" i="1"/>
  <c r="AD684" i="1"/>
  <c r="AE684" i="1"/>
  <c r="AF684" i="1"/>
  <c r="AG684" i="1"/>
  <c r="AH684" i="1"/>
  <c r="F686" i="1"/>
  <c r="J686" i="1"/>
  <c r="AC686" i="1"/>
  <c r="AD686" i="1"/>
  <c r="AE686" i="1"/>
  <c r="AF686" i="1"/>
  <c r="AG686" i="1"/>
  <c r="AH686" i="1"/>
  <c r="F687" i="1"/>
  <c r="J687" i="1"/>
  <c r="K687" i="1" s="1"/>
  <c r="AI687" i="1" s="1"/>
  <c r="AC687" i="1"/>
  <c r="AD687" i="1"/>
  <c r="AE687" i="1"/>
  <c r="AF687" i="1"/>
  <c r="AG687" i="1"/>
  <c r="AH687" i="1"/>
  <c r="F688" i="1"/>
  <c r="J688" i="1"/>
  <c r="K688" i="1" s="1"/>
  <c r="AI688" i="1" s="1"/>
  <c r="AC688" i="1"/>
  <c r="AD688" i="1"/>
  <c r="AE688" i="1"/>
  <c r="AF688" i="1"/>
  <c r="AG688" i="1"/>
  <c r="AH688" i="1"/>
  <c r="F682" i="1"/>
  <c r="J682" i="1"/>
  <c r="K682" i="1" s="1"/>
  <c r="AI682" i="1" s="1"/>
  <c r="AC682" i="1"/>
  <c r="AD682" i="1"/>
  <c r="AE682" i="1"/>
  <c r="AF682" i="1"/>
  <c r="AG682" i="1"/>
  <c r="AH682" i="1"/>
  <c r="F669" i="1"/>
  <c r="J669" i="1"/>
  <c r="K669" i="1" s="1"/>
  <c r="AI669" i="1" s="1"/>
  <c r="AC669" i="1"/>
  <c r="AD669" i="1"/>
  <c r="AE669" i="1"/>
  <c r="AF669" i="1"/>
  <c r="AG669" i="1"/>
  <c r="AH669" i="1"/>
  <c r="F671" i="1"/>
  <c r="J671" i="1"/>
  <c r="K671" i="1" s="1"/>
  <c r="AI671" i="1" s="1"/>
  <c r="AC671" i="1"/>
  <c r="AD671" i="1"/>
  <c r="AE671" i="1"/>
  <c r="AF671" i="1"/>
  <c r="AG671" i="1"/>
  <c r="AH671" i="1"/>
  <c r="F673" i="1"/>
  <c r="J673" i="1"/>
  <c r="K673" i="1" s="1"/>
  <c r="AI673" i="1" s="1"/>
  <c r="AC673" i="1"/>
  <c r="AD673" i="1"/>
  <c r="AE673" i="1"/>
  <c r="AF673" i="1"/>
  <c r="AG673" i="1"/>
  <c r="AH673" i="1"/>
  <c r="F674" i="1"/>
  <c r="J674" i="1"/>
  <c r="K674" i="1" s="1"/>
  <c r="AI674" i="1" s="1"/>
  <c r="AC674" i="1"/>
  <c r="AD674" i="1"/>
  <c r="AE674" i="1"/>
  <c r="AF674" i="1"/>
  <c r="AG674" i="1"/>
  <c r="AH674" i="1"/>
  <c r="F675" i="1"/>
  <c r="J675" i="1"/>
  <c r="AC675" i="1"/>
  <c r="AD675" i="1"/>
  <c r="AE675" i="1"/>
  <c r="AF675" i="1"/>
  <c r="AG675" i="1"/>
  <c r="AH675" i="1"/>
  <c r="F676" i="1"/>
  <c r="J676" i="1"/>
  <c r="K676" i="1" s="1"/>
  <c r="AI676" i="1" s="1"/>
  <c r="AC676" i="1"/>
  <c r="AD676" i="1"/>
  <c r="AE676" i="1"/>
  <c r="AF676" i="1"/>
  <c r="AG676" i="1"/>
  <c r="AH676" i="1"/>
  <c r="F665" i="1"/>
  <c r="J665" i="1"/>
  <c r="K665" i="1" s="1"/>
  <c r="AI665" i="1" s="1"/>
  <c r="AC665" i="1"/>
  <c r="AD665" i="1"/>
  <c r="AE665" i="1"/>
  <c r="AF665" i="1"/>
  <c r="AG665" i="1"/>
  <c r="AH665" i="1"/>
  <c r="F666" i="1"/>
  <c r="J666" i="1"/>
  <c r="K666" i="1" s="1"/>
  <c r="AI666" i="1" s="1"/>
  <c r="AC666" i="1"/>
  <c r="AD666" i="1"/>
  <c r="AE666" i="1"/>
  <c r="AF666" i="1"/>
  <c r="AG666" i="1"/>
  <c r="AH666" i="1"/>
  <c r="F667" i="1"/>
  <c r="J667" i="1"/>
  <c r="K667" i="1" s="1"/>
  <c r="AI667" i="1" s="1"/>
  <c r="AC667" i="1"/>
  <c r="AD667" i="1"/>
  <c r="AE667" i="1"/>
  <c r="AF667" i="1"/>
  <c r="AG667" i="1"/>
  <c r="AH667" i="1"/>
  <c r="F657" i="1"/>
  <c r="J657" i="1"/>
  <c r="K657" i="1" s="1"/>
  <c r="AI657" i="1" s="1"/>
  <c r="AC657" i="1"/>
  <c r="AD657" i="1"/>
  <c r="AE657" i="1"/>
  <c r="AF657" i="1"/>
  <c r="AG657" i="1"/>
  <c r="AH657" i="1"/>
  <c r="F658" i="1"/>
  <c r="J658" i="1"/>
  <c r="K658" i="1" s="1"/>
  <c r="AI658" i="1" s="1"/>
  <c r="AC658" i="1"/>
  <c r="AD658" i="1"/>
  <c r="AE658" i="1"/>
  <c r="AF658" i="1"/>
  <c r="AG658" i="1"/>
  <c r="AH658" i="1"/>
  <c r="F659" i="1"/>
  <c r="J659" i="1"/>
  <c r="K659" i="1" s="1"/>
  <c r="AI659" i="1" s="1"/>
  <c r="AC659" i="1"/>
  <c r="AD659" i="1"/>
  <c r="AE659" i="1"/>
  <c r="AF659" i="1"/>
  <c r="AG659" i="1"/>
  <c r="AH659" i="1"/>
  <c r="F660" i="1"/>
  <c r="J660" i="1"/>
  <c r="AC660" i="1"/>
  <c r="AD660" i="1"/>
  <c r="AE660" i="1"/>
  <c r="AF660" i="1"/>
  <c r="AG660" i="1"/>
  <c r="AH660" i="1"/>
  <c r="F661" i="1"/>
  <c r="J661" i="1"/>
  <c r="K661" i="1" s="1"/>
  <c r="AI661" i="1" s="1"/>
  <c r="AC661" i="1"/>
  <c r="AD661" i="1"/>
  <c r="AE661" i="1"/>
  <c r="AF661" i="1"/>
  <c r="AG661" i="1"/>
  <c r="AH661" i="1"/>
  <c r="F662" i="1"/>
  <c r="J662" i="1"/>
  <c r="K662" i="1" s="1"/>
  <c r="AI662" i="1" s="1"/>
  <c r="AC662" i="1"/>
  <c r="AD662" i="1"/>
  <c r="AE662" i="1"/>
  <c r="AF662" i="1"/>
  <c r="AG662" i="1"/>
  <c r="AH662" i="1"/>
  <c r="F645" i="1"/>
  <c r="J645" i="1"/>
  <c r="K645" i="1" s="1"/>
  <c r="AI645" i="1" s="1"/>
  <c r="AC645" i="1"/>
  <c r="AD645" i="1"/>
  <c r="AE645" i="1"/>
  <c r="AF645" i="1"/>
  <c r="AG645" i="1"/>
  <c r="AH645" i="1"/>
  <c r="F647" i="1"/>
  <c r="J647" i="1"/>
  <c r="AC647" i="1"/>
  <c r="AD647" i="1"/>
  <c r="AE647" i="1"/>
  <c r="AF647" i="1"/>
  <c r="AG647" i="1"/>
  <c r="AH647" i="1"/>
  <c r="F648" i="1"/>
  <c r="J648" i="1"/>
  <c r="K648" i="1" s="1"/>
  <c r="AI648" i="1" s="1"/>
  <c r="AC648" i="1"/>
  <c r="AD648" i="1"/>
  <c r="AE648" i="1"/>
  <c r="AF648" i="1"/>
  <c r="AG648" i="1"/>
  <c r="AH648" i="1"/>
  <c r="F649" i="1"/>
  <c r="J649" i="1"/>
  <c r="K649" i="1" s="1"/>
  <c r="AI649" i="1" s="1"/>
  <c r="AC649" i="1"/>
  <c r="AD649" i="1"/>
  <c r="AE649" i="1"/>
  <c r="AF649" i="1"/>
  <c r="AG649" i="1"/>
  <c r="AH649" i="1"/>
  <c r="F651" i="1"/>
  <c r="J651" i="1"/>
  <c r="K651" i="1" s="1"/>
  <c r="AI651" i="1" s="1"/>
  <c r="AC651" i="1"/>
  <c r="AD651" i="1"/>
  <c r="AE651" i="1"/>
  <c r="AF651" i="1"/>
  <c r="AG651" i="1"/>
  <c r="AH651" i="1"/>
  <c r="F652" i="1"/>
  <c r="J652" i="1"/>
  <c r="AC652" i="1"/>
  <c r="AD652" i="1"/>
  <c r="AE652" i="1"/>
  <c r="AF652" i="1"/>
  <c r="AG652" i="1"/>
  <c r="AH652" i="1"/>
  <c r="F641" i="1"/>
  <c r="J641" i="1"/>
  <c r="K641" i="1" s="1"/>
  <c r="AI641" i="1" s="1"/>
  <c r="AC641" i="1"/>
  <c r="AD641" i="1"/>
  <c r="AE641" i="1"/>
  <c r="AF641" i="1"/>
  <c r="AG641" i="1"/>
  <c r="AH641" i="1"/>
  <c r="F642" i="1"/>
  <c r="J642" i="1"/>
  <c r="K642" i="1" s="1"/>
  <c r="AI642" i="1" s="1"/>
  <c r="AC642" i="1"/>
  <c r="AD642" i="1"/>
  <c r="AE642" i="1"/>
  <c r="AF642" i="1"/>
  <c r="AG642" i="1"/>
  <c r="AH642" i="1"/>
  <c r="F636" i="1"/>
  <c r="J636" i="1"/>
  <c r="K636" i="1" s="1"/>
  <c r="AI636" i="1" s="1"/>
  <c r="AC636" i="1"/>
  <c r="AD636" i="1"/>
  <c r="AE636" i="1"/>
  <c r="AF636" i="1"/>
  <c r="AG636" i="1"/>
  <c r="AH636" i="1"/>
  <c r="F637" i="1"/>
  <c r="J637" i="1"/>
  <c r="K637" i="1" s="1"/>
  <c r="AI637" i="1" s="1"/>
  <c r="AC637" i="1"/>
  <c r="AD637" i="1"/>
  <c r="AE637" i="1"/>
  <c r="AF637" i="1"/>
  <c r="AG637" i="1"/>
  <c r="AH637" i="1"/>
  <c r="F638" i="1"/>
  <c r="J638" i="1"/>
  <c r="K638" i="1" s="1"/>
  <c r="AI638" i="1" s="1"/>
  <c r="AC638" i="1"/>
  <c r="AD638" i="1"/>
  <c r="AE638" i="1"/>
  <c r="AF638" i="1"/>
  <c r="AG638" i="1"/>
  <c r="AH638" i="1"/>
  <c r="F639" i="1"/>
  <c r="J639" i="1"/>
  <c r="K639" i="1" s="1"/>
  <c r="AI639" i="1" s="1"/>
  <c r="AC639" i="1"/>
  <c r="AD639" i="1"/>
  <c r="AE639" i="1"/>
  <c r="AF639" i="1"/>
  <c r="AG639" i="1"/>
  <c r="AH639" i="1"/>
  <c r="F632" i="1"/>
  <c r="J632" i="1"/>
  <c r="K632" i="1" s="1"/>
  <c r="AI632" i="1" s="1"/>
  <c r="AC632" i="1"/>
  <c r="AD632" i="1"/>
  <c r="AE632" i="1"/>
  <c r="AF632" i="1"/>
  <c r="AG632" i="1"/>
  <c r="AH632" i="1"/>
  <c r="F628" i="1"/>
  <c r="J628" i="1"/>
  <c r="AC628" i="1"/>
  <c r="AD628" i="1"/>
  <c r="AE628" i="1"/>
  <c r="AF628" i="1"/>
  <c r="AG628" i="1"/>
  <c r="AH628" i="1"/>
  <c r="F629" i="1"/>
  <c r="J629" i="1"/>
  <c r="K629" i="1" s="1"/>
  <c r="AI629" i="1" s="1"/>
  <c r="AC629" i="1"/>
  <c r="AD629" i="1"/>
  <c r="AE629" i="1"/>
  <c r="AF629" i="1"/>
  <c r="AG629" i="1"/>
  <c r="AH629" i="1"/>
  <c r="F630" i="1"/>
  <c r="J630" i="1"/>
  <c r="K630" i="1" s="1"/>
  <c r="AI630" i="1" s="1"/>
  <c r="AC630" i="1"/>
  <c r="AD630" i="1"/>
  <c r="AE630" i="1"/>
  <c r="AF630" i="1"/>
  <c r="AG630" i="1"/>
  <c r="AH630" i="1"/>
  <c r="F623" i="1"/>
  <c r="J623" i="1"/>
  <c r="K623" i="1" s="1"/>
  <c r="AI623" i="1" s="1"/>
  <c r="AC623" i="1"/>
  <c r="AD623" i="1"/>
  <c r="AE623" i="1"/>
  <c r="AF623" i="1"/>
  <c r="AG623" i="1"/>
  <c r="AH623" i="1"/>
  <c r="F620" i="1"/>
  <c r="J620" i="1"/>
  <c r="K620" i="1" s="1"/>
  <c r="AI620" i="1" s="1"/>
  <c r="AC620" i="1"/>
  <c r="AD620" i="1"/>
  <c r="AE620" i="1"/>
  <c r="AF620" i="1"/>
  <c r="AG620" i="1"/>
  <c r="AH620" i="1"/>
  <c r="F621" i="1"/>
  <c r="J621" i="1"/>
  <c r="K621" i="1" s="1"/>
  <c r="AI621" i="1" s="1"/>
  <c r="AC621" i="1"/>
  <c r="AD621" i="1"/>
  <c r="AE621" i="1"/>
  <c r="AF621" i="1"/>
  <c r="AG621" i="1"/>
  <c r="AH621" i="1"/>
  <c r="F616" i="1"/>
  <c r="J616" i="1"/>
  <c r="K616" i="1" s="1"/>
  <c r="AI616" i="1" s="1"/>
  <c r="AC616" i="1"/>
  <c r="AD616" i="1"/>
  <c r="AE616" i="1"/>
  <c r="AF616" i="1"/>
  <c r="AG616" i="1"/>
  <c r="AH616" i="1"/>
  <c r="F618" i="1"/>
  <c r="J618" i="1"/>
  <c r="K618" i="1" s="1"/>
  <c r="AI618" i="1" s="1"/>
  <c r="AC618" i="1"/>
  <c r="AD618" i="1"/>
  <c r="AE618" i="1"/>
  <c r="AF618" i="1"/>
  <c r="AG618" i="1"/>
  <c r="AH618" i="1"/>
  <c r="F611" i="1"/>
  <c r="J611" i="1"/>
  <c r="AC611" i="1"/>
  <c r="AD611" i="1"/>
  <c r="AE611" i="1"/>
  <c r="AF611" i="1"/>
  <c r="AG611" i="1"/>
  <c r="AH611" i="1"/>
  <c r="F612" i="1"/>
  <c r="J612" i="1"/>
  <c r="K612" i="1" s="1"/>
  <c r="AI612" i="1" s="1"/>
  <c r="AC612" i="1"/>
  <c r="AD612" i="1"/>
  <c r="AE612" i="1"/>
  <c r="AF612" i="1"/>
  <c r="AG612" i="1"/>
  <c r="AH612" i="1"/>
  <c r="F613" i="1"/>
  <c r="J613" i="1"/>
  <c r="K613" i="1" s="1"/>
  <c r="AI613" i="1" s="1"/>
  <c r="AC613" i="1"/>
  <c r="AD613" i="1"/>
  <c r="AE613" i="1"/>
  <c r="AF613" i="1"/>
  <c r="AG613" i="1"/>
  <c r="AH613" i="1"/>
  <c r="F614" i="1"/>
  <c r="J614" i="1"/>
  <c r="K614" i="1" s="1"/>
  <c r="AI614" i="1" s="1"/>
  <c r="AC614" i="1"/>
  <c r="AD614" i="1"/>
  <c r="AE614" i="1"/>
  <c r="AF614" i="1"/>
  <c r="AG614" i="1"/>
  <c r="AH614" i="1"/>
  <c r="F600" i="1"/>
  <c r="J600" i="1"/>
  <c r="K600" i="1" s="1"/>
  <c r="AI600" i="1" s="1"/>
  <c r="AC600" i="1"/>
  <c r="AD600" i="1"/>
  <c r="AE600" i="1"/>
  <c r="AF600" i="1"/>
  <c r="AG600" i="1"/>
  <c r="AH600" i="1"/>
  <c r="F601" i="1"/>
  <c r="J601" i="1"/>
  <c r="AC601" i="1"/>
  <c r="AD601" i="1"/>
  <c r="AE601" i="1"/>
  <c r="AF601" i="1"/>
  <c r="AG601" i="1"/>
  <c r="AH601" i="1"/>
  <c r="F589" i="1"/>
  <c r="J589" i="1"/>
  <c r="K589" i="1" s="1"/>
  <c r="AI589" i="1" s="1"/>
  <c r="AC589" i="1"/>
  <c r="AD589" i="1"/>
  <c r="AE589" i="1"/>
  <c r="AF589" i="1"/>
  <c r="AG589" i="1"/>
  <c r="AH589" i="1"/>
  <c r="F590" i="1"/>
  <c r="J590" i="1"/>
  <c r="AC590" i="1"/>
  <c r="AD590" i="1"/>
  <c r="AE590" i="1"/>
  <c r="AF590" i="1"/>
  <c r="AG590" i="1"/>
  <c r="AH590" i="1"/>
  <c r="F579" i="1"/>
  <c r="J579" i="1"/>
  <c r="AC579" i="1"/>
  <c r="AD579" i="1"/>
  <c r="AE579" i="1"/>
  <c r="AF579" i="1"/>
  <c r="AG579" i="1"/>
  <c r="AH579" i="1"/>
  <c r="F580" i="1"/>
  <c r="J580" i="1"/>
  <c r="K580" i="1" s="1"/>
  <c r="AI580" i="1" s="1"/>
  <c r="AC580" i="1"/>
  <c r="AD580" i="1"/>
  <c r="AE580" i="1"/>
  <c r="AF580" i="1"/>
  <c r="AG580" i="1"/>
  <c r="AH580" i="1"/>
  <c r="F577" i="1"/>
  <c r="J577" i="1"/>
  <c r="K577" i="1" s="1"/>
  <c r="AI577" i="1" s="1"/>
  <c r="AC577" i="1"/>
  <c r="AD577" i="1"/>
  <c r="AE577" i="1"/>
  <c r="AF577" i="1"/>
  <c r="AG577" i="1"/>
  <c r="AH577" i="1"/>
  <c r="F572" i="1"/>
  <c r="J572" i="1"/>
  <c r="K572" i="1" s="1"/>
  <c r="AI572" i="1" s="1"/>
  <c r="AC572" i="1"/>
  <c r="AD572" i="1"/>
  <c r="AE572" i="1"/>
  <c r="AF572" i="1"/>
  <c r="AG572" i="1"/>
  <c r="AH572" i="1"/>
  <c r="F574" i="1"/>
  <c r="J574" i="1"/>
  <c r="K574" i="1" s="1"/>
  <c r="AI574" i="1" s="1"/>
  <c r="AC574" i="1"/>
  <c r="AD574" i="1"/>
  <c r="AE574" i="1"/>
  <c r="AF574" i="1"/>
  <c r="AG574" i="1"/>
  <c r="AH574" i="1"/>
  <c r="F570" i="1"/>
  <c r="J570" i="1"/>
  <c r="K570" i="1" s="1"/>
  <c r="AI570" i="1" s="1"/>
  <c r="AC570" i="1"/>
  <c r="AD570" i="1"/>
  <c r="AE570" i="1"/>
  <c r="AF570" i="1"/>
  <c r="AG570" i="1"/>
  <c r="AH570" i="1"/>
  <c r="F568" i="1"/>
  <c r="J568" i="1"/>
  <c r="K568" i="1" s="1"/>
  <c r="AI568" i="1" s="1"/>
  <c r="AC568" i="1"/>
  <c r="AD568" i="1"/>
  <c r="AE568" i="1"/>
  <c r="AF568" i="1"/>
  <c r="AG568" i="1"/>
  <c r="AH568" i="1"/>
  <c r="F564" i="1"/>
  <c r="J564" i="1"/>
  <c r="AC564" i="1"/>
  <c r="AD564" i="1"/>
  <c r="AE564" i="1"/>
  <c r="AF564" i="1"/>
  <c r="AG564" i="1"/>
  <c r="AH564" i="1"/>
  <c r="F560" i="1"/>
  <c r="J560" i="1"/>
  <c r="AC560" i="1"/>
  <c r="AD560" i="1"/>
  <c r="AE560" i="1"/>
  <c r="AF560" i="1"/>
  <c r="AG560" i="1"/>
  <c r="AH560" i="1"/>
  <c r="F561" i="1"/>
  <c r="J561" i="1"/>
  <c r="K561" i="1" s="1"/>
  <c r="AI561" i="1" s="1"/>
  <c r="AC561" i="1"/>
  <c r="AD561" i="1"/>
  <c r="AE561" i="1"/>
  <c r="AF561" i="1"/>
  <c r="AG561" i="1"/>
  <c r="AH561" i="1"/>
  <c r="F562" i="1"/>
  <c r="J562" i="1"/>
  <c r="K562" i="1" s="1"/>
  <c r="AI562" i="1" s="1"/>
  <c r="AC562" i="1"/>
  <c r="AD562" i="1"/>
  <c r="AE562" i="1"/>
  <c r="AF562" i="1"/>
  <c r="AG562" i="1"/>
  <c r="AH562" i="1"/>
  <c r="F556" i="1"/>
  <c r="J556" i="1"/>
  <c r="K556" i="1" s="1"/>
  <c r="AI556" i="1" s="1"/>
  <c r="AC556" i="1"/>
  <c r="AD556" i="1"/>
  <c r="AE556" i="1"/>
  <c r="AF556" i="1"/>
  <c r="AG556" i="1"/>
  <c r="AH556" i="1"/>
  <c r="F554" i="1"/>
  <c r="J554" i="1"/>
  <c r="K554" i="1" s="1"/>
  <c r="AI554" i="1" s="1"/>
  <c r="AC554" i="1"/>
  <c r="AD554" i="1"/>
  <c r="AE554" i="1"/>
  <c r="AF554" i="1"/>
  <c r="AG554" i="1"/>
  <c r="AH554" i="1"/>
  <c r="F552" i="1"/>
  <c r="J552" i="1"/>
  <c r="K552" i="1" s="1"/>
  <c r="AI552" i="1" s="1"/>
  <c r="AC552" i="1"/>
  <c r="AD552" i="1"/>
  <c r="AE552" i="1"/>
  <c r="AF552" i="1"/>
  <c r="AG552" i="1"/>
  <c r="AH552" i="1"/>
  <c r="F549" i="1"/>
  <c r="J549" i="1"/>
  <c r="K549" i="1" s="1"/>
  <c r="AI549" i="1" s="1"/>
  <c r="AC549" i="1"/>
  <c r="AD549" i="1"/>
  <c r="AE549" i="1"/>
  <c r="AF549" i="1"/>
  <c r="AG549" i="1"/>
  <c r="AH549" i="1"/>
  <c r="F547" i="1"/>
  <c r="J547" i="1"/>
  <c r="AC547" i="1"/>
  <c r="AD547" i="1"/>
  <c r="AE547" i="1"/>
  <c r="AF547" i="1"/>
  <c r="AG547" i="1"/>
  <c r="AH547" i="1"/>
  <c r="F545" i="1"/>
  <c r="J545" i="1"/>
  <c r="AC545" i="1"/>
  <c r="AD545" i="1"/>
  <c r="AE545" i="1"/>
  <c r="AF545" i="1"/>
  <c r="AG545" i="1"/>
  <c r="AH545" i="1"/>
  <c r="F543" i="1"/>
  <c r="J543" i="1"/>
  <c r="K543" i="1" s="1"/>
  <c r="AI543" i="1" s="1"/>
  <c r="AC543" i="1"/>
  <c r="AD543" i="1"/>
  <c r="AE543" i="1"/>
  <c r="AF543" i="1"/>
  <c r="AG543" i="1"/>
  <c r="AH543" i="1"/>
  <c r="F540" i="1"/>
  <c r="J540" i="1"/>
  <c r="K540" i="1" s="1"/>
  <c r="AI540" i="1" s="1"/>
  <c r="AC540" i="1"/>
  <c r="AD540" i="1"/>
  <c r="AE540" i="1"/>
  <c r="AF540" i="1"/>
  <c r="AG540" i="1"/>
  <c r="AH540" i="1"/>
  <c r="F533" i="1"/>
  <c r="J533" i="1"/>
  <c r="K533" i="1" s="1"/>
  <c r="AI533" i="1" s="1"/>
  <c r="AC533" i="1"/>
  <c r="AD533" i="1"/>
  <c r="AE533" i="1"/>
  <c r="AF533" i="1"/>
  <c r="AG533" i="1"/>
  <c r="AH533" i="1"/>
  <c r="F534" i="1"/>
  <c r="J534" i="1"/>
  <c r="K534" i="1" s="1"/>
  <c r="AI534" i="1" s="1"/>
  <c r="AC534" i="1"/>
  <c r="AD534" i="1"/>
  <c r="AE534" i="1"/>
  <c r="AF534" i="1"/>
  <c r="AG534" i="1"/>
  <c r="AH534" i="1"/>
  <c r="F537" i="1"/>
  <c r="J537" i="1"/>
  <c r="K537" i="1" s="1"/>
  <c r="AI537" i="1" s="1"/>
  <c r="AC537" i="1"/>
  <c r="AD537" i="1"/>
  <c r="AE537" i="1"/>
  <c r="AF537" i="1"/>
  <c r="AG537" i="1"/>
  <c r="AH537" i="1"/>
  <c r="F529" i="1"/>
  <c r="J529" i="1"/>
  <c r="K529" i="1" s="1"/>
  <c r="AI529" i="1" s="1"/>
  <c r="AC529" i="1"/>
  <c r="AD529" i="1"/>
  <c r="AE529" i="1"/>
  <c r="AF529" i="1"/>
  <c r="AG529" i="1"/>
  <c r="AH529" i="1"/>
  <c r="F530" i="1"/>
  <c r="J530" i="1"/>
  <c r="AC530" i="1"/>
  <c r="AD530" i="1"/>
  <c r="AE530" i="1"/>
  <c r="AF530" i="1"/>
  <c r="AG530" i="1"/>
  <c r="AH530" i="1"/>
  <c r="F525" i="1"/>
  <c r="J525" i="1"/>
  <c r="K525" i="1" s="1"/>
  <c r="AI525" i="1" s="1"/>
  <c r="AC525" i="1"/>
  <c r="AD525" i="1"/>
  <c r="AE525" i="1"/>
  <c r="AF525" i="1"/>
  <c r="AG525" i="1"/>
  <c r="AH525" i="1"/>
  <c r="F527" i="1"/>
  <c r="J527" i="1"/>
  <c r="AC527" i="1"/>
  <c r="AD527" i="1"/>
  <c r="AE527" i="1"/>
  <c r="AF527" i="1"/>
  <c r="AG527" i="1"/>
  <c r="AH527" i="1"/>
  <c r="F523" i="1"/>
  <c r="J523" i="1"/>
  <c r="K523" i="1" s="1"/>
  <c r="AI523" i="1" s="1"/>
  <c r="AC523" i="1"/>
  <c r="AD523" i="1"/>
  <c r="AE523" i="1"/>
  <c r="AF523" i="1"/>
  <c r="AG523" i="1"/>
  <c r="AH523" i="1"/>
  <c r="F520" i="1"/>
  <c r="J520" i="1"/>
  <c r="AC520" i="1"/>
  <c r="AD520" i="1"/>
  <c r="AE520" i="1"/>
  <c r="AF520" i="1"/>
  <c r="AG520" i="1"/>
  <c r="AH520" i="1"/>
  <c r="F517" i="1"/>
  <c r="J517" i="1"/>
  <c r="K517" i="1" s="1"/>
  <c r="AI517" i="1" s="1"/>
  <c r="AC517" i="1"/>
  <c r="AD517" i="1"/>
  <c r="AE517" i="1"/>
  <c r="AF517" i="1"/>
  <c r="AG517" i="1"/>
  <c r="AH517" i="1"/>
  <c r="F511" i="1"/>
  <c r="J511" i="1"/>
  <c r="K511" i="1" s="1"/>
  <c r="AI511" i="1" s="1"/>
  <c r="AC511" i="1"/>
  <c r="AD511" i="1"/>
  <c r="AE511" i="1"/>
  <c r="AF511" i="1"/>
  <c r="AG511" i="1"/>
  <c r="AH511" i="1"/>
  <c r="F512" i="1"/>
  <c r="J512" i="1"/>
  <c r="K512" i="1" s="1"/>
  <c r="AI512" i="1" s="1"/>
  <c r="AC512" i="1"/>
  <c r="AD512" i="1"/>
  <c r="AE512" i="1"/>
  <c r="AF512" i="1"/>
  <c r="AG512" i="1"/>
  <c r="AH512" i="1"/>
  <c r="F505" i="1"/>
  <c r="J505" i="1"/>
  <c r="AC505" i="1"/>
  <c r="AD505" i="1"/>
  <c r="AE505" i="1"/>
  <c r="AF505" i="1"/>
  <c r="AG505" i="1"/>
  <c r="AH505" i="1"/>
  <c r="F507" i="1"/>
  <c r="J507" i="1"/>
  <c r="K507" i="1" s="1"/>
  <c r="AI507" i="1" s="1"/>
  <c r="AC507" i="1"/>
  <c r="AD507" i="1"/>
  <c r="AE507" i="1"/>
  <c r="AF507" i="1"/>
  <c r="AG507" i="1"/>
  <c r="AH507" i="1"/>
  <c r="F501" i="1"/>
  <c r="J501" i="1"/>
  <c r="AC501" i="1"/>
  <c r="AD501" i="1"/>
  <c r="AE501" i="1"/>
  <c r="AF501" i="1"/>
  <c r="AG501" i="1"/>
  <c r="AH501" i="1"/>
  <c r="F502" i="1"/>
  <c r="J502" i="1"/>
  <c r="K502" i="1" s="1"/>
  <c r="AI502" i="1" s="1"/>
  <c r="AC502" i="1"/>
  <c r="AD502" i="1"/>
  <c r="AE502" i="1"/>
  <c r="AF502" i="1"/>
  <c r="AG502" i="1"/>
  <c r="AH502" i="1"/>
  <c r="F498" i="1"/>
  <c r="J498" i="1"/>
  <c r="AC498" i="1"/>
  <c r="AD498" i="1"/>
  <c r="AE498" i="1"/>
  <c r="AF498" i="1"/>
  <c r="AG498" i="1"/>
  <c r="AH498" i="1"/>
  <c r="F499" i="1"/>
  <c r="J499" i="1"/>
  <c r="K499" i="1" s="1"/>
  <c r="AI499" i="1" s="1"/>
  <c r="AC499" i="1"/>
  <c r="AD499" i="1"/>
  <c r="AE499" i="1"/>
  <c r="AF499" i="1"/>
  <c r="AG499" i="1"/>
  <c r="AH499" i="1"/>
  <c r="F490" i="1"/>
  <c r="J490" i="1"/>
  <c r="K490" i="1" s="1"/>
  <c r="AI490" i="1" s="1"/>
  <c r="AC490" i="1"/>
  <c r="AD490" i="1"/>
  <c r="AE490" i="1"/>
  <c r="AF490" i="1"/>
  <c r="AG490" i="1"/>
  <c r="AH490" i="1"/>
  <c r="F492" i="1"/>
  <c r="J492" i="1"/>
  <c r="K492" i="1" s="1"/>
  <c r="AI492" i="1" s="1"/>
  <c r="AC492" i="1"/>
  <c r="AD492" i="1"/>
  <c r="AE492" i="1"/>
  <c r="AF492" i="1"/>
  <c r="AG492" i="1"/>
  <c r="AH492" i="1"/>
  <c r="F493" i="1"/>
  <c r="J493" i="1"/>
  <c r="K493" i="1" s="1"/>
  <c r="AC493" i="1"/>
  <c r="AD493" i="1"/>
  <c r="AE493" i="1"/>
  <c r="AF493" i="1"/>
  <c r="AG493" i="1"/>
  <c r="AH493" i="1"/>
  <c r="F494" i="1"/>
  <c r="J494" i="1"/>
  <c r="K494" i="1" s="1"/>
  <c r="AI494" i="1" s="1"/>
  <c r="AC494" i="1"/>
  <c r="AD494" i="1"/>
  <c r="AE494" i="1"/>
  <c r="AF494" i="1"/>
  <c r="AG494" i="1"/>
  <c r="AH494" i="1"/>
  <c r="F485" i="1"/>
  <c r="J485" i="1"/>
  <c r="K485" i="1" s="1"/>
  <c r="AI485" i="1" s="1"/>
  <c r="AC485" i="1"/>
  <c r="AD485" i="1"/>
  <c r="AE485" i="1"/>
  <c r="AF485" i="1"/>
  <c r="AG485" i="1"/>
  <c r="AH485" i="1"/>
  <c r="F486" i="1"/>
  <c r="J486" i="1"/>
  <c r="K486" i="1" s="1"/>
  <c r="AI486" i="1" s="1"/>
  <c r="AC486" i="1"/>
  <c r="AD486" i="1"/>
  <c r="AE486" i="1"/>
  <c r="AF486" i="1"/>
  <c r="AG486" i="1"/>
  <c r="AH486" i="1"/>
  <c r="F479" i="1"/>
  <c r="J479" i="1"/>
  <c r="K479" i="1" s="1"/>
  <c r="AI479" i="1" s="1"/>
  <c r="AC479" i="1"/>
  <c r="AD479" i="1"/>
  <c r="AE479" i="1"/>
  <c r="AF479" i="1"/>
  <c r="AG479" i="1"/>
  <c r="AH479" i="1"/>
  <c r="F480" i="1"/>
  <c r="J480" i="1"/>
  <c r="K480" i="1" s="1"/>
  <c r="AI480" i="1" s="1"/>
  <c r="AC480" i="1"/>
  <c r="AD480" i="1"/>
  <c r="AE480" i="1"/>
  <c r="AF480" i="1"/>
  <c r="AG480" i="1"/>
  <c r="AH480" i="1"/>
  <c r="F481" i="1"/>
  <c r="J481" i="1"/>
  <c r="K481" i="1" s="1"/>
  <c r="AI481" i="1" s="1"/>
  <c r="AC481" i="1"/>
  <c r="AD481" i="1"/>
  <c r="AE481" i="1"/>
  <c r="AF481" i="1"/>
  <c r="AG481" i="1"/>
  <c r="AH481" i="1"/>
  <c r="F475" i="1"/>
  <c r="J475" i="1"/>
  <c r="K475" i="1" s="1"/>
  <c r="AI475" i="1" s="1"/>
  <c r="AC475" i="1"/>
  <c r="AD475" i="1"/>
  <c r="AE475" i="1"/>
  <c r="AF475" i="1"/>
  <c r="AG475" i="1"/>
  <c r="AH475" i="1"/>
  <c r="F476" i="1"/>
  <c r="J476" i="1"/>
  <c r="K476" i="1" s="1"/>
  <c r="AI476" i="1" s="1"/>
  <c r="AC476" i="1"/>
  <c r="AD476" i="1"/>
  <c r="AE476" i="1"/>
  <c r="AF476" i="1"/>
  <c r="AG476" i="1"/>
  <c r="AH476" i="1"/>
  <c r="F477" i="1"/>
  <c r="J477" i="1"/>
  <c r="K477" i="1" s="1"/>
  <c r="AI477" i="1" s="1"/>
  <c r="AC477" i="1"/>
  <c r="AD477" i="1"/>
  <c r="AE477" i="1"/>
  <c r="AF477" i="1"/>
  <c r="AG477" i="1"/>
  <c r="AH477" i="1"/>
  <c r="F472" i="1"/>
  <c r="J472" i="1"/>
  <c r="K472" i="1" s="1"/>
  <c r="AI472" i="1" s="1"/>
  <c r="AC472" i="1"/>
  <c r="AD472" i="1"/>
  <c r="AE472" i="1"/>
  <c r="AF472" i="1"/>
  <c r="AG472" i="1"/>
  <c r="AH472" i="1"/>
  <c r="F470" i="1"/>
  <c r="J470" i="1"/>
  <c r="K470" i="1" s="1"/>
  <c r="AI470" i="1" s="1"/>
  <c r="AC470" i="1"/>
  <c r="AD470" i="1"/>
  <c r="AE470" i="1"/>
  <c r="AF470" i="1"/>
  <c r="AG470" i="1"/>
  <c r="AH470" i="1"/>
  <c r="F467" i="1"/>
  <c r="J467" i="1"/>
  <c r="K467" i="1" s="1"/>
  <c r="AI467" i="1" s="1"/>
  <c r="AC467" i="1"/>
  <c r="AD467" i="1"/>
  <c r="AE467" i="1"/>
  <c r="AF467" i="1"/>
  <c r="AG467" i="1"/>
  <c r="AH467" i="1"/>
  <c r="F468" i="1"/>
  <c r="J468" i="1"/>
  <c r="K468" i="1" s="1"/>
  <c r="AI468" i="1" s="1"/>
  <c r="AC468" i="1"/>
  <c r="AD468" i="1"/>
  <c r="AE468" i="1"/>
  <c r="AF468" i="1"/>
  <c r="AG468" i="1"/>
  <c r="AH468" i="1"/>
  <c r="F464" i="1"/>
  <c r="J464" i="1"/>
  <c r="K464" i="1" s="1"/>
  <c r="AI464" i="1" s="1"/>
  <c r="AC464" i="1"/>
  <c r="AD464" i="1"/>
  <c r="AE464" i="1"/>
  <c r="AF464" i="1"/>
  <c r="AG464" i="1"/>
  <c r="AH464" i="1"/>
  <c r="F462" i="1"/>
  <c r="J462" i="1"/>
  <c r="K462" i="1" s="1"/>
  <c r="AI462" i="1" s="1"/>
  <c r="AC462" i="1"/>
  <c r="AD462" i="1"/>
  <c r="AE462" i="1"/>
  <c r="AF462" i="1"/>
  <c r="AG462" i="1"/>
  <c r="AH462" i="1"/>
  <c r="F452" i="1"/>
  <c r="J452" i="1"/>
  <c r="K452" i="1" s="1"/>
  <c r="AI452" i="1" s="1"/>
  <c r="AC452" i="1"/>
  <c r="AD452" i="1"/>
  <c r="AE452" i="1"/>
  <c r="AF452" i="1"/>
  <c r="AG452" i="1"/>
  <c r="AH452" i="1"/>
  <c r="F453" i="1"/>
  <c r="J453" i="1"/>
  <c r="K453" i="1" s="1"/>
  <c r="AI453" i="1" s="1"/>
  <c r="AC453" i="1"/>
  <c r="AD453" i="1"/>
  <c r="AE453" i="1"/>
  <c r="AF453" i="1"/>
  <c r="AG453" i="1"/>
  <c r="AH453" i="1"/>
  <c r="F454" i="1"/>
  <c r="J454" i="1"/>
  <c r="K454" i="1" s="1"/>
  <c r="AI454" i="1" s="1"/>
  <c r="AC454" i="1"/>
  <c r="AD454" i="1"/>
  <c r="AE454" i="1"/>
  <c r="AF454" i="1"/>
  <c r="AG454" i="1"/>
  <c r="AH454" i="1"/>
  <c r="F455" i="1"/>
  <c r="J455" i="1"/>
  <c r="K455" i="1" s="1"/>
  <c r="AI455" i="1" s="1"/>
  <c r="AC455" i="1"/>
  <c r="AD455" i="1"/>
  <c r="AE455" i="1"/>
  <c r="AF455" i="1"/>
  <c r="AG455" i="1"/>
  <c r="AH455" i="1"/>
  <c r="F447" i="1"/>
  <c r="J447" i="1"/>
  <c r="K447" i="1" s="1"/>
  <c r="AI447" i="1" s="1"/>
  <c r="AC447" i="1"/>
  <c r="AD447" i="1"/>
  <c r="AE447" i="1"/>
  <c r="AF447" i="1"/>
  <c r="AG447" i="1"/>
  <c r="AH447" i="1"/>
  <c r="F443" i="1"/>
  <c r="J443" i="1"/>
  <c r="K443" i="1" s="1"/>
  <c r="AI443" i="1" s="1"/>
  <c r="AC443" i="1"/>
  <c r="AD443" i="1"/>
  <c r="AE443" i="1"/>
  <c r="AF443" i="1"/>
  <c r="AG443" i="1"/>
  <c r="AH443" i="1"/>
  <c r="F444" i="1"/>
  <c r="J444" i="1"/>
  <c r="K444" i="1" s="1"/>
  <c r="AI444" i="1" s="1"/>
  <c r="AC444" i="1"/>
  <c r="AD444" i="1"/>
  <c r="AE444" i="1"/>
  <c r="AF444" i="1"/>
  <c r="AG444" i="1"/>
  <c r="AH444" i="1"/>
  <c r="F445" i="1"/>
  <c r="J445" i="1"/>
  <c r="K445" i="1" s="1"/>
  <c r="AI445" i="1" s="1"/>
  <c r="AC445" i="1"/>
  <c r="AD445" i="1"/>
  <c r="AE445" i="1"/>
  <c r="AF445" i="1"/>
  <c r="AG445" i="1"/>
  <c r="AH445" i="1"/>
  <c r="F440" i="1"/>
  <c r="J440" i="1"/>
  <c r="K440" i="1" s="1"/>
  <c r="AI440" i="1" s="1"/>
  <c r="AC440" i="1"/>
  <c r="AD440" i="1"/>
  <c r="AE440" i="1"/>
  <c r="AF440" i="1"/>
  <c r="AG440" i="1"/>
  <c r="AH440" i="1"/>
  <c r="F437" i="1"/>
  <c r="J437" i="1"/>
  <c r="K437" i="1" s="1"/>
  <c r="AI437" i="1" s="1"/>
  <c r="AC437" i="1"/>
  <c r="AD437" i="1"/>
  <c r="AE437" i="1"/>
  <c r="AF437" i="1"/>
  <c r="AG437" i="1"/>
  <c r="AH437" i="1"/>
  <c r="F433" i="1"/>
  <c r="J433" i="1"/>
  <c r="K433" i="1" s="1"/>
  <c r="AI433" i="1" s="1"/>
  <c r="AC433" i="1"/>
  <c r="AD433" i="1"/>
  <c r="AE433" i="1"/>
  <c r="AF433" i="1"/>
  <c r="AG433" i="1"/>
  <c r="AH433" i="1"/>
  <c r="F435" i="1"/>
  <c r="J435" i="1"/>
  <c r="K435" i="1" s="1"/>
  <c r="AI435" i="1" s="1"/>
  <c r="AC435" i="1"/>
  <c r="AD435" i="1"/>
  <c r="AE435" i="1"/>
  <c r="AF435" i="1"/>
  <c r="AG435" i="1"/>
  <c r="AH435" i="1"/>
  <c r="F428" i="1"/>
  <c r="J428" i="1"/>
  <c r="K428" i="1" s="1"/>
  <c r="AI428" i="1" s="1"/>
  <c r="AC428" i="1"/>
  <c r="AD428" i="1"/>
  <c r="AE428" i="1"/>
  <c r="AF428" i="1"/>
  <c r="AG428" i="1"/>
  <c r="AH428" i="1"/>
  <c r="F429" i="1"/>
  <c r="J429" i="1"/>
  <c r="K429" i="1" s="1"/>
  <c r="AI429" i="1" s="1"/>
  <c r="AC429" i="1"/>
  <c r="AD429" i="1"/>
  <c r="AE429" i="1"/>
  <c r="AF429" i="1"/>
  <c r="AG429" i="1"/>
  <c r="AH429" i="1"/>
  <c r="F413" i="1"/>
  <c r="J413" i="1"/>
  <c r="K413" i="1" s="1"/>
  <c r="AI413" i="1" s="1"/>
  <c r="AC413" i="1"/>
  <c r="AD413" i="1"/>
  <c r="AE413" i="1"/>
  <c r="AF413" i="1"/>
  <c r="AG413" i="1"/>
  <c r="AH413" i="1"/>
  <c r="F414" i="1"/>
  <c r="J414" i="1"/>
  <c r="K414" i="1" s="1"/>
  <c r="AI414" i="1" s="1"/>
  <c r="AC414" i="1"/>
  <c r="AD414" i="1"/>
  <c r="AE414" i="1"/>
  <c r="AF414" i="1"/>
  <c r="AG414" i="1"/>
  <c r="AH414" i="1"/>
  <c r="F417" i="1"/>
  <c r="J417" i="1"/>
  <c r="K417" i="1" s="1"/>
  <c r="AI417" i="1" s="1"/>
  <c r="AC417" i="1"/>
  <c r="AD417" i="1"/>
  <c r="AE417" i="1"/>
  <c r="AF417" i="1"/>
  <c r="AG417" i="1"/>
  <c r="AH417" i="1"/>
  <c r="F410" i="1"/>
  <c r="J410" i="1"/>
  <c r="K410" i="1" s="1"/>
  <c r="AI410" i="1" s="1"/>
  <c r="AC410" i="1"/>
  <c r="AD410" i="1"/>
  <c r="AE410" i="1"/>
  <c r="AF410" i="1"/>
  <c r="AG410" i="1"/>
  <c r="AH410" i="1"/>
  <c r="F403" i="1"/>
  <c r="J403" i="1"/>
  <c r="K403" i="1" s="1"/>
  <c r="AI403" i="1" s="1"/>
  <c r="AC403" i="1"/>
  <c r="AD403" i="1"/>
  <c r="AE403" i="1"/>
  <c r="AF403" i="1"/>
  <c r="AG403" i="1"/>
  <c r="AH403" i="1"/>
  <c r="F404" i="1"/>
  <c r="J404" i="1"/>
  <c r="K404" i="1" s="1"/>
  <c r="AI404" i="1" s="1"/>
  <c r="AC404" i="1"/>
  <c r="AD404" i="1"/>
  <c r="AE404" i="1"/>
  <c r="AF404" i="1"/>
  <c r="AG404" i="1"/>
  <c r="AH404" i="1"/>
  <c r="F405" i="1"/>
  <c r="J405" i="1"/>
  <c r="K405" i="1" s="1"/>
  <c r="AI405" i="1" s="1"/>
  <c r="AC405" i="1"/>
  <c r="AD405" i="1"/>
  <c r="AE405" i="1"/>
  <c r="AF405" i="1"/>
  <c r="AG405" i="1"/>
  <c r="AH405" i="1"/>
  <c r="F399" i="1"/>
  <c r="J399" i="1"/>
  <c r="K399" i="1" s="1"/>
  <c r="AI399" i="1" s="1"/>
  <c r="AC399" i="1"/>
  <c r="AD399" i="1"/>
  <c r="AE399" i="1"/>
  <c r="AF399" i="1"/>
  <c r="AG399" i="1"/>
  <c r="AH399" i="1"/>
  <c r="F400" i="1"/>
  <c r="J400" i="1"/>
  <c r="K400" i="1" s="1"/>
  <c r="AI400" i="1" s="1"/>
  <c r="AC400" i="1"/>
  <c r="AD400" i="1"/>
  <c r="AE400" i="1"/>
  <c r="AF400" i="1"/>
  <c r="AG400" i="1"/>
  <c r="AH400" i="1"/>
  <c r="F401" i="1"/>
  <c r="J401" i="1"/>
  <c r="K401" i="1" s="1"/>
  <c r="AI401" i="1" s="1"/>
  <c r="AC401" i="1"/>
  <c r="AD401" i="1"/>
  <c r="AE401" i="1"/>
  <c r="AF401" i="1"/>
  <c r="AG401" i="1"/>
  <c r="AH401" i="1"/>
  <c r="F392" i="1"/>
  <c r="J392" i="1"/>
  <c r="K392" i="1" s="1"/>
  <c r="AI392" i="1" s="1"/>
  <c r="AC392" i="1"/>
  <c r="AD392" i="1"/>
  <c r="AE392" i="1"/>
  <c r="AF392" i="1"/>
  <c r="AG392" i="1"/>
  <c r="AH392" i="1"/>
  <c r="F393" i="1"/>
  <c r="J393" i="1"/>
  <c r="K393" i="1" s="1"/>
  <c r="AI393" i="1" s="1"/>
  <c r="AC393" i="1"/>
  <c r="AD393" i="1"/>
  <c r="AE393" i="1"/>
  <c r="AF393" i="1"/>
  <c r="AG393" i="1"/>
  <c r="AH393" i="1"/>
  <c r="F387" i="1"/>
  <c r="J387" i="1"/>
  <c r="K387" i="1" s="1"/>
  <c r="AI387" i="1" s="1"/>
  <c r="AC387" i="1"/>
  <c r="AD387" i="1"/>
  <c r="AE387" i="1"/>
  <c r="AF387" i="1"/>
  <c r="AG387" i="1"/>
  <c r="AH387" i="1"/>
  <c r="F388" i="1"/>
  <c r="J388" i="1"/>
  <c r="K388" i="1" s="1"/>
  <c r="AI388" i="1" s="1"/>
  <c r="AC388" i="1"/>
  <c r="AD388" i="1"/>
  <c r="AE388" i="1"/>
  <c r="AF388" i="1"/>
  <c r="AG388" i="1"/>
  <c r="AH388" i="1"/>
  <c r="F389" i="1"/>
  <c r="J389" i="1"/>
  <c r="K389" i="1" s="1"/>
  <c r="AI389" i="1" s="1"/>
  <c r="AC389" i="1"/>
  <c r="AD389" i="1"/>
  <c r="AE389" i="1"/>
  <c r="AF389" i="1"/>
  <c r="AG389" i="1"/>
  <c r="AH389" i="1"/>
  <c r="F385" i="1"/>
  <c r="J385" i="1"/>
  <c r="K385" i="1" s="1"/>
  <c r="AI385" i="1" s="1"/>
  <c r="AC385" i="1"/>
  <c r="AD385" i="1"/>
  <c r="AE385" i="1"/>
  <c r="AF385" i="1"/>
  <c r="AG385" i="1"/>
  <c r="AH385" i="1"/>
  <c r="F381" i="1"/>
  <c r="J381" i="1"/>
  <c r="K381" i="1" s="1"/>
  <c r="AI381" i="1" s="1"/>
  <c r="AC381" i="1"/>
  <c r="AD381" i="1"/>
  <c r="AE381" i="1"/>
  <c r="AF381" i="1"/>
  <c r="AG381" i="1"/>
  <c r="AH381" i="1"/>
  <c r="F382" i="1"/>
  <c r="J382" i="1"/>
  <c r="K382" i="1" s="1"/>
  <c r="AI382" i="1" s="1"/>
  <c r="AC382" i="1"/>
  <c r="AD382" i="1"/>
  <c r="AE382" i="1"/>
  <c r="AF382" i="1"/>
  <c r="AG382" i="1"/>
  <c r="AH382" i="1"/>
  <c r="F378" i="1"/>
  <c r="J378" i="1"/>
  <c r="K378" i="1" s="1"/>
  <c r="AI378" i="1" s="1"/>
  <c r="AC378" i="1"/>
  <c r="AD378" i="1"/>
  <c r="AE378" i="1"/>
  <c r="AF378" i="1"/>
  <c r="AG378" i="1"/>
  <c r="AH378" i="1"/>
  <c r="F379" i="1"/>
  <c r="J379" i="1"/>
  <c r="K379" i="1" s="1"/>
  <c r="AI379" i="1" s="1"/>
  <c r="AC379" i="1"/>
  <c r="AD379" i="1"/>
  <c r="AE379" i="1"/>
  <c r="AF379" i="1"/>
  <c r="AG379" i="1"/>
  <c r="AH379" i="1"/>
  <c r="F373" i="1"/>
  <c r="J373" i="1"/>
  <c r="K373" i="1" s="1"/>
  <c r="AI373" i="1" s="1"/>
  <c r="AC373" i="1"/>
  <c r="AD373" i="1"/>
  <c r="AE373" i="1"/>
  <c r="AF373" i="1"/>
  <c r="AG373" i="1"/>
  <c r="AH373" i="1"/>
  <c r="F369" i="1"/>
  <c r="J369" i="1"/>
  <c r="K369" i="1" s="1"/>
  <c r="AI369" i="1" s="1"/>
  <c r="AC369" i="1"/>
  <c r="AD369" i="1"/>
  <c r="AE369" i="1"/>
  <c r="AF369" i="1"/>
  <c r="AG369" i="1"/>
  <c r="AH369" i="1"/>
  <c r="F370" i="1"/>
  <c r="J370" i="1"/>
  <c r="K370" i="1" s="1"/>
  <c r="AI370" i="1" s="1"/>
  <c r="AC370" i="1"/>
  <c r="AD370" i="1"/>
  <c r="AE370" i="1"/>
  <c r="AF370" i="1"/>
  <c r="AG370" i="1"/>
  <c r="AH370" i="1"/>
  <c r="F371" i="1"/>
  <c r="J371" i="1"/>
  <c r="K371" i="1" s="1"/>
  <c r="AI371" i="1" s="1"/>
  <c r="AC371" i="1"/>
  <c r="AD371" i="1"/>
  <c r="AE371" i="1"/>
  <c r="AF371" i="1"/>
  <c r="AG371" i="1"/>
  <c r="AH371" i="1"/>
  <c r="F361" i="1"/>
  <c r="J361" i="1"/>
  <c r="K361" i="1" s="1"/>
  <c r="AI361" i="1" s="1"/>
  <c r="AC361" i="1"/>
  <c r="AD361" i="1"/>
  <c r="AE361" i="1"/>
  <c r="AF361" i="1"/>
  <c r="AG361" i="1"/>
  <c r="AH361" i="1"/>
  <c r="F359" i="1"/>
  <c r="J359" i="1"/>
  <c r="K359" i="1" s="1"/>
  <c r="AI359" i="1" s="1"/>
  <c r="AC359" i="1"/>
  <c r="AD359" i="1"/>
  <c r="AE359" i="1"/>
  <c r="AF359" i="1"/>
  <c r="AG359" i="1"/>
  <c r="AH359" i="1"/>
  <c r="F356" i="1"/>
  <c r="J356" i="1"/>
  <c r="K356" i="1" s="1"/>
  <c r="AI356" i="1" s="1"/>
  <c r="AC356" i="1"/>
  <c r="AD356" i="1"/>
  <c r="AE356" i="1"/>
  <c r="AF356" i="1"/>
  <c r="AG356" i="1"/>
  <c r="AH356" i="1"/>
  <c r="F354" i="1"/>
  <c r="J354" i="1"/>
  <c r="K354" i="1" s="1"/>
  <c r="AI354" i="1" s="1"/>
  <c r="AC354" i="1"/>
  <c r="AD354" i="1"/>
  <c r="AE354" i="1"/>
  <c r="AF354" i="1"/>
  <c r="AG354" i="1"/>
  <c r="AH354" i="1"/>
  <c r="F352" i="1"/>
  <c r="J352" i="1"/>
  <c r="K352" i="1" s="1"/>
  <c r="AI352" i="1" s="1"/>
  <c r="AC352" i="1"/>
  <c r="AD352" i="1"/>
  <c r="AE352" i="1"/>
  <c r="AF352" i="1"/>
  <c r="AG352" i="1"/>
  <c r="AH352" i="1"/>
  <c r="F347" i="1"/>
  <c r="J347" i="1"/>
  <c r="K347" i="1" s="1"/>
  <c r="AI347" i="1" s="1"/>
  <c r="AC347" i="1"/>
  <c r="AD347" i="1"/>
  <c r="AE347" i="1"/>
  <c r="AF347" i="1"/>
  <c r="AG347" i="1"/>
  <c r="AH347" i="1"/>
  <c r="F348" i="1"/>
  <c r="J348" i="1"/>
  <c r="K348" i="1" s="1"/>
  <c r="AI348" i="1" s="1"/>
  <c r="AC348" i="1"/>
  <c r="AD348" i="1"/>
  <c r="AE348" i="1"/>
  <c r="AF348" i="1"/>
  <c r="AG348" i="1"/>
  <c r="AH348" i="1"/>
  <c r="F343" i="1"/>
  <c r="J343" i="1"/>
  <c r="K343" i="1" s="1"/>
  <c r="AI343" i="1" s="1"/>
  <c r="AC343" i="1"/>
  <c r="AD343" i="1"/>
  <c r="AE343" i="1"/>
  <c r="AF343" i="1"/>
  <c r="AG343" i="1"/>
  <c r="AH343" i="1"/>
  <c r="F344" i="1"/>
  <c r="J344" i="1"/>
  <c r="K344" i="1" s="1"/>
  <c r="AI344" i="1" s="1"/>
  <c r="AC344" i="1"/>
  <c r="AD344" i="1"/>
  <c r="AE344" i="1"/>
  <c r="AF344" i="1"/>
  <c r="AG344" i="1"/>
  <c r="AH344" i="1"/>
  <c r="F340" i="1"/>
  <c r="J340" i="1"/>
  <c r="K340" i="1" s="1"/>
  <c r="AI340" i="1" s="1"/>
  <c r="AC340" i="1"/>
  <c r="AD340" i="1"/>
  <c r="AE340" i="1"/>
  <c r="AF340" i="1"/>
  <c r="AG340" i="1"/>
  <c r="AH340" i="1"/>
  <c r="F338" i="1"/>
  <c r="J338" i="1"/>
  <c r="K338" i="1" s="1"/>
  <c r="AI338" i="1" s="1"/>
  <c r="AC338" i="1"/>
  <c r="AD338" i="1"/>
  <c r="AE338" i="1"/>
  <c r="AF338" i="1"/>
  <c r="AG338" i="1"/>
  <c r="AH338" i="1"/>
  <c r="F335" i="1"/>
  <c r="J335" i="1"/>
  <c r="K335" i="1" s="1"/>
  <c r="AI335" i="1" s="1"/>
  <c r="AC335" i="1"/>
  <c r="AD335" i="1"/>
  <c r="AE335" i="1"/>
  <c r="AF335" i="1"/>
  <c r="AG335" i="1"/>
  <c r="AH335" i="1"/>
  <c r="F331" i="1"/>
  <c r="J331" i="1"/>
  <c r="K331" i="1" s="1"/>
  <c r="AI331" i="1" s="1"/>
  <c r="AC331" i="1"/>
  <c r="AD331" i="1"/>
  <c r="AE331" i="1"/>
  <c r="AF331" i="1"/>
  <c r="AG331" i="1"/>
  <c r="AH331" i="1"/>
  <c r="F332" i="1"/>
  <c r="J332" i="1"/>
  <c r="K332" i="1" s="1"/>
  <c r="AI332" i="1" s="1"/>
  <c r="AC332" i="1"/>
  <c r="AD332" i="1"/>
  <c r="AE332" i="1"/>
  <c r="AF332" i="1"/>
  <c r="AG332" i="1"/>
  <c r="AH332" i="1"/>
  <c r="F326" i="1"/>
  <c r="J326" i="1"/>
  <c r="K326" i="1" s="1"/>
  <c r="AI326" i="1" s="1"/>
  <c r="AC326" i="1"/>
  <c r="AD326" i="1"/>
  <c r="AE326" i="1"/>
  <c r="AF326" i="1"/>
  <c r="AG326" i="1"/>
  <c r="AH326" i="1"/>
  <c r="F320" i="1"/>
  <c r="J320" i="1"/>
  <c r="K320" i="1" s="1"/>
  <c r="AI320" i="1" s="1"/>
  <c r="AC320" i="1"/>
  <c r="AD320" i="1"/>
  <c r="AE320" i="1"/>
  <c r="AF320" i="1"/>
  <c r="AG320" i="1"/>
  <c r="AH320" i="1"/>
  <c r="F323" i="1"/>
  <c r="J323" i="1"/>
  <c r="K323" i="1" s="1"/>
  <c r="AI323" i="1" s="1"/>
  <c r="AC323" i="1"/>
  <c r="AD323" i="1"/>
  <c r="AE323" i="1"/>
  <c r="AF323" i="1"/>
  <c r="AG323" i="1"/>
  <c r="AH323" i="1"/>
  <c r="F317" i="1"/>
  <c r="J317" i="1"/>
  <c r="K317" i="1" s="1"/>
  <c r="AI317" i="1" s="1"/>
  <c r="AC317" i="1"/>
  <c r="AD317" i="1"/>
  <c r="AE317" i="1"/>
  <c r="AF317" i="1"/>
  <c r="AG317" i="1"/>
  <c r="AH317" i="1"/>
  <c r="F305" i="1"/>
  <c r="J305" i="1"/>
  <c r="K305" i="1" s="1"/>
  <c r="AI305" i="1" s="1"/>
  <c r="AC305" i="1"/>
  <c r="AD305" i="1"/>
  <c r="AE305" i="1"/>
  <c r="AF305" i="1"/>
  <c r="AG305" i="1"/>
  <c r="AH305" i="1"/>
  <c r="F306" i="1"/>
  <c r="J306" i="1"/>
  <c r="K306" i="1" s="1"/>
  <c r="AI306" i="1" s="1"/>
  <c r="AC306" i="1"/>
  <c r="AD306" i="1"/>
  <c r="AE306" i="1"/>
  <c r="AF306" i="1"/>
  <c r="AG306" i="1"/>
  <c r="AH306" i="1"/>
  <c r="F307" i="1"/>
  <c r="J307" i="1"/>
  <c r="K307" i="1" s="1"/>
  <c r="AI307" i="1" s="1"/>
  <c r="AC307" i="1"/>
  <c r="AD307" i="1"/>
  <c r="AE307" i="1"/>
  <c r="AF307" i="1"/>
  <c r="AG307" i="1"/>
  <c r="AH307" i="1"/>
  <c r="F308" i="1"/>
  <c r="J308" i="1"/>
  <c r="K308" i="1" s="1"/>
  <c r="AI308" i="1" s="1"/>
  <c r="AC308" i="1"/>
  <c r="AD308" i="1"/>
  <c r="AE308" i="1"/>
  <c r="AF308" i="1"/>
  <c r="AG308" i="1"/>
  <c r="AH308" i="1"/>
  <c r="F301" i="1"/>
  <c r="J301" i="1"/>
  <c r="K301" i="1" s="1"/>
  <c r="AI301" i="1" s="1"/>
  <c r="AC301" i="1"/>
  <c r="AD301" i="1"/>
  <c r="AE301" i="1"/>
  <c r="AF301" i="1"/>
  <c r="AG301" i="1"/>
  <c r="AH301" i="1"/>
  <c r="F302" i="1"/>
  <c r="J302" i="1"/>
  <c r="K302" i="1" s="1"/>
  <c r="AI302" i="1" s="1"/>
  <c r="AC302" i="1"/>
  <c r="AD302" i="1"/>
  <c r="AE302" i="1"/>
  <c r="AF302" i="1"/>
  <c r="AG302" i="1"/>
  <c r="AH302" i="1"/>
  <c r="F303" i="1"/>
  <c r="J303" i="1"/>
  <c r="K303" i="1" s="1"/>
  <c r="AI303" i="1" s="1"/>
  <c r="AC303" i="1"/>
  <c r="AD303" i="1"/>
  <c r="AE303" i="1"/>
  <c r="AF303" i="1"/>
  <c r="AG303" i="1"/>
  <c r="AH303" i="1"/>
  <c r="F293" i="1"/>
  <c r="J293" i="1"/>
  <c r="K293" i="1" s="1"/>
  <c r="AI293" i="1" s="1"/>
  <c r="AC293" i="1"/>
  <c r="AD293" i="1"/>
  <c r="AE293" i="1"/>
  <c r="AF293" i="1"/>
  <c r="AG293" i="1"/>
  <c r="AH293" i="1"/>
  <c r="F294" i="1"/>
  <c r="J294" i="1"/>
  <c r="K294" i="1" s="1"/>
  <c r="AI294" i="1" s="1"/>
  <c r="AC294" i="1"/>
  <c r="AD294" i="1"/>
  <c r="AE294" i="1"/>
  <c r="AF294" i="1"/>
  <c r="AG294" i="1"/>
  <c r="AH294" i="1"/>
  <c r="F297" i="1"/>
  <c r="J297" i="1"/>
  <c r="K297" i="1" s="1"/>
  <c r="AI297" i="1" s="1"/>
  <c r="AC297" i="1"/>
  <c r="AD297" i="1"/>
  <c r="AE297" i="1"/>
  <c r="AF297" i="1"/>
  <c r="AG297" i="1"/>
  <c r="AH297" i="1"/>
  <c r="F284" i="1"/>
  <c r="J284" i="1"/>
  <c r="K284" i="1" s="1"/>
  <c r="AI284" i="1" s="1"/>
  <c r="AC284" i="1"/>
  <c r="AD284" i="1"/>
  <c r="AE284" i="1"/>
  <c r="AF284" i="1"/>
  <c r="AG284" i="1"/>
  <c r="AH284" i="1"/>
  <c r="F282" i="1"/>
  <c r="J282" i="1"/>
  <c r="K282" i="1" s="1"/>
  <c r="AI282" i="1" s="1"/>
  <c r="AC282" i="1"/>
  <c r="AD282" i="1"/>
  <c r="AE282" i="1"/>
  <c r="AF282" i="1"/>
  <c r="AG282" i="1"/>
  <c r="AH282" i="1"/>
  <c r="F278" i="1"/>
  <c r="J278" i="1"/>
  <c r="K278" i="1" s="1"/>
  <c r="AI278" i="1" s="1"/>
  <c r="AC278" i="1"/>
  <c r="AD278" i="1"/>
  <c r="AE278" i="1"/>
  <c r="AF278" i="1"/>
  <c r="AG278" i="1"/>
  <c r="AH278" i="1"/>
  <c r="F279" i="1"/>
  <c r="J279" i="1"/>
  <c r="K279" i="1" s="1"/>
  <c r="AI279" i="1" s="1"/>
  <c r="AC279" i="1"/>
  <c r="AD279" i="1"/>
  <c r="AE279" i="1"/>
  <c r="AF279" i="1"/>
  <c r="AG279" i="1"/>
  <c r="AH279" i="1"/>
  <c r="F280" i="1"/>
  <c r="J280" i="1"/>
  <c r="K280" i="1" s="1"/>
  <c r="AI280" i="1" s="1"/>
  <c r="AC280" i="1"/>
  <c r="AD280" i="1"/>
  <c r="AE280" i="1"/>
  <c r="AF280" i="1"/>
  <c r="AG280" i="1"/>
  <c r="AH280" i="1"/>
  <c r="F275" i="1"/>
  <c r="J275" i="1"/>
  <c r="K275" i="1" s="1"/>
  <c r="AI275" i="1" s="1"/>
  <c r="AC275" i="1"/>
  <c r="AD275" i="1"/>
  <c r="AE275" i="1"/>
  <c r="AF275" i="1"/>
  <c r="AG275" i="1"/>
  <c r="AH275" i="1"/>
  <c r="F268" i="1"/>
  <c r="J268" i="1"/>
  <c r="K268" i="1" s="1"/>
  <c r="AI268" i="1" s="1"/>
  <c r="AC268" i="1"/>
  <c r="AD268" i="1"/>
  <c r="AE268" i="1"/>
  <c r="AF268" i="1"/>
  <c r="AG268" i="1"/>
  <c r="AH268" i="1"/>
  <c r="F263" i="1"/>
  <c r="J263" i="1"/>
  <c r="K263" i="1" s="1"/>
  <c r="AI263" i="1" s="1"/>
  <c r="AC263" i="1"/>
  <c r="AD263" i="1"/>
  <c r="AE263" i="1"/>
  <c r="AF263" i="1"/>
  <c r="AG263" i="1"/>
  <c r="AH263" i="1"/>
  <c r="F258" i="1"/>
  <c r="J258" i="1"/>
  <c r="K258" i="1" s="1"/>
  <c r="AI258" i="1" s="1"/>
  <c r="AC258" i="1"/>
  <c r="AD258" i="1"/>
  <c r="AE258" i="1"/>
  <c r="AF258" i="1"/>
  <c r="AG258" i="1"/>
  <c r="AH258" i="1"/>
  <c r="F252" i="1"/>
  <c r="J252" i="1"/>
  <c r="K252" i="1" s="1"/>
  <c r="AI252" i="1" s="1"/>
  <c r="AC252" i="1"/>
  <c r="AD252" i="1"/>
  <c r="AE252" i="1"/>
  <c r="AF252" i="1"/>
  <c r="AG252" i="1"/>
  <c r="AH252" i="1"/>
  <c r="F253" i="1"/>
  <c r="J253" i="1"/>
  <c r="K253" i="1" s="1"/>
  <c r="AI253" i="1" s="1"/>
  <c r="AC253" i="1"/>
  <c r="AD253" i="1"/>
  <c r="AE253" i="1"/>
  <c r="AF253" i="1"/>
  <c r="AG253" i="1"/>
  <c r="AH253" i="1"/>
  <c r="F254" i="1"/>
  <c r="J254" i="1"/>
  <c r="K254" i="1" s="1"/>
  <c r="AI254" i="1" s="1"/>
  <c r="AC254" i="1"/>
  <c r="AD254" i="1"/>
  <c r="AE254" i="1"/>
  <c r="AF254" i="1"/>
  <c r="AG254" i="1"/>
  <c r="AH254" i="1"/>
  <c r="F255" i="1"/>
  <c r="J255" i="1"/>
  <c r="K255" i="1" s="1"/>
  <c r="AI255" i="1" s="1"/>
  <c r="AC255" i="1"/>
  <c r="AD255" i="1"/>
  <c r="AE255" i="1"/>
  <c r="AF255" i="1"/>
  <c r="AG255" i="1"/>
  <c r="AH255" i="1"/>
  <c r="F249" i="1"/>
  <c r="J249" i="1"/>
  <c r="K249" i="1" s="1"/>
  <c r="AI249" i="1" s="1"/>
  <c r="AC249" i="1"/>
  <c r="AD249" i="1"/>
  <c r="AE249" i="1"/>
  <c r="AF249" i="1"/>
  <c r="AG249" i="1"/>
  <c r="AH249" i="1"/>
  <c r="F242" i="1"/>
  <c r="J242" i="1"/>
  <c r="K242" i="1" s="1"/>
  <c r="AI242" i="1" s="1"/>
  <c r="AC242" i="1"/>
  <c r="AD242" i="1"/>
  <c r="AE242" i="1"/>
  <c r="AF242" i="1"/>
  <c r="AG242" i="1"/>
  <c r="AH242" i="1"/>
  <c r="F243" i="1"/>
  <c r="J243" i="1"/>
  <c r="K243" i="1" s="1"/>
  <c r="AI243" i="1" s="1"/>
  <c r="AC243" i="1"/>
  <c r="AD243" i="1"/>
  <c r="AE243" i="1"/>
  <c r="AF243" i="1"/>
  <c r="AG243" i="1"/>
  <c r="AH243" i="1"/>
  <c r="F244" i="1"/>
  <c r="J244" i="1"/>
  <c r="K244" i="1" s="1"/>
  <c r="AI244" i="1" s="1"/>
  <c r="AC244" i="1"/>
  <c r="AD244" i="1"/>
  <c r="AE244" i="1"/>
  <c r="AF244" i="1"/>
  <c r="AG244" i="1"/>
  <c r="AH244" i="1"/>
  <c r="F245" i="1"/>
  <c r="J245" i="1"/>
  <c r="K245" i="1" s="1"/>
  <c r="AI245" i="1" s="1"/>
  <c r="AC245" i="1"/>
  <c r="AD245" i="1"/>
  <c r="AE245" i="1"/>
  <c r="AF245" i="1"/>
  <c r="AG245" i="1"/>
  <c r="AH245" i="1"/>
  <c r="F247" i="1"/>
  <c r="J247" i="1"/>
  <c r="K247" i="1" s="1"/>
  <c r="AI247" i="1" s="1"/>
  <c r="AC247" i="1"/>
  <c r="AD247" i="1"/>
  <c r="AE247" i="1"/>
  <c r="AF247" i="1"/>
  <c r="AG247" i="1"/>
  <c r="AH247" i="1"/>
  <c r="F239" i="1"/>
  <c r="J239" i="1"/>
  <c r="K239" i="1" s="1"/>
  <c r="AI239" i="1" s="1"/>
  <c r="AC239" i="1"/>
  <c r="AD239" i="1"/>
  <c r="AE239" i="1"/>
  <c r="AF239" i="1"/>
  <c r="AG239" i="1"/>
  <c r="AH239" i="1"/>
  <c r="F232" i="1"/>
  <c r="J232" i="1"/>
  <c r="K232" i="1" s="1"/>
  <c r="AI232" i="1" s="1"/>
  <c r="AC232" i="1"/>
  <c r="AD232" i="1"/>
  <c r="AE232" i="1"/>
  <c r="AF232" i="1"/>
  <c r="AG232" i="1"/>
  <c r="AH232" i="1"/>
  <c r="F233" i="1"/>
  <c r="J233" i="1"/>
  <c r="K233" i="1" s="1"/>
  <c r="AI233" i="1" s="1"/>
  <c r="AC233" i="1"/>
  <c r="AD233" i="1"/>
  <c r="AE233" i="1"/>
  <c r="AF233" i="1"/>
  <c r="AG233" i="1"/>
  <c r="AH233" i="1"/>
  <c r="F229" i="1"/>
  <c r="J229" i="1"/>
  <c r="K229" i="1" s="1"/>
  <c r="AI229" i="1" s="1"/>
  <c r="AC229" i="1"/>
  <c r="AD229" i="1"/>
  <c r="AE229" i="1"/>
  <c r="AF229" i="1"/>
  <c r="AG229" i="1"/>
  <c r="AH229" i="1"/>
  <c r="F230" i="1"/>
  <c r="J230" i="1"/>
  <c r="K230" i="1" s="1"/>
  <c r="AI230" i="1" s="1"/>
  <c r="AC230" i="1"/>
  <c r="AD230" i="1"/>
  <c r="AE230" i="1"/>
  <c r="AF230" i="1"/>
  <c r="AG230" i="1"/>
  <c r="AH230" i="1"/>
  <c r="F222" i="1"/>
  <c r="J222" i="1"/>
  <c r="K222" i="1" s="1"/>
  <c r="AI222" i="1" s="1"/>
  <c r="AC222" i="1"/>
  <c r="AD222" i="1"/>
  <c r="AE222" i="1"/>
  <c r="AF222" i="1"/>
  <c r="AG222" i="1"/>
  <c r="AH222" i="1"/>
  <c r="F224" i="1"/>
  <c r="J224" i="1"/>
  <c r="K224" i="1" s="1"/>
  <c r="AI224" i="1" s="1"/>
  <c r="AC224" i="1"/>
  <c r="AD224" i="1"/>
  <c r="AE224" i="1"/>
  <c r="AF224" i="1"/>
  <c r="AG224" i="1"/>
  <c r="AH224" i="1"/>
  <c r="F225" i="1"/>
  <c r="J225" i="1"/>
  <c r="K225" i="1" s="1"/>
  <c r="AI225" i="1" s="1"/>
  <c r="AC225" i="1"/>
  <c r="AD225" i="1"/>
  <c r="AE225" i="1"/>
  <c r="AF225" i="1"/>
  <c r="AG225" i="1"/>
  <c r="AH225" i="1"/>
  <c r="F226" i="1"/>
  <c r="J226" i="1"/>
  <c r="K226" i="1" s="1"/>
  <c r="AI226" i="1" s="1"/>
  <c r="AC226" i="1"/>
  <c r="AD226" i="1"/>
  <c r="AE226" i="1"/>
  <c r="AF226" i="1"/>
  <c r="AG226" i="1"/>
  <c r="AH226" i="1"/>
  <c r="F227" i="1"/>
  <c r="J227" i="1"/>
  <c r="K227" i="1" s="1"/>
  <c r="AI227" i="1" s="1"/>
  <c r="AC227" i="1"/>
  <c r="AD227" i="1"/>
  <c r="AE227" i="1"/>
  <c r="AF227" i="1"/>
  <c r="AG227" i="1"/>
  <c r="AH227" i="1"/>
  <c r="F218" i="1"/>
  <c r="J218" i="1"/>
  <c r="K218" i="1" s="1"/>
  <c r="AI218" i="1" s="1"/>
  <c r="AC218" i="1"/>
  <c r="AD218" i="1"/>
  <c r="AE218" i="1"/>
  <c r="AF218" i="1"/>
  <c r="AG218" i="1"/>
  <c r="AH218" i="1"/>
  <c r="F219" i="1"/>
  <c r="J219" i="1"/>
  <c r="K219" i="1" s="1"/>
  <c r="AI219" i="1" s="1"/>
  <c r="AC219" i="1"/>
  <c r="AD219" i="1"/>
  <c r="AE219" i="1"/>
  <c r="AF219" i="1"/>
  <c r="AG219" i="1"/>
  <c r="AH219" i="1"/>
  <c r="F216" i="1"/>
  <c r="J216" i="1"/>
  <c r="K216" i="1" s="1"/>
  <c r="AI216" i="1" s="1"/>
  <c r="AC216" i="1"/>
  <c r="AD216" i="1"/>
  <c r="AE216" i="1"/>
  <c r="AF216" i="1"/>
  <c r="AG216" i="1"/>
  <c r="AH216" i="1"/>
  <c r="F210" i="1"/>
  <c r="J210" i="1"/>
  <c r="K210" i="1" s="1"/>
  <c r="AI210" i="1" s="1"/>
  <c r="AC210" i="1"/>
  <c r="AD210" i="1"/>
  <c r="AE210" i="1"/>
  <c r="AF210" i="1"/>
  <c r="AG210" i="1"/>
  <c r="AH210" i="1"/>
  <c r="F211" i="1"/>
  <c r="J211" i="1"/>
  <c r="K211" i="1" s="1"/>
  <c r="AI211" i="1" s="1"/>
  <c r="AC211" i="1"/>
  <c r="AD211" i="1"/>
  <c r="AE211" i="1"/>
  <c r="AF211" i="1"/>
  <c r="AG211" i="1"/>
  <c r="AH211" i="1"/>
  <c r="F205" i="1"/>
  <c r="J205" i="1"/>
  <c r="K205" i="1" s="1"/>
  <c r="AI205" i="1" s="1"/>
  <c r="AC205" i="1"/>
  <c r="AD205" i="1"/>
  <c r="AE205" i="1"/>
  <c r="AF205" i="1"/>
  <c r="AG205" i="1"/>
  <c r="AH205" i="1"/>
  <c r="F206" i="1"/>
  <c r="J206" i="1"/>
  <c r="K206" i="1" s="1"/>
  <c r="AI206" i="1" s="1"/>
  <c r="AC206" i="1"/>
  <c r="AD206" i="1"/>
  <c r="AE206" i="1"/>
  <c r="AF206" i="1"/>
  <c r="AG206" i="1"/>
  <c r="AH206" i="1"/>
  <c r="F207" i="1"/>
  <c r="J207" i="1"/>
  <c r="K207" i="1" s="1"/>
  <c r="AI207" i="1" s="1"/>
  <c r="AC207" i="1"/>
  <c r="AD207" i="1"/>
  <c r="AE207" i="1"/>
  <c r="AF207" i="1"/>
  <c r="AG207" i="1"/>
  <c r="AH207" i="1"/>
  <c r="F203" i="1"/>
  <c r="J203" i="1"/>
  <c r="K203" i="1" s="1"/>
  <c r="AI203" i="1" s="1"/>
  <c r="AC203" i="1"/>
  <c r="AD203" i="1"/>
  <c r="AE203" i="1"/>
  <c r="AF203" i="1"/>
  <c r="AG203" i="1"/>
  <c r="AH203" i="1"/>
  <c r="F196" i="1"/>
  <c r="J196" i="1"/>
  <c r="K196" i="1" s="1"/>
  <c r="AI196" i="1" s="1"/>
  <c r="AC196" i="1"/>
  <c r="AD196" i="1"/>
  <c r="AE196" i="1"/>
  <c r="AF196" i="1"/>
  <c r="AG196" i="1"/>
  <c r="AH196" i="1"/>
  <c r="F194" i="1"/>
  <c r="J194" i="1"/>
  <c r="K194" i="1" s="1"/>
  <c r="AI194" i="1" s="1"/>
  <c r="AC194" i="1"/>
  <c r="AD194" i="1"/>
  <c r="AE194" i="1"/>
  <c r="AF194" i="1"/>
  <c r="AG194" i="1"/>
  <c r="AH194" i="1"/>
  <c r="F192" i="1"/>
  <c r="J192" i="1"/>
  <c r="K192" i="1" s="1"/>
  <c r="AI192" i="1" s="1"/>
  <c r="AC192" i="1"/>
  <c r="AD192" i="1"/>
  <c r="AE192" i="1"/>
  <c r="AF192" i="1"/>
  <c r="AG192" i="1"/>
  <c r="AH192" i="1"/>
  <c r="F190" i="1"/>
  <c r="J190" i="1"/>
  <c r="K190" i="1" s="1"/>
  <c r="AI190" i="1" s="1"/>
  <c r="AC190" i="1"/>
  <c r="AD190" i="1"/>
  <c r="AE190" i="1"/>
  <c r="AF190" i="1"/>
  <c r="AG190" i="1"/>
  <c r="AH190" i="1"/>
  <c r="F181" i="1"/>
  <c r="J181" i="1"/>
  <c r="K181" i="1" s="1"/>
  <c r="AI181" i="1" s="1"/>
  <c r="AC181" i="1"/>
  <c r="AD181" i="1"/>
  <c r="AE181" i="1"/>
  <c r="AF181" i="1"/>
  <c r="AG181" i="1"/>
  <c r="AH181" i="1"/>
  <c r="F182" i="1"/>
  <c r="J182" i="1"/>
  <c r="K182" i="1" s="1"/>
  <c r="AI182" i="1" s="1"/>
  <c r="AC182" i="1"/>
  <c r="AD182" i="1"/>
  <c r="AE182" i="1"/>
  <c r="AF182" i="1"/>
  <c r="AG182" i="1"/>
  <c r="AH182" i="1"/>
  <c r="F183" i="1"/>
  <c r="J183" i="1"/>
  <c r="K183" i="1" s="1"/>
  <c r="AI183" i="1" s="1"/>
  <c r="AC183" i="1"/>
  <c r="AD183" i="1"/>
  <c r="AE183" i="1"/>
  <c r="AF183" i="1"/>
  <c r="AG183" i="1"/>
  <c r="AH183" i="1"/>
  <c r="F185" i="1"/>
  <c r="J185" i="1"/>
  <c r="K185" i="1" s="1"/>
  <c r="AI185" i="1" s="1"/>
  <c r="AC185" i="1"/>
  <c r="AD185" i="1"/>
  <c r="AE185" i="1"/>
  <c r="AF185" i="1"/>
  <c r="AG185" i="1"/>
  <c r="AH185" i="1"/>
  <c r="F186" i="1"/>
  <c r="J186" i="1"/>
  <c r="K186" i="1" s="1"/>
  <c r="AI186" i="1" s="1"/>
  <c r="AC186" i="1"/>
  <c r="AD186" i="1"/>
  <c r="AE186" i="1"/>
  <c r="AF186" i="1"/>
  <c r="AG186" i="1"/>
  <c r="AH186" i="1"/>
  <c r="F187" i="1"/>
  <c r="J187" i="1"/>
  <c r="K187" i="1" s="1"/>
  <c r="AI187" i="1" s="1"/>
  <c r="AC187" i="1"/>
  <c r="AD187" i="1"/>
  <c r="AE187" i="1"/>
  <c r="AF187" i="1"/>
  <c r="AG187" i="1"/>
  <c r="AH187" i="1"/>
  <c r="F179" i="1"/>
  <c r="J179" i="1"/>
  <c r="K179" i="1" s="1"/>
  <c r="AI179" i="1" s="1"/>
  <c r="AC179" i="1"/>
  <c r="AD179" i="1"/>
  <c r="AE179" i="1"/>
  <c r="AF179" i="1"/>
  <c r="AG179" i="1"/>
  <c r="AH179" i="1"/>
  <c r="F177" i="1"/>
  <c r="J177" i="1"/>
  <c r="K177" i="1" s="1"/>
  <c r="AI177" i="1" s="1"/>
  <c r="AC177" i="1"/>
  <c r="AD177" i="1"/>
  <c r="AE177" i="1"/>
  <c r="AF177" i="1"/>
  <c r="AG177" i="1"/>
  <c r="AH177" i="1"/>
  <c r="F175" i="1"/>
  <c r="J175" i="1"/>
  <c r="K175" i="1" s="1"/>
  <c r="AI175" i="1" s="1"/>
  <c r="AC175" i="1"/>
  <c r="AD175" i="1"/>
  <c r="AE175" i="1"/>
  <c r="AF175" i="1"/>
  <c r="AG175" i="1"/>
  <c r="AH175" i="1"/>
  <c r="F172" i="1"/>
  <c r="J172" i="1"/>
  <c r="K172" i="1" s="1"/>
  <c r="AI172" i="1" s="1"/>
  <c r="AC172" i="1"/>
  <c r="AD172" i="1"/>
  <c r="AE172" i="1"/>
  <c r="AF172" i="1"/>
  <c r="AG172" i="1"/>
  <c r="AH172" i="1"/>
  <c r="F169" i="1"/>
  <c r="J169" i="1"/>
  <c r="K169" i="1" s="1"/>
  <c r="AI169" i="1" s="1"/>
  <c r="AC169" i="1"/>
  <c r="AD169" i="1"/>
  <c r="AE169" i="1"/>
  <c r="AF169" i="1"/>
  <c r="AG169" i="1"/>
  <c r="AH169" i="1"/>
  <c r="F170" i="1"/>
  <c r="J170" i="1"/>
  <c r="K170" i="1" s="1"/>
  <c r="AI170" i="1" s="1"/>
  <c r="AC170" i="1"/>
  <c r="AD170" i="1"/>
  <c r="AE170" i="1"/>
  <c r="AF170" i="1"/>
  <c r="AG170" i="1"/>
  <c r="AH170" i="1"/>
  <c r="F163" i="1"/>
  <c r="J163" i="1"/>
  <c r="K163" i="1" s="1"/>
  <c r="AI163" i="1" s="1"/>
  <c r="AC163" i="1"/>
  <c r="AD163" i="1"/>
  <c r="AE163" i="1"/>
  <c r="AF163" i="1"/>
  <c r="AG163" i="1"/>
  <c r="AH163" i="1"/>
  <c r="F165" i="1"/>
  <c r="J165" i="1"/>
  <c r="K165" i="1" s="1"/>
  <c r="AI165" i="1" s="1"/>
  <c r="AC165" i="1"/>
  <c r="AD165" i="1"/>
  <c r="AE165" i="1"/>
  <c r="AF165" i="1"/>
  <c r="AG165" i="1"/>
  <c r="AH165" i="1"/>
  <c r="F166" i="1"/>
  <c r="J166" i="1"/>
  <c r="K166" i="1" s="1"/>
  <c r="AI166" i="1" s="1"/>
  <c r="AC166" i="1"/>
  <c r="AD166" i="1"/>
  <c r="AE166" i="1"/>
  <c r="AF166" i="1"/>
  <c r="AG166" i="1"/>
  <c r="AH166" i="1"/>
  <c r="F158" i="1"/>
  <c r="J158" i="1"/>
  <c r="K158" i="1" s="1"/>
  <c r="AI158" i="1" s="1"/>
  <c r="AC158" i="1"/>
  <c r="AD158" i="1"/>
  <c r="AE158" i="1"/>
  <c r="AF158" i="1"/>
  <c r="AG158" i="1"/>
  <c r="AH158" i="1"/>
  <c r="F159" i="1"/>
  <c r="J159" i="1"/>
  <c r="K159" i="1" s="1"/>
  <c r="AI159" i="1" s="1"/>
  <c r="AC159" i="1"/>
  <c r="AD159" i="1"/>
  <c r="AE159" i="1"/>
  <c r="AF159" i="1"/>
  <c r="AG159" i="1"/>
  <c r="AH159" i="1"/>
  <c r="F161" i="1"/>
  <c r="J161" i="1"/>
  <c r="K161" i="1" s="1"/>
  <c r="AI161" i="1" s="1"/>
  <c r="AC161" i="1"/>
  <c r="AD161" i="1"/>
  <c r="AE161" i="1"/>
  <c r="AF161" i="1"/>
  <c r="AG161" i="1"/>
  <c r="AH161" i="1"/>
  <c r="F148" i="1"/>
  <c r="J148" i="1"/>
  <c r="K148" i="1" s="1"/>
  <c r="AI148" i="1" s="1"/>
  <c r="AC148" i="1"/>
  <c r="AD148" i="1"/>
  <c r="AE148" i="1"/>
  <c r="AF148" i="1"/>
  <c r="AG148" i="1"/>
  <c r="AH148" i="1"/>
  <c r="F144" i="1"/>
  <c r="J144" i="1"/>
  <c r="K144" i="1" s="1"/>
  <c r="AI144" i="1" s="1"/>
  <c r="AC144" i="1"/>
  <c r="AD144" i="1"/>
  <c r="AE144" i="1"/>
  <c r="AF144" i="1"/>
  <c r="AG144" i="1"/>
  <c r="AH144" i="1"/>
  <c r="F134" i="1"/>
  <c r="J134" i="1"/>
  <c r="K134" i="1" s="1"/>
  <c r="AI134" i="1" s="1"/>
  <c r="AC134" i="1"/>
  <c r="AD134" i="1"/>
  <c r="AE134" i="1"/>
  <c r="AF134" i="1"/>
  <c r="AG134" i="1"/>
  <c r="AH134" i="1"/>
  <c r="F136" i="1"/>
  <c r="J136" i="1"/>
  <c r="K136" i="1" s="1"/>
  <c r="AI136" i="1" s="1"/>
  <c r="AC136" i="1"/>
  <c r="AD136" i="1"/>
  <c r="AE136" i="1"/>
  <c r="AF136" i="1"/>
  <c r="AG136" i="1"/>
  <c r="AH136" i="1"/>
  <c r="F131" i="1"/>
  <c r="J131" i="1"/>
  <c r="K131" i="1" s="1"/>
  <c r="AI131" i="1" s="1"/>
  <c r="AC131" i="1"/>
  <c r="AD131" i="1"/>
  <c r="AE131" i="1"/>
  <c r="AF131" i="1"/>
  <c r="AG131" i="1"/>
  <c r="AH131" i="1"/>
  <c r="F132" i="1"/>
  <c r="J132" i="1"/>
  <c r="K132" i="1" s="1"/>
  <c r="AI132" i="1" s="1"/>
  <c r="AC132" i="1"/>
  <c r="AD132" i="1"/>
  <c r="AE132" i="1"/>
  <c r="AF132" i="1"/>
  <c r="AG132" i="1"/>
  <c r="AH132" i="1"/>
  <c r="F128" i="1"/>
  <c r="J128" i="1"/>
  <c r="K128" i="1" s="1"/>
  <c r="AI128" i="1" s="1"/>
  <c r="AC128" i="1"/>
  <c r="AD128" i="1"/>
  <c r="AE128" i="1"/>
  <c r="AF128" i="1"/>
  <c r="AG128" i="1"/>
  <c r="AH128" i="1"/>
  <c r="F119" i="1"/>
  <c r="J119" i="1"/>
  <c r="K119" i="1" s="1"/>
  <c r="AI119" i="1" s="1"/>
  <c r="AC119" i="1"/>
  <c r="AD119" i="1"/>
  <c r="AE119" i="1"/>
  <c r="AF119" i="1"/>
  <c r="AG119" i="1"/>
  <c r="AH119" i="1"/>
  <c r="F116" i="1"/>
  <c r="J116" i="1"/>
  <c r="K116" i="1" s="1"/>
  <c r="AI116" i="1" s="1"/>
  <c r="AC116" i="1"/>
  <c r="AD116" i="1"/>
  <c r="AE116" i="1"/>
  <c r="AF116" i="1"/>
  <c r="AG116" i="1"/>
  <c r="AH116" i="1"/>
  <c r="F117" i="1"/>
  <c r="J117" i="1"/>
  <c r="K117" i="1" s="1"/>
  <c r="AI117" i="1" s="1"/>
  <c r="AC117" i="1"/>
  <c r="AD117" i="1"/>
  <c r="AE117" i="1"/>
  <c r="AF117" i="1"/>
  <c r="AG117" i="1"/>
  <c r="AH117" i="1"/>
  <c r="F112" i="1"/>
  <c r="J112" i="1"/>
  <c r="K112" i="1" s="1"/>
  <c r="AI112" i="1" s="1"/>
  <c r="AC112" i="1"/>
  <c r="AD112" i="1"/>
  <c r="AE112" i="1"/>
  <c r="AF112" i="1"/>
  <c r="AG112" i="1"/>
  <c r="AH112" i="1"/>
  <c r="F107" i="1"/>
  <c r="J107" i="1"/>
  <c r="K107" i="1" s="1"/>
  <c r="AI107" i="1" s="1"/>
  <c r="AC107" i="1"/>
  <c r="AD107" i="1"/>
  <c r="AE107" i="1"/>
  <c r="AF107" i="1"/>
  <c r="AG107" i="1"/>
  <c r="AH107" i="1"/>
  <c r="F102" i="1"/>
  <c r="J102" i="1"/>
  <c r="K102" i="1" s="1"/>
  <c r="AI102" i="1" s="1"/>
  <c r="AC102" i="1"/>
  <c r="AD102" i="1"/>
  <c r="AE102" i="1"/>
  <c r="AF102" i="1"/>
  <c r="AG102" i="1"/>
  <c r="AH102" i="1"/>
  <c r="F97" i="1"/>
  <c r="J97" i="1"/>
  <c r="K97" i="1" s="1"/>
  <c r="AI97" i="1" s="1"/>
  <c r="AC97" i="1"/>
  <c r="AD97" i="1"/>
  <c r="AE97" i="1"/>
  <c r="AF97" i="1"/>
  <c r="AG97" i="1"/>
  <c r="AH97" i="1"/>
  <c r="F90" i="1"/>
  <c r="J90" i="1"/>
  <c r="K90" i="1" s="1"/>
  <c r="AI90" i="1" s="1"/>
  <c r="AC90" i="1"/>
  <c r="AD90" i="1"/>
  <c r="AE90" i="1"/>
  <c r="AF90" i="1"/>
  <c r="AG90" i="1"/>
  <c r="AH90" i="1"/>
  <c r="F83" i="1"/>
  <c r="J83" i="1"/>
  <c r="K83" i="1" s="1"/>
  <c r="AI83" i="1" s="1"/>
  <c r="AC83" i="1"/>
  <c r="AD83" i="1"/>
  <c r="AE83" i="1"/>
  <c r="AF83" i="1"/>
  <c r="AG83" i="1"/>
  <c r="AH83" i="1"/>
  <c r="F79" i="1"/>
  <c r="J79" i="1"/>
  <c r="K79" i="1" s="1"/>
  <c r="AI79" i="1" s="1"/>
  <c r="AC79" i="1"/>
  <c r="AD79" i="1"/>
  <c r="AE79" i="1"/>
  <c r="AF79" i="1"/>
  <c r="AG79" i="1"/>
  <c r="AH79" i="1"/>
  <c r="F80" i="1"/>
  <c r="J80" i="1"/>
  <c r="K80" i="1" s="1"/>
  <c r="AI80" i="1" s="1"/>
  <c r="AC80" i="1"/>
  <c r="AD80" i="1"/>
  <c r="AE80" i="1"/>
  <c r="AF80" i="1"/>
  <c r="AG80" i="1"/>
  <c r="AH80" i="1"/>
  <c r="F76" i="1"/>
  <c r="J76" i="1"/>
  <c r="K76" i="1" s="1"/>
  <c r="AI76" i="1" s="1"/>
  <c r="AC76" i="1"/>
  <c r="AD76" i="1"/>
  <c r="AE76" i="1"/>
  <c r="AF76" i="1"/>
  <c r="AG76" i="1"/>
  <c r="AH76" i="1"/>
  <c r="F70" i="1"/>
  <c r="J70" i="1"/>
  <c r="K70" i="1" s="1"/>
  <c r="AI70" i="1" s="1"/>
  <c r="AC70" i="1"/>
  <c r="AD70" i="1"/>
  <c r="AE70" i="1"/>
  <c r="AF70" i="1"/>
  <c r="AG70" i="1"/>
  <c r="AH70" i="1"/>
  <c r="F59" i="1"/>
  <c r="J59" i="1"/>
  <c r="K59" i="1" s="1"/>
  <c r="AI59" i="1" s="1"/>
  <c r="AC59" i="1"/>
  <c r="AD59" i="1"/>
  <c r="AE59" i="1"/>
  <c r="AF59" i="1"/>
  <c r="AG59" i="1"/>
  <c r="AH59" i="1"/>
  <c r="F60" i="1"/>
  <c r="J60" i="1"/>
  <c r="K60" i="1" s="1"/>
  <c r="AI60" i="1" s="1"/>
  <c r="AC60" i="1"/>
  <c r="AD60" i="1"/>
  <c r="AE60" i="1"/>
  <c r="AF60" i="1"/>
  <c r="AG60" i="1"/>
  <c r="AH60" i="1"/>
  <c r="F62" i="1"/>
  <c r="J62" i="1"/>
  <c r="K62" i="1" s="1"/>
  <c r="AI62" i="1" s="1"/>
  <c r="AC62" i="1"/>
  <c r="AD62" i="1"/>
  <c r="AE62" i="1"/>
  <c r="AF62" i="1"/>
  <c r="AG62" i="1"/>
  <c r="AH62" i="1"/>
  <c r="F63" i="1"/>
  <c r="J63" i="1"/>
  <c r="K63" i="1" s="1"/>
  <c r="AI63" i="1" s="1"/>
  <c r="AC63" i="1"/>
  <c r="AD63" i="1"/>
  <c r="AE63" i="1"/>
  <c r="AF63" i="1"/>
  <c r="AG63" i="1"/>
  <c r="AH63" i="1"/>
  <c r="F64" i="1"/>
  <c r="J64" i="1"/>
  <c r="K64" i="1" s="1"/>
  <c r="AI64" i="1" s="1"/>
  <c r="AC64" i="1"/>
  <c r="AD64" i="1"/>
  <c r="AE64" i="1"/>
  <c r="AF64" i="1"/>
  <c r="AG64" i="1"/>
  <c r="AH64" i="1"/>
  <c r="F54" i="1"/>
  <c r="J54" i="1"/>
  <c r="K54" i="1" s="1"/>
  <c r="AI54" i="1" s="1"/>
  <c r="AC54" i="1"/>
  <c r="AD54" i="1"/>
  <c r="AE54" i="1"/>
  <c r="AF54" i="1"/>
  <c r="AG54" i="1"/>
  <c r="AH54" i="1"/>
  <c r="F55" i="1"/>
  <c r="J55" i="1"/>
  <c r="K55" i="1" s="1"/>
  <c r="AI55" i="1" s="1"/>
  <c r="AC55" i="1"/>
  <c r="AD55" i="1"/>
  <c r="AE55" i="1"/>
  <c r="AF55" i="1"/>
  <c r="AG55" i="1"/>
  <c r="AH55" i="1"/>
  <c r="F49" i="1"/>
  <c r="J49" i="1"/>
  <c r="K49" i="1" s="1"/>
  <c r="AI49" i="1" s="1"/>
  <c r="AC49" i="1"/>
  <c r="AD49" i="1"/>
  <c r="AE49" i="1"/>
  <c r="AF49" i="1"/>
  <c r="AG49" i="1"/>
  <c r="AH49" i="1"/>
  <c r="F50" i="1"/>
  <c r="J50" i="1"/>
  <c r="K50" i="1" s="1"/>
  <c r="AI50" i="1" s="1"/>
  <c r="AC50" i="1"/>
  <c r="AD50" i="1"/>
  <c r="AE50" i="1"/>
  <c r="AF50" i="1"/>
  <c r="AG50" i="1"/>
  <c r="AH50" i="1"/>
  <c r="F38" i="1"/>
  <c r="J38" i="1"/>
  <c r="K38" i="1" s="1"/>
  <c r="AI38" i="1" s="1"/>
  <c r="AC38" i="1"/>
  <c r="AD38" i="1"/>
  <c r="AE38" i="1"/>
  <c r="AF38" i="1"/>
  <c r="AG38" i="1"/>
  <c r="AH38" i="1"/>
  <c r="F39" i="1"/>
  <c r="J39" i="1"/>
  <c r="K39" i="1" s="1"/>
  <c r="AI39" i="1" s="1"/>
  <c r="AC39" i="1"/>
  <c r="AD39" i="1"/>
  <c r="AE39" i="1"/>
  <c r="AF39" i="1"/>
  <c r="AG39" i="1"/>
  <c r="AH39" i="1"/>
  <c r="F42" i="1"/>
  <c r="J42" i="1"/>
  <c r="K42" i="1" s="1"/>
  <c r="AI42" i="1" s="1"/>
  <c r="AC42" i="1"/>
  <c r="AD42" i="1"/>
  <c r="AE42" i="1"/>
  <c r="AF42" i="1"/>
  <c r="AG42" i="1"/>
  <c r="AH42" i="1"/>
  <c r="F43" i="1"/>
  <c r="J43" i="1"/>
  <c r="K43" i="1" s="1"/>
  <c r="AI43" i="1" s="1"/>
  <c r="AC43" i="1"/>
  <c r="AD43" i="1"/>
  <c r="AE43" i="1"/>
  <c r="AF43" i="1"/>
  <c r="AG43" i="1"/>
  <c r="AH43" i="1"/>
  <c r="F45" i="1"/>
  <c r="J45" i="1"/>
  <c r="K45" i="1" s="1"/>
  <c r="AI45" i="1" s="1"/>
  <c r="AC45" i="1"/>
  <c r="AD45" i="1"/>
  <c r="AE45" i="1"/>
  <c r="AF45" i="1"/>
  <c r="AG45" i="1"/>
  <c r="AH45" i="1"/>
  <c r="F36" i="1"/>
  <c r="J36" i="1"/>
  <c r="K36" i="1" s="1"/>
  <c r="AI36" i="1" s="1"/>
  <c r="AC36" i="1"/>
  <c r="AD36" i="1"/>
  <c r="AE36" i="1"/>
  <c r="AF36" i="1"/>
  <c r="AG36" i="1"/>
  <c r="AH36" i="1"/>
  <c r="F29" i="1"/>
  <c r="J29" i="1"/>
  <c r="K29" i="1" s="1"/>
  <c r="AI29" i="1" s="1"/>
  <c r="AC29" i="1"/>
  <c r="AD29" i="1"/>
  <c r="AE29" i="1"/>
  <c r="AF29" i="1"/>
  <c r="AG29" i="1"/>
  <c r="AH29" i="1"/>
  <c r="F32" i="1"/>
  <c r="J32" i="1"/>
  <c r="K32" i="1" s="1"/>
  <c r="AI32" i="1" s="1"/>
  <c r="AC32" i="1"/>
  <c r="AD32" i="1"/>
  <c r="AE32" i="1"/>
  <c r="AF32" i="1"/>
  <c r="AG32" i="1"/>
  <c r="AH32" i="1"/>
  <c r="F23" i="1"/>
  <c r="J23" i="1"/>
  <c r="K23" i="1" s="1"/>
  <c r="AI23" i="1" s="1"/>
  <c r="AC23" i="1"/>
  <c r="AD23" i="1"/>
  <c r="AE23" i="1"/>
  <c r="AF23" i="1"/>
  <c r="AG23" i="1"/>
  <c r="AH23" i="1"/>
  <c r="F25" i="1"/>
  <c r="J25" i="1"/>
  <c r="K25" i="1" s="1"/>
  <c r="AI25" i="1" s="1"/>
  <c r="AC25" i="1"/>
  <c r="AD25" i="1"/>
  <c r="AE25" i="1"/>
  <c r="AF25" i="1"/>
  <c r="AG25" i="1"/>
  <c r="AH25" i="1"/>
  <c r="F26" i="1"/>
  <c r="J26" i="1"/>
  <c r="K26" i="1" s="1"/>
  <c r="AI26" i="1" s="1"/>
  <c r="AC26" i="1"/>
  <c r="AD26" i="1"/>
  <c r="AE26" i="1"/>
  <c r="AF26" i="1"/>
  <c r="AG26" i="1"/>
  <c r="AH26" i="1"/>
  <c r="F19" i="1"/>
  <c r="J19" i="1"/>
  <c r="K19" i="1" s="1"/>
  <c r="AI19" i="1" s="1"/>
  <c r="AC19" i="1"/>
  <c r="AD19" i="1"/>
  <c r="AE19" i="1"/>
  <c r="AF19" i="1"/>
  <c r="AG19" i="1"/>
  <c r="AH19" i="1"/>
  <c r="F20" i="1"/>
  <c r="J20" i="1"/>
  <c r="K20" i="1" s="1"/>
  <c r="AI20" i="1" s="1"/>
  <c r="AC20" i="1"/>
  <c r="AD20" i="1"/>
  <c r="AE20" i="1"/>
  <c r="AF20" i="1"/>
  <c r="AG20" i="1"/>
  <c r="AH20" i="1"/>
  <c r="F8" i="1"/>
  <c r="J8" i="1"/>
  <c r="K8" i="1" s="1"/>
  <c r="AI8" i="1" s="1"/>
  <c r="AC8" i="1"/>
  <c r="AD8" i="1"/>
  <c r="AE8" i="1"/>
  <c r="AF8" i="1"/>
  <c r="AG8" i="1"/>
  <c r="AH8" i="1"/>
  <c r="F9" i="1"/>
  <c r="J9" i="1"/>
  <c r="K9" i="1" s="1"/>
  <c r="AI9" i="1" s="1"/>
  <c r="AC9" i="1"/>
  <c r="AD9" i="1"/>
  <c r="AE9" i="1"/>
  <c r="AF9" i="1"/>
  <c r="AG9" i="1"/>
  <c r="AH9" i="1"/>
  <c r="F10" i="1"/>
  <c r="J10" i="1"/>
  <c r="K10" i="1" s="1"/>
  <c r="AI10" i="1" s="1"/>
  <c r="AC10" i="1"/>
  <c r="AD10" i="1"/>
  <c r="AE10" i="1"/>
  <c r="AF10" i="1"/>
  <c r="AG10" i="1"/>
  <c r="AH10" i="1"/>
  <c r="F11" i="1"/>
  <c r="J11" i="1"/>
  <c r="K11" i="1" s="1"/>
  <c r="AI11" i="1" s="1"/>
  <c r="AC11" i="1"/>
  <c r="AD11" i="1"/>
  <c r="AE11" i="1"/>
  <c r="AF11" i="1"/>
  <c r="AG11" i="1"/>
  <c r="AH11" i="1"/>
  <c r="F12" i="1"/>
  <c r="J12" i="1"/>
  <c r="K12" i="1" s="1"/>
  <c r="AI12" i="1" s="1"/>
  <c r="AC12" i="1"/>
  <c r="AD12" i="1"/>
  <c r="AE12" i="1"/>
  <c r="AF12" i="1"/>
  <c r="AG12" i="1"/>
  <c r="AH12" i="1"/>
  <c r="F14" i="1"/>
  <c r="J14" i="1"/>
  <c r="K14" i="1" s="1"/>
  <c r="AI14" i="1" s="1"/>
  <c r="AC14" i="1"/>
  <c r="AD14" i="1"/>
  <c r="AE14" i="1"/>
  <c r="AF14" i="1"/>
  <c r="AG14" i="1"/>
  <c r="AH14" i="1"/>
  <c r="F15" i="1"/>
  <c r="J15" i="1"/>
  <c r="K15" i="1" s="1"/>
  <c r="AI15" i="1" s="1"/>
  <c r="AC15" i="1"/>
  <c r="AD15" i="1"/>
  <c r="AE15" i="1"/>
  <c r="AF15" i="1"/>
  <c r="AG15" i="1"/>
  <c r="AH15" i="1"/>
  <c r="F4" i="1"/>
  <c r="J4" i="1"/>
  <c r="K4" i="1" s="1"/>
  <c r="AI4" i="1" s="1"/>
  <c r="AC4" i="1"/>
  <c r="AD4" i="1"/>
  <c r="AE4" i="1"/>
  <c r="AF4" i="1"/>
  <c r="AG4" i="1"/>
  <c r="AH4" i="1"/>
  <c r="F2" i="1"/>
  <c r="J2" i="1"/>
  <c r="K2" i="1" s="1"/>
  <c r="AI2" i="1" s="1"/>
  <c r="AC2" i="1"/>
  <c r="AD2" i="1"/>
  <c r="AE2" i="1"/>
  <c r="AF2" i="1"/>
  <c r="AG2" i="1"/>
  <c r="AH2" i="1"/>
  <c r="AD3" i="1"/>
  <c r="AD5" i="1"/>
  <c r="AD6" i="1"/>
  <c r="AD7" i="1"/>
  <c r="AD16" i="1"/>
  <c r="AD17" i="1"/>
  <c r="AD18" i="1"/>
  <c r="AD21" i="1"/>
  <c r="AD22" i="1"/>
  <c r="AD27" i="1"/>
  <c r="AD28" i="1"/>
  <c r="AD33" i="1"/>
  <c r="AD34" i="1"/>
  <c r="AD35" i="1"/>
  <c r="AD37" i="1"/>
  <c r="AD47" i="1"/>
  <c r="AD53" i="1"/>
  <c r="AD56" i="1"/>
  <c r="AD57" i="1"/>
  <c r="AD58" i="1"/>
  <c r="AD66" i="1"/>
  <c r="AD67" i="1"/>
  <c r="AD68" i="1"/>
  <c r="AD69" i="1"/>
  <c r="AD72" i="1"/>
  <c r="AD73" i="1"/>
  <c r="AD74" i="1"/>
  <c r="AD75" i="1"/>
  <c r="AD78" i="1"/>
  <c r="AD81" i="1"/>
  <c r="AD84" i="1"/>
  <c r="AD86" i="1"/>
  <c r="AD87" i="1"/>
  <c r="AD88" i="1"/>
  <c r="AD92" i="1"/>
  <c r="AD93" i="1"/>
  <c r="AD94" i="1"/>
  <c r="AD95" i="1"/>
  <c r="AD96" i="1"/>
  <c r="AD98" i="1"/>
  <c r="AD99" i="1"/>
  <c r="AD100" i="1"/>
  <c r="AD103" i="1"/>
  <c r="AD104" i="1"/>
  <c r="AD105" i="1"/>
  <c r="AD106" i="1"/>
  <c r="AD108" i="1"/>
  <c r="AD110" i="1"/>
  <c r="AD111" i="1"/>
  <c r="AD113" i="1"/>
  <c r="AD114" i="1"/>
  <c r="AD115" i="1"/>
  <c r="AD118" i="1"/>
  <c r="AD120" i="1"/>
  <c r="AD122" i="1"/>
  <c r="AD123" i="1"/>
  <c r="AD125" i="1"/>
  <c r="AD127" i="1"/>
  <c r="AD129" i="1"/>
  <c r="AD130" i="1"/>
  <c r="AD133" i="1"/>
  <c r="AD137" i="1"/>
  <c r="AD139" i="1"/>
  <c r="AD141" i="1"/>
  <c r="AD142" i="1"/>
  <c r="AD143" i="1"/>
  <c r="AD145" i="1"/>
  <c r="AD146" i="1"/>
  <c r="AD147" i="1"/>
  <c r="AD149" i="1"/>
  <c r="AD151" i="1"/>
  <c r="AD152" i="1"/>
  <c r="AD153" i="1"/>
  <c r="AD155" i="1"/>
  <c r="AD156" i="1"/>
  <c r="AD157" i="1"/>
  <c r="AD162" i="1"/>
  <c r="AD167" i="1"/>
  <c r="AD168" i="1"/>
  <c r="AD171" i="1"/>
  <c r="AD173" i="1"/>
  <c r="AD174" i="1"/>
  <c r="AD176" i="1"/>
  <c r="AD178" i="1"/>
  <c r="AD180" i="1"/>
  <c r="AD188" i="1"/>
  <c r="AD189" i="1"/>
  <c r="AD191" i="1"/>
  <c r="AD193" i="1"/>
  <c r="AD195" i="1"/>
  <c r="AD197" i="1"/>
  <c r="AD198" i="1"/>
  <c r="AD199" i="1"/>
  <c r="AD200" i="1"/>
  <c r="AD201" i="1"/>
  <c r="AD204" i="1"/>
  <c r="AD208" i="1"/>
  <c r="AD212" i="1"/>
  <c r="AD213" i="1"/>
  <c r="AD215" i="1"/>
  <c r="AD217" i="1"/>
  <c r="AD220" i="1"/>
  <c r="AD228" i="1"/>
  <c r="AD231" i="1"/>
  <c r="AD234" i="1"/>
  <c r="AD235" i="1"/>
  <c r="AD236" i="1"/>
  <c r="AD237" i="1"/>
  <c r="AD238" i="1"/>
  <c r="AD241" i="1"/>
  <c r="AD248" i="1"/>
  <c r="AD250" i="1"/>
  <c r="AD251" i="1"/>
  <c r="AD257" i="1"/>
  <c r="AD261" i="1"/>
  <c r="AD264" i="1"/>
  <c r="AD265" i="1"/>
  <c r="AD266" i="1"/>
  <c r="AD267" i="1"/>
  <c r="AD270" i="1"/>
  <c r="AD272" i="1"/>
  <c r="AD273" i="1"/>
  <c r="AD274" i="1"/>
  <c r="AD276" i="1"/>
  <c r="AD281" i="1"/>
  <c r="AD283" i="1"/>
  <c r="AD285" i="1"/>
  <c r="AD286" i="1"/>
  <c r="AD287" i="1"/>
  <c r="AD289" i="1"/>
  <c r="AD290" i="1"/>
  <c r="AD291" i="1"/>
  <c r="AD292" i="1"/>
  <c r="AD298" i="1"/>
  <c r="AD299" i="1"/>
  <c r="AD300" i="1"/>
  <c r="AD304" i="1"/>
  <c r="AD309" i="1"/>
  <c r="AD311" i="1"/>
  <c r="AD312" i="1"/>
  <c r="AD313" i="1"/>
  <c r="AD314" i="1"/>
  <c r="AD315" i="1"/>
  <c r="AD318" i="1"/>
  <c r="AD319" i="1"/>
  <c r="AD324" i="1"/>
  <c r="AD325" i="1"/>
  <c r="AD327" i="1"/>
  <c r="AD328" i="1"/>
  <c r="AD329" i="1"/>
  <c r="AD330" i="1"/>
  <c r="AD333" i="1"/>
  <c r="AD334" i="1"/>
  <c r="AD336" i="1"/>
  <c r="AD337" i="1"/>
  <c r="AD339" i="1"/>
  <c r="AD341" i="1"/>
  <c r="AD342" i="1"/>
  <c r="AD346" i="1"/>
  <c r="AD349" i="1"/>
  <c r="AD350" i="1"/>
  <c r="AD353" i="1"/>
  <c r="AD355" i="1"/>
  <c r="AD357" i="1"/>
  <c r="AD358" i="1"/>
  <c r="AD360" i="1"/>
  <c r="AD363" i="1"/>
  <c r="AD364" i="1"/>
  <c r="AD365" i="1"/>
  <c r="AD366" i="1"/>
  <c r="AD367" i="1"/>
  <c r="AD368" i="1"/>
  <c r="AD372" i="1"/>
  <c r="AD374" i="1"/>
  <c r="AD375" i="1"/>
  <c r="AD376" i="1"/>
  <c r="AD380" i="1"/>
  <c r="AD383" i="1"/>
  <c r="AD384" i="1"/>
  <c r="AD386" i="1"/>
  <c r="AD390" i="1"/>
  <c r="AD391" i="1"/>
  <c r="AD394" i="1"/>
  <c r="AD395" i="1"/>
  <c r="AD402" i="1"/>
  <c r="AD406" i="1"/>
  <c r="AD409" i="1"/>
  <c r="AD411" i="1"/>
  <c r="AD418" i="1"/>
  <c r="AD420" i="1"/>
  <c r="AD421" i="1"/>
  <c r="AD422" i="1"/>
  <c r="AD423" i="1"/>
  <c r="AD424" i="1"/>
  <c r="AD427" i="1"/>
  <c r="AD431" i="1"/>
  <c r="AD436" i="1"/>
  <c r="AD438" i="1"/>
  <c r="AD439" i="1"/>
  <c r="AD442" i="1"/>
  <c r="AD446" i="1"/>
  <c r="AD448" i="1"/>
  <c r="AD449" i="1"/>
  <c r="AD450" i="1"/>
  <c r="AD451" i="1"/>
  <c r="AD456" i="1"/>
  <c r="AD458" i="1"/>
  <c r="AD460" i="1"/>
  <c r="AD461" i="1"/>
  <c r="AD463" i="1"/>
  <c r="AD465" i="1"/>
  <c r="AD466" i="1"/>
  <c r="AD469" i="1"/>
  <c r="AD471" i="1"/>
  <c r="AD473" i="1"/>
  <c r="AD474" i="1"/>
  <c r="AD478" i="1"/>
  <c r="AD482" i="1"/>
  <c r="AD483" i="1"/>
  <c r="AD487" i="1"/>
  <c r="AD488" i="1"/>
  <c r="AD495" i="1"/>
  <c r="AD497" i="1"/>
  <c r="AD500" i="1"/>
  <c r="AD503" i="1"/>
  <c r="AD504" i="1"/>
  <c r="AD509" i="1"/>
  <c r="AD510" i="1"/>
  <c r="AD513" i="1"/>
  <c r="AD514" i="1"/>
  <c r="AD515" i="1"/>
  <c r="AD516" i="1"/>
  <c r="AD518" i="1"/>
  <c r="AD519" i="1"/>
  <c r="AD521" i="1"/>
  <c r="AD522" i="1"/>
  <c r="AD524" i="1"/>
  <c r="AD528" i="1"/>
  <c r="AD531" i="1"/>
  <c r="AD532" i="1"/>
  <c r="AD539" i="1"/>
  <c r="AD541" i="1"/>
  <c r="AD544" i="1"/>
  <c r="AD546" i="1"/>
  <c r="AD548" i="1"/>
  <c r="AD550" i="1"/>
  <c r="AD553" i="1"/>
  <c r="AD555" i="1"/>
  <c r="AD557" i="1"/>
  <c r="AD558" i="1"/>
  <c r="AD559" i="1"/>
  <c r="AD563" i="1"/>
  <c r="AD565" i="1"/>
  <c r="AD567" i="1"/>
  <c r="AD569" i="1"/>
  <c r="AD571" i="1"/>
  <c r="AD575" i="1"/>
  <c r="AD576" i="1"/>
  <c r="AD578" i="1"/>
  <c r="AD581" i="1"/>
  <c r="AD582" i="1"/>
  <c r="AD583" i="1"/>
  <c r="AD584" i="1"/>
  <c r="AD585" i="1"/>
  <c r="AD586" i="1"/>
  <c r="AD588" i="1"/>
  <c r="AD592" i="1"/>
  <c r="AD593" i="1"/>
  <c r="AD594" i="1"/>
  <c r="AD595" i="1"/>
  <c r="AD597" i="1"/>
  <c r="AD599" i="1"/>
  <c r="AD602" i="1"/>
  <c r="AD603" i="1"/>
  <c r="AD604" i="1"/>
  <c r="AD605" i="1"/>
  <c r="AD606" i="1"/>
  <c r="AD607" i="1"/>
  <c r="AD608" i="1"/>
  <c r="AD609" i="1"/>
  <c r="AD610" i="1"/>
  <c r="AD615" i="1"/>
  <c r="AD619" i="1"/>
  <c r="AD622" i="1"/>
  <c r="AD624" i="1"/>
  <c r="AD625" i="1"/>
  <c r="AD631" i="1"/>
  <c r="AD633" i="1"/>
  <c r="AD640" i="1"/>
  <c r="AD643" i="1"/>
  <c r="AD644" i="1"/>
  <c r="AD653" i="1"/>
  <c r="AD654" i="1"/>
  <c r="AD656" i="1"/>
  <c r="AD663" i="1"/>
  <c r="AD664" i="1"/>
  <c r="AD668" i="1"/>
  <c r="AD677" i="1"/>
  <c r="AD679" i="1"/>
  <c r="AD680" i="1"/>
  <c r="AD681" i="1"/>
  <c r="AD683" i="1"/>
  <c r="AD689" i="1"/>
  <c r="AD690" i="1"/>
  <c r="AD693" i="1"/>
  <c r="AD698" i="1"/>
  <c r="AD700" i="1"/>
  <c r="AD701" i="1"/>
  <c r="AD702" i="1"/>
  <c r="AD704" i="1"/>
  <c r="AD705" i="1"/>
  <c r="AD706" i="1"/>
  <c r="AD708" i="1"/>
  <c r="AD712" i="1"/>
  <c r="AD716" i="1"/>
  <c r="AD720" i="1"/>
  <c r="AD722" i="1"/>
  <c r="AD723" i="1"/>
  <c r="AD725" i="1"/>
  <c r="AD726" i="1"/>
  <c r="AD727" i="1"/>
  <c r="AD729" i="1"/>
  <c r="AD730" i="1"/>
  <c r="AD731" i="1"/>
  <c r="AD732" i="1"/>
  <c r="AD739" i="1"/>
  <c r="AD745" i="1"/>
  <c r="AD746" i="1"/>
  <c r="AD747" i="1"/>
  <c r="AD754" i="1"/>
  <c r="AD757" i="1"/>
  <c r="AD758" i="1"/>
  <c r="AD764" i="1"/>
  <c r="AD765" i="1"/>
  <c r="AD766" i="1"/>
  <c r="AD772" i="1"/>
  <c r="AD777" i="1"/>
  <c r="AD781" i="1"/>
  <c r="AD785" i="1"/>
  <c r="AD787" i="1"/>
  <c r="AD788" i="1"/>
  <c r="AD790" i="1"/>
  <c r="AD791" i="1"/>
  <c r="AD792" i="1"/>
  <c r="AD794" i="1"/>
  <c r="AD796" i="1"/>
  <c r="AD798" i="1"/>
  <c r="AD799" i="1"/>
  <c r="AD800" i="1"/>
  <c r="AD801" i="1"/>
  <c r="AD805" i="1"/>
  <c r="AD809" i="1"/>
  <c r="AD811" i="1"/>
  <c r="AD813" i="1"/>
  <c r="AD814" i="1"/>
  <c r="AD817" i="1"/>
  <c r="AD820" i="1"/>
  <c r="AD822" i="1"/>
  <c r="AD825" i="1"/>
  <c r="AD826" i="1"/>
  <c r="AD827" i="1"/>
  <c r="AD829" i="1"/>
  <c r="AD830" i="1"/>
  <c r="AD832" i="1"/>
  <c r="AD842" i="1"/>
  <c r="AD843" i="1"/>
  <c r="AD849" i="1"/>
  <c r="AD851" i="1"/>
  <c r="AD854" i="1"/>
  <c r="AD855" i="1"/>
  <c r="AD858" i="1"/>
  <c r="AD859" i="1"/>
  <c r="AD863" i="1"/>
  <c r="AD866" i="1"/>
  <c r="AD867" i="1"/>
  <c r="AD869" i="1"/>
  <c r="AD870" i="1"/>
  <c r="AD877" i="1"/>
  <c r="AD880" i="1"/>
  <c r="AD884" i="1"/>
  <c r="AD892" i="1"/>
  <c r="AD894" i="1"/>
  <c r="AD896" i="1"/>
  <c r="AD897" i="1"/>
  <c r="AD899" i="1"/>
  <c r="AD901" i="1"/>
  <c r="AD902" i="1"/>
  <c r="AD904" i="1"/>
  <c r="AD905" i="1"/>
  <c r="AD906" i="1"/>
  <c r="AD907" i="1"/>
  <c r="AD908" i="1"/>
  <c r="AD912" i="1"/>
  <c r="AD913" i="1"/>
  <c r="AD916" i="1"/>
  <c r="AD918" i="1"/>
  <c r="AD919" i="1"/>
  <c r="AD920" i="1"/>
  <c r="AD923" i="1"/>
  <c r="AD924" i="1"/>
  <c r="AD926" i="1"/>
  <c r="AD927" i="1"/>
  <c r="AD928" i="1"/>
  <c r="AD930" i="1"/>
  <c r="AD933" i="1"/>
  <c r="AD935" i="1"/>
  <c r="AD936" i="1"/>
  <c r="AD938" i="1"/>
  <c r="AD946" i="1"/>
  <c r="AD949" i="1"/>
  <c r="AD951" i="1"/>
  <c r="AD955" i="1"/>
  <c r="AD956" i="1"/>
  <c r="AD957" i="1"/>
  <c r="AD958" i="1"/>
  <c r="AD961" i="1"/>
  <c r="AD962" i="1"/>
  <c r="AD964" i="1"/>
  <c r="AD969" i="1"/>
  <c r="AD970" i="1"/>
  <c r="AD971" i="1"/>
  <c r="AD972" i="1"/>
  <c r="AD981" i="1"/>
  <c r="AD982" i="1"/>
  <c r="AD986" i="1"/>
  <c r="AD987" i="1"/>
  <c r="AD990" i="1"/>
  <c r="AD993" i="1"/>
  <c r="AD995" i="1"/>
  <c r="AD999" i="1"/>
  <c r="AD1004" i="1"/>
  <c r="AD1008" i="1"/>
  <c r="AD1010" i="1"/>
  <c r="AD1011" i="1"/>
  <c r="AD1012" i="1"/>
  <c r="AD1014" i="1"/>
  <c r="AD1015" i="1"/>
  <c r="AD1017" i="1"/>
  <c r="AD1019" i="1"/>
  <c r="AD1025" i="1"/>
  <c r="AD1028" i="1"/>
  <c r="AD1034" i="1"/>
  <c r="AD1035" i="1"/>
  <c r="AD1039" i="1"/>
  <c r="AD1040" i="1"/>
  <c r="AD1041" i="1"/>
  <c r="AD1042" i="1"/>
  <c r="AD1045" i="1"/>
  <c r="AD1052" i="1"/>
  <c r="AD1053" i="1"/>
  <c r="AD1055" i="1"/>
  <c r="AD1056" i="1"/>
  <c r="AD1058" i="1"/>
  <c r="AD1063" i="1"/>
  <c r="AD1069" i="1"/>
  <c r="AD1070" i="1"/>
  <c r="AD1071" i="1"/>
  <c r="AD1073" i="1"/>
  <c r="AD1075" i="1"/>
  <c r="AD1076" i="1"/>
  <c r="AD1081" i="1"/>
  <c r="AD1085" i="1"/>
  <c r="AD1089" i="1"/>
  <c r="AD1096" i="1"/>
  <c r="AD1099" i="1"/>
  <c r="AD1100" i="1"/>
  <c r="AD1102" i="1"/>
  <c r="AD1104" i="1"/>
  <c r="AD1108" i="1"/>
  <c r="AD1110" i="1"/>
  <c r="AD1111" i="1"/>
  <c r="AD1113" i="1"/>
  <c r="AD1114" i="1"/>
  <c r="AD1118" i="1"/>
  <c r="AD1120" i="1"/>
  <c r="AD1127" i="1"/>
  <c r="AD1129" i="1"/>
  <c r="AD1131" i="1"/>
  <c r="AD1134" i="1"/>
  <c r="AD1138" i="1"/>
  <c r="AD1140" i="1"/>
  <c r="AD1142" i="1"/>
  <c r="AD1145" i="1"/>
  <c r="AD1146" i="1"/>
  <c r="AD1147" i="1"/>
  <c r="AD1148" i="1"/>
  <c r="AD1150" i="1"/>
  <c r="AD1156" i="1"/>
  <c r="AD1157" i="1"/>
  <c r="AD1159" i="1"/>
  <c r="AD1165" i="1"/>
  <c r="AD1172" i="1"/>
  <c r="AD1173" i="1"/>
  <c r="AD1175" i="1"/>
  <c r="AD1179" i="1"/>
  <c r="AD1181" i="1"/>
  <c r="AD1190" i="1"/>
  <c r="AD1191" i="1"/>
  <c r="AD1196" i="1"/>
  <c r="AD1200" i="1"/>
  <c r="AD1201" i="1"/>
  <c r="AD1203" i="1"/>
  <c r="AD1207" i="1"/>
  <c r="AD1221" i="1"/>
  <c r="AD1229" i="1"/>
  <c r="AD1232" i="1"/>
  <c r="AD1233" i="1"/>
  <c r="AD1234" i="1"/>
  <c r="AD1236" i="1"/>
  <c r="AD1237" i="1"/>
  <c r="AD1238" i="1"/>
  <c r="AD1239" i="1"/>
  <c r="AD1240" i="1"/>
  <c r="AD1248" i="1"/>
  <c r="AD1249" i="1"/>
  <c r="AD1251" i="1"/>
  <c r="AD1257" i="1"/>
  <c r="AD1264" i="1"/>
  <c r="AD1266" i="1"/>
  <c r="AD1269" i="1"/>
  <c r="AD1273" i="1"/>
  <c r="AD1274" i="1"/>
  <c r="AD1279" i="1"/>
  <c r="AD1281" i="1"/>
  <c r="AD1284" i="1"/>
  <c r="AD1287" i="1"/>
  <c r="AD1290" i="1"/>
  <c r="AD1291" i="1"/>
  <c r="AD1293" i="1"/>
  <c r="AD1298" i="1"/>
  <c r="AD1299" i="1"/>
  <c r="AD1301" i="1"/>
  <c r="AD1302" i="1"/>
  <c r="AD1303" i="1"/>
  <c r="AD1313" i="1"/>
  <c r="AD1316" i="1"/>
  <c r="AD1319" i="1"/>
  <c r="AD1325" i="1"/>
  <c r="AD1329" i="1"/>
  <c r="AD1330" i="1"/>
  <c r="AD1333" i="1"/>
  <c r="AD1335" i="1"/>
  <c r="AD1338" i="1"/>
  <c r="AD1341" i="1"/>
  <c r="AD1342" i="1"/>
  <c r="AD1343" i="1"/>
  <c r="AD1345" i="1"/>
  <c r="AD1346" i="1"/>
  <c r="AD1351" i="1"/>
  <c r="AD1356" i="1"/>
  <c r="AD1358" i="1"/>
  <c r="AD1367" i="1"/>
  <c r="AD1368" i="1"/>
  <c r="AD1371" i="1"/>
  <c r="AD1372" i="1"/>
  <c r="AD1373" i="1"/>
  <c r="AD1377" i="1"/>
  <c r="AD1378" i="1"/>
  <c r="AD1380" i="1"/>
  <c r="AD1385" i="1"/>
  <c r="AD1387" i="1"/>
  <c r="AD1389" i="1"/>
  <c r="AD1390" i="1"/>
  <c r="AD1392" i="1"/>
  <c r="AD1397" i="1"/>
  <c r="AD1400" i="1"/>
  <c r="AD1404" i="1"/>
  <c r="AD1411" i="1"/>
  <c r="AD1412" i="1"/>
  <c r="AD1414" i="1"/>
  <c r="AD1420" i="1"/>
  <c r="AD1423" i="1"/>
  <c r="AD1425" i="1"/>
  <c r="AD1427" i="1"/>
  <c r="AD1429" i="1"/>
  <c r="AD1430" i="1"/>
  <c r="AD1434" i="1"/>
  <c r="AD1436" i="1"/>
  <c r="AD1441" i="1"/>
  <c r="AD1442" i="1"/>
  <c r="AD1443" i="1"/>
  <c r="AD1449" i="1"/>
  <c r="AD1450" i="1"/>
  <c r="AD1460" i="1"/>
  <c r="AD1468" i="1"/>
  <c r="AD1470" i="1"/>
  <c r="AD1471" i="1"/>
  <c r="AD1474" i="1"/>
  <c r="AD1475" i="1"/>
  <c r="AD1476" i="1"/>
  <c r="AD1477" i="1"/>
  <c r="AD1482" i="1"/>
  <c r="AD1493" i="1"/>
  <c r="AD1495" i="1"/>
  <c r="AD1496" i="1"/>
  <c r="AD1499" i="1"/>
  <c r="AD1502" i="1"/>
  <c r="AD1505" i="1"/>
  <c r="AD1507" i="1"/>
  <c r="AD1520" i="1"/>
  <c r="AD1522" i="1"/>
  <c r="AD1523" i="1"/>
  <c r="AD1524" i="1"/>
  <c r="AD1531" i="1"/>
  <c r="AD1532" i="1"/>
  <c r="AD1533" i="1"/>
  <c r="AD1535" i="1"/>
  <c r="AD1536" i="1"/>
  <c r="AD1537" i="1"/>
  <c r="AD1544" i="1"/>
  <c r="AD1546" i="1"/>
  <c r="AD1553" i="1"/>
  <c r="AD1557" i="1"/>
  <c r="AD1561" i="1"/>
  <c r="AD1564" i="1"/>
  <c r="AD1565" i="1"/>
  <c r="AD1566" i="1"/>
  <c r="AD1569" i="1"/>
  <c r="AD1573" i="1"/>
  <c r="AD1576" i="1"/>
  <c r="AD1577" i="1"/>
  <c r="AD1579" i="1"/>
  <c r="AD1581" i="1"/>
  <c r="AD1585" i="1"/>
  <c r="AD1587" i="1"/>
  <c r="AD1590" i="1"/>
  <c r="AD1591" i="1"/>
  <c r="AD1595" i="1"/>
  <c r="AD1596" i="1"/>
  <c r="AD1598" i="1"/>
  <c r="AD1599" i="1"/>
  <c r="AD1601" i="1"/>
  <c r="AD1605" i="1"/>
  <c r="AD1608" i="1"/>
  <c r="AD1612" i="1"/>
  <c r="AD1615" i="1"/>
  <c r="AD1617" i="1"/>
  <c r="AD1619" i="1"/>
  <c r="AD1621" i="1"/>
  <c r="AD1627" i="1"/>
  <c r="AD1633" i="1"/>
  <c r="AD1635" i="1"/>
  <c r="AD1639" i="1"/>
  <c r="AD1640" i="1"/>
  <c r="AD1641" i="1"/>
  <c r="AD1642" i="1"/>
  <c r="AD1645" i="1"/>
  <c r="AD1647" i="1"/>
  <c r="AD1651" i="1"/>
  <c r="AD1653" i="1"/>
  <c r="AD1654" i="1"/>
  <c r="AD1657" i="1"/>
  <c r="AD1661" i="1"/>
  <c r="AD1662" i="1"/>
  <c r="AD1663" i="1"/>
  <c r="AD1667" i="1"/>
  <c r="AD1670" i="1"/>
  <c r="AD1674" i="1"/>
  <c r="AD1675" i="1"/>
  <c r="AD1679" i="1"/>
  <c r="AD1680" i="1"/>
  <c r="AD1681" i="1"/>
  <c r="AD1685" i="1"/>
  <c r="AD1686" i="1"/>
  <c r="AD1690" i="1"/>
  <c r="AD1691" i="1"/>
  <c r="AD1695" i="1"/>
  <c r="AD1696" i="1"/>
  <c r="AD1697" i="1"/>
  <c r="AD1698" i="1"/>
  <c r="AD1699" i="1"/>
  <c r="AD1705" i="1"/>
  <c r="AD1711" i="1"/>
  <c r="AD1713" i="1"/>
  <c r="AD1714" i="1"/>
  <c r="AD1717" i="1"/>
  <c r="AD1718" i="1"/>
  <c r="AD1727" i="1"/>
  <c r="AD1729" i="1"/>
  <c r="AD1732" i="1"/>
  <c r="AD1738" i="1"/>
  <c r="AD1739" i="1"/>
  <c r="AD1740" i="1"/>
  <c r="AD1742" i="1"/>
  <c r="AD1746" i="1"/>
  <c r="AD1747" i="1"/>
  <c r="AD1749" i="1"/>
  <c r="AD1750" i="1"/>
  <c r="AD1751" i="1"/>
  <c r="AD1754" i="1"/>
  <c r="AD1762" i="1"/>
  <c r="AD1766" i="1"/>
  <c r="AD1768" i="1"/>
  <c r="AD1775" i="1"/>
  <c r="AD1779" i="1"/>
  <c r="AD1782" i="1"/>
  <c r="AD1787" i="1"/>
  <c r="AD1788" i="1"/>
  <c r="AD1793" i="1"/>
  <c r="AD1798" i="1"/>
  <c r="AD1799" i="1"/>
  <c r="AD1801" i="1"/>
  <c r="AD1804" i="1"/>
  <c r="AD1806" i="1"/>
  <c r="AD1808" i="1"/>
  <c r="AD1814" i="1"/>
  <c r="AD1815" i="1"/>
  <c r="AD1818" i="1"/>
  <c r="AD1820" i="1"/>
  <c r="AD1821" i="1"/>
  <c r="AD1825" i="1"/>
  <c r="AD1827" i="1"/>
  <c r="AD1828" i="1"/>
  <c r="AD1829" i="1"/>
  <c r="AD1831" i="1"/>
  <c r="AD1832" i="1"/>
  <c r="AD1834" i="1"/>
  <c r="AD1836" i="1"/>
  <c r="AD1840" i="1"/>
  <c r="AD1842" i="1"/>
  <c r="AD1846" i="1"/>
  <c r="AD1847" i="1"/>
  <c r="AD1848" i="1"/>
  <c r="AD1852" i="1"/>
  <c r="AD1854" i="1"/>
  <c r="AD1860" i="1"/>
  <c r="AD1861" i="1"/>
  <c r="AD1866" i="1"/>
  <c r="AD1869" i="1"/>
  <c r="AD1870" i="1"/>
  <c r="AD1871" i="1"/>
  <c r="AD1876" i="1"/>
  <c r="AD1881" i="1"/>
  <c r="AD1886" i="1"/>
  <c r="AD1887" i="1"/>
  <c r="AD1890" i="1"/>
  <c r="AD1905" i="1"/>
  <c r="AD1915" i="1"/>
  <c r="AD1918" i="1"/>
  <c r="AD1924" i="1"/>
  <c r="AD1935" i="1"/>
  <c r="AD1936" i="1"/>
  <c r="AD1945" i="1"/>
  <c r="AD1957" i="1"/>
  <c r="AD1958" i="1"/>
  <c r="AD1960" i="1"/>
  <c r="AD1964" i="1"/>
  <c r="AD1965" i="1"/>
  <c r="AD1967" i="1"/>
  <c r="AD1971" i="1"/>
  <c r="AD1973" i="1"/>
  <c r="AD1977" i="1"/>
  <c r="AD1980" i="1"/>
  <c r="AD1982" i="1"/>
  <c r="AD1983" i="1"/>
  <c r="AD1986" i="1"/>
  <c r="AD1987" i="1"/>
  <c r="AD1988" i="1"/>
  <c r="AD1990" i="1"/>
  <c r="AD1991" i="1"/>
  <c r="AD1993" i="1"/>
  <c r="AD1994" i="1"/>
  <c r="AD1996" i="1"/>
  <c r="AD1997" i="1"/>
  <c r="AD2000" i="1"/>
  <c r="AD2008" i="1"/>
  <c r="AD2010" i="1"/>
  <c r="AD2013" i="1"/>
  <c r="AD2015" i="1"/>
  <c r="AD2016" i="1"/>
  <c r="AD2017" i="1"/>
  <c r="AD2020" i="1"/>
  <c r="AD2021" i="1"/>
  <c r="AD2023" i="1"/>
  <c r="AD2024" i="1"/>
  <c r="AD2025" i="1"/>
  <c r="AD2026" i="1"/>
  <c r="AD2027" i="1"/>
  <c r="AD2029" i="1"/>
  <c r="AD2032" i="1"/>
  <c r="AD2035" i="1"/>
  <c r="AD2041" i="1"/>
  <c r="AD2044" i="1"/>
  <c r="AD2046" i="1"/>
  <c r="AD2048" i="1"/>
  <c r="AD2049" i="1"/>
  <c r="AD2050" i="1"/>
  <c r="AD2055" i="1"/>
  <c r="AD2057" i="1"/>
  <c r="AD2059" i="1"/>
  <c r="AD2060" i="1"/>
  <c r="AD2063" i="1"/>
  <c r="AD2068" i="1"/>
  <c r="AD2070" i="1"/>
  <c r="AD2072" i="1"/>
  <c r="AD2076" i="1"/>
  <c r="AD2079" i="1"/>
  <c r="AD2080" i="1"/>
  <c r="AD2081" i="1"/>
  <c r="AD2084" i="1"/>
  <c r="AD2085" i="1"/>
  <c r="AD2089" i="1"/>
  <c r="AD2091" i="1"/>
  <c r="AD2092" i="1"/>
  <c r="AD2098" i="1"/>
  <c r="AD2100" i="1"/>
  <c r="AD2102" i="1"/>
  <c r="AD2103" i="1"/>
  <c r="AD2105" i="1"/>
  <c r="AD2109" i="1"/>
  <c r="AD2117" i="1"/>
  <c r="AD2118" i="1"/>
  <c r="AD2122" i="1"/>
  <c r="AD2124" i="1"/>
  <c r="AD2125" i="1"/>
  <c r="AD2128" i="1"/>
  <c r="AD2129" i="1"/>
  <c r="AD2137" i="1"/>
  <c r="AD2140" i="1"/>
  <c r="AD2143" i="1"/>
  <c r="AD2146" i="1"/>
  <c r="AD2147" i="1"/>
  <c r="AD2150" i="1"/>
  <c r="AD2151" i="1"/>
  <c r="AD2156" i="1"/>
  <c r="AD2157" i="1"/>
  <c r="AD2158" i="1"/>
  <c r="AD2159" i="1"/>
  <c r="AD2161" i="1"/>
  <c r="AD2162" i="1"/>
  <c r="AD2168" i="1"/>
  <c r="AD2173" i="1"/>
  <c r="AD2174" i="1"/>
  <c r="AD2175" i="1"/>
  <c r="AD2176" i="1"/>
  <c r="AD2177" i="1"/>
  <c r="AD2178" i="1"/>
  <c r="AD2180" i="1"/>
  <c r="AD2184" i="1"/>
  <c r="AD2185" i="1"/>
  <c r="AD2187" i="1"/>
  <c r="AD2188" i="1"/>
  <c r="AD2192" i="1"/>
  <c r="AD2193" i="1"/>
  <c r="AD2194" i="1"/>
  <c r="AD2198" i="1"/>
  <c r="AD2200" i="1"/>
  <c r="AD2201" i="1"/>
  <c r="AD2206" i="1"/>
  <c r="AD2208" i="1"/>
  <c r="AD2210" i="1"/>
  <c r="AD2211" i="1"/>
  <c r="AD2215" i="1"/>
  <c r="AD2221" i="1"/>
  <c r="AD2225" i="1"/>
  <c r="AD2226" i="1"/>
  <c r="AD2229" i="1"/>
  <c r="AD2232" i="1"/>
  <c r="AD2236" i="1"/>
  <c r="AD2239" i="1"/>
  <c r="AD2242" i="1"/>
  <c r="AD2244" i="1"/>
  <c r="AD2245" i="1"/>
  <c r="AD2248" i="1"/>
  <c r="AD2252" i="1"/>
  <c r="AD2259" i="1"/>
  <c r="AD2264" i="1"/>
  <c r="AD2265" i="1"/>
  <c r="AD2266" i="1"/>
  <c r="AD2268" i="1"/>
  <c r="AD2275" i="1"/>
  <c r="AD2277" i="1"/>
  <c r="AD2284" i="1"/>
  <c r="AD2293" i="1"/>
  <c r="AD2296" i="1"/>
  <c r="AD2299" i="1"/>
  <c r="AD2302" i="1"/>
  <c r="AD2304" i="1"/>
  <c r="AD2309" i="1"/>
  <c r="AD2310" i="1"/>
  <c r="AD2311" i="1"/>
  <c r="AD2314" i="1"/>
  <c r="AD2317" i="1"/>
  <c r="AD2319" i="1"/>
  <c r="AD2321" i="1"/>
  <c r="AD2322" i="1"/>
  <c r="AD2325" i="1"/>
  <c r="AD2328" i="1"/>
  <c r="AD2331" i="1"/>
  <c r="AD2332" i="1"/>
  <c r="AD2334" i="1"/>
  <c r="AD2335" i="1"/>
  <c r="AD2341" i="1"/>
  <c r="AD2343" i="1"/>
  <c r="AD2344" i="1"/>
  <c r="AD2346" i="1"/>
  <c r="AD2347" i="1"/>
  <c r="AD2351" i="1"/>
  <c r="AD2352" i="1"/>
  <c r="AD2353" i="1"/>
  <c r="AD2354" i="1"/>
  <c r="AD2356" i="1"/>
  <c r="AD2361" i="1"/>
  <c r="AD2366" i="1"/>
  <c r="AD2367" i="1"/>
  <c r="AD2376" i="1"/>
  <c r="AD2385" i="1"/>
  <c r="AD2386" i="1"/>
  <c r="AD2391" i="1"/>
  <c r="AD2397" i="1"/>
  <c r="AD2400" i="1"/>
  <c r="AH3" i="1"/>
  <c r="AH5" i="1"/>
  <c r="AH6" i="1"/>
  <c r="AH7" i="1"/>
  <c r="AH16" i="1"/>
  <c r="AH17" i="1"/>
  <c r="AH18" i="1"/>
  <c r="AH21" i="1"/>
  <c r="AH22" i="1"/>
  <c r="AH27" i="1"/>
  <c r="AH28" i="1"/>
  <c r="AH33" i="1"/>
  <c r="AH34" i="1"/>
  <c r="AH35" i="1"/>
  <c r="AH37" i="1"/>
  <c r="AH47" i="1"/>
  <c r="AH53" i="1"/>
  <c r="AH56" i="1"/>
  <c r="AH57" i="1"/>
  <c r="AH58" i="1"/>
  <c r="AH66" i="1"/>
  <c r="AH67" i="1"/>
  <c r="AH68" i="1"/>
  <c r="AH69" i="1"/>
  <c r="AH72" i="1"/>
  <c r="AH73" i="1"/>
  <c r="AH74" i="1"/>
  <c r="AH75" i="1"/>
  <c r="AH78" i="1"/>
  <c r="AH81" i="1"/>
  <c r="AH84" i="1"/>
  <c r="AH86" i="1"/>
  <c r="AH87" i="1"/>
  <c r="AH88" i="1"/>
  <c r="AH92" i="1"/>
  <c r="AH93" i="1"/>
  <c r="AH94" i="1"/>
  <c r="AH95" i="1"/>
  <c r="AH96" i="1"/>
  <c r="AH98" i="1"/>
  <c r="AH99" i="1"/>
  <c r="AH100" i="1"/>
  <c r="AH103" i="1"/>
  <c r="AH104" i="1"/>
  <c r="AH105" i="1"/>
  <c r="AH106" i="1"/>
  <c r="AH108" i="1"/>
  <c r="AH110" i="1"/>
  <c r="AH111" i="1"/>
  <c r="AH113" i="1"/>
  <c r="AH114" i="1"/>
  <c r="AH115" i="1"/>
  <c r="AH118" i="1"/>
  <c r="AH120" i="1"/>
  <c r="AH122" i="1"/>
  <c r="AH123" i="1"/>
  <c r="AH125" i="1"/>
  <c r="AH127" i="1"/>
  <c r="AH129" i="1"/>
  <c r="AH130" i="1"/>
  <c r="AH133" i="1"/>
  <c r="AH137" i="1"/>
  <c r="AH139" i="1"/>
  <c r="AH141" i="1"/>
  <c r="AH142" i="1"/>
  <c r="AH143" i="1"/>
  <c r="AH145" i="1"/>
  <c r="AH146" i="1"/>
  <c r="AH147" i="1"/>
  <c r="AH149" i="1"/>
  <c r="AH151" i="1"/>
  <c r="AH152" i="1"/>
  <c r="AH153" i="1"/>
  <c r="AH155" i="1"/>
  <c r="AH156" i="1"/>
  <c r="AH157" i="1"/>
  <c r="AH162" i="1"/>
  <c r="AH167" i="1"/>
  <c r="AH168" i="1"/>
  <c r="AH171" i="1"/>
  <c r="AH173" i="1"/>
  <c r="AH174" i="1"/>
  <c r="AH176" i="1"/>
  <c r="AH178" i="1"/>
  <c r="AH180" i="1"/>
  <c r="AH188" i="1"/>
  <c r="AH189" i="1"/>
  <c r="AH191" i="1"/>
  <c r="AH193" i="1"/>
  <c r="AH195" i="1"/>
  <c r="AH197" i="1"/>
  <c r="AH198" i="1"/>
  <c r="AH199" i="1"/>
  <c r="AH200" i="1"/>
  <c r="AH201" i="1"/>
  <c r="AH204" i="1"/>
  <c r="AH208" i="1"/>
  <c r="AH212" i="1"/>
  <c r="AH213" i="1"/>
  <c r="AH215" i="1"/>
  <c r="AH217" i="1"/>
  <c r="AH220" i="1"/>
  <c r="AH228" i="1"/>
  <c r="AH231" i="1"/>
  <c r="AH234" i="1"/>
  <c r="AH235" i="1"/>
  <c r="AH236" i="1"/>
  <c r="AH237" i="1"/>
  <c r="AH238" i="1"/>
  <c r="AH241" i="1"/>
  <c r="AH248" i="1"/>
  <c r="AH250" i="1"/>
  <c r="AH251" i="1"/>
  <c r="AH257" i="1"/>
  <c r="AH261" i="1"/>
  <c r="AH264" i="1"/>
  <c r="AH265" i="1"/>
  <c r="AH266" i="1"/>
  <c r="AH267" i="1"/>
  <c r="AH270" i="1"/>
  <c r="AH272" i="1"/>
  <c r="AH273" i="1"/>
  <c r="AH274" i="1"/>
  <c r="AH276" i="1"/>
  <c r="AH281" i="1"/>
  <c r="AH283" i="1"/>
  <c r="AH285" i="1"/>
  <c r="AH286" i="1"/>
  <c r="AH287" i="1"/>
  <c r="AH289" i="1"/>
  <c r="AH290" i="1"/>
  <c r="AH291" i="1"/>
  <c r="AH292" i="1"/>
  <c r="AH298" i="1"/>
  <c r="AH299" i="1"/>
  <c r="AH300" i="1"/>
  <c r="AH304" i="1"/>
  <c r="AH309" i="1"/>
  <c r="AH311" i="1"/>
  <c r="AH312" i="1"/>
  <c r="AH313" i="1"/>
  <c r="AH314" i="1"/>
  <c r="AH315" i="1"/>
  <c r="AH318" i="1"/>
  <c r="AH319" i="1"/>
  <c r="AH324" i="1"/>
  <c r="AH325" i="1"/>
  <c r="AH327" i="1"/>
  <c r="AH328" i="1"/>
  <c r="AH329" i="1"/>
  <c r="AH330" i="1"/>
  <c r="AH333" i="1"/>
  <c r="AH334" i="1"/>
  <c r="AH336" i="1"/>
  <c r="AH337" i="1"/>
  <c r="AH339" i="1"/>
  <c r="AH341" i="1"/>
  <c r="AH342" i="1"/>
  <c r="AH346" i="1"/>
  <c r="AH349" i="1"/>
  <c r="AH350" i="1"/>
  <c r="AH353" i="1"/>
  <c r="AH355" i="1"/>
  <c r="AH357" i="1"/>
  <c r="AH358" i="1"/>
  <c r="AH360" i="1"/>
  <c r="AH363" i="1"/>
  <c r="AH364" i="1"/>
  <c r="AH365" i="1"/>
  <c r="AH366" i="1"/>
  <c r="AH367" i="1"/>
  <c r="AH368" i="1"/>
  <c r="AH372" i="1"/>
  <c r="AH374" i="1"/>
  <c r="AH375" i="1"/>
  <c r="AH376" i="1"/>
  <c r="AH380" i="1"/>
  <c r="AH383" i="1"/>
  <c r="AH384" i="1"/>
  <c r="AH386" i="1"/>
  <c r="AH390" i="1"/>
  <c r="AH391" i="1"/>
  <c r="AH394" i="1"/>
  <c r="AH395" i="1"/>
  <c r="AH402" i="1"/>
  <c r="AH406" i="1"/>
  <c r="AH409" i="1"/>
  <c r="AH411" i="1"/>
  <c r="AH418" i="1"/>
  <c r="AH420" i="1"/>
  <c r="AH421" i="1"/>
  <c r="AH422" i="1"/>
  <c r="AH423" i="1"/>
  <c r="AH424" i="1"/>
  <c r="AH427" i="1"/>
  <c r="AH431" i="1"/>
  <c r="AH436" i="1"/>
  <c r="AH438" i="1"/>
  <c r="AH439" i="1"/>
  <c r="AH442" i="1"/>
  <c r="AH446" i="1"/>
  <c r="AH448" i="1"/>
  <c r="AH449" i="1"/>
  <c r="AH450" i="1"/>
  <c r="AH451" i="1"/>
  <c r="AH456" i="1"/>
  <c r="AH458" i="1"/>
  <c r="AH460" i="1"/>
  <c r="AH461" i="1"/>
  <c r="AH463" i="1"/>
  <c r="AH465" i="1"/>
  <c r="AH466" i="1"/>
  <c r="AH469" i="1"/>
  <c r="AH471" i="1"/>
  <c r="AH473" i="1"/>
  <c r="AH474" i="1"/>
  <c r="AH478" i="1"/>
  <c r="AH482" i="1"/>
  <c r="AH483" i="1"/>
  <c r="AH487" i="1"/>
  <c r="AH488" i="1"/>
  <c r="AH495" i="1"/>
  <c r="AH497" i="1"/>
  <c r="AH500" i="1"/>
  <c r="AH503" i="1"/>
  <c r="AH504" i="1"/>
  <c r="AH509" i="1"/>
  <c r="AH510" i="1"/>
  <c r="AH513" i="1"/>
  <c r="AH514" i="1"/>
  <c r="AH515" i="1"/>
  <c r="AH516" i="1"/>
  <c r="AH518" i="1"/>
  <c r="AH519" i="1"/>
  <c r="AH521" i="1"/>
  <c r="AH522" i="1"/>
  <c r="AH524" i="1"/>
  <c r="AH528" i="1"/>
  <c r="AH531" i="1"/>
  <c r="AH532" i="1"/>
  <c r="AH539" i="1"/>
  <c r="AH541" i="1"/>
  <c r="AH544" i="1"/>
  <c r="AH546" i="1"/>
  <c r="AH548" i="1"/>
  <c r="AH550" i="1"/>
  <c r="AH553" i="1"/>
  <c r="AH555" i="1"/>
  <c r="AH557" i="1"/>
  <c r="AH558" i="1"/>
  <c r="AH559" i="1"/>
  <c r="AH563" i="1"/>
  <c r="AH565" i="1"/>
  <c r="AH567" i="1"/>
  <c r="AH569" i="1"/>
  <c r="AH571" i="1"/>
  <c r="AH575" i="1"/>
  <c r="AH576" i="1"/>
  <c r="AH578" i="1"/>
  <c r="AH581" i="1"/>
  <c r="AH582" i="1"/>
  <c r="AH583" i="1"/>
  <c r="AH584" i="1"/>
  <c r="AH585" i="1"/>
  <c r="AH586" i="1"/>
  <c r="AH588" i="1"/>
  <c r="AH592" i="1"/>
  <c r="AH593" i="1"/>
  <c r="AH594" i="1"/>
  <c r="AH595" i="1"/>
  <c r="AH597" i="1"/>
  <c r="AH599" i="1"/>
  <c r="AH602" i="1"/>
  <c r="AH603" i="1"/>
  <c r="AH604" i="1"/>
  <c r="AH605" i="1"/>
  <c r="AH606" i="1"/>
  <c r="AH607" i="1"/>
  <c r="AH608" i="1"/>
  <c r="AH609" i="1"/>
  <c r="AH610" i="1"/>
  <c r="AH615" i="1"/>
  <c r="AH619" i="1"/>
  <c r="AH622" i="1"/>
  <c r="AH624" i="1"/>
  <c r="AH625" i="1"/>
  <c r="AH631" i="1"/>
  <c r="AH633" i="1"/>
  <c r="AH640" i="1"/>
  <c r="AH643" i="1"/>
  <c r="AH644" i="1"/>
  <c r="AH653" i="1"/>
  <c r="AH654" i="1"/>
  <c r="AH656" i="1"/>
  <c r="AH663" i="1"/>
  <c r="AH664" i="1"/>
  <c r="AH668" i="1"/>
  <c r="AH677" i="1"/>
  <c r="AH679" i="1"/>
  <c r="AH680" i="1"/>
  <c r="AH681" i="1"/>
  <c r="AH683" i="1"/>
  <c r="AH689" i="1"/>
  <c r="AH690" i="1"/>
  <c r="AH693" i="1"/>
  <c r="AH698" i="1"/>
  <c r="AH700" i="1"/>
  <c r="AH701" i="1"/>
  <c r="AH702" i="1"/>
  <c r="AH704" i="1"/>
  <c r="AH705" i="1"/>
  <c r="AH706" i="1"/>
  <c r="AH708" i="1"/>
  <c r="AH712" i="1"/>
  <c r="AH716" i="1"/>
  <c r="AH720" i="1"/>
  <c r="AH722" i="1"/>
  <c r="AH723" i="1"/>
  <c r="AH725" i="1"/>
  <c r="AH726" i="1"/>
  <c r="AH727" i="1"/>
  <c r="AH729" i="1"/>
  <c r="AH730" i="1"/>
  <c r="AH731" i="1"/>
  <c r="AH732" i="1"/>
  <c r="AH739" i="1"/>
  <c r="AH745" i="1"/>
  <c r="AH746" i="1"/>
  <c r="AH747" i="1"/>
  <c r="AH754" i="1"/>
  <c r="AH757" i="1"/>
  <c r="AH758" i="1"/>
  <c r="AH764" i="1"/>
  <c r="AH765" i="1"/>
  <c r="AH766" i="1"/>
  <c r="AH772" i="1"/>
  <c r="AH777" i="1"/>
  <c r="AH781" i="1"/>
  <c r="AH785" i="1"/>
  <c r="AH787" i="1"/>
  <c r="AH788" i="1"/>
  <c r="AH790" i="1"/>
  <c r="AH791" i="1"/>
  <c r="AH792" i="1"/>
  <c r="AH794" i="1"/>
  <c r="AH796" i="1"/>
  <c r="AH798" i="1"/>
  <c r="AH799" i="1"/>
  <c r="AH800" i="1"/>
  <c r="AH801" i="1"/>
  <c r="AH805" i="1"/>
  <c r="AH809" i="1"/>
  <c r="AH811" i="1"/>
  <c r="AH813" i="1"/>
  <c r="AH814" i="1"/>
  <c r="AH817" i="1"/>
  <c r="AH820" i="1"/>
  <c r="AH822" i="1"/>
  <c r="AH825" i="1"/>
  <c r="AH826" i="1"/>
  <c r="AH827" i="1"/>
  <c r="AH829" i="1"/>
  <c r="AH830" i="1"/>
  <c r="AH832" i="1"/>
  <c r="AH842" i="1"/>
  <c r="AH843" i="1"/>
  <c r="AH849" i="1"/>
  <c r="AH851" i="1"/>
  <c r="AH854" i="1"/>
  <c r="AH855" i="1"/>
  <c r="AH858" i="1"/>
  <c r="AH859" i="1"/>
  <c r="AH863" i="1"/>
  <c r="AH866" i="1"/>
  <c r="AH867" i="1"/>
  <c r="AH869" i="1"/>
  <c r="AH870" i="1"/>
  <c r="AH877" i="1"/>
  <c r="AH880" i="1"/>
  <c r="AH884" i="1"/>
  <c r="AH892" i="1"/>
  <c r="AH894" i="1"/>
  <c r="AH896" i="1"/>
  <c r="AH897" i="1"/>
  <c r="AH899" i="1"/>
  <c r="AH901" i="1"/>
  <c r="AH902" i="1"/>
  <c r="AH904" i="1"/>
  <c r="AH905" i="1"/>
  <c r="AH906" i="1"/>
  <c r="AH907" i="1"/>
  <c r="AH908" i="1"/>
  <c r="AH912" i="1"/>
  <c r="AH913" i="1"/>
  <c r="AH916" i="1"/>
  <c r="AH918" i="1"/>
  <c r="AH919" i="1"/>
  <c r="AH920" i="1"/>
  <c r="AH923" i="1"/>
  <c r="AH924" i="1"/>
  <c r="AH926" i="1"/>
  <c r="AH927" i="1"/>
  <c r="AH928" i="1"/>
  <c r="AH930" i="1"/>
  <c r="AH933" i="1"/>
  <c r="AH935" i="1"/>
  <c r="AH936" i="1"/>
  <c r="AH938" i="1"/>
  <c r="AH946" i="1"/>
  <c r="AH949" i="1"/>
  <c r="AH951" i="1"/>
  <c r="AH955" i="1"/>
  <c r="AH956" i="1"/>
  <c r="AH957" i="1"/>
  <c r="AH958" i="1"/>
  <c r="AH961" i="1"/>
  <c r="AH962" i="1"/>
  <c r="AH964" i="1"/>
  <c r="AH969" i="1"/>
  <c r="AH970" i="1"/>
  <c r="AH971" i="1"/>
  <c r="AH972" i="1"/>
  <c r="AH981" i="1"/>
  <c r="AH982" i="1"/>
  <c r="AH986" i="1"/>
  <c r="AH987" i="1"/>
  <c r="AH990" i="1"/>
  <c r="AH993" i="1"/>
  <c r="AH995" i="1"/>
  <c r="AH999" i="1"/>
  <c r="AH1004" i="1"/>
  <c r="AH1008" i="1"/>
  <c r="AH1010" i="1"/>
  <c r="AH1011" i="1"/>
  <c r="AH1012" i="1"/>
  <c r="AH1014" i="1"/>
  <c r="AH1015" i="1"/>
  <c r="AH1017" i="1"/>
  <c r="AH1019" i="1"/>
  <c r="AH1025" i="1"/>
  <c r="AH1028" i="1"/>
  <c r="AH1034" i="1"/>
  <c r="AH1035" i="1"/>
  <c r="AH1039" i="1"/>
  <c r="AH1040" i="1"/>
  <c r="AH1041" i="1"/>
  <c r="AH1042" i="1"/>
  <c r="AH1045" i="1"/>
  <c r="AH1052" i="1"/>
  <c r="AH1053" i="1"/>
  <c r="AH1055" i="1"/>
  <c r="AH1056" i="1"/>
  <c r="AH1058" i="1"/>
  <c r="AH1063" i="1"/>
  <c r="AH1069" i="1"/>
  <c r="AH1070" i="1"/>
  <c r="AH1071" i="1"/>
  <c r="AH1073" i="1"/>
  <c r="AH1075" i="1"/>
  <c r="AH1076" i="1"/>
  <c r="AH1081" i="1"/>
  <c r="AH1085" i="1"/>
  <c r="AH1089" i="1"/>
  <c r="AH1096" i="1"/>
  <c r="AH1099" i="1"/>
  <c r="AH1100" i="1"/>
  <c r="AH1102" i="1"/>
  <c r="AH1104" i="1"/>
  <c r="AH1108" i="1"/>
  <c r="AH1110" i="1"/>
  <c r="AH1111" i="1"/>
  <c r="AH1113" i="1"/>
  <c r="AH1114" i="1"/>
  <c r="AH1118" i="1"/>
  <c r="AH1120" i="1"/>
  <c r="AH1127" i="1"/>
  <c r="AH1129" i="1"/>
  <c r="AH1131" i="1"/>
  <c r="AH1134" i="1"/>
  <c r="AH1138" i="1"/>
  <c r="AH1140" i="1"/>
  <c r="AH1142" i="1"/>
  <c r="AH1145" i="1"/>
  <c r="AH1146" i="1"/>
  <c r="AH1147" i="1"/>
  <c r="AH1148" i="1"/>
  <c r="AH1150" i="1"/>
  <c r="AH1156" i="1"/>
  <c r="AH1157" i="1"/>
  <c r="AH1159" i="1"/>
  <c r="AH1165" i="1"/>
  <c r="AH1172" i="1"/>
  <c r="AH1173" i="1"/>
  <c r="AH1175" i="1"/>
  <c r="AH1179" i="1"/>
  <c r="AH1181" i="1"/>
  <c r="AH1190" i="1"/>
  <c r="AH1191" i="1"/>
  <c r="AH1196" i="1"/>
  <c r="AH1200" i="1"/>
  <c r="AH1201" i="1"/>
  <c r="AH1203" i="1"/>
  <c r="AH1207" i="1"/>
  <c r="AH1221" i="1"/>
  <c r="AH1229" i="1"/>
  <c r="AH1232" i="1"/>
  <c r="AH1233" i="1"/>
  <c r="AH1234" i="1"/>
  <c r="AH1236" i="1"/>
  <c r="AH1237" i="1"/>
  <c r="AH1238" i="1"/>
  <c r="AH1239" i="1"/>
  <c r="AH1240" i="1"/>
  <c r="AH1248" i="1"/>
  <c r="AH1249" i="1"/>
  <c r="AH1251" i="1"/>
  <c r="AH1257" i="1"/>
  <c r="AH1264" i="1"/>
  <c r="AH1266" i="1"/>
  <c r="AH1269" i="1"/>
  <c r="AH1273" i="1"/>
  <c r="AH1274" i="1"/>
  <c r="AH1279" i="1"/>
  <c r="AH1281" i="1"/>
  <c r="AH1284" i="1"/>
  <c r="AH1287" i="1"/>
  <c r="AH1290" i="1"/>
  <c r="AH1291" i="1"/>
  <c r="AH1293" i="1"/>
  <c r="AH1298" i="1"/>
  <c r="AH1299" i="1"/>
  <c r="AH1301" i="1"/>
  <c r="AH1302" i="1"/>
  <c r="AH1303" i="1"/>
  <c r="AH1313" i="1"/>
  <c r="AH1316" i="1"/>
  <c r="AH1319" i="1"/>
  <c r="AH1325" i="1"/>
  <c r="AH1329" i="1"/>
  <c r="AH1330" i="1"/>
  <c r="AH1333" i="1"/>
  <c r="AH1335" i="1"/>
  <c r="AH1338" i="1"/>
  <c r="AH1341" i="1"/>
  <c r="AH1342" i="1"/>
  <c r="AH1343" i="1"/>
  <c r="AH1345" i="1"/>
  <c r="AH1346" i="1"/>
  <c r="AH1351" i="1"/>
  <c r="AH1356" i="1"/>
  <c r="AH1358" i="1"/>
  <c r="AH1367" i="1"/>
  <c r="AH1368" i="1"/>
  <c r="AH1371" i="1"/>
  <c r="AH1372" i="1"/>
  <c r="AH1373" i="1"/>
  <c r="AH1377" i="1"/>
  <c r="AH1378" i="1"/>
  <c r="AH1380" i="1"/>
  <c r="AH1385" i="1"/>
  <c r="AH1387" i="1"/>
  <c r="AH1389" i="1"/>
  <c r="AH1390" i="1"/>
  <c r="AH1392" i="1"/>
  <c r="AH1397" i="1"/>
  <c r="AH1400" i="1"/>
  <c r="AH1404" i="1"/>
  <c r="AH1411" i="1"/>
  <c r="AH1412" i="1"/>
  <c r="AH1414" i="1"/>
  <c r="AH1420" i="1"/>
  <c r="AH1423" i="1"/>
  <c r="AH1425" i="1"/>
  <c r="AH1427" i="1"/>
  <c r="AH1429" i="1"/>
  <c r="AH1430" i="1"/>
  <c r="AH1434" i="1"/>
  <c r="AH1436" i="1"/>
  <c r="AH1441" i="1"/>
  <c r="AH1442" i="1"/>
  <c r="AH1443" i="1"/>
  <c r="AH1449" i="1"/>
  <c r="AH1450" i="1"/>
  <c r="AH1460" i="1"/>
  <c r="AH1468" i="1"/>
  <c r="AH1470" i="1"/>
  <c r="AH1471" i="1"/>
  <c r="AH1474" i="1"/>
  <c r="AH1475" i="1"/>
  <c r="AH1476" i="1"/>
  <c r="AH1477" i="1"/>
  <c r="AH1482" i="1"/>
  <c r="AH1493" i="1"/>
  <c r="AH1495" i="1"/>
  <c r="AH1496" i="1"/>
  <c r="AH1499" i="1"/>
  <c r="AH1502" i="1"/>
  <c r="AH1505" i="1"/>
  <c r="AH1507" i="1"/>
  <c r="AH1520" i="1"/>
  <c r="AH1522" i="1"/>
  <c r="AH1523" i="1"/>
  <c r="AH1524" i="1"/>
  <c r="AH1531" i="1"/>
  <c r="AH1532" i="1"/>
  <c r="AH1533" i="1"/>
  <c r="AH1535" i="1"/>
  <c r="AH1536" i="1"/>
  <c r="AH1537" i="1"/>
  <c r="AH1544" i="1"/>
  <c r="AH1546" i="1"/>
  <c r="AH1553" i="1"/>
  <c r="AH1557" i="1"/>
  <c r="AH1561" i="1"/>
  <c r="AH1564" i="1"/>
  <c r="AH1565" i="1"/>
  <c r="AH1566" i="1"/>
  <c r="AH1569" i="1"/>
  <c r="AH1573" i="1"/>
  <c r="AH1576" i="1"/>
  <c r="AH1577" i="1"/>
  <c r="AH1579" i="1"/>
  <c r="AH1581" i="1"/>
  <c r="AH1585" i="1"/>
  <c r="AH1587" i="1"/>
  <c r="AH1590" i="1"/>
  <c r="AH1591" i="1"/>
  <c r="AH1595" i="1"/>
  <c r="AH1596" i="1"/>
  <c r="AH1598" i="1"/>
  <c r="AH1599" i="1"/>
  <c r="AH1601" i="1"/>
  <c r="AH1605" i="1"/>
  <c r="AH1608" i="1"/>
  <c r="AH1612" i="1"/>
  <c r="AH1615" i="1"/>
  <c r="AH1617" i="1"/>
  <c r="AH1619" i="1"/>
  <c r="AH1621" i="1"/>
  <c r="AH1627" i="1"/>
  <c r="AH1633" i="1"/>
  <c r="AH1635" i="1"/>
  <c r="AH1639" i="1"/>
  <c r="AH1640" i="1"/>
  <c r="AH1641" i="1"/>
  <c r="AH1642" i="1"/>
  <c r="AH1645" i="1"/>
  <c r="AH1647" i="1"/>
  <c r="AH1651" i="1"/>
  <c r="AH1653" i="1"/>
  <c r="AH1654" i="1"/>
  <c r="AH1657" i="1"/>
  <c r="AH1661" i="1"/>
  <c r="AH1662" i="1"/>
  <c r="AH1663" i="1"/>
  <c r="AH1667" i="1"/>
  <c r="AH1670" i="1"/>
  <c r="AH1674" i="1"/>
  <c r="AH1675" i="1"/>
  <c r="AH1679" i="1"/>
  <c r="AH1680" i="1"/>
  <c r="AH1681" i="1"/>
  <c r="AH1685" i="1"/>
  <c r="AH1686" i="1"/>
  <c r="AH1690" i="1"/>
  <c r="AH1691" i="1"/>
  <c r="AH1695" i="1"/>
  <c r="AH1696" i="1"/>
  <c r="AH1697" i="1"/>
  <c r="AH1698" i="1"/>
  <c r="AH1699" i="1"/>
  <c r="AH1705" i="1"/>
  <c r="AH1711" i="1"/>
  <c r="AH1713" i="1"/>
  <c r="AH1714" i="1"/>
  <c r="AH1717" i="1"/>
  <c r="AH1718" i="1"/>
  <c r="AH1727" i="1"/>
  <c r="AH1729" i="1"/>
  <c r="AH1732" i="1"/>
  <c r="AH1738" i="1"/>
  <c r="AH1739" i="1"/>
  <c r="AH1740" i="1"/>
  <c r="AH1742" i="1"/>
  <c r="AH1746" i="1"/>
  <c r="AH1747" i="1"/>
  <c r="AH1749" i="1"/>
  <c r="AH1750" i="1"/>
  <c r="AH1751" i="1"/>
  <c r="AH1754" i="1"/>
  <c r="AH1762" i="1"/>
  <c r="AH1766" i="1"/>
  <c r="AH1768" i="1"/>
  <c r="AH1775" i="1"/>
  <c r="AH1779" i="1"/>
  <c r="AH1782" i="1"/>
  <c r="AH1787" i="1"/>
  <c r="AH1788" i="1"/>
  <c r="AH1793" i="1"/>
  <c r="AH1798" i="1"/>
  <c r="AH1799" i="1"/>
  <c r="AH1801" i="1"/>
  <c r="AH1804" i="1"/>
  <c r="AH1806" i="1"/>
  <c r="AH1808" i="1"/>
  <c r="AH1814" i="1"/>
  <c r="AH1815" i="1"/>
  <c r="AH1818" i="1"/>
  <c r="AH1820" i="1"/>
  <c r="AH1821" i="1"/>
  <c r="AH1825" i="1"/>
  <c r="AH1827" i="1"/>
  <c r="AH1828" i="1"/>
  <c r="AH1829" i="1"/>
  <c r="AH1831" i="1"/>
  <c r="AH1832" i="1"/>
  <c r="AH1834" i="1"/>
  <c r="AH1836" i="1"/>
  <c r="AH1840" i="1"/>
  <c r="AH1842" i="1"/>
  <c r="AH1846" i="1"/>
  <c r="AH1847" i="1"/>
  <c r="AH1848" i="1"/>
  <c r="AH1852" i="1"/>
  <c r="AH1854" i="1"/>
  <c r="AH1860" i="1"/>
  <c r="AH1861" i="1"/>
  <c r="AH1866" i="1"/>
  <c r="AH1869" i="1"/>
  <c r="AH1870" i="1"/>
  <c r="AH1871" i="1"/>
  <c r="AH1876" i="1"/>
  <c r="AH1881" i="1"/>
  <c r="AH1886" i="1"/>
  <c r="AH1887" i="1"/>
  <c r="AH1890" i="1"/>
  <c r="AH1905" i="1"/>
  <c r="AH1915" i="1"/>
  <c r="AH1918" i="1"/>
  <c r="AH1924" i="1"/>
  <c r="AH1935" i="1"/>
  <c r="AH1936" i="1"/>
  <c r="AH1945" i="1"/>
  <c r="AH1957" i="1"/>
  <c r="AH1958" i="1"/>
  <c r="AH1960" i="1"/>
  <c r="AH1964" i="1"/>
  <c r="AH1965" i="1"/>
  <c r="AH1967" i="1"/>
  <c r="AH1971" i="1"/>
  <c r="AH1973" i="1"/>
  <c r="AH1977" i="1"/>
  <c r="AH1980" i="1"/>
  <c r="AH1982" i="1"/>
  <c r="AH1983" i="1"/>
  <c r="AH1986" i="1"/>
  <c r="AH1987" i="1"/>
  <c r="AH1988" i="1"/>
  <c r="AH1990" i="1"/>
  <c r="AH1991" i="1"/>
  <c r="AH1993" i="1"/>
  <c r="AH1994" i="1"/>
  <c r="AH1996" i="1"/>
  <c r="AH1997" i="1"/>
  <c r="AH2000" i="1"/>
  <c r="AH2008" i="1"/>
  <c r="AH2010" i="1"/>
  <c r="AH2013" i="1"/>
  <c r="AH2015" i="1"/>
  <c r="AH2016" i="1"/>
  <c r="AH2017" i="1"/>
  <c r="AH2020" i="1"/>
  <c r="AH2021" i="1"/>
  <c r="AH2023" i="1"/>
  <c r="AH2024" i="1"/>
  <c r="AH2025" i="1"/>
  <c r="AH2026" i="1"/>
  <c r="AH2027" i="1"/>
  <c r="AH2029" i="1"/>
  <c r="AH2032" i="1"/>
  <c r="AH2035" i="1"/>
  <c r="AH2041" i="1"/>
  <c r="AH2044" i="1"/>
  <c r="AH2046" i="1"/>
  <c r="AH2048" i="1"/>
  <c r="AH2049" i="1"/>
  <c r="AH2050" i="1"/>
  <c r="AH2055" i="1"/>
  <c r="AH2057" i="1"/>
  <c r="AH2059" i="1"/>
  <c r="AH2060" i="1"/>
  <c r="AH2063" i="1"/>
  <c r="AH2068" i="1"/>
  <c r="AH2070" i="1"/>
  <c r="AH2072" i="1"/>
  <c r="AH2076" i="1"/>
  <c r="AH2079" i="1"/>
  <c r="AH2080" i="1"/>
  <c r="AH2081" i="1"/>
  <c r="AH2084" i="1"/>
  <c r="AH2085" i="1"/>
  <c r="AH2089" i="1"/>
  <c r="AH2091" i="1"/>
  <c r="AH2092" i="1"/>
  <c r="AH2098" i="1"/>
  <c r="AH2100" i="1"/>
  <c r="AH2102" i="1"/>
  <c r="AH2103" i="1"/>
  <c r="AH2105" i="1"/>
  <c r="AH2109" i="1"/>
  <c r="AH2117" i="1"/>
  <c r="AH2118" i="1"/>
  <c r="AH2122" i="1"/>
  <c r="AH2124" i="1"/>
  <c r="AH2125" i="1"/>
  <c r="AH2128" i="1"/>
  <c r="AH2129" i="1"/>
  <c r="AH2137" i="1"/>
  <c r="AH2140" i="1"/>
  <c r="AH2143" i="1"/>
  <c r="AH2146" i="1"/>
  <c r="AH2147" i="1"/>
  <c r="AH2150" i="1"/>
  <c r="AH2151" i="1"/>
  <c r="AH2156" i="1"/>
  <c r="AH2157" i="1"/>
  <c r="AH2158" i="1"/>
  <c r="AH2159" i="1"/>
  <c r="AH2161" i="1"/>
  <c r="AH2162" i="1"/>
  <c r="AH2168" i="1"/>
  <c r="AH2173" i="1"/>
  <c r="AH2174" i="1"/>
  <c r="AH2175" i="1"/>
  <c r="AH2176" i="1"/>
  <c r="AH2177" i="1"/>
  <c r="AH2178" i="1"/>
  <c r="AH2180" i="1"/>
  <c r="AH2184" i="1"/>
  <c r="AH2185" i="1"/>
  <c r="AH2187" i="1"/>
  <c r="AH2188" i="1"/>
  <c r="AH2192" i="1"/>
  <c r="AH2193" i="1"/>
  <c r="AH2194" i="1"/>
  <c r="AH2198" i="1"/>
  <c r="AH2200" i="1"/>
  <c r="AH2201" i="1"/>
  <c r="AH2206" i="1"/>
  <c r="AH2208" i="1"/>
  <c r="AH2210" i="1"/>
  <c r="AH2211" i="1"/>
  <c r="AH2215" i="1"/>
  <c r="AH2221" i="1"/>
  <c r="AH2225" i="1"/>
  <c r="AH2226" i="1"/>
  <c r="AH2229" i="1"/>
  <c r="AH2232" i="1"/>
  <c r="AH2236" i="1"/>
  <c r="AH2239" i="1"/>
  <c r="AH2242" i="1"/>
  <c r="AH2244" i="1"/>
  <c r="AH2245" i="1"/>
  <c r="AH2248" i="1"/>
  <c r="AH2252" i="1"/>
  <c r="AH2259" i="1"/>
  <c r="AH2264" i="1"/>
  <c r="AH2265" i="1"/>
  <c r="AH2266" i="1"/>
  <c r="AH2268" i="1"/>
  <c r="AH2275" i="1"/>
  <c r="AH2277" i="1"/>
  <c r="AH2284" i="1"/>
  <c r="AH2293" i="1"/>
  <c r="AH2296" i="1"/>
  <c r="AH2299" i="1"/>
  <c r="AH2302" i="1"/>
  <c r="AH2304" i="1"/>
  <c r="AH2309" i="1"/>
  <c r="AH2310" i="1"/>
  <c r="AH2311" i="1"/>
  <c r="AH2314" i="1"/>
  <c r="AH2317" i="1"/>
  <c r="AH2319" i="1"/>
  <c r="AH2321" i="1"/>
  <c r="AH2322" i="1"/>
  <c r="AH2325" i="1"/>
  <c r="AH2328" i="1"/>
  <c r="AH2331" i="1"/>
  <c r="AH2332" i="1"/>
  <c r="AH2334" i="1"/>
  <c r="AH2335" i="1"/>
  <c r="AH2341" i="1"/>
  <c r="AH2343" i="1"/>
  <c r="AH2344" i="1"/>
  <c r="AH2346" i="1"/>
  <c r="AH2347" i="1"/>
  <c r="AH2351" i="1"/>
  <c r="AH2352" i="1"/>
  <c r="AH2353" i="1"/>
  <c r="AH2354" i="1"/>
  <c r="AH2356" i="1"/>
  <c r="AH2361" i="1"/>
  <c r="AH2366" i="1"/>
  <c r="AH2367" i="1"/>
  <c r="AH2376" i="1"/>
  <c r="AH2385" i="1"/>
  <c r="AH2386" i="1"/>
  <c r="AH2391" i="1"/>
  <c r="AH2397" i="1"/>
  <c r="AH2400" i="1"/>
  <c r="AG3" i="1"/>
  <c r="AG5" i="1"/>
  <c r="AG6" i="1"/>
  <c r="AG7" i="1"/>
  <c r="AG16" i="1"/>
  <c r="AG17" i="1"/>
  <c r="AG18" i="1"/>
  <c r="AG21" i="1"/>
  <c r="AG22" i="1"/>
  <c r="AG27" i="1"/>
  <c r="AG28" i="1"/>
  <c r="AG33" i="1"/>
  <c r="AG34" i="1"/>
  <c r="AG35" i="1"/>
  <c r="AG37" i="1"/>
  <c r="AG47" i="1"/>
  <c r="AG53" i="1"/>
  <c r="AG56" i="1"/>
  <c r="AG57" i="1"/>
  <c r="AG58" i="1"/>
  <c r="AG66" i="1"/>
  <c r="AG67" i="1"/>
  <c r="AG68" i="1"/>
  <c r="AG69" i="1"/>
  <c r="AG72" i="1"/>
  <c r="AG73" i="1"/>
  <c r="AG74" i="1"/>
  <c r="AG75" i="1"/>
  <c r="AG78" i="1"/>
  <c r="AG81" i="1"/>
  <c r="AG84" i="1"/>
  <c r="AG86" i="1"/>
  <c r="AG87" i="1"/>
  <c r="AG88" i="1"/>
  <c r="AG92" i="1"/>
  <c r="AG93" i="1"/>
  <c r="AG94" i="1"/>
  <c r="AG95" i="1"/>
  <c r="AG96" i="1"/>
  <c r="AG98" i="1"/>
  <c r="AG99" i="1"/>
  <c r="AG100" i="1"/>
  <c r="AG103" i="1"/>
  <c r="AG104" i="1"/>
  <c r="AG105" i="1"/>
  <c r="AG106" i="1"/>
  <c r="AG108" i="1"/>
  <c r="AG110" i="1"/>
  <c r="AG111" i="1"/>
  <c r="AG113" i="1"/>
  <c r="AG114" i="1"/>
  <c r="AG115" i="1"/>
  <c r="AG118" i="1"/>
  <c r="AG120" i="1"/>
  <c r="AG122" i="1"/>
  <c r="AG123" i="1"/>
  <c r="AG125" i="1"/>
  <c r="AG127" i="1"/>
  <c r="AG129" i="1"/>
  <c r="AG130" i="1"/>
  <c r="AG133" i="1"/>
  <c r="AG137" i="1"/>
  <c r="AG139" i="1"/>
  <c r="AG141" i="1"/>
  <c r="AG142" i="1"/>
  <c r="AG143" i="1"/>
  <c r="AG145" i="1"/>
  <c r="AG146" i="1"/>
  <c r="AG147" i="1"/>
  <c r="AG149" i="1"/>
  <c r="AG151" i="1"/>
  <c r="AG152" i="1"/>
  <c r="AG153" i="1"/>
  <c r="AG155" i="1"/>
  <c r="AG156" i="1"/>
  <c r="AG157" i="1"/>
  <c r="AG162" i="1"/>
  <c r="AG167" i="1"/>
  <c r="AG168" i="1"/>
  <c r="AG171" i="1"/>
  <c r="AG173" i="1"/>
  <c r="AG174" i="1"/>
  <c r="AG176" i="1"/>
  <c r="AG178" i="1"/>
  <c r="AG180" i="1"/>
  <c r="AG188" i="1"/>
  <c r="AG189" i="1"/>
  <c r="AG191" i="1"/>
  <c r="AG193" i="1"/>
  <c r="AG195" i="1"/>
  <c r="AG197" i="1"/>
  <c r="AG198" i="1"/>
  <c r="AG199" i="1"/>
  <c r="AG200" i="1"/>
  <c r="AG201" i="1"/>
  <c r="AG204" i="1"/>
  <c r="AG208" i="1"/>
  <c r="AG212" i="1"/>
  <c r="AG213" i="1"/>
  <c r="AG215" i="1"/>
  <c r="AG217" i="1"/>
  <c r="AG220" i="1"/>
  <c r="AG228" i="1"/>
  <c r="AG231" i="1"/>
  <c r="AG234" i="1"/>
  <c r="AG235" i="1"/>
  <c r="AG236" i="1"/>
  <c r="AG237" i="1"/>
  <c r="AG238" i="1"/>
  <c r="AG241" i="1"/>
  <c r="AG248" i="1"/>
  <c r="AG250" i="1"/>
  <c r="AG251" i="1"/>
  <c r="AG257" i="1"/>
  <c r="AG261" i="1"/>
  <c r="AG264" i="1"/>
  <c r="AG265" i="1"/>
  <c r="AG266" i="1"/>
  <c r="AG267" i="1"/>
  <c r="AG270" i="1"/>
  <c r="AG272" i="1"/>
  <c r="AG273" i="1"/>
  <c r="AG274" i="1"/>
  <c r="AG276" i="1"/>
  <c r="AG281" i="1"/>
  <c r="AG283" i="1"/>
  <c r="AG285" i="1"/>
  <c r="AG286" i="1"/>
  <c r="AG287" i="1"/>
  <c r="AG289" i="1"/>
  <c r="AG290" i="1"/>
  <c r="AG291" i="1"/>
  <c r="AG292" i="1"/>
  <c r="AG298" i="1"/>
  <c r="AG299" i="1"/>
  <c r="AG300" i="1"/>
  <c r="AG304" i="1"/>
  <c r="AG309" i="1"/>
  <c r="AG311" i="1"/>
  <c r="AG312" i="1"/>
  <c r="AG313" i="1"/>
  <c r="AG314" i="1"/>
  <c r="AG315" i="1"/>
  <c r="AG318" i="1"/>
  <c r="AG319" i="1"/>
  <c r="AG324" i="1"/>
  <c r="AG325" i="1"/>
  <c r="AG327" i="1"/>
  <c r="AG328" i="1"/>
  <c r="AG329" i="1"/>
  <c r="AG330" i="1"/>
  <c r="AG333" i="1"/>
  <c r="AG334" i="1"/>
  <c r="AG336" i="1"/>
  <c r="AG337" i="1"/>
  <c r="AG339" i="1"/>
  <c r="AG341" i="1"/>
  <c r="AG342" i="1"/>
  <c r="AG346" i="1"/>
  <c r="AG349" i="1"/>
  <c r="AG350" i="1"/>
  <c r="AG353" i="1"/>
  <c r="AG355" i="1"/>
  <c r="AG357" i="1"/>
  <c r="AG358" i="1"/>
  <c r="AG360" i="1"/>
  <c r="AG363" i="1"/>
  <c r="AG364" i="1"/>
  <c r="AG365" i="1"/>
  <c r="AG366" i="1"/>
  <c r="AG367" i="1"/>
  <c r="AG368" i="1"/>
  <c r="AG372" i="1"/>
  <c r="AG374" i="1"/>
  <c r="AG375" i="1"/>
  <c r="AG376" i="1"/>
  <c r="AG380" i="1"/>
  <c r="AG383" i="1"/>
  <c r="AG384" i="1"/>
  <c r="AG386" i="1"/>
  <c r="AG390" i="1"/>
  <c r="AG391" i="1"/>
  <c r="AG394" i="1"/>
  <c r="AG395" i="1"/>
  <c r="AG402" i="1"/>
  <c r="AG406" i="1"/>
  <c r="AG409" i="1"/>
  <c r="AG411" i="1"/>
  <c r="AG418" i="1"/>
  <c r="AG420" i="1"/>
  <c r="AG421" i="1"/>
  <c r="AG422" i="1"/>
  <c r="AG423" i="1"/>
  <c r="AG424" i="1"/>
  <c r="AG427" i="1"/>
  <c r="AG431" i="1"/>
  <c r="AG436" i="1"/>
  <c r="AG438" i="1"/>
  <c r="AG439" i="1"/>
  <c r="AG442" i="1"/>
  <c r="AG446" i="1"/>
  <c r="AG448" i="1"/>
  <c r="AG449" i="1"/>
  <c r="AG450" i="1"/>
  <c r="AG451" i="1"/>
  <c r="AG456" i="1"/>
  <c r="AG458" i="1"/>
  <c r="AG460" i="1"/>
  <c r="AG461" i="1"/>
  <c r="AG463" i="1"/>
  <c r="AG465" i="1"/>
  <c r="AG466" i="1"/>
  <c r="AG469" i="1"/>
  <c r="AG471" i="1"/>
  <c r="AG473" i="1"/>
  <c r="AG474" i="1"/>
  <c r="AG478" i="1"/>
  <c r="AG482" i="1"/>
  <c r="AG483" i="1"/>
  <c r="AG487" i="1"/>
  <c r="AG488" i="1"/>
  <c r="AG495" i="1"/>
  <c r="AG497" i="1"/>
  <c r="AG500" i="1"/>
  <c r="AG503" i="1"/>
  <c r="AG504" i="1"/>
  <c r="AG509" i="1"/>
  <c r="AG510" i="1"/>
  <c r="AG513" i="1"/>
  <c r="AG514" i="1"/>
  <c r="AG515" i="1"/>
  <c r="AG516" i="1"/>
  <c r="AG518" i="1"/>
  <c r="AG519" i="1"/>
  <c r="AG521" i="1"/>
  <c r="AG522" i="1"/>
  <c r="AG524" i="1"/>
  <c r="AG528" i="1"/>
  <c r="AG531" i="1"/>
  <c r="AG532" i="1"/>
  <c r="AG539" i="1"/>
  <c r="AG541" i="1"/>
  <c r="AG544" i="1"/>
  <c r="AG546" i="1"/>
  <c r="AG548" i="1"/>
  <c r="AG550" i="1"/>
  <c r="AG553" i="1"/>
  <c r="AG555" i="1"/>
  <c r="AG557" i="1"/>
  <c r="AG558" i="1"/>
  <c r="AG559" i="1"/>
  <c r="AG563" i="1"/>
  <c r="AG565" i="1"/>
  <c r="AG567" i="1"/>
  <c r="AG569" i="1"/>
  <c r="AG571" i="1"/>
  <c r="AG575" i="1"/>
  <c r="AG576" i="1"/>
  <c r="AG578" i="1"/>
  <c r="AG581" i="1"/>
  <c r="AG582" i="1"/>
  <c r="AG583" i="1"/>
  <c r="AG584" i="1"/>
  <c r="AG585" i="1"/>
  <c r="AG586" i="1"/>
  <c r="AG588" i="1"/>
  <c r="AG592" i="1"/>
  <c r="AG593" i="1"/>
  <c r="AG594" i="1"/>
  <c r="AG595" i="1"/>
  <c r="AG597" i="1"/>
  <c r="AG599" i="1"/>
  <c r="AG602" i="1"/>
  <c r="AG603" i="1"/>
  <c r="AG604" i="1"/>
  <c r="AG605" i="1"/>
  <c r="AG606" i="1"/>
  <c r="AG607" i="1"/>
  <c r="AG608" i="1"/>
  <c r="AG609" i="1"/>
  <c r="AG610" i="1"/>
  <c r="AG615" i="1"/>
  <c r="AG619" i="1"/>
  <c r="AG622" i="1"/>
  <c r="AG624" i="1"/>
  <c r="AG625" i="1"/>
  <c r="AG631" i="1"/>
  <c r="AG633" i="1"/>
  <c r="AG640" i="1"/>
  <c r="AG643" i="1"/>
  <c r="AG644" i="1"/>
  <c r="AG653" i="1"/>
  <c r="AG654" i="1"/>
  <c r="AG656" i="1"/>
  <c r="AG663" i="1"/>
  <c r="AG664" i="1"/>
  <c r="AG668" i="1"/>
  <c r="AG677" i="1"/>
  <c r="AG679" i="1"/>
  <c r="AG680" i="1"/>
  <c r="AG681" i="1"/>
  <c r="AG683" i="1"/>
  <c r="AG689" i="1"/>
  <c r="AG690" i="1"/>
  <c r="AG693" i="1"/>
  <c r="AG698" i="1"/>
  <c r="AG700" i="1"/>
  <c r="AG701" i="1"/>
  <c r="AG702" i="1"/>
  <c r="AG704" i="1"/>
  <c r="AG705" i="1"/>
  <c r="AG706" i="1"/>
  <c r="AG708" i="1"/>
  <c r="AG712" i="1"/>
  <c r="AG716" i="1"/>
  <c r="AG720" i="1"/>
  <c r="AG722" i="1"/>
  <c r="AG723" i="1"/>
  <c r="AG725" i="1"/>
  <c r="AG726" i="1"/>
  <c r="AG727" i="1"/>
  <c r="AG729" i="1"/>
  <c r="AG730" i="1"/>
  <c r="AG731" i="1"/>
  <c r="AG732" i="1"/>
  <c r="AG739" i="1"/>
  <c r="AG745" i="1"/>
  <c r="AG746" i="1"/>
  <c r="AG747" i="1"/>
  <c r="AG754" i="1"/>
  <c r="AG757" i="1"/>
  <c r="AG758" i="1"/>
  <c r="AG764" i="1"/>
  <c r="AG765" i="1"/>
  <c r="AG766" i="1"/>
  <c r="AG772" i="1"/>
  <c r="AG777" i="1"/>
  <c r="AG781" i="1"/>
  <c r="AG785" i="1"/>
  <c r="AG787" i="1"/>
  <c r="AG788" i="1"/>
  <c r="AG790" i="1"/>
  <c r="AG791" i="1"/>
  <c r="AG792" i="1"/>
  <c r="AG794" i="1"/>
  <c r="AG796" i="1"/>
  <c r="AG798" i="1"/>
  <c r="AG799" i="1"/>
  <c r="AG800" i="1"/>
  <c r="AG801" i="1"/>
  <c r="AG805" i="1"/>
  <c r="AG809" i="1"/>
  <c r="AG811" i="1"/>
  <c r="AG813" i="1"/>
  <c r="AG814" i="1"/>
  <c r="AG817" i="1"/>
  <c r="AG820" i="1"/>
  <c r="AG822" i="1"/>
  <c r="AG825" i="1"/>
  <c r="AG826" i="1"/>
  <c r="AG827" i="1"/>
  <c r="AG829" i="1"/>
  <c r="AG830" i="1"/>
  <c r="AG832" i="1"/>
  <c r="AG842" i="1"/>
  <c r="AG843" i="1"/>
  <c r="AG849" i="1"/>
  <c r="AG851" i="1"/>
  <c r="AG854" i="1"/>
  <c r="AG855" i="1"/>
  <c r="AG858" i="1"/>
  <c r="AG859" i="1"/>
  <c r="AG863" i="1"/>
  <c r="AG866" i="1"/>
  <c r="AG867" i="1"/>
  <c r="AG869" i="1"/>
  <c r="AG870" i="1"/>
  <c r="AG877" i="1"/>
  <c r="AG880" i="1"/>
  <c r="AG884" i="1"/>
  <c r="AG892" i="1"/>
  <c r="AG894" i="1"/>
  <c r="AG896" i="1"/>
  <c r="AG897" i="1"/>
  <c r="AG899" i="1"/>
  <c r="AG901" i="1"/>
  <c r="AG902" i="1"/>
  <c r="AG904" i="1"/>
  <c r="AG905" i="1"/>
  <c r="AG906" i="1"/>
  <c r="AG907" i="1"/>
  <c r="AG908" i="1"/>
  <c r="AG912" i="1"/>
  <c r="AG913" i="1"/>
  <c r="AG916" i="1"/>
  <c r="AG918" i="1"/>
  <c r="AG919" i="1"/>
  <c r="AG920" i="1"/>
  <c r="AG923" i="1"/>
  <c r="AG924" i="1"/>
  <c r="AG926" i="1"/>
  <c r="AG927" i="1"/>
  <c r="AG928" i="1"/>
  <c r="AG930" i="1"/>
  <c r="AG933" i="1"/>
  <c r="AG935" i="1"/>
  <c r="AG936" i="1"/>
  <c r="AG938" i="1"/>
  <c r="AG946" i="1"/>
  <c r="AG949" i="1"/>
  <c r="AG951" i="1"/>
  <c r="AG955" i="1"/>
  <c r="AG956" i="1"/>
  <c r="AG957" i="1"/>
  <c r="AG958" i="1"/>
  <c r="AG961" i="1"/>
  <c r="AG962" i="1"/>
  <c r="AG964" i="1"/>
  <c r="AG969" i="1"/>
  <c r="AG970" i="1"/>
  <c r="AG971" i="1"/>
  <c r="AG972" i="1"/>
  <c r="AG981" i="1"/>
  <c r="AG982" i="1"/>
  <c r="AG986" i="1"/>
  <c r="AG987" i="1"/>
  <c r="AG990" i="1"/>
  <c r="AG993" i="1"/>
  <c r="AG995" i="1"/>
  <c r="AG999" i="1"/>
  <c r="AG1004" i="1"/>
  <c r="AG1008" i="1"/>
  <c r="AG1010" i="1"/>
  <c r="AG1011" i="1"/>
  <c r="AG1012" i="1"/>
  <c r="AG1014" i="1"/>
  <c r="AG1015" i="1"/>
  <c r="AG1017" i="1"/>
  <c r="AG1019" i="1"/>
  <c r="AG1025" i="1"/>
  <c r="AG1028" i="1"/>
  <c r="AG1034" i="1"/>
  <c r="AG1035" i="1"/>
  <c r="AG1039" i="1"/>
  <c r="AG1040" i="1"/>
  <c r="AG1041" i="1"/>
  <c r="AG1042" i="1"/>
  <c r="AG1045" i="1"/>
  <c r="AG1052" i="1"/>
  <c r="AG1053" i="1"/>
  <c r="AG1055" i="1"/>
  <c r="AG1056" i="1"/>
  <c r="AG1058" i="1"/>
  <c r="AG1063" i="1"/>
  <c r="AG1069" i="1"/>
  <c r="AG1070" i="1"/>
  <c r="AG1071" i="1"/>
  <c r="AG1073" i="1"/>
  <c r="AG1075" i="1"/>
  <c r="AG1076" i="1"/>
  <c r="AG1081" i="1"/>
  <c r="AG1085" i="1"/>
  <c r="AG1089" i="1"/>
  <c r="AG1096" i="1"/>
  <c r="AG1099" i="1"/>
  <c r="AG1100" i="1"/>
  <c r="AG1102" i="1"/>
  <c r="AG1104" i="1"/>
  <c r="AG1108" i="1"/>
  <c r="AG1110" i="1"/>
  <c r="AG1111" i="1"/>
  <c r="AG1113" i="1"/>
  <c r="AG1114" i="1"/>
  <c r="AG1118" i="1"/>
  <c r="AG1120" i="1"/>
  <c r="AG1127" i="1"/>
  <c r="AG1129" i="1"/>
  <c r="AG1131" i="1"/>
  <c r="AG1134" i="1"/>
  <c r="AG1138" i="1"/>
  <c r="AG1140" i="1"/>
  <c r="AG1142" i="1"/>
  <c r="AG1145" i="1"/>
  <c r="AG1146" i="1"/>
  <c r="AG1147" i="1"/>
  <c r="AG1148" i="1"/>
  <c r="AG1150" i="1"/>
  <c r="AG1156" i="1"/>
  <c r="AG1157" i="1"/>
  <c r="AG1159" i="1"/>
  <c r="AG1165" i="1"/>
  <c r="AG1172" i="1"/>
  <c r="AG1173" i="1"/>
  <c r="AG1175" i="1"/>
  <c r="AG1179" i="1"/>
  <c r="AG1181" i="1"/>
  <c r="AG1190" i="1"/>
  <c r="AG1191" i="1"/>
  <c r="AG1196" i="1"/>
  <c r="AG1200" i="1"/>
  <c r="AG1201" i="1"/>
  <c r="AG1203" i="1"/>
  <c r="AG1207" i="1"/>
  <c r="AG1221" i="1"/>
  <c r="AG1229" i="1"/>
  <c r="AG1232" i="1"/>
  <c r="AG1233" i="1"/>
  <c r="AG1234" i="1"/>
  <c r="AG1236" i="1"/>
  <c r="AG1237" i="1"/>
  <c r="AG1238" i="1"/>
  <c r="AG1239" i="1"/>
  <c r="AG1240" i="1"/>
  <c r="AG1248" i="1"/>
  <c r="AG1249" i="1"/>
  <c r="AG1251" i="1"/>
  <c r="AG1257" i="1"/>
  <c r="AG1264" i="1"/>
  <c r="AG1266" i="1"/>
  <c r="AG1269" i="1"/>
  <c r="AG1273" i="1"/>
  <c r="AG1274" i="1"/>
  <c r="AG1279" i="1"/>
  <c r="AG1281" i="1"/>
  <c r="AG1284" i="1"/>
  <c r="AG1287" i="1"/>
  <c r="AG1290" i="1"/>
  <c r="AG1291" i="1"/>
  <c r="AG1293" i="1"/>
  <c r="AG1298" i="1"/>
  <c r="AG1299" i="1"/>
  <c r="AG1301" i="1"/>
  <c r="AG1302" i="1"/>
  <c r="AG1303" i="1"/>
  <c r="AG1313" i="1"/>
  <c r="AG1316" i="1"/>
  <c r="AG1319" i="1"/>
  <c r="AG1325" i="1"/>
  <c r="AG1329" i="1"/>
  <c r="AG1330" i="1"/>
  <c r="AG1333" i="1"/>
  <c r="AG1335" i="1"/>
  <c r="AG1338" i="1"/>
  <c r="AG1341" i="1"/>
  <c r="AG1342" i="1"/>
  <c r="AG1343" i="1"/>
  <c r="AG1345" i="1"/>
  <c r="AG1346" i="1"/>
  <c r="AG1351" i="1"/>
  <c r="AG1356" i="1"/>
  <c r="AG1358" i="1"/>
  <c r="AG1367" i="1"/>
  <c r="AG1368" i="1"/>
  <c r="AG1371" i="1"/>
  <c r="AG1372" i="1"/>
  <c r="AG1373" i="1"/>
  <c r="AG1377" i="1"/>
  <c r="AG1378" i="1"/>
  <c r="AG1380" i="1"/>
  <c r="AG1385" i="1"/>
  <c r="AG1387" i="1"/>
  <c r="AG1389" i="1"/>
  <c r="AG1390" i="1"/>
  <c r="AG1392" i="1"/>
  <c r="AG1397" i="1"/>
  <c r="AG1400" i="1"/>
  <c r="AG1404" i="1"/>
  <c r="AG1411" i="1"/>
  <c r="AG1412" i="1"/>
  <c r="AG1414" i="1"/>
  <c r="AG1420" i="1"/>
  <c r="AG1423" i="1"/>
  <c r="AG1425" i="1"/>
  <c r="AG1427" i="1"/>
  <c r="AG1429" i="1"/>
  <c r="AG1430" i="1"/>
  <c r="AG1434" i="1"/>
  <c r="AG1436" i="1"/>
  <c r="AG1441" i="1"/>
  <c r="AG1442" i="1"/>
  <c r="AG1443" i="1"/>
  <c r="AG1449" i="1"/>
  <c r="AG1450" i="1"/>
  <c r="AG1460" i="1"/>
  <c r="AG1468" i="1"/>
  <c r="AG1470" i="1"/>
  <c r="AG1471" i="1"/>
  <c r="AG1474" i="1"/>
  <c r="AG1475" i="1"/>
  <c r="AG1476" i="1"/>
  <c r="AG1477" i="1"/>
  <c r="AG1482" i="1"/>
  <c r="AG1493" i="1"/>
  <c r="AG1495" i="1"/>
  <c r="AG1496" i="1"/>
  <c r="AG1499" i="1"/>
  <c r="AG1502" i="1"/>
  <c r="AG1505" i="1"/>
  <c r="AG1507" i="1"/>
  <c r="AG1520" i="1"/>
  <c r="AG1522" i="1"/>
  <c r="AG1523" i="1"/>
  <c r="AG1524" i="1"/>
  <c r="AG1531" i="1"/>
  <c r="AG1532" i="1"/>
  <c r="AG1533" i="1"/>
  <c r="AG1535" i="1"/>
  <c r="AG1536" i="1"/>
  <c r="AG1537" i="1"/>
  <c r="AG1544" i="1"/>
  <c r="AG1546" i="1"/>
  <c r="AG1553" i="1"/>
  <c r="AG1557" i="1"/>
  <c r="AG1561" i="1"/>
  <c r="AG1564" i="1"/>
  <c r="AG1565" i="1"/>
  <c r="AG1566" i="1"/>
  <c r="AG1569" i="1"/>
  <c r="AG1573" i="1"/>
  <c r="AG1576" i="1"/>
  <c r="AG1577" i="1"/>
  <c r="AG1579" i="1"/>
  <c r="AG1581" i="1"/>
  <c r="AG1585" i="1"/>
  <c r="AG1587" i="1"/>
  <c r="AG1590" i="1"/>
  <c r="AG1591" i="1"/>
  <c r="AG1595" i="1"/>
  <c r="AG1596" i="1"/>
  <c r="AG1598" i="1"/>
  <c r="AG1599" i="1"/>
  <c r="AG1601" i="1"/>
  <c r="AG1605" i="1"/>
  <c r="AG1608" i="1"/>
  <c r="AG1612" i="1"/>
  <c r="AG1615" i="1"/>
  <c r="AG1617" i="1"/>
  <c r="AG1619" i="1"/>
  <c r="AG1621" i="1"/>
  <c r="AG1627" i="1"/>
  <c r="AG1633" i="1"/>
  <c r="AG1635" i="1"/>
  <c r="AG1639" i="1"/>
  <c r="AG1640" i="1"/>
  <c r="AG1641" i="1"/>
  <c r="AG1642" i="1"/>
  <c r="AG1645" i="1"/>
  <c r="AG1647" i="1"/>
  <c r="AG1651" i="1"/>
  <c r="AG1653" i="1"/>
  <c r="AG1654" i="1"/>
  <c r="AG1657" i="1"/>
  <c r="AG1661" i="1"/>
  <c r="AG1662" i="1"/>
  <c r="AG1663" i="1"/>
  <c r="AG1667" i="1"/>
  <c r="AG1670" i="1"/>
  <c r="AG1674" i="1"/>
  <c r="AG1675" i="1"/>
  <c r="AG1679" i="1"/>
  <c r="AG1680" i="1"/>
  <c r="AG1681" i="1"/>
  <c r="AG1685" i="1"/>
  <c r="AG1686" i="1"/>
  <c r="AG1690" i="1"/>
  <c r="AG1691" i="1"/>
  <c r="AG1695" i="1"/>
  <c r="AG1696" i="1"/>
  <c r="AG1697" i="1"/>
  <c r="AG1698" i="1"/>
  <c r="AG1699" i="1"/>
  <c r="AG1705" i="1"/>
  <c r="AG1711" i="1"/>
  <c r="AG1713" i="1"/>
  <c r="AG1714" i="1"/>
  <c r="AG1717" i="1"/>
  <c r="AG1718" i="1"/>
  <c r="AG1727" i="1"/>
  <c r="AG1729" i="1"/>
  <c r="AG1732" i="1"/>
  <c r="AG1738" i="1"/>
  <c r="AG1739" i="1"/>
  <c r="AG1740" i="1"/>
  <c r="AG1742" i="1"/>
  <c r="AG1746" i="1"/>
  <c r="AG1747" i="1"/>
  <c r="AG1749" i="1"/>
  <c r="AG1750" i="1"/>
  <c r="AG1751" i="1"/>
  <c r="AG1754" i="1"/>
  <c r="AG1762" i="1"/>
  <c r="AG1766" i="1"/>
  <c r="AG1768" i="1"/>
  <c r="AG1775" i="1"/>
  <c r="AG1779" i="1"/>
  <c r="AG1782" i="1"/>
  <c r="AG1787" i="1"/>
  <c r="AG1788" i="1"/>
  <c r="AG1793" i="1"/>
  <c r="AG1798" i="1"/>
  <c r="AG1799" i="1"/>
  <c r="AG1801" i="1"/>
  <c r="AG1804" i="1"/>
  <c r="AG1806" i="1"/>
  <c r="AG1808" i="1"/>
  <c r="AG1814" i="1"/>
  <c r="AG1815" i="1"/>
  <c r="AG1818" i="1"/>
  <c r="AG1820" i="1"/>
  <c r="AG1821" i="1"/>
  <c r="AG1825" i="1"/>
  <c r="AG1827" i="1"/>
  <c r="AG1828" i="1"/>
  <c r="AG1829" i="1"/>
  <c r="AG1831" i="1"/>
  <c r="AG1832" i="1"/>
  <c r="AG1834" i="1"/>
  <c r="AG1836" i="1"/>
  <c r="AG1840" i="1"/>
  <c r="AG1842" i="1"/>
  <c r="AG1846" i="1"/>
  <c r="AG1847" i="1"/>
  <c r="AG1848" i="1"/>
  <c r="AG1852" i="1"/>
  <c r="AG1854" i="1"/>
  <c r="AG1860" i="1"/>
  <c r="AG1861" i="1"/>
  <c r="AG1866" i="1"/>
  <c r="AG1869" i="1"/>
  <c r="AG1870" i="1"/>
  <c r="AG1871" i="1"/>
  <c r="AG1876" i="1"/>
  <c r="AG1881" i="1"/>
  <c r="AG1886" i="1"/>
  <c r="AG1887" i="1"/>
  <c r="AG1890" i="1"/>
  <c r="AG1905" i="1"/>
  <c r="AG1915" i="1"/>
  <c r="AG1918" i="1"/>
  <c r="AG1924" i="1"/>
  <c r="AG1935" i="1"/>
  <c r="AG1936" i="1"/>
  <c r="AG1945" i="1"/>
  <c r="AG1957" i="1"/>
  <c r="AG1958" i="1"/>
  <c r="AG1960" i="1"/>
  <c r="AG1964" i="1"/>
  <c r="AG1965" i="1"/>
  <c r="AG1967" i="1"/>
  <c r="AG1971" i="1"/>
  <c r="AG1973" i="1"/>
  <c r="AG1977" i="1"/>
  <c r="AG1980" i="1"/>
  <c r="AG1982" i="1"/>
  <c r="AG1983" i="1"/>
  <c r="AG1986" i="1"/>
  <c r="AG1987" i="1"/>
  <c r="AG1988" i="1"/>
  <c r="AG1990" i="1"/>
  <c r="AG1991" i="1"/>
  <c r="AG1993" i="1"/>
  <c r="AG1994" i="1"/>
  <c r="AG1996" i="1"/>
  <c r="AG1997" i="1"/>
  <c r="AG2000" i="1"/>
  <c r="AG2008" i="1"/>
  <c r="AG2010" i="1"/>
  <c r="AG2013" i="1"/>
  <c r="AG2015" i="1"/>
  <c r="AG2016" i="1"/>
  <c r="AG2017" i="1"/>
  <c r="AG2020" i="1"/>
  <c r="AG2021" i="1"/>
  <c r="AG2023" i="1"/>
  <c r="AG2024" i="1"/>
  <c r="AG2025" i="1"/>
  <c r="AG2026" i="1"/>
  <c r="AG2027" i="1"/>
  <c r="AG2029" i="1"/>
  <c r="AG2032" i="1"/>
  <c r="AG2035" i="1"/>
  <c r="AG2041" i="1"/>
  <c r="AG2044" i="1"/>
  <c r="AG2046" i="1"/>
  <c r="AG2048" i="1"/>
  <c r="AG2049" i="1"/>
  <c r="AG2050" i="1"/>
  <c r="AG2055" i="1"/>
  <c r="AG2057" i="1"/>
  <c r="AG2059" i="1"/>
  <c r="AG2060" i="1"/>
  <c r="AG2063" i="1"/>
  <c r="AG2068" i="1"/>
  <c r="AG2070" i="1"/>
  <c r="AG2072" i="1"/>
  <c r="AG2076" i="1"/>
  <c r="AG2079" i="1"/>
  <c r="AG2080" i="1"/>
  <c r="AG2081" i="1"/>
  <c r="AG2084" i="1"/>
  <c r="AG2085" i="1"/>
  <c r="AG2089" i="1"/>
  <c r="AG2091" i="1"/>
  <c r="AG2092" i="1"/>
  <c r="AG2098" i="1"/>
  <c r="AG2100" i="1"/>
  <c r="AG2102" i="1"/>
  <c r="AG2103" i="1"/>
  <c r="AG2105" i="1"/>
  <c r="AG2109" i="1"/>
  <c r="AG2117" i="1"/>
  <c r="AG2118" i="1"/>
  <c r="AG2122" i="1"/>
  <c r="AG2124" i="1"/>
  <c r="AG2125" i="1"/>
  <c r="AG2128" i="1"/>
  <c r="AG2129" i="1"/>
  <c r="AG2137" i="1"/>
  <c r="AG2140" i="1"/>
  <c r="AG2143" i="1"/>
  <c r="AG2146" i="1"/>
  <c r="AG2147" i="1"/>
  <c r="AG2150" i="1"/>
  <c r="AG2151" i="1"/>
  <c r="AG2156" i="1"/>
  <c r="AG2157" i="1"/>
  <c r="AG2158" i="1"/>
  <c r="AG2159" i="1"/>
  <c r="AG2161" i="1"/>
  <c r="AG2162" i="1"/>
  <c r="AG2168" i="1"/>
  <c r="AG2173" i="1"/>
  <c r="AG2174" i="1"/>
  <c r="AG2175" i="1"/>
  <c r="AG2176" i="1"/>
  <c r="AG2177" i="1"/>
  <c r="AG2178" i="1"/>
  <c r="AG2180" i="1"/>
  <c r="AG2184" i="1"/>
  <c r="AG2185" i="1"/>
  <c r="AG2187" i="1"/>
  <c r="AG2188" i="1"/>
  <c r="AG2192" i="1"/>
  <c r="AG2193" i="1"/>
  <c r="AG2194" i="1"/>
  <c r="AG2198" i="1"/>
  <c r="AG2200" i="1"/>
  <c r="AG2201" i="1"/>
  <c r="AG2206" i="1"/>
  <c r="AG2208" i="1"/>
  <c r="AG2210" i="1"/>
  <c r="AG2211" i="1"/>
  <c r="AG2215" i="1"/>
  <c r="AG2221" i="1"/>
  <c r="AG2225" i="1"/>
  <c r="AG2226" i="1"/>
  <c r="AG2229" i="1"/>
  <c r="AG2232" i="1"/>
  <c r="AG2236" i="1"/>
  <c r="AG2239" i="1"/>
  <c r="AG2242" i="1"/>
  <c r="AG2244" i="1"/>
  <c r="AG2245" i="1"/>
  <c r="AG2248" i="1"/>
  <c r="AG2252" i="1"/>
  <c r="AG2259" i="1"/>
  <c r="AG2264" i="1"/>
  <c r="AG2265" i="1"/>
  <c r="AG2266" i="1"/>
  <c r="AG2268" i="1"/>
  <c r="AG2275" i="1"/>
  <c r="AG2277" i="1"/>
  <c r="AG2284" i="1"/>
  <c r="AG2293" i="1"/>
  <c r="AG2296" i="1"/>
  <c r="AG2299" i="1"/>
  <c r="AG2302" i="1"/>
  <c r="AG2304" i="1"/>
  <c r="AG2309" i="1"/>
  <c r="AG2310" i="1"/>
  <c r="AG2311" i="1"/>
  <c r="AG2314" i="1"/>
  <c r="AG2317" i="1"/>
  <c r="AG2319" i="1"/>
  <c r="AG2321" i="1"/>
  <c r="AG2322" i="1"/>
  <c r="AG2325" i="1"/>
  <c r="AG2328" i="1"/>
  <c r="AG2331" i="1"/>
  <c r="AG2332" i="1"/>
  <c r="AG2334" i="1"/>
  <c r="AG2335" i="1"/>
  <c r="AG2341" i="1"/>
  <c r="AG2343" i="1"/>
  <c r="AG2344" i="1"/>
  <c r="AG2346" i="1"/>
  <c r="AG2347" i="1"/>
  <c r="AG2351" i="1"/>
  <c r="AG2352" i="1"/>
  <c r="AG2353" i="1"/>
  <c r="AG2354" i="1"/>
  <c r="AG2356" i="1"/>
  <c r="AG2361" i="1"/>
  <c r="AG2366" i="1"/>
  <c r="AG2367" i="1"/>
  <c r="AG2376" i="1"/>
  <c r="AG2385" i="1"/>
  <c r="AG2386" i="1"/>
  <c r="AG2391" i="1"/>
  <c r="AG2397" i="1"/>
  <c r="AG2400" i="1"/>
  <c r="AF3" i="1"/>
  <c r="AF5" i="1"/>
  <c r="AF6" i="1"/>
  <c r="AF7" i="1"/>
  <c r="AF16" i="1"/>
  <c r="AF17" i="1"/>
  <c r="AF18" i="1"/>
  <c r="AF21" i="1"/>
  <c r="AF22" i="1"/>
  <c r="AF27" i="1"/>
  <c r="AF28" i="1"/>
  <c r="AF33" i="1"/>
  <c r="AF34" i="1"/>
  <c r="AF35" i="1"/>
  <c r="AF37" i="1"/>
  <c r="AF47" i="1"/>
  <c r="AF53" i="1"/>
  <c r="AF56" i="1"/>
  <c r="AF57" i="1"/>
  <c r="AF58" i="1"/>
  <c r="AF66" i="1"/>
  <c r="AF67" i="1"/>
  <c r="AF68" i="1"/>
  <c r="AF69" i="1"/>
  <c r="AF72" i="1"/>
  <c r="AF73" i="1"/>
  <c r="AF74" i="1"/>
  <c r="AF75" i="1"/>
  <c r="AF78" i="1"/>
  <c r="AF81" i="1"/>
  <c r="AF84" i="1"/>
  <c r="AF86" i="1"/>
  <c r="AF87" i="1"/>
  <c r="AF88" i="1"/>
  <c r="AF92" i="1"/>
  <c r="AF93" i="1"/>
  <c r="AF94" i="1"/>
  <c r="AF95" i="1"/>
  <c r="AF96" i="1"/>
  <c r="AF98" i="1"/>
  <c r="AF99" i="1"/>
  <c r="AF100" i="1"/>
  <c r="AF103" i="1"/>
  <c r="AF104" i="1"/>
  <c r="AF105" i="1"/>
  <c r="AF106" i="1"/>
  <c r="AF108" i="1"/>
  <c r="AF110" i="1"/>
  <c r="AF111" i="1"/>
  <c r="AF113" i="1"/>
  <c r="AF114" i="1"/>
  <c r="AF115" i="1"/>
  <c r="AF118" i="1"/>
  <c r="AF120" i="1"/>
  <c r="AF122" i="1"/>
  <c r="AF123" i="1"/>
  <c r="AF125" i="1"/>
  <c r="AF127" i="1"/>
  <c r="AF129" i="1"/>
  <c r="AF130" i="1"/>
  <c r="AF133" i="1"/>
  <c r="AF137" i="1"/>
  <c r="AF139" i="1"/>
  <c r="AF141" i="1"/>
  <c r="AF142" i="1"/>
  <c r="AF143" i="1"/>
  <c r="AF145" i="1"/>
  <c r="AF146" i="1"/>
  <c r="AF147" i="1"/>
  <c r="AF149" i="1"/>
  <c r="AF151" i="1"/>
  <c r="AF152" i="1"/>
  <c r="AF153" i="1"/>
  <c r="AF155" i="1"/>
  <c r="AF156" i="1"/>
  <c r="AF157" i="1"/>
  <c r="AF162" i="1"/>
  <c r="AF167" i="1"/>
  <c r="AF168" i="1"/>
  <c r="AF171" i="1"/>
  <c r="AF173" i="1"/>
  <c r="AF174" i="1"/>
  <c r="AF176" i="1"/>
  <c r="AF178" i="1"/>
  <c r="AF180" i="1"/>
  <c r="AF188" i="1"/>
  <c r="AF189" i="1"/>
  <c r="AF191" i="1"/>
  <c r="AF193" i="1"/>
  <c r="AF195" i="1"/>
  <c r="AF197" i="1"/>
  <c r="AF198" i="1"/>
  <c r="AF199" i="1"/>
  <c r="AF200" i="1"/>
  <c r="AF201" i="1"/>
  <c r="AF204" i="1"/>
  <c r="AF208" i="1"/>
  <c r="AF212" i="1"/>
  <c r="AF213" i="1"/>
  <c r="AF215" i="1"/>
  <c r="AF217" i="1"/>
  <c r="AF220" i="1"/>
  <c r="AF228" i="1"/>
  <c r="AF231" i="1"/>
  <c r="AF234" i="1"/>
  <c r="AF235" i="1"/>
  <c r="AF236" i="1"/>
  <c r="AF237" i="1"/>
  <c r="AF238" i="1"/>
  <c r="AF241" i="1"/>
  <c r="AF248" i="1"/>
  <c r="AF250" i="1"/>
  <c r="AF251" i="1"/>
  <c r="AF257" i="1"/>
  <c r="AF261" i="1"/>
  <c r="AF264" i="1"/>
  <c r="AF265" i="1"/>
  <c r="AF266" i="1"/>
  <c r="AF267" i="1"/>
  <c r="AF270" i="1"/>
  <c r="AF272" i="1"/>
  <c r="AF273" i="1"/>
  <c r="AF274" i="1"/>
  <c r="AF276" i="1"/>
  <c r="AF281" i="1"/>
  <c r="AF283" i="1"/>
  <c r="AF285" i="1"/>
  <c r="AF286" i="1"/>
  <c r="AF287" i="1"/>
  <c r="AF289" i="1"/>
  <c r="AF290" i="1"/>
  <c r="AF291" i="1"/>
  <c r="AF292" i="1"/>
  <c r="AF298" i="1"/>
  <c r="AF299" i="1"/>
  <c r="AF300" i="1"/>
  <c r="AF304" i="1"/>
  <c r="AF309" i="1"/>
  <c r="AF311" i="1"/>
  <c r="AF312" i="1"/>
  <c r="AF313" i="1"/>
  <c r="AF314" i="1"/>
  <c r="AF315" i="1"/>
  <c r="AF318" i="1"/>
  <c r="AF319" i="1"/>
  <c r="AF324" i="1"/>
  <c r="AF325" i="1"/>
  <c r="AF327" i="1"/>
  <c r="AF328" i="1"/>
  <c r="AF329" i="1"/>
  <c r="AF330" i="1"/>
  <c r="AF333" i="1"/>
  <c r="AF334" i="1"/>
  <c r="AF336" i="1"/>
  <c r="AF337" i="1"/>
  <c r="AF339" i="1"/>
  <c r="AF341" i="1"/>
  <c r="AF342" i="1"/>
  <c r="AF346" i="1"/>
  <c r="AF349" i="1"/>
  <c r="AF350" i="1"/>
  <c r="AF353" i="1"/>
  <c r="AF355" i="1"/>
  <c r="AF357" i="1"/>
  <c r="AF358" i="1"/>
  <c r="AF360" i="1"/>
  <c r="AF363" i="1"/>
  <c r="AF364" i="1"/>
  <c r="AF365" i="1"/>
  <c r="AF366" i="1"/>
  <c r="AF367" i="1"/>
  <c r="AF368" i="1"/>
  <c r="AF372" i="1"/>
  <c r="AF374" i="1"/>
  <c r="AF375" i="1"/>
  <c r="AF376" i="1"/>
  <c r="AF380" i="1"/>
  <c r="AF383" i="1"/>
  <c r="AF384" i="1"/>
  <c r="AF386" i="1"/>
  <c r="AF390" i="1"/>
  <c r="AF391" i="1"/>
  <c r="AF394" i="1"/>
  <c r="AF395" i="1"/>
  <c r="AF402" i="1"/>
  <c r="AF406" i="1"/>
  <c r="AF409" i="1"/>
  <c r="AF411" i="1"/>
  <c r="AF418" i="1"/>
  <c r="AF420" i="1"/>
  <c r="AF421" i="1"/>
  <c r="AF422" i="1"/>
  <c r="AF423" i="1"/>
  <c r="AF424" i="1"/>
  <c r="AF427" i="1"/>
  <c r="AF431" i="1"/>
  <c r="AF436" i="1"/>
  <c r="AF438" i="1"/>
  <c r="AF439" i="1"/>
  <c r="AF442" i="1"/>
  <c r="AF446" i="1"/>
  <c r="AF448" i="1"/>
  <c r="AF449" i="1"/>
  <c r="AF450" i="1"/>
  <c r="AF451" i="1"/>
  <c r="AF456" i="1"/>
  <c r="AF458" i="1"/>
  <c r="AF460" i="1"/>
  <c r="AF461" i="1"/>
  <c r="AF463" i="1"/>
  <c r="AF465" i="1"/>
  <c r="AF466" i="1"/>
  <c r="AF469" i="1"/>
  <c r="AF471" i="1"/>
  <c r="AF473" i="1"/>
  <c r="AF474" i="1"/>
  <c r="AF478" i="1"/>
  <c r="AF482" i="1"/>
  <c r="AF483" i="1"/>
  <c r="AF487" i="1"/>
  <c r="AF488" i="1"/>
  <c r="AF495" i="1"/>
  <c r="AF497" i="1"/>
  <c r="AF500" i="1"/>
  <c r="AF503" i="1"/>
  <c r="AF504" i="1"/>
  <c r="AF509" i="1"/>
  <c r="AF510" i="1"/>
  <c r="AF513" i="1"/>
  <c r="AF514" i="1"/>
  <c r="AF515" i="1"/>
  <c r="AF516" i="1"/>
  <c r="AF518" i="1"/>
  <c r="AF519" i="1"/>
  <c r="AF521" i="1"/>
  <c r="AF522" i="1"/>
  <c r="AF524" i="1"/>
  <c r="AF528" i="1"/>
  <c r="AF531" i="1"/>
  <c r="AF532" i="1"/>
  <c r="AF539" i="1"/>
  <c r="AF541" i="1"/>
  <c r="AF544" i="1"/>
  <c r="AF546" i="1"/>
  <c r="AF548" i="1"/>
  <c r="AF550" i="1"/>
  <c r="AF553" i="1"/>
  <c r="AF555" i="1"/>
  <c r="AF557" i="1"/>
  <c r="AF558" i="1"/>
  <c r="AF559" i="1"/>
  <c r="AF563" i="1"/>
  <c r="AF565" i="1"/>
  <c r="AF567" i="1"/>
  <c r="AF569" i="1"/>
  <c r="AF571" i="1"/>
  <c r="AF575" i="1"/>
  <c r="AF576" i="1"/>
  <c r="AF578" i="1"/>
  <c r="AF581" i="1"/>
  <c r="AF582" i="1"/>
  <c r="AF583" i="1"/>
  <c r="AF584" i="1"/>
  <c r="AF585" i="1"/>
  <c r="AF586" i="1"/>
  <c r="AF588" i="1"/>
  <c r="AF592" i="1"/>
  <c r="AF593" i="1"/>
  <c r="AF594" i="1"/>
  <c r="AF595" i="1"/>
  <c r="AF597" i="1"/>
  <c r="AF599" i="1"/>
  <c r="AF602" i="1"/>
  <c r="AF603" i="1"/>
  <c r="AF604" i="1"/>
  <c r="AF605" i="1"/>
  <c r="AF606" i="1"/>
  <c r="AF607" i="1"/>
  <c r="AF608" i="1"/>
  <c r="AF609" i="1"/>
  <c r="AF610" i="1"/>
  <c r="AF615" i="1"/>
  <c r="AF619" i="1"/>
  <c r="AF622" i="1"/>
  <c r="AF624" i="1"/>
  <c r="AF625" i="1"/>
  <c r="AF631" i="1"/>
  <c r="AF633" i="1"/>
  <c r="AF640" i="1"/>
  <c r="AF643" i="1"/>
  <c r="AF644" i="1"/>
  <c r="AF653" i="1"/>
  <c r="AF654" i="1"/>
  <c r="AF656" i="1"/>
  <c r="AF663" i="1"/>
  <c r="AF664" i="1"/>
  <c r="AF668" i="1"/>
  <c r="AF677" i="1"/>
  <c r="AF679" i="1"/>
  <c r="AF680" i="1"/>
  <c r="AF681" i="1"/>
  <c r="AF683" i="1"/>
  <c r="AF689" i="1"/>
  <c r="AF690" i="1"/>
  <c r="AF693" i="1"/>
  <c r="AF698" i="1"/>
  <c r="AF700" i="1"/>
  <c r="AF701" i="1"/>
  <c r="AF702" i="1"/>
  <c r="AF704" i="1"/>
  <c r="AF705" i="1"/>
  <c r="AF706" i="1"/>
  <c r="AF708" i="1"/>
  <c r="AF712" i="1"/>
  <c r="AF716" i="1"/>
  <c r="AF720" i="1"/>
  <c r="AF722" i="1"/>
  <c r="AF723" i="1"/>
  <c r="AF725" i="1"/>
  <c r="AF726" i="1"/>
  <c r="AF727" i="1"/>
  <c r="AF729" i="1"/>
  <c r="AF730" i="1"/>
  <c r="AF731" i="1"/>
  <c r="AF732" i="1"/>
  <c r="AF739" i="1"/>
  <c r="AF745" i="1"/>
  <c r="AF746" i="1"/>
  <c r="AF747" i="1"/>
  <c r="AF754" i="1"/>
  <c r="AF757" i="1"/>
  <c r="AF758" i="1"/>
  <c r="AF764" i="1"/>
  <c r="AF765" i="1"/>
  <c r="AF766" i="1"/>
  <c r="AF772" i="1"/>
  <c r="AF777" i="1"/>
  <c r="AF781" i="1"/>
  <c r="AF785" i="1"/>
  <c r="AF787" i="1"/>
  <c r="AF788" i="1"/>
  <c r="AF790" i="1"/>
  <c r="AF791" i="1"/>
  <c r="AF792" i="1"/>
  <c r="AF794" i="1"/>
  <c r="AF796" i="1"/>
  <c r="AF798" i="1"/>
  <c r="AF799" i="1"/>
  <c r="AF800" i="1"/>
  <c r="AF801" i="1"/>
  <c r="AF805" i="1"/>
  <c r="AF809" i="1"/>
  <c r="AF811" i="1"/>
  <c r="AF813" i="1"/>
  <c r="AF814" i="1"/>
  <c r="AF817" i="1"/>
  <c r="AF820" i="1"/>
  <c r="AF822" i="1"/>
  <c r="AF825" i="1"/>
  <c r="AF826" i="1"/>
  <c r="AF827" i="1"/>
  <c r="AF829" i="1"/>
  <c r="AF830" i="1"/>
  <c r="AF832" i="1"/>
  <c r="AF842" i="1"/>
  <c r="AF843" i="1"/>
  <c r="AF849" i="1"/>
  <c r="AF851" i="1"/>
  <c r="AF854" i="1"/>
  <c r="AF855" i="1"/>
  <c r="AF858" i="1"/>
  <c r="AF859" i="1"/>
  <c r="AF863" i="1"/>
  <c r="AF866" i="1"/>
  <c r="AF867" i="1"/>
  <c r="AF869" i="1"/>
  <c r="AF870" i="1"/>
  <c r="AF877" i="1"/>
  <c r="AF880" i="1"/>
  <c r="AF884" i="1"/>
  <c r="AF892" i="1"/>
  <c r="AF894" i="1"/>
  <c r="AF896" i="1"/>
  <c r="AF897" i="1"/>
  <c r="AF899" i="1"/>
  <c r="AF901" i="1"/>
  <c r="AF902" i="1"/>
  <c r="AF904" i="1"/>
  <c r="AF905" i="1"/>
  <c r="AF906" i="1"/>
  <c r="AF907" i="1"/>
  <c r="AF908" i="1"/>
  <c r="AF912" i="1"/>
  <c r="AF913" i="1"/>
  <c r="AF916" i="1"/>
  <c r="AF918" i="1"/>
  <c r="AF919" i="1"/>
  <c r="AF920" i="1"/>
  <c r="AF923" i="1"/>
  <c r="AF924" i="1"/>
  <c r="AF926" i="1"/>
  <c r="AF927" i="1"/>
  <c r="AF928" i="1"/>
  <c r="AF930" i="1"/>
  <c r="AF933" i="1"/>
  <c r="AF935" i="1"/>
  <c r="AF936" i="1"/>
  <c r="AF938" i="1"/>
  <c r="AF946" i="1"/>
  <c r="AF949" i="1"/>
  <c r="AF951" i="1"/>
  <c r="AF955" i="1"/>
  <c r="AF956" i="1"/>
  <c r="AF957" i="1"/>
  <c r="AF958" i="1"/>
  <c r="AF961" i="1"/>
  <c r="AF962" i="1"/>
  <c r="AF964" i="1"/>
  <c r="AF969" i="1"/>
  <c r="AF970" i="1"/>
  <c r="AF971" i="1"/>
  <c r="AF972" i="1"/>
  <c r="AF981" i="1"/>
  <c r="AF982" i="1"/>
  <c r="AF986" i="1"/>
  <c r="AF987" i="1"/>
  <c r="AF990" i="1"/>
  <c r="AF993" i="1"/>
  <c r="AF995" i="1"/>
  <c r="AF999" i="1"/>
  <c r="AF1004" i="1"/>
  <c r="AF1008" i="1"/>
  <c r="AF1010" i="1"/>
  <c r="AF1011" i="1"/>
  <c r="AF1012" i="1"/>
  <c r="AF1014" i="1"/>
  <c r="AF1015" i="1"/>
  <c r="AF1017" i="1"/>
  <c r="AF1019" i="1"/>
  <c r="AF1025" i="1"/>
  <c r="AF1028" i="1"/>
  <c r="AF1034" i="1"/>
  <c r="AF1035" i="1"/>
  <c r="AF1039" i="1"/>
  <c r="AF1040" i="1"/>
  <c r="AF1041" i="1"/>
  <c r="AF1042" i="1"/>
  <c r="AF1045" i="1"/>
  <c r="AF1052" i="1"/>
  <c r="AF1053" i="1"/>
  <c r="AF1055" i="1"/>
  <c r="AF1056" i="1"/>
  <c r="AF1058" i="1"/>
  <c r="AF1063" i="1"/>
  <c r="AF1069" i="1"/>
  <c r="AF1070" i="1"/>
  <c r="AF1071" i="1"/>
  <c r="AF1073" i="1"/>
  <c r="AF1075" i="1"/>
  <c r="AF1076" i="1"/>
  <c r="AF1081" i="1"/>
  <c r="AF1085" i="1"/>
  <c r="AF1089" i="1"/>
  <c r="AF1096" i="1"/>
  <c r="AF1099" i="1"/>
  <c r="AF1100" i="1"/>
  <c r="AF1102" i="1"/>
  <c r="AF1104" i="1"/>
  <c r="AF1108" i="1"/>
  <c r="AF1110" i="1"/>
  <c r="AF1111" i="1"/>
  <c r="AF1113" i="1"/>
  <c r="AF1114" i="1"/>
  <c r="AF1118" i="1"/>
  <c r="AF1120" i="1"/>
  <c r="AF1127" i="1"/>
  <c r="AF1129" i="1"/>
  <c r="AF1131" i="1"/>
  <c r="AF1134" i="1"/>
  <c r="AF1138" i="1"/>
  <c r="AF1140" i="1"/>
  <c r="AF1142" i="1"/>
  <c r="AF1145" i="1"/>
  <c r="AF1146" i="1"/>
  <c r="AF1147" i="1"/>
  <c r="AF1148" i="1"/>
  <c r="AF1150" i="1"/>
  <c r="AF1156" i="1"/>
  <c r="AF1157" i="1"/>
  <c r="AF1159" i="1"/>
  <c r="AF1165" i="1"/>
  <c r="AF1172" i="1"/>
  <c r="AF1173" i="1"/>
  <c r="AF1175" i="1"/>
  <c r="AF1179" i="1"/>
  <c r="AF1181" i="1"/>
  <c r="AF1190" i="1"/>
  <c r="AF1191" i="1"/>
  <c r="AF1196" i="1"/>
  <c r="AF1200" i="1"/>
  <c r="AF1201" i="1"/>
  <c r="AF1203" i="1"/>
  <c r="AF1207" i="1"/>
  <c r="AF1221" i="1"/>
  <c r="AF1229" i="1"/>
  <c r="AF1232" i="1"/>
  <c r="AF1233" i="1"/>
  <c r="AF1234" i="1"/>
  <c r="AF1236" i="1"/>
  <c r="AF1237" i="1"/>
  <c r="AF1238" i="1"/>
  <c r="AF1239" i="1"/>
  <c r="AF1240" i="1"/>
  <c r="AF1248" i="1"/>
  <c r="AF1249" i="1"/>
  <c r="AF1251" i="1"/>
  <c r="AF1257" i="1"/>
  <c r="AF1264" i="1"/>
  <c r="AF1266" i="1"/>
  <c r="AF1269" i="1"/>
  <c r="AF1273" i="1"/>
  <c r="AF1274" i="1"/>
  <c r="AF1279" i="1"/>
  <c r="AF1281" i="1"/>
  <c r="AF1284" i="1"/>
  <c r="AF1287" i="1"/>
  <c r="AF1290" i="1"/>
  <c r="AF1291" i="1"/>
  <c r="AF1293" i="1"/>
  <c r="AF1298" i="1"/>
  <c r="AF1299" i="1"/>
  <c r="AF1301" i="1"/>
  <c r="AF1302" i="1"/>
  <c r="AF1303" i="1"/>
  <c r="AF1313" i="1"/>
  <c r="AF1316" i="1"/>
  <c r="AF1319" i="1"/>
  <c r="AF1325" i="1"/>
  <c r="AF1329" i="1"/>
  <c r="AF1330" i="1"/>
  <c r="AF1333" i="1"/>
  <c r="AF1335" i="1"/>
  <c r="AF1338" i="1"/>
  <c r="AF1341" i="1"/>
  <c r="AF1342" i="1"/>
  <c r="AF1343" i="1"/>
  <c r="AF1345" i="1"/>
  <c r="AF1346" i="1"/>
  <c r="AF1351" i="1"/>
  <c r="AF1356" i="1"/>
  <c r="AF1358" i="1"/>
  <c r="AF1367" i="1"/>
  <c r="AF1368" i="1"/>
  <c r="AF1371" i="1"/>
  <c r="AF1372" i="1"/>
  <c r="AF1373" i="1"/>
  <c r="AF1377" i="1"/>
  <c r="AF1378" i="1"/>
  <c r="AF1380" i="1"/>
  <c r="AF1385" i="1"/>
  <c r="AF1387" i="1"/>
  <c r="AF1389" i="1"/>
  <c r="AF1390" i="1"/>
  <c r="AF1392" i="1"/>
  <c r="AF1397" i="1"/>
  <c r="AF1400" i="1"/>
  <c r="AF1404" i="1"/>
  <c r="AF1411" i="1"/>
  <c r="AF1412" i="1"/>
  <c r="AF1414" i="1"/>
  <c r="AF1420" i="1"/>
  <c r="AF1423" i="1"/>
  <c r="AF1425" i="1"/>
  <c r="AF1427" i="1"/>
  <c r="AF1429" i="1"/>
  <c r="AF1430" i="1"/>
  <c r="AF1434" i="1"/>
  <c r="AF1436" i="1"/>
  <c r="AF1441" i="1"/>
  <c r="AF1442" i="1"/>
  <c r="AF1443" i="1"/>
  <c r="AF1449" i="1"/>
  <c r="AF1450" i="1"/>
  <c r="AF1460" i="1"/>
  <c r="AF1468" i="1"/>
  <c r="AF1470" i="1"/>
  <c r="AF1471" i="1"/>
  <c r="AF1474" i="1"/>
  <c r="AF1475" i="1"/>
  <c r="AF1476" i="1"/>
  <c r="AF1477" i="1"/>
  <c r="AF1482" i="1"/>
  <c r="AF1493" i="1"/>
  <c r="AF1495" i="1"/>
  <c r="AF1496" i="1"/>
  <c r="AF1499" i="1"/>
  <c r="AF1502" i="1"/>
  <c r="AF1505" i="1"/>
  <c r="AF1507" i="1"/>
  <c r="AF1520" i="1"/>
  <c r="AF1522" i="1"/>
  <c r="AF1523" i="1"/>
  <c r="AF1524" i="1"/>
  <c r="AF1531" i="1"/>
  <c r="AF1532" i="1"/>
  <c r="AF1533" i="1"/>
  <c r="AF1535" i="1"/>
  <c r="AF1536" i="1"/>
  <c r="AF1537" i="1"/>
  <c r="AF1544" i="1"/>
  <c r="AF1546" i="1"/>
  <c r="AF1553" i="1"/>
  <c r="AF1557" i="1"/>
  <c r="AF1561" i="1"/>
  <c r="AF1564" i="1"/>
  <c r="AF1565" i="1"/>
  <c r="AF1566" i="1"/>
  <c r="AF1569" i="1"/>
  <c r="AF1573" i="1"/>
  <c r="AF1576" i="1"/>
  <c r="AF1577" i="1"/>
  <c r="AF1579" i="1"/>
  <c r="AF1581" i="1"/>
  <c r="AF1585" i="1"/>
  <c r="AF1587" i="1"/>
  <c r="AF1590" i="1"/>
  <c r="AF1591" i="1"/>
  <c r="AF1595" i="1"/>
  <c r="AF1596" i="1"/>
  <c r="AF1598" i="1"/>
  <c r="AF1599" i="1"/>
  <c r="AF1601" i="1"/>
  <c r="AF1605" i="1"/>
  <c r="AF1608" i="1"/>
  <c r="AF1612" i="1"/>
  <c r="AF1615" i="1"/>
  <c r="AF1617" i="1"/>
  <c r="AF1619" i="1"/>
  <c r="AF1621" i="1"/>
  <c r="AF1627" i="1"/>
  <c r="AF1633" i="1"/>
  <c r="AF1635" i="1"/>
  <c r="AF1639" i="1"/>
  <c r="AF1640" i="1"/>
  <c r="AF1641" i="1"/>
  <c r="AF1642" i="1"/>
  <c r="AF1645" i="1"/>
  <c r="AF1647" i="1"/>
  <c r="AF1651" i="1"/>
  <c r="AF1653" i="1"/>
  <c r="AF1654" i="1"/>
  <c r="AF1657" i="1"/>
  <c r="AF1661" i="1"/>
  <c r="AF1662" i="1"/>
  <c r="AF1663" i="1"/>
  <c r="AF1667" i="1"/>
  <c r="AF1670" i="1"/>
  <c r="AF1674" i="1"/>
  <c r="AF1675" i="1"/>
  <c r="AF1679" i="1"/>
  <c r="AF1680" i="1"/>
  <c r="AF1681" i="1"/>
  <c r="AF1685" i="1"/>
  <c r="AF1686" i="1"/>
  <c r="AF1690" i="1"/>
  <c r="AF1691" i="1"/>
  <c r="AF1695" i="1"/>
  <c r="AF1696" i="1"/>
  <c r="AF1697" i="1"/>
  <c r="AF1698" i="1"/>
  <c r="AF1699" i="1"/>
  <c r="AF1705" i="1"/>
  <c r="AF1711" i="1"/>
  <c r="AF1713" i="1"/>
  <c r="AF1714" i="1"/>
  <c r="AF1717" i="1"/>
  <c r="AF1718" i="1"/>
  <c r="AF1727" i="1"/>
  <c r="AF1729" i="1"/>
  <c r="AF1732" i="1"/>
  <c r="AF1738" i="1"/>
  <c r="AF1739" i="1"/>
  <c r="AF1740" i="1"/>
  <c r="AF1742" i="1"/>
  <c r="AF1746" i="1"/>
  <c r="AF1747" i="1"/>
  <c r="AF1749" i="1"/>
  <c r="AF1750" i="1"/>
  <c r="AF1751" i="1"/>
  <c r="AF1754" i="1"/>
  <c r="AF1762" i="1"/>
  <c r="AF1766" i="1"/>
  <c r="AF1768" i="1"/>
  <c r="AF1775" i="1"/>
  <c r="AF1779" i="1"/>
  <c r="AF1782" i="1"/>
  <c r="AF1787" i="1"/>
  <c r="AF1788" i="1"/>
  <c r="AF1793" i="1"/>
  <c r="AF1798" i="1"/>
  <c r="AF1799" i="1"/>
  <c r="AF1801" i="1"/>
  <c r="AF1804" i="1"/>
  <c r="AF1806" i="1"/>
  <c r="AF1808" i="1"/>
  <c r="AF1814" i="1"/>
  <c r="AF1815" i="1"/>
  <c r="AF1818" i="1"/>
  <c r="AF1820" i="1"/>
  <c r="AF1821" i="1"/>
  <c r="AF1825" i="1"/>
  <c r="AF1827" i="1"/>
  <c r="AF1828" i="1"/>
  <c r="AF1829" i="1"/>
  <c r="AF1831" i="1"/>
  <c r="AF1832" i="1"/>
  <c r="AF1834" i="1"/>
  <c r="AF1836" i="1"/>
  <c r="AF1840" i="1"/>
  <c r="AF1842" i="1"/>
  <c r="AF1846" i="1"/>
  <c r="AF1847" i="1"/>
  <c r="AF1848" i="1"/>
  <c r="AF1852" i="1"/>
  <c r="AF1854" i="1"/>
  <c r="AF1860" i="1"/>
  <c r="AF1861" i="1"/>
  <c r="AF1866" i="1"/>
  <c r="AF1869" i="1"/>
  <c r="AF1870" i="1"/>
  <c r="AF1871" i="1"/>
  <c r="AF1876" i="1"/>
  <c r="AF1881" i="1"/>
  <c r="AF1886" i="1"/>
  <c r="AF1887" i="1"/>
  <c r="AF1890" i="1"/>
  <c r="AF1905" i="1"/>
  <c r="AF1915" i="1"/>
  <c r="AF1918" i="1"/>
  <c r="AF1924" i="1"/>
  <c r="AF1935" i="1"/>
  <c r="AF1936" i="1"/>
  <c r="AF1945" i="1"/>
  <c r="AF1957" i="1"/>
  <c r="AF1958" i="1"/>
  <c r="AF1960" i="1"/>
  <c r="AF1964" i="1"/>
  <c r="AF1965" i="1"/>
  <c r="AF1967" i="1"/>
  <c r="AF1971" i="1"/>
  <c r="AF1973" i="1"/>
  <c r="AF1977" i="1"/>
  <c r="AF1980" i="1"/>
  <c r="AF1982" i="1"/>
  <c r="AF1983" i="1"/>
  <c r="AF1986" i="1"/>
  <c r="AF1987" i="1"/>
  <c r="AF1988" i="1"/>
  <c r="AF1990" i="1"/>
  <c r="AF1991" i="1"/>
  <c r="AF1993" i="1"/>
  <c r="AF1994" i="1"/>
  <c r="AF1996" i="1"/>
  <c r="AF1997" i="1"/>
  <c r="AF2000" i="1"/>
  <c r="AF2008" i="1"/>
  <c r="AF2010" i="1"/>
  <c r="AF2013" i="1"/>
  <c r="AF2015" i="1"/>
  <c r="AF2016" i="1"/>
  <c r="AF2017" i="1"/>
  <c r="AF2020" i="1"/>
  <c r="AF2021" i="1"/>
  <c r="AF2023" i="1"/>
  <c r="AF2024" i="1"/>
  <c r="AF2025" i="1"/>
  <c r="AF2026" i="1"/>
  <c r="AF2027" i="1"/>
  <c r="AF2029" i="1"/>
  <c r="AF2032" i="1"/>
  <c r="AF2035" i="1"/>
  <c r="AF2041" i="1"/>
  <c r="AF2044" i="1"/>
  <c r="AF2046" i="1"/>
  <c r="AF2048" i="1"/>
  <c r="AF2049" i="1"/>
  <c r="AF2050" i="1"/>
  <c r="AF2055" i="1"/>
  <c r="AF2057" i="1"/>
  <c r="AF2059" i="1"/>
  <c r="AF2060" i="1"/>
  <c r="AF2063" i="1"/>
  <c r="AF2068" i="1"/>
  <c r="AF2070" i="1"/>
  <c r="AF2072" i="1"/>
  <c r="AF2076" i="1"/>
  <c r="AF2079" i="1"/>
  <c r="AF2080" i="1"/>
  <c r="AF2081" i="1"/>
  <c r="AF2084" i="1"/>
  <c r="AF2085" i="1"/>
  <c r="AF2089" i="1"/>
  <c r="AF2091" i="1"/>
  <c r="AF2092" i="1"/>
  <c r="AF2098" i="1"/>
  <c r="AF2100" i="1"/>
  <c r="AF2102" i="1"/>
  <c r="AF2103" i="1"/>
  <c r="AF2105" i="1"/>
  <c r="AF2109" i="1"/>
  <c r="AF2117" i="1"/>
  <c r="AF2118" i="1"/>
  <c r="AF2122" i="1"/>
  <c r="AF2124" i="1"/>
  <c r="AF2125" i="1"/>
  <c r="AF2128" i="1"/>
  <c r="AF2129" i="1"/>
  <c r="AF2137" i="1"/>
  <c r="AF2140" i="1"/>
  <c r="AF2143" i="1"/>
  <c r="AF2146" i="1"/>
  <c r="AF2147" i="1"/>
  <c r="AF2150" i="1"/>
  <c r="AF2151" i="1"/>
  <c r="AF2156" i="1"/>
  <c r="AF2157" i="1"/>
  <c r="AF2158" i="1"/>
  <c r="AF2159" i="1"/>
  <c r="AF2161" i="1"/>
  <c r="AF2162" i="1"/>
  <c r="AF2168" i="1"/>
  <c r="AF2173" i="1"/>
  <c r="AF2174" i="1"/>
  <c r="AF2175" i="1"/>
  <c r="AF2176" i="1"/>
  <c r="AF2177" i="1"/>
  <c r="AF2178" i="1"/>
  <c r="AF2180" i="1"/>
  <c r="AF2184" i="1"/>
  <c r="AF2185" i="1"/>
  <c r="AF2187" i="1"/>
  <c r="AF2188" i="1"/>
  <c r="AF2192" i="1"/>
  <c r="AF2193" i="1"/>
  <c r="AF2194" i="1"/>
  <c r="AF2198" i="1"/>
  <c r="AF2200" i="1"/>
  <c r="AF2201" i="1"/>
  <c r="AF2206" i="1"/>
  <c r="AF2208" i="1"/>
  <c r="AF2210" i="1"/>
  <c r="AF2211" i="1"/>
  <c r="AF2215" i="1"/>
  <c r="AF2221" i="1"/>
  <c r="AF2225" i="1"/>
  <c r="AF2226" i="1"/>
  <c r="AF2229" i="1"/>
  <c r="AF2232" i="1"/>
  <c r="AF2236" i="1"/>
  <c r="AF2239" i="1"/>
  <c r="AF2242" i="1"/>
  <c r="AF2244" i="1"/>
  <c r="AF2245" i="1"/>
  <c r="AF2248" i="1"/>
  <c r="AF2252" i="1"/>
  <c r="AF2259" i="1"/>
  <c r="AF2264" i="1"/>
  <c r="AF2265" i="1"/>
  <c r="AF2266" i="1"/>
  <c r="AF2268" i="1"/>
  <c r="AF2275" i="1"/>
  <c r="AF2277" i="1"/>
  <c r="AF2284" i="1"/>
  <c r="AF2293" i="1"/>
  <c r="AF2296" i="1"/>
  <c r="AF2299" i="1"/>
  <c r="AF2302" i="1"/>
  <c r="AF2304" i="1"/>
  <c r="AF2309" i="1"/>
  <c r="AF2310" i="1"/>
  <c r="AF2311" i="1"/>
  <c r="AF2314" i="1"/>
  <c r="AF2317" i="1"/>
  <c r="AF2319" i="1"/>
  <c r="AF2321" i="1"/>
  <c r="AF2322" i="1"/>
  <c r="AF2325" i="1"/>
  <c r="AF2328" i="1"/>
  <c r="AF2331" i="1"/>
  <c r="AF2332" i="1"/>
  <c r="AF2334" i="1"/>
  <c r="AF2335" i="1"/>
  <c r="AF2341" i="1"/>
  <c r="AF2343" i="1"/>
  <c r="AF2344" i="1"/>
  <c r="AF2346" i="1"/>
  <c r="AF2347" i="1"/>
  <c r="AF2351" i="1"/>
  <c r="AF2352" i="1"/>
  <c r="AF2353" i="1"/>
  <c r="AF2354" i="1"/>
  <c r="AF2356" i="1"/>
  <c r="AF2361" i="1"/>
  <c r="AF2366" i="1"/>
  <c r="AF2367" i="1"/>
  <c r="AF2376" i="1"/>
  <c r="AF2385" i="1"/>
  <c r="AF2386" i="1"/>
  <c r="AF2391" i="1"/>
  <c r="AF2397" i="1"/>
  <c r="AF2400" i="1"/>
  <c r="AE3" i="1"/>
  <c r="AE5" i="1"/>
  <c r="AE6" i="1"/>
  <c r="AE7" i="1"/>
  <c r="AE16" i="1"/>
  <c r="AE17" i="1"/>
  <c r="AE18" i="1"/>
  <c r="AE21" i="1"/>
  <c r="AE22" i="1"/>
  <c r="AE27" i="1"/>
  <c r="AE28" i="1"/>
  <c r="AE33" i="1"/>
  <c r="AE34" i="1"/>
  <c r="AE35" i="1"/>
  <c r="AE37" i="1"/>
  <c r="AE47" i="1"/>
  <c r="AE53" i="1"/>
  <c r="AE56" i="1"/>
  <c r="AE57" i="1"/>
  <c r="AE58" i="1"/>
  <c r="AE66" i="1"/>
  <c r="AE67" i="1"/>
  <c r="AE68" i="1"/>
  <c r="AE69" i="1"/>
  <c r="AE72" i="1"/>
  <c r="AE73" i="1"/>
  <c r="AE74" i="1"/>
  <c r="AE75" i="1"/>
  <c r="AE78" i="1"/>
  <c r="AE81" i="1"/>
  <c r="AE84" i="1"/>
  <c r="AE86" i="1"/>
  <c r="AE87" i="1"/>
  <c r="AE88" i="1"/>
  <c r="AE92" i="1"/>
  <c r="AE93" i="1"/>
  <c r="AE94" i="1"/>
  <c r="AE95" i="1"/>
  <c r="AE96" i="1"/>
  <c r="AE98" i="1"/>
  <c r="AE99" i="1"/>
  <c r="AE100" i="1"/>
  <c r="AE103" i="1"/>
  <c r="AE104" i="1"/>
  <c r="AE105" i="1"/>
  <c r="AE106" i="1"/>
  <c r="AE108" i="1"/>
  <c r="AE110" i="1"/>
  <c r="AE111" i="1"/>
  <c r="AE113" i="1"/>
  <c r="AE114" i="1"/>
  <c r="AE115" i="1"/>
  <c r="AE118" i="1"/>
  <c r="AE120" i="1"/>
  <c r="AE122" i="1"/>
  <c r="AE123" i="1"/>
  <c r="AE125" i="1"/>
  <c r="AE127" i="1"/>
  <c r="AE129" i="1"/>
  <c r="AE130" i="1"/>
  <c r="AE133" i="1"/>
  <c r="AE137" i="1"/>
  <c r="AE139" i="1"/>
  <c r="AE141" i="1"/>
  <c r="AE142" i="1"/>
  <c r="AE143" i="1"/>
  <c r="AE145" i="1"/>
  <c r="AE146" i="1"/>
  <c r="AE147" i="1"/>
  <c r="AE149" i="1"/>
  <c r="AE151" i="1"/>
  <c r="AE152" i="1"/>
  <c r="AE153" i="1"/>
  <c r="AE155" i="1"/>
  <c r="AE156" i="1"/>
  <c r="AE157" i="1"/>
  <c r="AE162" i="1"/>
  <c r="AE167" i="1"/>
  <c r="AE168" i="1"/>
  <c r="AE171" i="1"/>
  <c r="AE173" i="1"/>
  <c r="AE174" i="1"/>
  <c r="AE176" i="1"/>
  <c r="AE178" i="1"/>
  <c r="AE180" i="1"/>
  <c r="AE188" i="1"/>
  <c r="AE189" i="1"/>
  <c r="AE191" i="1"/>
  <c r="AE193" i="1"/>
  <c r="AE195" i="1"/>
  <c r="AE197" i="1"/>
  <c r="AE198" i="1"/>
  <c r="AE199" i="1"/>
  <c r="AE200" i="1"/>
  <c r="AE201" i="1"/>
  <c r="AE204" i="1"/>
  <c r="AE208" i="1"/>
  <c r="AE212" i="1"/>
  <c r="AE213" i="1"/>
  <c r="AE215" i="1"/>
  <c r="AE217" i="1"/>
  <c r="AE220" i="1"/>
  <c r="AE228" i="1"/>
  <c r="AE231" i="1"/>
  <c r="AE234" i="1"/>
  <c r="AE235" i="1"/>
  <c r="AE236" i="1"/>
  <c r="AE237" i="1"/>
  <c r="AE238" i="1"/>
  <c r="AE241" i="1"/>
  <c r="AE248" i="1"/>
  <c r="AE250" i="1"/>
  <c r="AE251" i="1"/>
  <c r="AE257" i="1"/>
  <c r="AE261" i="1"/>
  <c r="AE264" i="1"/>
  <c r="AE265" i="1"/>
  <c r="AE266" i="1"/>
  <c r="AE267" i="1"/>
  <c r="AE270" i="1"/>
  <c r="AE272" i="1"/>
  <c r="AE273" i="1"/>
  <c r="AE274" i="1"/>
  <c r="AE276" i="1"/>
  <c r="AE281" i="1"/>
  <c r="AE283" i="1"/>
  <c r="AE285" i="1"/>
  <c r="AE286" i="1"/>
  <c r="AE287" i="1"/>
  <c r="AE289" i="1"/>
  <c r="AE290" i="1"/>
  <c r="AE291" i="1"/>
  <c r="AE292" i="1"/>
  <c r="AE298" i="1"/>
  <c r="AE299" i="1"/>
  <c r="AE300" i="1"/>
  <c r="AE304" i="1"/>
  <c r="AE309" i="1"/>
  <c r="AE311" i="1"/>
  <c r="AE312" i="1"/>
  <c r="AE313" i="1"/>
  <c r="AE314" i="1"/>
  <c r="AE315" i="1"/>
  <c r="AE318" i="1"/>
  <c r="AE319" i="1"/>
  <c r="AE324" i="1"/>
  <c r="AE325" i="1"/>
  <c r="AE327" i="1"/>
  <c r="AE328" i="1"/>
  <c r="AE329" i="1"/>
  <c r="AE330" i="1"/>
  <c r="AE333" i="1"/>
  <c r="AE334" i="1"/>
  <c r="AE336" i="1"/>
  <c r="AE337" i="1"/>
  <c r="AE339" i="1"/>
  <c r="AE341" i="1"/>
  <c r="AE342" i="1"/>
  <c r="AE346" i="1"/>
  <c r="AE349" i="1"/>
  <c r="AE350" i="1"/>
  <c r="AE353" i="1"/>
  <c r="AE355" i="1"/>
  <c r="AE357" i="1"/>
  <c r="AE358" i="1"/>
  <c r="AE360" i="1"/>
  <c r="AE363" i="1"/>
  <c r="AE364" i="1"/>
  <c r="AE365" i="1"/>
  <c r="AE366" i="1"/>
  <c r="AE367" i="1"/>
  <c r="AE368" i="1"/>
  <c r="AE372" i="1"/>
  <c r="AE374" i="1"/>
  <c r="AE375" i="1"/>
  <c r="AE376" i="1"/>
  <c r="AE380" i="1"/>
  <c r="AE383" i="1"/>
  <c r="AE384" i="1"/>
  <c r="AE386" i="1"/>
  <c r="AE390" i="1"/>
  <c r="AE391" i="1"/>
  <c r="AE394" i="1"/>
  <c r="AE395" i="1"/>
  <c r="AE402" i="1"/>
  <c r="AE406" i="1"/>
  <c r="AE409" i="1"/>
  <c r="AE411" i="1"/>
  <c r="AE418" i="1"/>
  <c r="AE420" i="1"/>
  <c r="AE421" i="1"/>
  <c r="AE422" i="1"/>
  <c r="AE423" i="1"/>
  <c r="AE424" i="1"/>
  <c r="AE427" i="1"/>
  <c r="AE431" i="1"/>
  <c r="AE436" i="1"/>
  <c r="AE438" i="1"/>
  <c r="AE439" i="1"/>
  <c r="AE442" i="1"/>
  <c r="AE446" i="1"/>
  <c r="AE448" i="1"/>
  <c r="AE449" i="1"/>
  <c r="AE450" i="1"/>
  <c r="AE451" i="1"/>
  <c r="AE456" i="1"/>
  <c r="AE458" i="1"/>
  <c r="AE460" i="1"/>
  <c r="AE461" i="1"/>
  <c r="AE463" i="1"/>
  <c r="AE465" i="1"/>
  <c r="AE466" i="1"/>
  <c r="AE469" i="1"/>
  <c r="AE471" i="1"/>
  <c r="AE473" i="1"/>
  <c r="AE474" i="1"/>
  <c r="AE478" i="1"/>
  <c r="AE482" i="1"/>
  <c r="AE483" i="1"/>
  <c r="AE487" i="1"/>
  <c r="AE488" i="1"/>
  <c r="AE495" i="1"/>
  <c r="AE497" i="1"/>
  <c r="AE500" i="1"/>
  <c r="AE503" i="1"/>
  <c r="AE504" i="1"/>
  <c r="AE509" i="1"/>
  <c r="AE510" i="1"/>
  <c r="AE513" i="1"/>
  <c r="AE514" i="1"/>
  <c r="AE515" i="1"/>
  <c r="AE516" i="1"/>
  <c r="AE518" i="1"/>
  <c r="AE519" i="1"/>
  <c r="AE521" i="1"/>
  <c r="AE522" i="1"/>
  <c r="AE524" i="1"/>
  <c r="AE528" i="1"/>
  <c r="AE531" i="1"/>
  <c r="AE532" i="1"/>
  <c r="AE539" i="1"/>
  <c r="AE541" i="1"/>
  <c r="AE544" i="1"/>
  <c r="AE546" i="1"/>
  <c r="AE548" i="1"/>
  <c r="AE550" i="1"/>
  <c r="AE553" i="1"/>
  <c r="AE555" i="1"/>
  <c r="AE557" i="1"/>
  <c r="AE558" i="1"/>
  <c r="AE559" i="1"/>
  <c r="AE563" i="1"/>
  <c r="AE565" i="1"/>
  <c r="AE567" i="1"/>
  <c r="AE569" i="1"/>
  <c r="AE571" i="1"/>
  <c r="AE575" i="1"/>
  <c r="AE576" i="1"/>
  <c r="AE578" i="1"/>
  <c r="AE581" i="1"/>
  <c r="AE582" i="1"/>
  <c r="AE583" i="1"/>
  <c r="AE584" i="1"/>
  <c r="AE585" i="1"/>
  <c r="AE586" i="1"/>
  <c r="AE588" i="1"/>
  <c r="AE592" i="1"/>
  <c r="AE593" i="1"/>
  <c r="AE594" i="1"/>
  <c r="AE595" i="1"/>
  <c r="AE597" i="1"/>
  <c r="AE599" i="1"/>
  <c r="AE602" i="1"/>
  <c r="AE603" i="1"/>
  <c r="AE604" i="1"/>
  <c r="AE605" i="1"/>
  <c r="AE606" i="1"/>
  <c r="AE607" i="1"/>
  <c r="AE608" i="1"/>
  <c r="AE609" i="1"/>
  <c r="AE610" i="1"/>
  <c r="AE615" i="1"/>
  <c r="AE619" i="1"/>
  <c r="AE622" i="1"/>
  <c r="AE624" i="1"/>
  <c r="AE625" i="1"/>
  <c r="AE631" i="1"/>
  <c r="AE633" i="1"/>
  <c r="AE640" i="1"/>
  <c r="AE643" i="1"/>
  <c r="AE644" i="1"/>
  <c r="AE653" i="1"/>
  <c r="AE654" i="1"/>
  <c r="AE656" i="1"/>
  <c r="AE663" i="1"/>
  <c r="AE664" i="1"/>
  <c r="AE668" i="1"/>
  <c r="AE677" i="1"/>
  <c r="AE679" i="1"/>
  <c r="AE680" i="1"/>
  <c r="AE681" i="1"/>
  <c r="AE683" i="1"/>
  <c r="AE689" i="1"/>
  <c r="AE690" i="1"/>
  <c r="AE693" i="1"/>
  <c r="AE698" i="1"/>
  <c r="AE700" i="1"/>
  <c r="AE701" i="1"/>
  <c r="AE702" i="1"/>
  <c r="AE704" i="1"/>
  <c r="AE705" i="1"/>
  <c r="AE706" i="1"/>
  <c r="AE708" i="1"/>
  <c r="AE712" i="1"/>
  <c r="AE716" i="1"/>
  <c r="AE720" i="1"/>
  <c r="AE722" i="1"/>
  <c r="AE723" i="1"/>
  <c r="AE725" i="1"/>
  <c r="AE726" i="1"/>
  <c r="AE727" i="1"/>
  <c r="AE729" i="1"/>
  <c r="AE730" i="1"/>
  <c r="AE731" i="1"/>
  <c r="AE732" i="1"/>
  <c r="AE739" i="1"/>
  <c r="AE745" i="1"/>
  <c r="AE746" i="1"/>
  <c r="AE747" i="1"/>
  <c r="AE754" i="1"/>
  <c r="AE757" i="1"/>
  <c r="AE758" i="1"/>
  <c r="AE764" i="1"/>
  <c r="AE765" i="1"/>
  <c r="AE766" i="1"/>
  <c r="AE772" i="1"/>
  <c r="AE777" i="1"/>
  <c r="AE781" i="1"/>
  <c r="AE785" i="1"/>
  <c r="AE787" i="1"/>
  <c r="AE788" i="1"/>
  <c r="AE790" i="1"/>
  <c r="AE791" i="1"/>
  <c r="AE792" i="1"/>
  <c r="AE794" i="1"/>
  <c r="AE796" i="1"/>
  <c r="AE798" i="1"/>
  <c r="AE799" i="1"/>
  <c r="AE800" i="1"/>
  <c r="AE801" i="1"/>
  <c r="AE805" i="1"/>
  <c r="AE809" i="1"/>
  <c r="AE811" i="1"/>
  <c r="AE813" i="1"/>
  <c r="AE814" i="1"/>
  <c r="AE817" i="1"/>
  <c r="AE820" i="1"/>
  <c r="AE822" i="1"/>
  <c r="AE825" i="1"/>
  <c r="AE826" i="1"/>
  <c r="AE827" i="1"/>
  <c r="AE829" i="1"/>
  <c r="AE830" i="1"/>
  <c r="AE832" i="1"/>
  <c r="AE842" i="1"/>
  <c r="AE843" i="1"/>
  <c r="AE849" i="1"/>
  <c r="AE851" i="1"/>
  <c r="AE854" i="1"/>
  <c r="AE855" i="1"/>
  <c r="AE858" i="1"/>
  <c r="AE859" i="1"/>
  <c r="AE863" i="1"/>
  <c r="AE866" i="1"/>
  <c r="AE867" i="1"/>
  <c r="AE869" i="1"/>
  <c r="AE870" i="1"/>
  <c r="AE877" i="1"/>
  <c r="AE880" i="1"/>
  <c r="AE884" i="1"/>
  <c r="AE892" i="1"/>
  <c r="AE894" i="1"/>
  <c r="AE896" i="1"/>
  <c r="AE897" i="1"/>
  <c r="AE899" i="1"/>
  <c r="AE901" i="1"/>
  <c r="AE902" i="1"/>
  <c r="AE904" i="1"/>
  <c r="AE905" i="1"/>
  <c r="AE906" i="1"/>
  <c r="AE907" i="1"/>
  <c r="AE908" i="1"/>
  <c r="AE912" i="1"/>
  <c r="AE913" i="1"/>
  <c r="AE916" i="1"/>
  <c r="AE918" i="1"/>
  <c r="AE919" i="1"/>
  <c r="AE920" i="1"/>
  <c r="AE923" i="1"/>
  <c r="AE924" i="1"/>
  <c r="AE926" i="1"/>
  <c r="AE927" i="1"/>
  <c r="AE928" i="1"/>
  <c r="AE930" i="1"/>
  <c r="AE933" i="1"/>
  <c r="AE935" i="1"/>
  <c r="AE936" i="1"/>
  <c r="AE938" i="1"/>
  <c r="AE946" i="1"/>
  <c r="AE949" i="1"/>
  <c r="AE951" i="1"/>
  <c r="AE955" i="1"/>
  <c r="AE956" i="1"/>
  <c r="AE957" i="1"/>
  <c r="AE958" i="1"/>
  <c r="AE961" i="1"/>
  <c r="AE962" i="1"/>
  <c r="AE964" i="1"/>
  <c r="AE969" i="1"/>
  <c r="AE970" i="1"/>
  <c r="AE971" i="1"/>
  <c r="AE972" i="1"/>
  <c r="AE981" i="1"/>
  <c r="AE982" i="1"/>
  <c r="AE986" i="1"/>
  <c r="AE987" i="1"/>
  <c r="AE990" i="1"/>
  <c r="AE993" i="1"/>
  <c r="AE995" i="1"/>
  <c r="AE999" i="1"/>
  <c r="AE1004" i="1"/>
  <c r="AE1008" i="1"/>
  <c r="AE1010" i="1"/>
  <c r="AE1011" i="1"/>
  <c r="AE1012" i="1"/>
  <c r="AE1014" i="1"/>
  <c r="AE1015" i="1"/>
  <c r="AE1017" i="1"/>
  <c r="AE1019" i="1"/>
  <c r="AE1025" i="1"/>
  <c r="AE1028" i="1"/>
  <c r="AE1034" i="1"/>
  <c r="AE1035" i="1"/>
  <c r="AE1039" i="1"/>
  <c r="AE1040" i="1"/>
  <c r="AE1041" i="1"/>
  <c r="AE1042" i="1"/>
  <c r="AE1045" i="1"/>
  <c r="AE1052" i="1"/>
  <c r="AE1053" i="1"/>
  <c r="AE1055" i="1"/>
  <c r="AE1056" i="1"/>
  <c r="AE1058" i="1"/>
  <c r="AE1063" i="1"/>
  <c r="AE1069" i="1"/>
  <c r="AE1070" i="1"/>
  <c r="AE1071" i="1"/>
  <c r="AE1073" i="1"/>
  <c r="AE1075" i="1"/>
  <c r="AE1076" i="1"/>
  <c r="AE1081" i="1"/>
  <c r="AE1085" i="1"/>
  <c r="AE1089" i="1"/>
  <c r="AE1096" i="1"/>
  <c r="AE1099" i="1"/>
  <c r="AE1100" i="1"/>
  <c r="AE1102" i="1"/>
  <c r="AE1104" i="1"/>
  <c r="AE1108" i="1"/>
  <c r="AE1110" i="1"/>
  <c r="AE1111" i="1"/>
  <c r="AE1113" i="1"/>
  <c r="AE1114" i="1"/>
  <c r="AE1118" i="1"/>
  <c r="AE1120" i="1"/>
  <c r="AE1127" i="1"/>
  <c r="AE1129" i="1"/>
  <c r="AE1131" i="1"/>
  <c r="AE1134" i="1"/>
  <c r="AE1138" i="1"/>
  <c r="AE1140" i="1"/>
  <c r="AE1142" i="1"/>
  <c r="AE1145" i="1"/>
  <c r="AE1146" i="1"/>
  <c r="AE1147" i="1"/>
  <c r="AE1148" i="1"/>
  <c r="AE1150" i="1"/>
  <c r="AE1156" i="1"/>
  <c r="AE1157" i="1"/>
  <c r="AE1159" i="1"/>
  <c r="AE1165" i="1"/>
  <c r="AE1172" i="1"/>
  <c r="AE1173" i="1"/>
  <c r="AE1175" i="1"/>
  <c r="AE1179" i="1"/>
  <c r="AE1181" i="1"/>
  <c r="AE1190" i="1"/>
  <c r="AE1191" i="1"/>
  <c r="AE1196" i="1"/>
  <c r="AE1200" i="1"/>
  <c r="AE1201" i="1"/>
  <c r="AE1203" i="1"/>
  <c r="AE1207" i="1"/>
  <c r="AE1221" i="1"/>
  <c r="AE1229" i="1"/>
  <c r="AE1232" i="1"/>
  <c r="AE1233" i="1"/>
  <c r="AE1234" i="1"/>
  <c r="AE1236" i="1"/>
  <c r="AE1237" i="1"/>
  <c r="AE1238" i="1"/>
  <c r="AE1239" i="1"/>
  <c r="AE1240" i="1"/>
  <c r="AE1248" i="1"/>
  <c r="AE1249" i="1"/>
  <c r="AE1251" i="1"/>
  <c r="AE1257" i="1"/>
  <c r="AE1264" i="1"/>
  <c r="AE1266" i="1"/>
  <c r="AE1269" i="1"/>
  <c r="AE1273" i="1"/>
  <c r="AE1274" i="1"/>
  <c r="AE1279" i="1"/>
  <c r="AE1281" i="1"/>
  <c r="AE1284" i="1"/>
  <c r="AE1287" i="1"/>
  <c r="AE1290" i="1"/>
  <c r="AE1291" i="1"/>
  <c r="AE1293" i="1"/>
  <c r="AE1298" i="1"/>
  <c r="AE1299" i="1"/>
  <c r="AE1301" i="1"/>
  <c r="AE1302" i="1"/>
  <c r="AE1303" i="1"/>
  <c r="AE1313" i="1"/>
  <c r="AE1316" i="1"/>
  <c r="AE1319" i="1"/>
  <c r="AE1325" i="1"/>
  <c r="AE1329" i="1"/>
  <c r="AE1330" i="1"/>
  <c r="AE1333" i="1"/>
  <c r="AE1335" i="1"/>
  <c r="AE1338" i="1"/>
  <c r="AE1341" i="1"/>
  <c r="AE1342" i="1"/>
  <c r="AE1343" i="1"/>
  <c r="AE1345" i="1"/>
  <c r="AE1346" i="1"/>
  <c r="AE1351" i="1"/>
  <c r="AE1356" i="1"/>
  <c r="AE1358" i="1"/>
  <c r="AE1367" i="1"/>
  <c r="AE1368" i="1"/>
  <c r="AE1371" i="1"/>
  <c r="AE1372" i="1"/>
  <c r="AE1373" i="1"/>
  <c r="AE1377" i="1"/>
  <c r="AE1378" i="1"/>
  <c r="AE1380" i="1"/>
  <c r="AE1385" i="1"/>
  <c r="AE1387" i="1"/>
  <c r="AE1389" i="1"/>
  <c r="AE1390" i="1"/>
  <c r="AE1392" i="1"/>
  <c r="AE1397" i="1"/>
  <c r="AE1400" i="1"/>
  <c r="AE1404" i="1"/>
  <c r="AE1411" i="1"/>
  <c r="AE1412" i="1"/>
  <c r="AE1414" i="1"/>
  <c r="AE1420" i="1"/>
  <c r="AE1423" i="1"/>
  <c r="AE1425" i="1"/>
  <c r="AE1427" i="1"/>
  <c r="AE1429" i="1"/>
  <c r="AE1430" i="1"/>
  <c r="AE1434" i="1"/>
  <c r="AE1436" i="1"/>
  <c r="AE1441" i="1"/>
  <c r="AE1442" i="1"/>
  <c r="AE1443" i="1"/>
  <c r="AE1449" i="1"/>
  <c r="AE1450" i="1"/>
  <c r="AE1460" i="1"/>
  <c r="AE1468" i="1"/>
  <c r="AE1470" i="1"/>
  <c r="AE1471" i="1"/>
  <c r="AE1474" i="1"/>
  <c r="AE1475" i="1"/>
  <c r="AE1476" i="1"/>
  <c r="AE1477" i="1"/>
  <c r="AE1482" i="1"/>
  <c r="AE1493" i="1"/>
  <c r="AE1495" i="1"/>
  <c r="AE1496" i="1"/>
  <c r="AE1499" i="1"/>
  <c r="AE1502" i="1"/>
  <c r="AE1505" i="1"/>
  <c r="AE1507" i="1"/>
  <c r="AE1520" i="1"/>
  <c r="AE1522" i="1"/>
  <c r="AE1523" i="1"/>
  <c r="AE1524" i="1"/>
  <c r="AE1531" i="1"/>
  <c r="AE1532" i="1"/>
  <c r="AE1533" i="1"/>
  <c r="AE1535" i="1"/>
  <c r="AE1536" i="1"/>
  <c r="AE1537" i="1"/>
  <c r="AE1544" i="1"/>
  <c r="AE1546" i="1"/>
  <c r="AE1553" i="1"/>
  <c r="AE1557" i="1"/>
  <c r="AE1561" i="1"/>
  <c r="AE1564" i="1"/>
  <c r="AE1565" i="1"/>
  <c r="AE1566" i="1"/>
  <c r="AE1569" i="1"/>
  <c r="AE1573" i="1"/>
  <c r="AE1576" i="1"/>
  <c r="AE1577" i="1"/>
  <c r="AE1579" i="1"/>
  <c r="AE1581" i="1"/>
  <c r="AE1585" i="1"/>
  <c r="AE1587" i="1"/>
  <c r="AE1590" i="1"/>
  <c r="AE1591" i="1"/>
  <c r="AE1595" i="1"/>
  <c r="AE1596" i="1"/>
  <c r="AE1598" i="1"/>
  <c r="AE1599" i="1"/>
  <c r="AE1601" i="1"/>
  <c r="AE1605" i="1"/>
  <c r="AE1608" i="1"/>
  <c r="AE1612" i="1"/>
  <c r="AE1615" i="1"/>
  <c r="AE1617" i="1"/>
  <c r="AE1619" i="1"/>
  <c r="AE1621" i="1"/>
  <c r="AE1627" i="1"/>
  <c r="AE1633" i="1"/>
  <c r="AE1635" i="1"/>
  <c r="AE1639" i="1"/>
  <c r="AE1640" i="1"/>
  <c r="AE1641" i="1"/>
  <c r="AE1642" i="1"/>
  <c r="AE1645" i="1"/>
  <c r="AE1647" i="1"/>
  <c r="AE1651" i="1"/>
  <c r="AE1653" i="1"/>
  <c r="AE1654" i="1"/>
  <c r="AE1657" i="1"/>
  <c r="AE1661" i="1"/>
  <c r="AE1662" i="1"/>
  <c r="AE1663" i="1"/>
  <c r="AE1667" i="1"/>
  <c r="AE1670" i="1"/>
  <c r="AE1674" i="1"/>
  <c r="AE1675" i="1"/>
  <c r="AE1679" i="1"/>
  <c r="AE1680" i="1"/>
  <c r="AE1681" i="1"/>
  <c r="AE1685" i="1"/>
  <c r="AE1686" i="1"/>
  <c r="AE1690" i="1"/>
  <c r="AE1691" i="1"/>
  <c r="AE1695" i="1"/>
  <c r="AE1696" i="1"/>
  <c r="AE1697" i="1"/>
  <c r="AE1698" i="1"/>
  <c r="AE1699" i="1"/>
  <c r="AE1705" i="1"/>
  <c r="AE1711" i="1"/>
  <c r="AE1713" i="1"/>
  <c r="AE1714" i="1"/>
  <c r="AE1717" i="1"/>
  <c r="AE1718" i="1"/>
  <c r="AE1727" i="1"/>
  <c r="AE1729" i="1"/>
  <c r="AE1732" i="1"/>
  <c r="AE1738" i="1"/>
  <c r="AE1739" i="1"/>
  <c r="AE1740" i="1"/>
  <c r="AE1742" i="1"/>
  <c r="AE1746" i="1"/>
  <c r="AE1747" i="1"/>
  <c r="AE1749" i="1"/>
  <c r="AE1750" i="1"/>
  <c r="AE1751" i="1"/>
  <c r="AE1754" i="1"/>
  <c r="AE1762" i="1"/>
  <c r="AE1766" i="1"/>
  <c r="AE1768" i="1"/>
  <c r="AE1775" i="1"/>
  <c r="AE1779" i="1"/>
  <c r="AE1782" i="1"/>
  <c r="AE1787" i="1"/>
  <c r="AE1788" i="1"/>
  <c r="AE1793" i="1"/>
  <c r="AE1798" i="1"/>
  <c r="AE1799" i="1"/>
  <c r="AE1801" i="1"/>
  <c r="AE1804" i="1"/>
  <c r="AE1806" i="1"/>
  <c r="AE1808" i="1"/>
  <c r="AE1814" i="1"/>
  <c r="AE1815" i="1"/>
  <c r="AE1818" i="1"/>
  <c r="AE1820" i="1"/>
  <c r="AE1821" i="1"/>
  <c r="AE1825" i="1"/>
  <c r="AE1827" i="1"/>
  <c r="AE1828" i="1"/>
  <c r="AE1829" i="1"/>
  <c r="AE1831" i="1"/>
  <c r="AE1832" i="1"/>
  <c r="AE1834" i="1"/>
  <c r="AE1836" i="1"/>
  <c r="AE1840" i="1"/>
  <c r="AE1842" i="1"/>
  <c r="AE1846" i="1"/>
  <c r="AE1847" i="1"/>
  <c r="AE1848" i="1"/>
  <c r="AE1852" i="1"/>
  <c r="AE1854" i="1"/>
  <c r="AE1860" i="1"/>
  <c r="AE1861" i="1"/>
  <c r="AE1866" i="1"/>
  <c r="AE1869" i="1"/>
  <c r="AE1870" i="1"/>
  <c r="AE1871" i="1"/>
  <c r="AE1876" i="1"/>
  <c r="AE1881" i="1"/>
  <c r="AE1886" i="1"/>
  <c r="AE1887" i="1"/>
  <c r="AE1890" i="1"/>
  <c r="AE1905" i="1"/>
  <c r="AE1915" i="1"/>
  <c r="AE1918" i="1"/>
  <c r="AE1924" i="1"/>
  <c r="AE1935" i="1"/>
  <c r="AE1936" i="1"/>
  <c r="AE1945" i="1"/>
  <c r="AE1957" i="1"/>
  <c r="AE1958" i="1"/>
  <c r="AE1960" i="1"/>
  <c r="AE1964" i="1"/>
  <c r="AE1965" i="1"/>
  <c r="AE1967" i="1"/>
  <c r="AE1971" i="1"/>
  <c r="AE1973" i="1"/>
  <c r="AE1977" i="1"/>
  <c r="AE1980" i="1"/>
  <c r="AE1982" i="1"/>
  <c r="AE1983" i="1"/>
  <c r="AE1986" i="1"/>
  <c r="AE1987" i="1"/>
  <c r="AE1988" i="1"/>
  <c r="AE1990" i="1"/>
  <c r="AE1991" i="1"/>
  <c r="AE1993" i="1"/>
  <c r="AE1994" i="1"/>
  <c r="AE1996" i="1"/>
  <c r="AE1997" i="1"/>
  <c r="AE2000" i="1"/>
  <c r="AE2008" i="1"/>
  <c r="AE2010" i="1"/>
  <c r="AE2013" i="1"/>
  <c r="AE2015" i="1"/>
  <c r="AE2016" i="1"/>
  <c r="AE2017" i="1"/>
  <c r="AE2020" i="1"/>
  <c r="AE2021" i="1"/>
  <c r="AE2023" i="1"/>
  <c r="AE2024" i="1"/>
  <c r="AE2025" i="1"/>
  <c r="AE2026" i="1"/>
  <c r="AE2027" i="1"/>
  <c r="AE2029" i="1"/>
  <c r="AE2032" i="1"/>
  <c r="AE2035" i="1"/>
  <c r="AE2041" i="1"/>
  <c r="AE2044" i="1"/>
  <c r="AE2046" i="1"/>
  <c r="AE2048" i="1"/>
  <c r="AE2049" i="1"/>
  <c r="AE2050" i="1"/>
  <c r="AE2055" i="1"/>
  <c r="AE2057" i="1"/>
  <c r="AE2059" i="1"/>
  <c r="AE2060" i="1"/>
  <c r="AE2063" i="1"/>
  <c r="AE2068" i="1"/>
  <c r="AE2070" i="1"/>
  <c r="AE2072" i="1"/>
  <c r="AE2076" i="1"/>
  <c r="AE2079" i="1"/>
  <c r="AE2080" i="1"/>
  <c r="AE2081" i="1"/>
  <c r="AE2084" i="1"/>
  <c r="AE2085" i="1"/>
  <c r="AE2089" i="1"/>
  <c r="AE2091" i="1"/>
  <c r="AE2092" i="1"/>
  <c r="AE2098" i="1"/>
  <c r="AE2100" i="1"/>
  <c r="AE2102" i="1"/>
  <c r="AE2103" i="1"/>
  <c r="AE2105" i="1"/>
  <c r="AE2109" i="1"/>
  <c r="AE2117" i="1"/>
  <c r="AE2118" i="1"/>
  <c r="AE2122" i="1"/>
  <c r="AE2124" i="1"/>
  <c r="AE2125" i="1"/>
  <c r="AE2128" i="1"/>
  <c r="AE2129" i="1"/>
  <c r="AE2137" i="1"/>
  <c r="AE2140" i="1"/>
  <c r="AE2143" i="1"/>
  <c r="AE2146" i="1"/>
  <c r="AE2147" i="1"/>
  <c r="AE2150" i="1"/>
  <c r="AE2151" i="1"/>
  <c r="AE2156" i="1"/>
  <c r="AE2157" i="1"/>
  <c r="AE2158" i="1"/>
  <c r="AE2159" i="1"/>
  <c r="AE2161" i="1"/>
  <c r="AE2162" i="1"/>
  <c r="AE2168" i="1"/>
  <c r="AE2173" i="1"/>
  <c r="AE2174" i="1"/>
  <c r="AE2175" i="1"/>
  <c r="AE2176" i="1"/>
  <c r="AE2177" i="1"/>
  <c r="AE2178" i="1"/>
  <c r="AE2180" i="1"/>
  <c r="AE2184" i="1"/>
  <c r="AE2185" i="1"/>
  <c r="AE2187" i="1"/>
  <c r="AE2188" i="1"/>
  <c r="AE2192" i="1"/>
  <c r="AE2193" i="1"/>
  <c r="AE2194" i="1"/>
  <c r="AE2198" i="1"/>
  <c r="AE2200" i="1"/>
  <c r="AE2201" i="1"/>
  <c r="AE2206" i="1"/>
  <c r="AE2208" i="1"/>
  <c r="AE2210" i="1"/>
  <c r="AE2211" i="1"/>
  <c r="AE2215" i="1"/>
  <c r="AE2221" i="1"/>
  <c r="AE2225" i="1"/>
  <c r="AE2226" i="1"/>
  <c r="AE2229" i="1"/>
  <c r="AE2232" i="1"/>
  <c r="AE2236" i="1"/>
  <c r="AE2239" i="1"/>
  <c r="AE2242" i="1"/>
  <c r="AE2244" i="1"/>
  <c r="AE2245" i="1"/>
  <c r="AE2248" i="1"/>
  <c r="AE2252" i="1"/>
  <c r="AE2259" i="1"/>
  <c r="AE2264" i="1"/>
  <c r="AE2265" i="1"/>
  <c r="AE2266" i="1"/>
  <c r="AE2268" i="1"/>
  <c r="AE2275" i="1"/>
  <c r="AE2277" i="1"/>
  <c r="AE2284" i="1"/>
  <c r="AE2293" i="1"/>
  <c r="AE2296" i="1"/>
  <c r="AE2299" i="1"/>
  <c r="AE2302" i="1"/>
  <c r="AE2304" i="1"/>
  <c r="AE2309" i="1"/>
  <c r="AE2310" i="1"/>
  <c r="AE2311" i="1"/>
  <c r="AE2314" i="1"/>
  <c r="AE2317" i="1"/>
  <c r="AE2319" i="1"/>
  <c r="AE2321" i="1"/>
  <c r="AE2322" i="1"/>
  <c r="AE2325" i="1"/>
  <c r="AE2328" i="1"/>
  <c r="AE2331" i="1"/>
  <c r="AE2332" i="1"/>
  <c r="AE2334" i="1"/>
  <c r="AE2335" i="1"/>
  <c r="AE2341" i="1"/>
  <c r="AE2343" i="1"/>
  <c r="AE2344" i="1"/>
  <c r="AE2346" i="1"/>
  <c r="AE2347" i="1"/>
  <c r="AE2351" i="1"/>
  <c r="AE2352" i="1"/>
  <c r="AE2353" i="1"/>
  <c r="AE2354" i="1"/>
  <c r="AE2356" i="1"/>
  <c r="AE2361" i="1"/>
  <c r="AE2366" i="1"/>
  <c r="AE2367" i="1"/>
  <c r="AE2376" i="1"/>
  <c r="AE2385" i="1"/>
  <c r="AE2386" i="1"/>
  <c r="AE2391" i="1"/>
  <c r="AE2397" i="1"/>
  <c r="AE2400" i="1"/>
  <c r="AC3" i="1"/>
  <c r="AC5" i="1"/>
  <c r="AC6" i="1"/>
  <c r="AC7" i="1"/>
  <c r="AC16" i="1"/>
  <c r="AC17" i="1"/>
  <c r="AC18" i="1"/>
  <c r="AC21" i="1"/>
  <c r="AC22" i="1"/>
  <c r="AC27" i="1"/>
  <c r="AC28" i="1"/>
  <c r="AC33" i="1"/>
  <c r="AC34" i="1"/>
  <c r="AC35" i="1"/>
  <c r="AC37" i="1"/>
  <c r="AC47" i="1"/>
  <c r="AC53" i="1"/>
  <c r="AC56" i="1"/>
  <c r="AC57" i="1"/>
  <c r="AC58" i="1"/>
  <c r="AC66" i="1"/>
  <c r="AC67" i="1"/>
  <c r="AC68" i="1"/>
  <c r="AC69" i="1"/>
  <c r="AC72" i="1"/>
  <c r="AC73" i="1"/>
  <c r="AC74" i="1"/>
  <c r="AC75" i="1"/>
  <c r="AC78" i="1"/>
  <c r="AC81" i="1"/>
  <c r="AC84" i="1"/>
  <c r="AC86" i="1"/>
  <c r="AC87" i="1"/>
  <c r="AC88" i="1"/>
  <c r="AC92" i="1"/>
  <c r="AC93" i="1"/>
  <c r="AC94" i="1"/>
  <c r="AC95" i="1"/>
  <c r="AC96" i="1"/>
  <c r="AC98" i="1"/>
  <c r="AC99" i="1"/>
  <c r="AC100" i="1"/>
  <c r="AC103" i="1"/>
  <c r="AC104" i="1"/>
  <c r="AC105" i="1"/>
  <c r="AC106" i="1"/>
  <c r="AC108" i="1"/>
  <c r="AC110" i="1"/>
  <c r="AC111" i="1"/>
  <c r="AC113" i="1"/>
  <c r="AC114" i="1"/>
  <c r="AC115" i="1"/>
  <c r="AC118" i="1"/>
  <c r="AC120" i="1"/>
  <c r="AC122" i="1"/>
  <c r="AC123" i="1"/>
  <c r="AC125" i="1"/>
  <c r="AC127" i="1"/>
  <c r="AC129" i="1"/>
  <c r="AC130" i="1"/>
  <c r="AC133" i="1"/>
  <c r="AC137" i="1"/>
  <c r="AC139" i="1"/>
  <c r="AC141" i="1"/>
  <c r="AC142" i="1"/>
  <c r="AC143" i="1"/>
  <c r="AC145" i="1"/>
  <c r="AC146" i="1"/>
  <c r="AC147" i="1"/>
  <c r="AC149" i="1"/>
  <c r="AC151" i="1"/>
  <c r="AC152" i="1"/>
  <c r="AC153" i="1"/>
  <c r="AC155" i="1"/>
  <c r="AC156" i="1"/>
  <c r="AC157" i="1"/>
  <c r="AC162" i="1"/>
  <c r="AC167" i="1"/>
  <c r="AC168" i="1"/>
  <c r="AC171" i="1"/>
  <c r="AC173" i="1"/>
  <c r="AC174" i="1"/>
  <c r="AC176" i="1"/>
  <c r="AC178" i="1"/>
  <c r="AC180" i="1"/>
  <c r="AC188" i="1"/>
  <c r="AC189" i="1"/>
  <c r="AC191" i="1"/>
  <c r="AC193" i="1"/>
  <c r="AC195" i="1"/>
  <c r="AC197" i="1"/>
  <c r="AC198" i="1"/>
  <c r="AC199" i="1"/>
  <c r="AC200" i="1"/>
  <c r="AC201" i="1"/>
  <c r="AC204" i="1"/>
  <c r="AC208" i="1"/>
  <c r="AC212" i="1"/>
  <c r="AC213" i="1"/>
  <c r="AC215" i="1"/>
  <c r="AC217" i="1"/>
  <c r="AC220" i="1"/>
  <c r="AC228" i="1"/>
  <c r="AC231" i="1"/>
  <c r="AC234" i="1"/>
  <c r="AC235" i="1"/>
  <c r="AC236" i="1"/>
  <c r="AC237" i="1"/>
  <c r="AC238" i="1"/>
  <c r="AC241" i="1"/>
  <c r="AC248" i="1"/>
  <c r="AC250" i="1"/>
  <c r="AC251" i="1"/>
  <c r="AC257" i="1"/>
  <c r="AC261" i="1"/>
  <c r="AC264" i="1"/>
  <c r="AC265" i="1"/>
  <c r="AC266" i="1"/>
  <c r="AC267" i="1"/>
  <c r="AC270" i="1"/>
  <c r="AC272" i="1"/>
  <c r="AC273" i="1"/>
  <c r="AC274" i="1"/>
  <c r="AC276" i="1"/>
  <c r="AC281" i="1"/>
  <c r="AC283" i="1"/>
  <c r="AC285" i="1"/>
  <c r="AC286" i="1"/>
  <c r="AC287" i="1"/>
  <c r="AC289" i="1"/>
  <c r="AC290" i="1"/>
  <c r="AC291" i="1"/>
  <c r="AC292" i="1"/>
  <c r="AC298" i="1"/>
  <c r="AC299" i="1"/>
  <c r="AC300" i="1"/>
  <c r="AC304" i="1"/>
  <c r="AC309" i="1"/>
  <c r="AC311" i="1"/>
  <c r="AC312" i="1"/>
  <c r="AC313" i="1"/>
  <c r="AC314" i="1"/>
  <c r="AC315" i="1"/>
  <c r="AC318" i="1"/>
  <c r="AC319" i="1"/>
  <c r="AC324" i="1"/>
  <c r="AC325" i="1"/>
  <c r="AC327" i="1"/>
  <c r="AC328" i="1"/>
  <c r="AC329" i="1"/>
  <c r="AC330" i="1"/>
  <c r="AC333" i="1"/>
  <c r="AC334" i="1"/>
  <c r="AC336" i="1"/>
  <c r="AC337" i="1"/>
  <c r="AC339" i="1"/>
  <c r="AC341" i="1"/>
  <c r="AC342" i="1"/>
  <c r="AC346" i="1"/>
  <c r="AC349" i="1"/>
  <c r="AC350" i="1"/>
  <c r="AC353" i="1"/>
  <c r="AC355" i="1"/>
  <c r="AC357" i="1"/>
  <c r="AC358" i="1"/>
  <c r="AC360" i="1"/>
  <c r="AC363" i="1"/>
  <c r="AC364" i="1"/>
  <c r="AC365" i="1"/>
  <c r="AC366" i="1"/>
  <c r="AC367" i="1"/>
  <c r="AC368" i="1"/>
  <c r="AC372" i="1"/>
  <c r="AC374" i="1"/>
  <c r="AC375" i="1"/>
  <c r="AC376" i="1"/>
  <c r="AC380" i="1"/>
  <c r="AC383" i="1"/>
  <c r="AC384" i="1"/>
  <c r="AC386" i="1"/>
  <c r="AC390" i="1"/>
  <c r="AC391" i="1"/>
  <c r="AC394" i="1"/>
  <c r="AC395" i="1"/>
  <c r="AC402" i="1"/>
  <c r="AC406" i="1"/>
  <c r="AC409" i="1"/>
  <c r="AC411" i="1"/>
  <c r="AC418" i="1"/>
  <c r="AC420" i="1"/>
  <c r="AC421" i="1"/>
  <c r="AC422" i="1"/>
  <c r="AC423" i="1"/>
  <c r="AC424" i="1"/>
  <c r="AC427" i="1"/>
  <c r="AC431" i="1"/>
  <c r="AC436" i="1"/>
  <c r="AC438" i="1"/>
  <c r="AC439" i="1"/>
  <c r="AC442" i="1"/>
  <c r="AC446" i="1"/>
  <c r="AC448" i="1"/>
  <c r="AC449" i="1"/>
  <c r="AC450" i="1"/>
  <c r="AC451" i="1"/>
  <c r="AC456" i="1"/>
  <c r="AC458" i="1"/>
  <c r="AC460" i="1"/>
  <c r="AC461" i="1"/>
  <c r="AC463" i="1"/>
  <c r="AC465" i="1"/>
  <c r="AC466" i="1"/>
  <c r="AC469" i="1"/>
  <c r="AC471" i="1"/>
  <c r="AC473" i="1"/>
  <c r="AC474" i="1"/>
  <c r="AC478" i="1"/>
  <c r="AC482" i="1"/>
  <c r="AC483" i="1"/>
  <c r="AC487" i="1"/>
  <c r="AC488" i="1"/>
  <c r="AC495" i="1"/>
  <c r="AC497" i="1"/>
  <c r="AC500" i="1"/>
  <c r="AC503" i="1"/>
  <c r="AC504" i="1"/>
  <c r="AC509" i="1"/>
  <c r="AC510" i="1"/>
  <c r="AC513" i="1"/>
  <c r="AC514" i="1"/>
  <c r="AC515" i="1"/>
  <c r="AC516" i="1"/>
  <c r="AC518" i="1"/>
  <c r="AC519" i="1"/>
  <c r="AC521" i="1"/>
  <c r="AC522" i="1"/>
  <c r="AC524" i="1"/>
  <c r="AC528" i="1"/>
  <c r="AC531" i="1"/>
  <c r="AC532" i="1"/>
  <c r="AC539" i="1"/>
  <c r="AC541" i="1"/>
  <c r="AC544" i="1"/>
  <c r="AC546" i="1"/>
  <c r="AC548" i="1"/>
  <c r="AC550" i="1"/>
  <c r="AC553" i="1"/>
  <c r="AC555" i="1"/>
  <c r="AC557" i="1"/>
  <c r="AC558" i="1"/>
  <c r="AC559" i="1"/>
  <c r="AC563" i="1"/>
  <c r="AC565" i="1"/>
  <c r="AC567" i="1"/>
  <c r="AC569" i="1"/>
  <c r="AC571" i="1"/>
  <c r="AC575" i="1"/>
  <c r="AC576" i="1"/>
  <c r="AC578" i="1"/>
  <c r="AC581" i="1"/>
  <c r="AC582" i="1"/>
  <c r="AC583" i="1"/>
  <c r="AC584" i="1"/>
  <c r="AC585" i="1"/>
  <c r="AC586" i="1"/>
  <c r="AC588" i="1"/>
  <c r="AC592" i="1"/>
  <c r="AC593" i="1"/>
  <c r="AC594" i="1"/>
  <c r="AC595" i="1"/>
  <c r="AC597" i="1"/>
  <c r="AC599" i="1"/>
  <c r="AC602" i="1"/>
  <c r="AC603" i="1"/>
  <c r="AC604" i="1"/>
  <c r="AC605" i="1"/>
  <c r="AC606" i="1"/>
  <c r="AC607" i="1"/>
  <c r="AC608" i="1"/>
  <c r="AC609" i="1"/>
  <c r="AC610" i="1"/>
  <c r="AC615" i="1"/>
  <c r="AC619" i="1"/>
  <c r="AC622" i="1"/>
  <c r="AC624" i="1"/>
  <c r="AC625" i="1"/>
  <c r="AC631" i="1"/>
  <c r="AC633" i="1"/>
  <c r="AC640" i="1"/>
  <c r="AC643" i="1"/>
  <c r="AC644" i="1"/>
  <c r="AC653" i="1"/>
  <c r="AC654" i="1"/>
  <c r="AC656" i="1"/>
  <c r="AC663" i="1"/>
  <c r="AC664" i="1"/>
  <c r="AC668" i="1"/>
  <c r="AC677" i="1"/>
  <c r="AC679" i="1"/>
  <c r="AC680" i="1"/>
  <c r="AC681" i="1"/>
  <c r="AC683" i="1"/>
  <c r="AC689" i="1"/>
  <c r="AC690" i="1"/>
  <c r="AC693" i="1"/>
  <c r="AC698" i="1"/>
  <c r="AC700" i="1"/>
  <c r="AC701" i="1"/>
  <c r="AC702" i="1"/>
  <c r="AC704" i="1"/>
  <c r="AC705" i="1"/>
  <c r="AC706" i="1"/>
  <c r="AC708" i="1"/>
  <c r="AC712" i="1"/>
  <c r="AC716" i="1"/>
  <c r="AC720" i="1"/>
  <c r="AC722" i="1"/>
  <c r="AC723" i="1"/>
  <c r="AC725" i="1"/>
  <c r="AC726" i="1"/>
  <c r="AC727" i="1"/>
  <c r="AC729" i="1"/>
  <c r="AC730" i="1"/>
  <c r="AC731" i="1"/>
  <c r="AC732" i="1"/>
  <c r="AC739" i="1"/>
  <c r="AC745" i="1"/>
  <c r="AC746" i="1"/>
  <c r="AC747" i="1"/>
  <c r="AC754" i="1"/>
  <c r="AC757" i="1"/>
  <c r="AC758" i="1"/>
  <c r="AC764" i="1"/>
  <c r="AC765" i="1"/>
  <c r="AC766" i="1"/>
  <c r="AC772" i="1"/>
  <c r="AC777" i="1"/>
  <c r="AC781" i="1"/>
  <c r="AC785" i="1"/>
  <c r="AC787" i="1"/>
  <c r="AC788" i="1"/>
  <c r="AC790" i="1"/>
  <c r="AC791" i="1"/>
  <c r="AC792" i="1"/>
  <c r="AC794" i="1"/>
  <c r="AC796" i="1"/>
  <c r="AC798" i="1"/>
  <c r="AC799" i="1"/>
  <c r="AC800" i="1"/>
  <c r="AC801" i="1"/>
  <c r="AC805" i="1"/>
  <c r="AC809" i="1"/>
  <c r="AC811" i="1"/>
  <c r="AC813" i="1"/>
  <c r="AC814" i="1"/>
  <c r="AC817" i="1"/>
  <c r="AC820" i="1"/>
  <c r="AC822" i="1"/>
  <c r="AC825" i="1"/>
  <c r="AC826" i="1"/>
  <c r="AC827" i="1"/>
  <c r="AC829" i="1"/>
  <c r="AC830" i="1"/>
  <c r="AC832" i="1"/>
  <c r="AC842" i="1"/>
  <c r="AC843" i="1"/>
  <c r="AC849" i="1"/>
  <c r="AC851" i="1"/>
  <c r="AC854" i="1"/>
  <c r="AC855" i="1"/>
  <c r="AC858" i="1"/>
  <c r="AC859" i="1"/>
  <c r="AC863" i="1"/>
  <c r="AC866" i="1"/>
  <c r="AC867" i="1"/>
  <c r="AC869" i="1"/>
  <c r="AC870" i="1"/>
  <c r="AC877" i="1"/>
  <c r="AC880" i="1"/>
  <c r="AC884" i="1"/>
  <c r="AC892" i="1"/>
  <c r="AC894" i="1"/>
  <c r="AC896" i="1"/>
  <c r="AC897" i="1"/>
  <c r="AC899" i="1"/>
  <c r="AC901" i="1"/>
  <c r="AC902" i="1"/>
  <c r="AC904" i="1"/>
  <c r="AC905" i="1"/>
  <c r="AC906" i="1"/>
  <c r="AC907" i="1"/>
  <c r="AC908" i="1"/>
  <c r="AC912" i="1"/>
  <c r="AC913" i="1"/>
  <c r="AC916" i="1"/>
  <c r="AC918" i="1"/>
  <c r="AC919" i="1"/>
  <c r="AC920" i="1"/>
  <c r="AC923" i="1"/>
  <c r="AC924" i="1"/>
  <c r="AC926" i="1"/>
  <c r="AC927" i="1"/>
  <c r="AC928" i="1"/>
  <c r="AC930" i="1"/>
  <c r="AC933" i="1"/>
  <c r="AC935" i="1"/>
  <c r="AC936" i="1"/>
  <c r="AC938" i="1"/>
  <c r="AC946" i="1"/>
  <c r="AC949" i="1"/>
  <c r="AC951" i="1"/>
  <c r="AC955" i="1"/>
  <c r="AC956" i="1"/>
  <c r="AC957" i="1"/>
  <c r="AC958" i="1"/>
  <c r="AC961" i="1"/>
  <c r="AC962" i="1"/>
  <c r="AC964" i="1"/>
  <c r="AC969" i="1"/>
  <c r="AC970" i="1"/>
  <c r="AC971" i="1"/>
  <c r="AC972" i="1"/>
  <c r="AC981" i="1"/>
  <c r="AC982" i="1"/>
  <c r="AC986" i="1"/>
  <c r="AC987" i="1"/>
  <c r="AC990" i="1"/>
  <c r="AC993" i="1"/>
  <c r="AC995" i="1"/>
  <c r="AC999" i="1"/>
  <c r="AC1004" i="1"/>
  <c r="AC1008" i="1"/>
  <c r="AC1010" i="1"/>
  <c r="AC1011" i="1"/>
  <c r="AC1012" i="1"/>
  <c r="AC1014" i="1"/>
  <c r="AC1015" i="1"/>
  <c r="AC1017" i="1"/>
  <c r="AC1019" i="1"/>
  <c r="AC1025" i="1"/>
  <c r="AC1028" i="1"/>
  <c r="AC1034" i="1"/>
  <c r="AC1035" i="1"/>
  <c r="AC1039" i="1"/>
  <c r="AC1040" i="1"/>
  <c r="AC1041" i="1"/>
  <c r="AC1042" i="1"/>
  <c r="AC1045" i="1"/>
  <c r="AC1052" i="1"/>
  <c r="AC1053" i="1"/>
  <c r="AC1055" i="1"/>
  <c r="AC1056" i="1"/>
  <c r="AC1058" i="1"/>
  <c r="AC1063" i="1"/>
  <c r="AC1069" i="1"/>
  <c r="AC1070" i="1"/>
  <c r="AC1071" i="1"/>
  <c r="AC1073" i="1"/>
  <c r="AC1075" i="1"/>
  <c r="AC1076" i="1"/>
  <c r="AC1081" i="1"/>
  <c r="AC1085" i="1"/>
  <c r="AC1089" i="1"/>
  <c r="AC1096" i="1"/>
  <c r="AC1099" i="1"/>
  <c r="AC1100" i="1"/>
  <c r="AC1102" i="1"/>
  <c r="AC1104" i="1"/>
  <c r="AC1108" i="1"/>
  <c r="AC1110" i="1"/>
  <c r="AC1111" i="1"/>
  <c r="AC1113" i="1"/>
  <c r="AC1114" i="1"/>
  <c r="AC1118" i="1"/>
  <c r="AC1120" i="1"/>
  <c r="AC1127" i="1"/>
  <c r="AC1129" i="1"/>
  <c r="AC1131" i="1"/>
  <c r="AC1134" i="1"/>
  <c r="AC1138" i="1"/>
  <c r="AC1140" i="1"/>
  <c r="AC1142" i="1"/>
  <c r="AC1145" i="1"/>
  <c r="AC1146" i="1"/>
  <c r="AC1147" i="1"/>
  <c r="AC1148" i="1"/>
  <c r="AC1150" i="1"/>
  <c r="AC1156" i="1"/>
  <c r="AC1157" i="1"/>
  <c r="AC1159" i="1"/>
  <c r="AC1165" i="1"/>
  <c r="AC1172" i="1"/>
  <c r="AC1173" i="1"/>
  <c r="AC1175" i="1"/>
  <c r="AC1179" i="1"/>
  <c r="AC1181" i="1"/>
  <c r="AC1190" i="1"/>
  <c r="AC1191" i="1"/>
  <c r="AC1196" i="1"/>
  <c r="AC1200" i="1"/>
  <c r="AC1201" i="1"/>
  <c r="AC1203" i="1"/>
  <c r="AC1207" i="1"/>
  <c r="AC1221" i="1"/>
  <c r="AC1229" i="1"/>
  <c r="AC1232" i="1"/>
  <c r="AC1233" i="1"/>
  <c r="AC1234" i="1"/>
  <c r="AC1236" i="1"/>
  <c r="AC1237" i="1"/>
  <c r="AC1238" i="1"/>
  <c r="AC1239" i="1"/>
  <c r="AC1240" i="1"/>
  <c r="AC1248" i="1"/>
  <c r="AC1249" i="1"/>
  <c r="AC1251" i="1"/>
  <c r="AC1257" i="1"/>
  <c r="AC1264" i="1"/>
  <c r="AC1266" i="1"/>
  <c r="AC1269" i="1"/>
  <c r="AC1273" i="1"/>
  <c r="AC1274" i="1"/>
  <c r="AC1279" i="1"/>
  <c r="AC1281" i="1"/>
  <c r="AC1284" i="1"/>
  <c r="AC1287" i="1"/>
  <c r="AC1290" i="1"/>
  <c r="AC1291" i="1"/>
  <c r="AC1293" i="1"/>
  <c r="AC1298" i="1"/>
  <c r="AC1299" i="1"/>
  <c r="AC1301" i="1"/>
  <c r="AC1302" i="1"/>
  <c r="AC1303" i="1"/>
  <c r="AC1313" i="1"/>
  <c r="AC1316" i="1"/>
  <c r="AC1319" i="1"/>
  <c r="AC1325" i="1"/>
  <c r="AC1329" i="1"/>
  <c r="AC1330" i="1"/>
  <c r="AC1333" i="1"/>
  <c r="AC1335" i="1"/>
  <c r="AC1338" i="1"/>
  <c r="AC1341" i="1"/>
  <c r="AC1342" i="1"/>
  <c r="AC1343" i="1"/>
  <c r="AC1345" i="1"/>
  <c r="AC1346" i="1"/>
  <c r="AC1351" i="1"/>
  <c r="AC1356" i="1"/>
  <c r="AC1358" i="1"/>
  <c r="AC1367" i="1"/>
  <c r="AC1368" i="1"/>
  <c r="AC1371" i="1"/>
  <c r="AC1372" i="1"/>
  <c r="AC1373" i="1"/>
  <c r="AC1377" i="1"/>
  <c r="AC1378" i="1"/>
  <c r="AC1380" i="1"/>
  <c r="AC1385" i="1"/>
  <c r="AC1387" i="1"/>
  <c r="AC1389" i="1"/>
  <c r="AC1390" i="1"/>
  <c r="AC1392" i="1"/>
  <c r="AC1397" i="1"/>
  <c r="AC1400" i="1"/>
  <c r="AC1404" i="1"/>
  <c r="AC1411" i="1"/>
  <c r="AC1412" i="1"/>
  <c r="AC1414" i="1"/>
  <c r="AC1420" i="1"/>
  <c r="AC1423" i="1"/>
  <c r="AC1425" i="1"/>
  <c r="AC1427" i="1"/>
  <c r="AC1429" i="1"/>
  <c r="AC1430" i="1"/>
  <c r="AC1434" i="1"/>
  <c r="AC1436" i="1"/>
  <c r="AC1441" i="1"/>
  <c r="AC1442" i="1"/>
  <c r="AC1443" i="1"/>
  <c r="AC1449" i="1"/>
  <c r="AC1450" i="1"/>
  <c r="AC1460" i="1"/>
  <c r="AC1468" i="1"/>
  <c r="AC1470" i="1"/>
  <c r="AC1471" i="1"/>
  <c r="AC1474" i="1"/>
  <c r="AC1475" i="1"/>
  <c r="AC1476" i="1"/>
  <c r="AC1477" i="1"/>
  <c r="AC1482" i="1"/>
  <c r="AC1493" i="1"/>
  <c r="AC1495" i="1"/>
  <c r="AC1496" i="1"/>
  <c r="AC1499" i="1"/>
  <c r="AC1502" i="1"/>
  <c r="AC1505" i="1"/>
  <c r="AC1507" i="1"/>
  <c r="AC1520" i="1"/>
  <c r="AC1522" i="1"/>
  <c r="AC1523" i="1"/>
  <c r="AC1524" i="1"/>
  <c r="AC1531" i="1"/>
  <c r="AC1532" i="1"/>
  <c r="AC1533" i="1"/>
  <c r="AC1535" i="1"/>
  <c r="AC1536" i="1"/>
  <c r="AC1537" i="1"/>
  <c r="AC1544" i="1"/>
  <c r="AC1546" i="1"/>
  <c r="AC1553" i="1"/>
  <c r="AC1557" i="1"/>
  <c r="AC1561" i="1"/>
  <c r="AC1564" i="1"/>
  <c r="AC1565" i="1"/>
  <c r="AC1566" i="1"/>
  <c r="AC1569" i="1"/>
  <c r="AC1573" i="1"/>
  <c r="AC1576" i="1"/>
  <c r="AC1577" i="1"/>
  <c r="AC1579" i="1"/>
  <c r="AC1581" i="1"/>
  <c r="AC1585" i="1"/>
  <c r="AC1587" i="1"/>
  <c r="AC1590" i="1"/>
  <c r="AC1591" i="1"/>
  <c r="AC1595" i="1"/>
  <c r="AC1596" i="1"/>
  <c r="AC1598" i="1"/>
  <c r="AC1599" i="1"/>
  <c r="AC1601" i="1"/>
  <c r="AC1605" i="1"/>
  <c r="AC1608" i="1"/>
  <c r="AC1612" i="1"/>
  <c r="AC1615" i="1"/>
  <c r="AC1617" i="1"/>
  <c r="AC1619" i="1"/>
  <c r="AC1621" i="1"/>
  <c r="AC1627" i="1"/>
  <c r="AC1633" i="1"/>
  <c r="AC1635" i="1"/>
  <c r="AC1639" i="1"/>
  <c r="AC1640" i="1"/>
  <c r="AC1641" i="1"/>
  <c r="AC1642" i="1"/>
  <c r="AC1645" i="1"/>
  <c r="AC1647" i="1"/>
  <c r="AC1651" i="1"/>
  <c r="AC1653" i="1"/>
  <c r="AC1654" i="1"/>
  <c r="AC1657" i="1"/>
  <c r="AC1661" i="1"/>
  <c r="AC1662" i="1"/>
  <c r="AC1663" i="1"/>
  <c r="AC1667" i="1"/>
  <c r="AC1670" i="1"/>
  <c r="AC1674" i="1"/>
  <c r="AC1675" i="1"/>
  <c r="AC1679" i="1"/>
  <c r="AC1680" i="1"/>
  <c r="AC1681" i="1"/>
  <c r="AC1685" i="1"/>
  <c r="AC1686" i="1"/>
  <c r="AC1690" i="1"/>
  <c r="AC1691" i="1"/>
  <c r="AC1695" i="1"/>
  <c r="AC1696" i="1"/>
  <c r="AC1697" i="1"/>
  <c r="AC1698" i="1"/>
  <c r="AC1699" i="1"/>
  <c r="AC1705" i="1"/>
  <c r="AC1711" i="1"/>
  <c r="AC1713" i="1"/>
  <c r="AC1714" i="1"/>
  <c r="AC1717" i="1"/>
  <c r="AC1718" i="1"/>
  <c r="AC1727" i="1"/>
  <c r="AC1729" i="1"/>
  <c r="AC1732" i="1"/>
  <c r="AC1738" i="1"/>
  <c r="AC1739" i="1"/>
  <c r="AC1740" i="1"/>
  <c r="AC1742" i="1"/>
  <c r="AC1746" i="1"/>
  <c r="AC1747" i="1"/>
  <c r="AC1749" i="1"/>
  <c r="AC1750" i="1"/>
  <c r="AC1751" i="1"/>
  <c r="AC1754" i="1"/>
  <c r="AC1762" i="1"/>
  <c r="AC1766" i="1"/>
  <c r="AC1768" i="1"/>
  <c r="AC1775" i="1"/>
  <c r="AC1779" i="1"/>
  <c r="AC1782" i="1"/>
  <c r="AC1787" i="1"/>
  <c r="AC1788" i="1"/>
  <c r="AC1793" i="1"/>
  <c r="AC1798" i="1"/>
  <c r="AC1799" i="1"/>
  <c r="AC1801" i="1"/>
  <c r="AC1804" i="1"/>
  <c r="AC1806" i="1"/>
  <c r="AC1808" i="1"/>
  <c r="AC1814" i="1"/>
  <c r="AC1815" i="1"/>
  <c r="AC1818" i="1"/>
  <c r="AC1820" i="1"/>
  <c r="AC1821" i="1"/>
  <c r="AC1825" i="1"/>
  <c r="AC1827" i="1"/>
  <c r="AC1828" i="1"/>
  <c r="AC1829" i="1"/>
  <c r="AC1831" i="1"/>
  <c r="AC1832" i="1"/>
  <c r="AC1834" i="1"/>
  <c r="AC1836" i="1"/>
  <c r="AC1840" i="1"/>
  <c r="AC1842" i="1"/>
  <c r="AC1846" i="1"/>
  <c r="AC1847" i="1"/>
  <c r="AC1848" i="1"/>
  <c r="AC1852" i="1"/>
  <c r="AC1854" i="1"/>
  <c r="AC1860" i="1"/>
  <c r="AC1861" i="1"/>
  <c r="AC1866" i="1"/>
  <c r="AC1869" i="1"/>
  <c r="AC1870" i="1"/>
  <c r="AC1871" i="1"/>
  <c r="AC1876" i="1"/>
  <c r="AC1881" i="1"/>
  <c r="AC1886" i="1"/>
  <c r="AC1887" i="1"/>
  <c r="AC1890" i="1"/>
  <c r="AC1905" i="1"/>
  <c r="AC1915" i="1"/>
  <c r="AC1918" i="1"/>
  <c r="AC1924" i="1"/>
  <c r="AC1935" i="1"/>
  <c r="AC1936" i="1"/>
  <c r="AC1945" i="1"/>
  <c r="AC1957" i="1"/>
  <c r="AC1958" i="1"/>
  <c r="AC1960" i="1"/>
  <c r="AC1964" i="1"/>
  <c r="AC1965" i="1"/>
  <c r="AC1967" i="1"/>
  <c r="AC1971" i="1"/>
  <c r="AC1973" i="1"/>
  <c r="AC1977" i="1"/>
  <c r="AC1980" i="1"/>
  <c r="AC1982" i="1"/>
  <c r="AC1983" i="1"/>
  <c r="AC1986" i="1"/>
  <c r="AC1987" i="1"/>
  <c r="AC1988" i="1"/>
  <c r="AC1990" i="1"/>
  <c r="AC1991" i="1"/>
  <c r="AC1993" i="1"/>
  <c r="AC1994" i="1"/>
  <c r="AC1996" i="1"/>
  <c r="AC1997" i="1"/>
  <c r="AC2000" i="1"/>
  <c r="AC2008" i="1"/>
  <c r="AC2010" i="1"/>
  <c r="AC2013" i="1"/>
  <c r="AC2015" i="1"/>
  <c r="AC2016" i="1"/>
  <c r="AC2017" i="1"/>
  <c r="AC2020" i="1"/>
  <c r="AC2021" i="1"/>
  <c r="AC2023" i="1"/>
  <c r="AC2024" i="1"/>
  <c r="AC2025" i="1"/>
  <c r="AC2026" i="1"/>
  <c r="AC2027" i="1"/>
  <c r="AC2029" i="1"/>
  <c r="AC2032" i="1"/>
  <c r="AC2035" i="1"/>
  <c r="AC2041" i="1"/>
  <c r="AC2044" i="1"/>
  <c r="AC2046" i="1"/>
  <c r="AC2048" i="1"/>
  <c r="AC2049" i="1"/>
  <c r="AC2050" i="1"/>
  <c r="AC2055" i="1"/>
  <c r="AC2057" i="1"/>
  <c r="AC2059" i="1"/>
  <c r="AC2060" i="1"/>
  <c r="AC2063" i="1"/>
  <c r="AC2068" i="1"/>
  <c r="AC2070" i="1"/>
  <c r="AC2072" i="1"/>
  <c r="AC2076" i="1"/>
  <c r="AC2079" i="1"/>
  <c r="AC2080" i="1"/>
  <c r="AC2081" i="1"/>
  <c r="AC2084" i="1"/>
  <c r="AC2085" i="1"/>
  <c r="AC2089" i="1"/>
  <c r="AC2091" i="1"/>
  <c r="AC2092" i="1"/>
  <c r="AC2098" i="1"/>
  <c r="AC2100" i="1"/>
  <c r="AC2102" i="1"/>
  <c r="AC2103" i="1"/>
  <c r="AC2105" i="1"/>
  <c r="AC2109" i="1"/>
  <c r="AC2117" i="1"/>
  <c r="AC2118" i="1"/>
  <c r="AC2122" i="1"/>
  <c r="AC2124" i="1"/>
  <c r="AC2125" i="1"/>
  <c r="AC2128" i="1"/>
  <c r="AC2129" i="1"/>
  <c r="AC2137" i="1"/>
  <c r="AC2140" i="1"/>
  <c r="AC2143" i="1"/>
  <c r="AC2146" i="1"/>
  <c r="AC2147" i="1"/>
  <c r="AC2150" i="1"/>
  <c r="AC2151" i="1"/>
  <c r="AC2156" i="1"/>
  <c r="AC2157" i="1"/>
  <c r="AC2158" i="1"/>
  <c r="AC2159" i="1"/>
  <c r="AC2161" i="1"/>
  <c r="AC2162" i="1"/>
  <c r="AC2168" i="1"/>
  <c r="AC2173" i="1"/>
  <c r="AC2174" i="1"/>
  <c r="AC2175" i="1"/>
  <c r="AC2176" i="1"/>
  <c r="AC2177" i="1"/>
  <c r="AC2178" i="1"/>
  <c r="AC2180" i="1"/>
  <c r="AC2184" i="1"/>
  <c r="AC2185" i="1"/>
  <c r="AC2187" i="1"/>
  <c r="AC2188" i="1"/>
  <c r="AC2192" i="1"/>
  <c r="AC2193" i="1"/>
  <c r="AC2194" i="1"/>
  <c r="AC2198" i="1"/>
  <c r="AC2200" i="1"/>
  <c r="AC2201" i="1"/>
  <c r="AC2206" i="1"/>
  <c r="AC2208" i="1"/>
  <c r="AC2210" i="1"/>
  <c r="AC2211" i="1"/>
  <c r="AC2215" i="1"/>
  <c r="AC2221" i="1"/>
  <c r="AC2225" i="1"/>
  <c r="AC2226" i="1"/>
  <c r="AC2229" i="1"/>
  <c r="AC2232" i="1"/>
  <c r="AC2236" i="1"/>
  <c r="AC2239" i="1"/>
  <c r="AC2242" i="1"/>
  <c r="AC2244" i="1"/>
  <c r="AC2245" i="1"/>
  <c r="AC2248" i="1"/>
  <c r="AC2252" i="1"/>
  <c r="AC2259" i="1"/>
  <c r="AC2264" i="1"/>
  <c r="AC2265" i="1"/>
  <c r="AC2266" i="1"/>
  <c r="AC2268" i="1"/>
  <c r="AC2275" i="1"/>
  <c r="AC2277" i="1"/>
  <c r="AC2284" i="1"/>
  <c r="AC2293" i="1"/>
  <c r="AC2296" i="1"/>
  <c r="AC2299" i="1"/>
  <c r="AC2302" i="1"/>
  <c r="AC2304" i="1"/>
  <c r="AC2309" i="1"/>
  <c r="AC2310" i="1"/>
  <c r="AC2311" i="1"/>
  <c r="AC2314" i="1"/>
  <c r="AC2317" i="1"/>
  <c r="AC2319" i="1"/>
  <c r="AC2321" i="1"/>
  <c r="AC2322" i="1"/>
  <c r="AC2325" i="1"/>
  <c r="AC2328" i="1"/>
  <c r="AC2331" i="1"/>
  <c r="AC2332" i="1"/>
  <c r="AC2334" i="1"/>
  <c r="AC2335" i="1"/>
  <c r="AC2341" i="1"/>
  <c r="AC2343" i="1"/>
  <c r="AC2344" i="1"/>
  <c r="AC2346" i="1"/>
  <c r="AC2347" i="1"/>
  <c r="AC2351" i="1"/>
  <c r="AC2352" i="1"/>
  <c r="AC2353" i="1"/>
  <c r="AC2354" i="1"/>
  <c r="AC2356" i="1"/>
  <c r="AC2361" i="1"/>
  <c r="AC2366" i="1"/>
  <c r="AC2367" i="1"/>
  <c r="AC2376" i="1"/>
  <c r="AC2385" i="1"/>
  <c r="AC2386" i="1"/>
  <c r="AC2391" i="1"/>
  <c r="AC2397" i="1"/>
  <c r="AC2400" i="1"/>
  <c r="J37" i="1"/>
  <c r="F37" i="1"/>
  <c r="J213" i="1"/>
  <c r="F213" i="1"/>
  <c r="J215" i="1"/>
  <c r="F215" i="1"/>
  <c r="J304" i="1"/>
  <c r="F304" i="1"/>
  <c r="J341" i="1"/>
  <c r="F341" i="1"/>
  <c r="J446" i="1"/>
  <c r="F446" i="1"/>
  <c r="J451" i="1"/>
  <c r="F451" i="1"/>
  <c r="J466" i="1"/>
  <c r="F466" i="1"/>
  <c r="J514" i="1"/>
  <c r="F514" i="1"/>
  <c r="J521" i="1"/>
  <c r="F521" i="1"/>
  <c r="J309" i="1"/>
  <c r="F309" i="1"/>
  <c r="J333" i="1"/>
  <c r="F333" i="1"/>
  <c r="J448" i="1"/>
  <c r="F448" i="1"/>
  <c r="J465" i="1"/>
  <c r="F465" i="1"/>
  <c r="J469" i="1"/>
  <c r="F469" i="1"/>
  <c r="J515" i="1"/>
  <c r="F515" i="1"/>
  <c r="J311" i="1"/>
  <c r="F311" i="1"/>
  <c r="J334" i="1"/>
  <c r="F334" i="1"/>
  <c r="J337" i="1"/>
  <c r="F337" i="1"/>
  <c r="J442" i="1"/>
  <c r="F442" i="1"/>
  <c r="J449" i="1"/>
  <c r="F449" i="1"/>
  <c r="J57" i="1"/>
  <c r="F57" i="1"/>
  <c r="J228" i="1"/>
  <c r="F228" i="1"/>
  <c r="J235" i="1"/>
  <c r="F235" i="1"/>
  <c r="J420" i="1"/>
  <c r="F420" i="1"/>
  <c r="J431" i="1"/>
  <c r="F431" i="1"/>
  <c r="J606" i="1"/>
  <c r="F606" i="1"/>
  <c r="J1071" i="1"/>
  <c r="F1071" i="1"/>
  <c r="J1085" i="1"/>
  <c r="F1085" i="1"/>
  <c r="J1096" i="1"/>
  <c r="F1096" i="1"/>
  <c r="J1114" i="1"/>
  <c r="F1114" i="1"/>
  <c r="J1639" i="1"/>
  <c r="F1639" i="1"/>
  <c r="J1714" i="1"/>
  <c r="F1714" i="1"/>
  <c r="J1762" i="1"/>
  <c r="F1762" i="1"/>
  <c r="J1991" i="1"/>
  <c r="F1991" i="1"/>
  <c r="J1993" i="1"/>
  <c r="F1993" i="1"/>
  <c r="J2063" i="1"/>
  <c r="F2063" i="1"/>
  <c r="J2137" i="1"/>
  <c r="F2137" i="1"/>
  <c r="J2277" i="1"/>
  <c r="F2277" i="1"/>
  <c r="J2354" i="1"/>
  <c r="F2354" i="1"/>
  <c r="J53" i="1"/>
  <c r="F53" i="1"/>
  <c r="J147" i="1"/>
  <c r="F147" i="1"/>
  <c r="J149" i="1"/>
  <c r="F149" i="1"/>
  <c r="J156" i="1"/>
  <c r="F156" i="1"/>
  <c r="J157" i="1"/>
  <c r="F157" i="1"/>
  <c r="J238" i="1"/>
  <c r="F238" i="1"/>
  <c r="J418" i="1"/>
  <c r="F418" i="1"/>
  <c r="J421" i="1"/>
  <c r="F421" i="1"/>
  <c r="J427" i="1"/>
  <c r="F427" i="1"/>
  <c r="J640" i="1"/>
  <c r="F640" i="1"/>
  <c r="J745" i="1"/>
  <c r="F745" i="1"/>
  <c r="J746" i="1"/>
  <c r="F746" i="1"/>
  <c r="J765" i="1"/>
  <c r="F765" i="1"/>
  <c r="J56" i="1"/>
  <c r="F56" i="1"/>
  <c r="J115" i="1"/>
  <c r="F115" i="1"/>
  <c r="J142" i="1"/>
  <c r="F142" i="1"/>
  <c r="J146" i="1"/>
  <c r="F146" i="1"/>
  <c r="J151" i="1"/>
  <c r="F151" i="1"/>
  <c r="J152" i="1"/>
  <c r="F152" i="1"/>
  <c r="J155" i="1"/>
  <c r="F155" i="1"/>
  <c r="J231" i="1"/>
  <c r="F231" i="1"/>
  <c r="J510" i="1"/>
  <c r="F510" i="1"/>
  <c r="J747" i="1"/>
  <c r="F747" i="1"/>
  <c r="J1070" i="1"/>
  <c r="F1070" i="1"/>
  <c r="J1111" i="1"/>
  <c r="F1111" i="1"/>
  <c r="J1120" i="1"/>
  <c r="F1120" i="1"/>
  <c r="J1595" i="1"/>
  <c r="F1595" i="1"/>
  <c r="J1718" i="1"/>
  <c r="F1718" i="1"/>
  <c r="J1967" i="1"/>
  <c r="F1967" i="1"/>
  <c r="J1990" i="1"/>
  <c r="F1990" i="1"/>
  <c r="J2102" i="1"/>
  <c r="F2102" i="1"/>
  <c r="J2146" i="1"/>
  <c r="F2146" i="1"/>
  <c r="J2194" i="1"/>
  <c r="F2194" i="1"/>
  <c r="J2198" i="1"/>
  <c r="F2198" i="1"/>
  <c r="J2344" i="1"/>
  <c r="F2344" i="1"/>
  <c r="J2400" i="1"/>
  <c r="F2400" i="1"/>
  <c r="J58" i="1"/>
  <c r="F58" i="1"/>
  <c r="J118" i="1"/>
  <c r="F118" i="1"/>
  <c r="J153" i="1"/>
  <c r="F153" i="1"/>
  <c r="J241" i="1"/>
  <c r="F241" i="1"/>
  <c r="J261" i="1"/>
  <c r="F261" i="1"/>
  <c r="J264" i="1"/>
  <c r="F264" i="1"/>
  <c r="J422" i="1"/>
  <c r="F422" i="1"/>
  <c r="J424" i="1"/>
  <c r="F424" i="1"/>
  <c r="J607" i="1"/>
  <c r="F607" i="1"/>
  <c r="J608" i="1"/>
  <c r="F608" i="1"/>
  <c r="J615" i="1"/>
  <c r="F615" i="1"/>
  <c r="J1127" i="1"/>
  <c r="F1127" i="1"/>
  <c r="J1291" i="1"/>
  <c r="F1291" i="1"/>
  <c r="J2059" i="1"/>
  <c r="F2059" i="1"/>
  <c r="J2100" i="1"/>
  <c r="F2100" i="1"/>
  <c r="J2236" i="1"/>
  <c r="F2236" i="1"/>
  <c r="J2259" i="1"/>
  <c r="F2259" i="1"/>
  <c r="J2264" i="1"/>
  <c r="F2264" i="1"/>
  <c r="J113" i="1"/>
  <c r="F113" i="1"/>
  <c r="J143" i="1"/>
  <c r="F143" i="1"/>
  <c r="J257" i="1"/>
  <c r="F257" i="1"/>
  <c r="J267" i="1"/>
  <c r="F267" i="1"/>
  <c r="J270" i="1"/>
  <c r="F270" i="1"/>
  <c r="J423" i="1"/>
  <c r="F423" i="1"/>
  <c r="J531" i="1"/>
  <c r="F531" i="1"/>
  <c r="J532" i="1"/>
  <c r="F532" i="1"/>
  <c r="J609" i="1"/>
  <c r="F609" i="1"/>
  <c r="J610" i="1"/>
  <c r="F610" i="1"/>
  <c r="J643" i="1"/>
  <c r="F643" i="1"/>
  <c r="J644" i="1"/>
  <c r="F644" i="1"/>
  <c r="J766" i="1"/>
  <c r="F766" i="1"/>
  <c r="J772" i="1"/>
  <c r="F772" i="1"/>
  <c r="J869" i="1"/>
  <c r="F869" i="1"/>
  <c r="J870" i="1"/>
  <c r="F870" i="1"/>
  <c r="J1017" i="1"/>
  <c r="F1017" i="1"/>
  <c r="J1073" i="1"/>
  <c r="F1073" i="1"/>
  <c r="J1768" i="1"/>
  <c r="F1768" i="1"/>
  <c r="J2103" i="1"/>
  <c r="F2103" i="1"/>
  <c r="J2346" i="1"/>
  <c r="F2346" i="1"/>
  <c r="J2352" i="1"/>
  <c r="AJ2352" i="1" s="1"/>
  <c r="F2352" i="1"/>
  <c r="J114" i="1"/>
  <c r="F114" i="1"/>
  <c r="J120" i="1"/>
  <c r="F120" i="1"/>
  <c r="J145" i="1"/>
  <c r="F145" i="1"/>
  <c r="J234" i="1"/>
  <c r="F234" i="1"/>
  <c r="J236" i="1"/>
  <c r="F236" i="1"/>
  <c r="J237" i="1"/>
  <c r="F237" i="1"/>
  <c r="J265" i="1"/>
  <c r="F265" i="1"/>
  <c r="J266" i="1"/>
  <c r="F266" i="1"/>
  <c r="J503" i="1"/>
  <c r="F503" i="1"/>
  <c r="J504" i="1"/>
  <c r="F504" i="1"/>
  <c r="J509" i="1"/>
  <c r="F509" i="1"/>
  <c r="J88" i="1"/>
  <c r="F88" i="1"/>
  <c r="J123" i="1"/>
  <c r="F123" i="1"/>
  <c r="J129" i="1"/>
  <c r="F129" i="1"/>
  <c r="J130" i="1"/>
  <c r="F130" i="1"/>
  <c r="J171" i="1"/>
  <c r="F171" i="1"/>
  <c r="J197" i="1"/>
  <c r="F197" i="1"/>
  <c r="J274" i="1"/>
  <c r="F274" i="1"/>
  <c r="J125" i="1"/>
  <c r="F125" i="1"/>
  <c r="J193" i="1"/>
  <c r="F193" i="1"/>
  <c r="J198" i="1"/>
  <c r="F198" i="1"/>
  <c r="J273" i="1"/>
  <c r="F273" i="1"/>
  <c r="J281" i="1"/>
  <c r="F281" i="1"/>
  <c r="J299" i="1"/>
  <c r="F299" i="1"/>
  <c r="J328" i="1"/>
  <c r="F328" i="1"/>
  <c r="J353" i="1"/>
  <c r="F353" i="1"/>
  <c r="J438" i="1"/>
  <c r="F438" i="1"/>
  <c r="J559" i="1"/>
  <c r="F559" i="1"/>
  <c r="J663" i="1"/>
  <c r="F663" i="1"/>
  <c r="J706" i="1"/>
  <c r="F706" i="1"/>
  <c r="J708" i="1"/>
  <c r="F708" i="1"/>
  <c r="J754" i="1"/>
  <c r="F754" i="1"/>
  <c r="J801" i="1"/>
  <c r="F801" i="1"/>
  <c r="J1316" i="1"/>
  <c r="F1316" i="1"/>
  <c r="J1325" i="1"/>
  <c r="F1325" i="1"/>
  <c r="J1378" i="1"/>
  <c r="F1378" i="1"/>
  <c r="J1380" i="1"/>
  <c r="F1380" i="1"/>
  <c r="J1729" i="1"/>
  <c r="F1729" i="1"/>
  <c r="J86" i="1"/>
  <c r="F86" i="1"/>
  <c r="J167" i="1"/>
  <c r="F167" i="1"/>
  <c r="J168" i="1"/>
  <c r="F168" i="1"/>
  <c r="J195" i="1"/>
  <c r="F195" i="1"/>
  <c r="J200" i="1"/>
  <c r="F200" i="1"/>
  <c r="J330" i="1"/>
  <c r="F330" i="1"/>
  <c r="J358" i="1"/>
  <c r="F358" i="1"/>
  <c r="J364" i="1"/>
  <c r="F364" i="1"/>
  <c r="J367" i="1"/>
  <c r="F367" i="1"/>
  <c r="J664" i="1"/>
  <c r="F664" i="1"/>
  <c r="J705" i="1"/>
  <c r="F705" i="1"/>
  <c r="J877" i="1"/>
  <c r="F877" i="1"/>
  <c r="J961" i="1"/>
  <c r="F961" i="1"/>
  <c r="J1319" i="1"/>
  <c r="F1319" i="1"/>
  <c r="J1346" i="1"/>
  <c r="F1346" i="1"/>
  <c r="J1430" i="1"/>
  <c r="F1430" i="1"/>
  <c r="J1507" i="1"/>
  <c r="F1507" i="1"/>
  <c r="J1732" i="1"/>
  <c r="F1732" i="1"/>
  <c r="J1793" i="1"/>
  <c r="F1793" i="1"/>
  <c r="J2151" i="1"/>
  <c r="F2151" i="1"/>
  <c r="J87" i="1"/>
  <c r="F87" i="1"/>
  <c r="J127" i="1"/>
  <c r="F127" i="1"/>
  <c r="J248" i="1"/>
  <c r="F248" i="1"/>
  <c r="J250" i="1"/>
  <c r="F250" i="1"/>
  <c r="J272" i="1"/>
  <c r="F272" i="1"/>
  <c r="J298" i="1"/>
  <c r="F298" i="1"/>
  <c r="J324" i="1"/>
  <c r="F324" i="1"/>
  <c r="J325" i="1"/>
  <c r="F325" i="1"/>
  <c r="J327" i="1"/>
  <c r="F327" i="1"/>
  <c r="J355" i="1"/>
  <c r="F355" i="1"/>
  <c r="J365" i="1"/>
  <c r="F365" i="1"/>
  <c r="J366" i="1"/>
  <c r="F366" i="1"/>
  <c r="J21" i="1"/>
  <c r="F21" i="1"/>
  <c r="J22" i="1"/>
  <c r="F22" i="1"/>
  <c r="J92" i="1"/>
  <c r="F92" i="1"/>
  <c r="J106" i="1"/>
  <c r="F106" i="1"/>
  <c r="J287" i="1"/>
  <c r="F287" i="1"/>
  <c r="J720" i="1"/>
  <c r="F720" i="1"/>
  <c r="J813" i="1"/>
  <c r="F813" i="1"/>
  <c r="J832" i="1"/>
  <c r="F832" i="1"/>
  <c r="J908" i="1"/>
  <c r="F908" i="1"/>
  <c r="J949" i="1"/>
  <c r="F949" i="1"/>
  <c r="J962" i="1"/>
  <c r="F962" i="1"/>
  <c r="J1134" i="1"/>
  <c r="F1134" i="1"/>
  <c r="J1138" i="1"/>
  <c r="F1138" i="1"/>
  <c r="J1232" i="1"/>
  <c r="F1232" i="1"/>
  <c r="J1266" i="1"/>
  <c r="F1266" i="1"/>
  <c r="J1333" i="1"/>
  <c r="F1333" i="1"/>
  <c r="J1338" i="1"/>
  <c r="F1338" i="1"/>
  <c r="J1342" i="1"/>
  <c r="F1342" i="1"/>
  <c r="J1358" i="1"/>
  <c r="F1358" i="1"/>
  <c r="J1385" i="1"/>
  <c r="F1385" i="1"/>
  <c r="J1390" i="1"/>
  <c r="F1390" i="1"/>
  <c r="J1449" i="1"/>
  <c r="F1449" i="1"/>
  <c r="J1471" i="1"/>
  <c r="F1471" i="1"/>
  <c r="J1493" i="1"/>
  <c r="F1493" i="1"/>
  <c r="J1561" i="1"/>
  <c r="F1561" i="1"/>
  <c r="J1564" i="1"/>
  <c r="F1564" i="1"/>
  <c r="J1754" i="1"/>
  <c r="F1754" i="1"/>
  <c r="J1801" i="1"/>
  <c r="F1801" i="1"/>
  <c r="J1814" i="1"/>
  <c r="F1814" i="1"/>
  <c r="J1847" i="1"/>
  <c r="F1847" i="1"/>
  <c r="J1852" i="1"/>
  <c r="F1852" i="1"/>
  <c r="J1881" i="1"/>
  <c r="F1881" i="1"/>
  <c r="J1915" i="1"/>
  <c r="F1915" i="1"/>
  <c r="J1935" i="1"/>
  <c r="F1935" i="1"/>
  <c r="J2024" i="1"/>
  <c r="F2024" i="1"/>
  <c r="J2048" i="1"/>
  <c r="AJ2048" i="1" s="1"/>
  <c r="F2048" i="1"/>
  <c r="J2076" i="1"/>
  <c r="F2076" i="1"/>
  <c r="J2176" i="1"/>
  <c r="F2176" i="1"/>
  <c r="J27" i="1"/>
  <c r="F27" i="1"/>
  <c r="J28" i="1"/>
  <c r="F28" i="1"/>
  <c r="J72" i="1"/>
  <c r="F72" i="1"/>
  <c r="J74" i="1"/>
  <c r="F74" i="1"/>
  <c r="J108" i="1"/>
  <c r="F108" i="1"/>
  <c r="J290" i="1"/>
  <c r="F290" i="1"/>
  <c r="J349" i="1"/>
  <c r="F349" i="1"/>
  <c r="J458" i="1"/>
  <c r="F458" i="1"/>
  <c r="J582" i="1"/>
  <c r="F582" i="1"/>
  <c r="J583" i="1"/>
  <c r="F583" i="1"/>
  <c r="J586" i="1"/>
  <c r="F586" i="1"/>
  <c r="J588" i="1"/>
  <c r="F588" i="1"/>
  <c r="J592" i="1"/>
  <c r="F592" i="1"/>
  <c r="J593" i="1"/>
  <c r="F593" i="1"/>
  <c r="J594" i="1"/>
  <c r="F594" i="1"/>
  <c r="J680" i="1"/>
  <c r="F680" i="1"/>
  <c r="J681" i="1"/>
  <c r="F681" i="1"/>
  <c r="J712" i="1"/>
  <c r="F712" i="1"/>
  <c r="J811" i="1"/>
  <c r="F811" i="1"/>
  <c r="J814" i="1"/>
  <c r="F814" i="1"/>
  <c r="J822" i="1"/>
  <c r="AJ822" i="1" s="1"/>
  <c r="F822" i="1"/>
  <c r="J842" i="1"/>
  <c r="F842" i="1"/>
  <c r="J901" i="1"/>
  <c r="F901" i="1"/>
  <c r="J912" i="1"/>
  <c r="F912" i="1"/>
  <c r="J16" i="1"/>
  <c r="F16" i="1"/>
  <c r="J73" i="1"/>
  <c r="F73" i="1"/>
  <c r="J75" i="1"/>
  <c r="F75" i="1"/>
  <c r="J78" i="1"/>
  <c r="F78" i="1"/>
  <c r="J289" i="1"/>
  <c r="F289" i="1"/>
  <c r="J291" i="1"/>
  <c r="F291" i="1"/>
  <c r="J395" i="1"/>
  <c r="F395" i="1"/>
  <c r="J461" i="1"/>
  <c r="F461" i="1"/>
  <c r="J597" i="1"/>
  <c r="AJ597" i="1" s="1"/>
  <c r="F597" i="1"/>
  <c r="J677" i="1"/>
  <c r="F677" i="1"/>
  <c r="J809" i="1"/>
  <c r="F809" i="1"/>
  <c r="J904" i="1"/>
  <c r="F904" i="1"/>
  <c r="J905" i="1"/>
  <c r="F905" i="1"/>
  <c r="J964" i="1"/>
  <c r="F964" i="1"/>
  <c r="J1172" i="1"/>
  <c r="F1172" i="1"/>
  <c r="J1173" i="1"/>
  <c r="AJ1173" i="1" s="1"/>
  <c r="F1173" i="1"/>
  <c r="J1191" i="1"/>
  <c r="F1191" i="1"/>
  <c r="J1264" i="1"/>
  <c r="AJ1264" i="1" s="1"/>
  <c r="F1264" i="1"/>
  <c r="J1330" i="1"/>
  <c r="F1330" i="1"/>
  <c r="J1356" i="1"/>
  <c r="F1356" i="1"/>
  <c r="J1389" i="1"/>
  <c r="F1389" i="1"/>
  <c r="J1420" i="1"/>
  <c r="F1420" i="1"/>
  <c r="J1579" i="1"/>
  <c r="F1579" i="1"/>
  <c r="J1581" i="1"/>
  <c r="F1581" i="1"/>
  <c r="J1685" i="1"/>
  <c r="AJ1685" i="1" s="1"/>
  <c r="F1685" i="1"/>
  <c r="J1751" i="1"/>
  <c r="F1751" i="1"/>
  <c r="J1799" i="1"/>
  <c r="F1799" i="1"/>
  <c r="J1815" i="1"/>
  <c r="F1815" i="1"/>
  <c r="J1886" i="1"/>
  <c r="F1886" i="1"/>
  <c r="J1890" i="1"/>
  <c r="F1890" i="1"/>
  <c r="J1936" i="1"/>
  <c r="F1936" i="1"/>
  <c r="J2023" i="1"/>
  <c r="F2023" i="1"/>
  <c r="J2025" i="1"/>
  <c r="AJ2025" i="1" s="1"/>
  <c r="F2025" i="1"/>
  <c r="J2049" i="1"/>
  <c r="F2049" i="1"/>
  <c r="J2175" i="1"/>
  <c r="F2175" i="1"/>
  <c r="J2177" i="1"/>
  <c r="F2177" i="1"/>
  <c r="J2180" i="1"/>
  <c r="F2180" i="1"/>
  <c r="J2185" i="1"/>
  <c r="F2185" i="1"/>
  <c r="J2232" i="1"/>
  <c r="F2232" i="1"/>
  <c r="J2242" i="1"/>
  <c r="F2242" i="1"/>
  <c r="J2296" i="1"/>
  <c r="F2296" i="1"/>
  <c r="J18" i="1"/>
  <c r="F18" i="1"/>
  <c r="J93" i="1"/>
  <c r="F93" i="1"/>
  <c r="J98" i="1"/>
  <c r="F98" i="1"/>
  <c r="J100" i="1"/>
  <c r="F100" i="1"/>
  <c r="J103" i="1"/>
  <c r="F103" i="1"/>
  <c r="J104" i="1"/>
  <c r="F104" i="1"/>
  <c r="J173" i="1"/>
  <c r="F173" i="1"/>
  <c r="J180" i="1"/>
  <c r="F180" i="1"/>
  <c r="J283" i="1"/>
  <c r="F283" i="1"/>
  <c r="J350" i="1"/>
  <c r="F350" i="1"/>
  <c r="J585" i="1"/>
  <c r="F585" i="1"/>
  <c r="J599" i="1"/>
  <c r="F599" i="1"/>
  <c r="J817" i="1"/>
  <c r="F817" i="1"/>
  <c r="J849" i="1"/>
  <c r="F849" i="1"/>
  <c r="J913" i="1"/>
  <c r="F913" i="1"/>
  <c r="J916" i="1"/>
  <c r="F916" i="1"/>
  <c r="J951" i="1"/>
  <c r="F951" i="1"/>
  <c r="J993" i="1"/>
  <c r="F993" i="1"/>
  <c r="J1025" i="1"/>
  <c r="F1025" i="1"/>
  <c r="J1028" i="1"/>
  <c r="F1028" i="1"/>
  <c r="J1140" i="1"/>
  <c r="F1140" i="1"/>
  <c r="J1145" i="1"/>
  <c r="F1145" i="1"/>
  <c r="J1157" i="1"/>
  <c r="F1157" i="1"/>
  <c r="J1159" i="1"/>
  <c r="F1159" i="1"/>
  <c r="J1196" i="1"/>
  <c r="F1196" i="1"/>
  <c r="J1233" i="1"/>
  <c r="F1233" i="1"/>
  <c r="J1234" i="1"/>
  <c r="F1234" i="1"/>
  <c r="J1236" i="1"/>
  <c r="F1236" i="1"/>
  <c r="J1237" i="1"/>
  <c r="F1237" i="1"/>
  <c r="J1269" i="1"/>
  <c r="F1269" i="1"/>
  <c r="J1343" i="1"/>
  <c r="F1343" i="1"/>
  <c r="J1367" i="1"/>
  <c r="F1367" i="1"/>
  <c r="J1371" i="1"/>
  <c r="F1371" i="1"/>
  <c r="J1372" i="1"/>
  <c r="F1372" i="1"/>
  <c r="J1387" i="1"/>
  <c r="F1387" i="1"/>
  <c r="J1450" i="1"/>
  <c r="F1450" i="1"/>
  <c r="J1475" i="1"/>
  <c r="F1475" i="1"/>
  <c r="J1565" i="1"/>
  <c r="F1565" i="1"/>
  <c r="J1566" i="1"/>
  <c r="F1566" i="1"/>
  <c r="J1576" i="1"/>
  <c r="F1576" i="1"/>
  <c r="J1605" i="1"/>
  <c r="F1605" i="1"/>
  <c r="J1608" i="1"/>
  <c r="F1608" i="1"/>
  <c r="J1798" i="1"/>
  <c r="F1798" i="1"/>
  <c r="J1848" i="1"/>
  <c r="F1848" i="1"/>
  <c r="J1854" i="1"/>
  <c r="F1854" i="1"/>
  <c r="J1918" i="1"/>
  <c r="F1918" i="1"/>
  <c r="J2027" i="1"/>
  <c r="F2027" i="1"/>
  <c r="J2044" i="1"/>
  <c r="F2044" i="1"/>
  <c r="J2046" i="1"/>
  <c r="F2046" i="1"/>
  <c r="J2079" i="1"/>
  <c r="F2079" i="1"/>
  <c r="J2173" i="1"/>
  <c r="F2173" i="1"/>
  <c r="J2174" i="1"/>
  <c r="F2174" i="1"/>
  <c r="J2229" i="1"/>
  <c r="F2229" i="1"/>
  <c r="J2244" i="1"/>
  <c r="F2244" i="1"/>
  <c r="J2245" i="1"/>
  <c r="F2245" i="1"/>
  <c r="J2293" i="1"/>
  <c r="F2293" i="1"/>
  <c r="J81" i="1"/>
  <c r="F81" i="1"/>
  <c r="J94" i="1"/>
  <c r="F94" i="1"/>
  <c r="J96" i="1"/>
  <c r="F96" i="1"/>
  <c r="J174" i="1"/>
  <c r="F174" i="1"/>
  <c r="J176" i="1"/>
  <c r="F176" i="1"/>
  <c r="J178" i="1"/>
  <c r="F178" i="1"/>
  <c r="J208" i="1"/>
  <c r="F208" i="1"/>
  <c r="J285" i="1"/>
  <c r="F285" i="1"/>
  <c r="J286" i="1"/>
  <c r="F286" i="1"/>
  <c r="J342" i="1"/>
  <c r="F342" i="1"/>
  <c r="J346" i="1"/>
  <c r="F346" i="1"/>
  <c r="J394" i="1"/>
  <c r="F394" i="1"/>
  <c r="J456" i="1"/>
  <c r="F456" i="1"/>
  <c r="J460" i="1"/>
  <c r="F460" i="1"/>
  <c r="J581" i="1"/>
  <c r="F581" i="1"/>
  <c r="J584" i="1"/>
  <c r="F584" i="1"/>
  <c r="J595" i="1"/>
  <c r="F595" i="1"/>
  <c r="J679" i="1"/>
  <c r="F679" i="1"/>
  <c r="J716" i="1"/>
  <c r="F716" i="1"/>
  <c r="J820" i="1"/>
  <c r="F820" i="1"/>
  <c r="J843" i="1"/>
  <c r="F843" i="1"/>
  <c r="J902" i="1"/>
  <c r="AJ902" i="1" s="1"/>
  <c r="F902" i="1"/>
  <c r="J906" i="1"/>
  <c r="F906" i="1"/>
  <c r="J907" i="1"/>
  <c r="F907" i="1"/>
  <c r="J946" i="1"/>
  <c r="F946" i="1"/>
  <c r="J990" i="1"/>
  <c r="F990" i="1"/>
  <c r="J1045" i="1"/>
  <c r="F1045" i="1"/>
  <c r="J1142" i="1"/>
  <c r="F1142" i="1"/>
  <c r="J1146" i="1"/>
  <c r="F1146" i="1"/>
  <c r="J1147" i="1"/>
  <c r="K1147" i="1" s="1"/>
  <c r="F1147" i="1"/>
  <c r="J1148" i="1"/>
  <c r="F1148" i="1"/>
  <c r="J1175" i="1"/>
  <c r="F1175" i="1"/>
  <c r="J1238" i="1"/>
  <c r="F1238" i="1"/>
  <c r="J1335" i="1"/>
  <c r="F1335" i="1"/>
  <c r="J1341" i="1"/>
  <c r="F1341" i="1"/>
  <c r="J1368" i="1"/>
  <c r="F1368" i="1"/>
  <c r="J1373" i="1"/>
  <c r="F1373" i="1"/>
  <c r="J1423" i="1"/>
  <c r="F1423" i="1"/>
  <c r="J1468" i="1"/>
  <c r="F1468" i="1"/>
  <c r="J1470" i="1"/>
  <c r="F1470" i="1"/>
  <c r="J1474" i="1"/>
  <c r="F1474" i="1"/>
  <c r="J1495" i="1"/>
  <c r="F1495" i="1"/>
  <c r="J1496" i="1"/>
  <c r="F1496" i="1"/>
  <c r="J1499" i="1"/>
  <c r="F1499" i="1"/>
  <c r="J1577" i="1"/>
  <c r="F1577" i="1"/>
  <c r="J1590" i="1"/>
  <c r="F1590" i="1"/>
  <c r="J1591" i="1"/>
  <c r="F1591" i="1"/>
  <c r="J1686" i="1"/>
  <c r="F1686" i="1"/>
  <c r="J1690" i="1"/>
  <c r="F1690" i="1"/>
  <c r="J1887" i="1"/>
  <c r="F1887" i="1"/>
  <c r="J2021" i="1"/>
  <c r="F2021" i="1"/>
  <c r="J2026" i="1"/>
  <c r="AJ2026" i="1" s="1"/>
  <c r="F2026" i="1"/>
  <c r="J2072" i="1"/>
  <c r="F2072" i="1"/>
  <c r="J2168" i="1"/>
  <c r="AJ2168" i="1" s="1"/>
  <c r="F2168" i="1"/>
  <c r="J2178" i="1"/>
  <c r="F2178" i="1"/>
  <c r="J2184" i="1"/>
  <c r="F2184" i="1"/>
  <c r="J17" i="1"/>
  <c r="F17" i="1"/>
  <c r="J95" i="1"/>
  <c r="F95" i="1"/>
  <c r="J99" i="1"/>
  <c r="F99" i="1"/>
  <c r="J105" i="1"/>
  <c r="F105" i="1"/>
  <c r="J110" i="1"/>
  <c r="F110" i="1"/>
  <c r="J111" i="1"/>
  <c r="F111" i="1"/>
  <c r="J204" i="1"/>
  <c r="F204" i="1"/>
  <c r="J995" i="1"/>
  <c r="F995" i="1"/>
  <c r="J999" i="1"/>
  <c r="F999" i="1"/>
  <c r="J1069" i="1"/>
  <c r="F1069" i="1"/>
  <c r="J1075" i="1"/>
  <c r="F1075" i="1"/>
  <c r="J1129" i="1"/>
  <c r="F1129" i="1"/>
  <c r="J1641" i="1"/>
  <c r="AJ1641" i="1" s="1"/>
  <c r="F1641" i="1"/>
  <c r="J1711" i="1"/>
  <c r="F1711" i="1"/>
  <c r="J1766" i="1"/>
  <c r="F1766" i="1"/>
  <c r="J1988" i="1"/>
  <c r="F1988" i="1"/>
  <c r="J2201" i="1"/>
  <c r="F2201" i="1"/>
  <c r="J2266" i="1"/>
  <c r="F2266" i="1"/>
  <c r="J2347" i="1"/>
  <c r="F2347" i="1"/>
  <c r="J1099" i="1"/>
  <c r="F1099" i="1"/>
  <c r="J1110" i="1"/>
  <c r="F1110" i="1"/>
  <c r="J1131" i="1"/>
  <c r="F1131" i="1"/>
  <c r="J1293" i="1"/>
  <c r="F1293" i="1"/>
  <c r="J1482" i="1"/>
  <c r="F1482" i="1"/>
  <c r="J1598" i="1"/>
  <c r="F1598" i="1"/>
  <c r="J1645" i="1"/>
  <c r="F1645" i="1"/>
  <c r="J1717" i="1"/>
  <c r="F1717" i="1"/>
  <c r="J1788" i="1"/>
  <c r="F1788" i="1"/>
  <c r="J2029" i="1"/>
  <c r="AJ2029" i="1" s="1"/>
  <c r="F2029" i="1"/>
  <c r="J2032" i="1"/>
  <c r="F2032" i="1"/>
  <c r="J2098" i="1"/>
  <c r="F2098" i="1"/>
  <c r="J2140" i="1"/>
  <c r="AJ2140" i="1" s="1"/>
  <c r="F2140" i="1"/>
  <c r="J2200" i="1"/>
  <c r="F2200" i="1"/>
  <c r="J2265" i="1"/>
  <c r="F2265" i="1"/>
  <c r="J2275" i="1"/>
  <c r="F2275" i="1"/>
  <c r="J2353" i="1"/>
  <c r="F2353" i="1"/>
  <c r="J2361" i="1"/>
  <c r="F2361" i="1"/>
  <c r="J2376" i="1"/>
  <c r="F2376" i="1"/>
  <c r="J1089" i="1"/>
  <c r="F1089" i="1"/>
  <c r="J1118" i="1"/>
  <c r="F1118" i="1"/>
  <c r="J1207" i="1"/>
  <c r="F1207" i="1"/>
  <c r="J1477" i="1"/>
  <c r="AJ1477" i="1" s="1"/>
  <c r="F1477" i="1"/>
  <c r="J1599" i="1"/>
  <c r="F1599" i="1"/>
  <c r="J1601" i="1"/>
  <c r="F1601" i="1"/>
  <c r="J1642" i="1"/>
  <c r="F1642" i="1"/>
  <c r="J1787" i="1"/>
  <c r="F1787" i="1"/>
  <c r="J1971" i="1"/>
  <c r="F1971" i="1"/>
  <c r="J2060" i="1"/>
  <c r="F2060" i="1"/>
  <c r="J2239" i="1"/>
  <c r="F2239" i="1"/>
  <c r="J2397" i="1"/>
  <c r="F2397" i="1"/>
  <c r="J1015" i="1"/>
  <c r="F1015" i="1"/>
  <c r="J1019" i="1"/>
  <c r="F1019" i="1"/>
  <c r="J1108" i="1"/>
  <c r="F1108" i="1"/>
  <c r="J1113" i="1"/>
  <c r="F1113" i="1"/>
  <c r="J1476" i="1"/>
  <c r="F1476" i="1"/>
  <c r="J1596" i="1"/>
  <c r="F1596" i="1"/>
  <c r="J1640" i="1"/>
  <c r="F1640" i="1"/>
  <c r="J1713" i="1"/>
  <c r="F1713" i="1"/>
  <c r="J1965" i="1"/>
  <c r="F1965" i="1"/>
  <c r="J2128" i="1"/>
  <c r="F2128" i="1"/>
  <c r="J2129" i="1"/>
  <c r="F2129" i="1"/>
  <c r="J2143" i="1"/>
  <c r="F2143" i="1"/>
  <c r="J2225" i="1"/>
  <c r="F2225" i="1"/>
  <c r="J2226" i="1"/>
  <c r="F2226" i="1"/>
  <c r="J2351" i="1"/>
  <c r="F2351" i="1"/>
  <c r="J2356" i="1"/>
  <c r="F2356" i="1"/>
  <c r="J958" i="1"/>
  <c r="F958" i="1"/>
  <c r="J971" i="1"/>
  <c r="F971" i="1"/>
  <c r="J1008" i="1"/>
  <c r="F1008" i="1"/>
  <c r="J1039" i="1"/>
  <c r="F1039" i="1"/>
  <c r="J1076" i="1"/>
  <c r="F1076" i="1"/>
  <c r="J1104" i="1"/>
  <c r="F1104" i="1"/>
  <c r="J1257" i="1"/>
  <c r="F1257" i="1"/>
  <c r="J1392" i="1"/>
  <c r="F1392" i="1"/>
  <c r="J1425" i="1"/>
  <c r="F1425" i="1"/>
  <c r="J1502" i="1"/>
  <c r="F1502" i="1"/>
  <c r="J1661" i="1"/>
  <c r="F1661" i="1"/>
  <c r="J1727" i="1"/>
  <c r="F1727" i="1"/>
  <c r="J1871" i="1"/>
  <c r="F1871" i="1"/>
  <c r="J1957" i="1"/>
  <c r="F1957" i="1"/>
  <c r="J2328" i="1"/>
  <c r="F2328" i="1"/>
  <c r="J2331" i="1"/>
  <c r="F2331" i="1"/>
  <c r="J956" i="1"/>
  <c r="F956" i="1"/>
  <c r="J1010" i="1"/>
  <c r="F1010" i="1"/>
  <c r="J1034" i="1"/>
  <c r="F1034" i="1"/>
  <c r="J1040" i="1"/>
  <c r="F1040" i="1"/>
  <c r="J1042" i="1"/>
  <c r="F1042" i="1"/>
  <c r="J1063" i="1"/>
  <c r="F1063" i="1"/>
  <c r="J1351" i="1"/>
  <c r="F1351" i="1"/>
  <c r="J2150" i="1"/>
  <c r="F2150" i="1"/>
  <c r="J2215" i="1"/>
  <c r="F2215" i="1"/>
  <c r="J2334" i="1"/>
  <c r="F2334" i="1"/>
  <c r="J2335" i="1"/>
  <c r="F2335" i="1"/>
  <c r="J2366" i="1"/>
  <c r="F2366" i="1"/>
  <c r="J2367" i="1"/>
  <c r="AJ2367" i="1" s="1"/>
  <c r="F2367" i="1"/>
  <c r="J957" i="1"/>
  <c r="F957" i="1"/>
  <c r="J970" i="1"/>
  <c r="F970" i="1"/>
  <c r="J1179" i="1"/>
  <c r="F1179" i="1"/>
  <c r="J1181" i="1"/>
  <c r="F1181" i="1"/>
  <c r="J1284" i="1"/>
  <c r="F1284" i="1"/>
  <c r="J1345" i="1"/>
  <c r="F1345" i="1"/>
  <c r="J1377" i="1"/>
  <c r="F1377" i="1"/>
  <c r="J1505" i="1"/>
  <c r="F1505" i="1"/>
  <c r="J1612" i="1"/>
  <c r="F1612" i="1"/>
  <c r="J1615" i="1"/>
  <c r="F1615" i="1"/>
  <c r="J1619" i="1"/>
  <c r="F1619" i="1"/>
  <c r="J1662" i="1"/>
  <c r="F1662" i="1"/>
  <c r="J1982" i="1"/>
  <c r="F1982" i="1"/>
  <c r="J1987" i="1"/>
  <c r="F1987" i="1"/>
  <c r="J2109" i="1"/>
  <c r="F2109" i="1"/>
  <c r="J955" i="1"/>
  <c r="F955" i="1"/>
  <c r="J969" i="1"/>
  <c r="F969" i="1"/>
  <c r="J972" i="1"/>
  <c r="F972" i="1"/>
  <c r="J1035" i="1"/>
  <c r="F1035" i="1"/>
  <c r="J1041" i="1"/>
  <c r="F1041" i="1"/>
  <c r="J1081" i="1"/>
  <c r="F1081" i="1"/>
  <c r="J1102" i="1"/>
  <c r="F1102" i="1"/>
  <c r="J1156" i="1"/>
  <c r="F1156" i="1"/>
  <c r="J1221" i="1"/>
  <c r="F1221" i="1"/>
  <c r="J1287" i="1"/>
  <c r="F1287" i="1"/>
  <c r="J1290" i="1"/>
  <c r="F1290" i="1"/>
  <c r="J1313" i="1"/>
  <c r="F1313" i="1"/>
  <c r="J1329" i="1"/>
  <c r="F1329" i="1"/>
  <c r="J1429" i="1"/>
  <c r="F1429" i="1"/>
  <c r="J1621" i="1"/>
  <c r="F1621" i="1"/>
  <c r="J1627" i="1"/>
  <c r="F1627" i="1"/>
  <c r="J1657" i="1"/>
  <c r="F1657" i="1"/>
  <c r="J1866" i="1"/>
  <c r="F1866" i="1"/>
  <c r="J1870" i="1"/>
  <c r="F1870" i="1"/>
  <c r="J1924" i="1"/>
  <c r="F1924" i="1"/>
  <c r="J1983" i="1"/>
  <c r="F1983" i="1"/>
  <c r="J1986" i="1"/>
  <c r="F1986" i="1"/>
  <c r="J2105" i="1"/>
  <c r="F2105" i="1"/>
  <c r="J528" i="1"/>
  <c r="F528" i="1"/>
  <c r="J550" i="1"/>
  <c r="F550" i="1"/>
  <c r="J578" i="1"/>
  <c r="F578" i="1"/>
  <c r="J668" i="1"/>
  <c r="F668" i="1"/>
  <c r="J722" i="1"/>
  <c r="F722" i="1"/>
  <c r="J730" i="1"/>
  <c r="F730" i="1"/>
  <c r="J826" i="1"/>
  <c r="F826" i="1"/>
  <c r="J918" i="1"/>
  <c r="F918" i="1"/>
  <c r="J924" i="1"/>
  <c r="F924" i="1"/>
  <c r="J986" i="1"/>
  <c r="F986" i="1"/>
  <c r="J987" i="1"/>
  <c r="F987" i="1"/>
  <c r="J1012" i="1"/>
  <c r="F1012" i="1"/>
  <c r="J1014" i="1"/>
  <c r="F1014" i="1"/>
  <c r="J1200" i="1"/>
  <c r="F1200" i="1"/>
  <c r="J1303" i="1"/>
  <c r="F1303" i="1"/>
  <c r="J1397" i="1"/>
  <c r="F1397" i="1"/>
  <c r="J1412" i="1"/>
  <c r="F1412" i="1"/>
  <c r="J1436" i="1"/>
  <c r="K1436" i="1" s="1"/>
  <c r="F1436" i="1"/>
  <c r="J1535" i="1"/>
  <c r="F1535" i="1"/>
  <c r="J1569" i="1"/>
  <c r="F1569" i="1"/>
  <c r="J1635" i="1"/>
  <c r="K1635" i="1" s="1"/>
  <c r="F1635" i="1"/>
  <c r="J1742" i="1"/>
  <c r="F1742" i="1"/>
  <c r="J1834" i="1"/>
  <c r="F1834" i="1"/>
  <c r="J1996" i="1"/>
  <c r="F1996" i="1"/>
  <c r="J1997" i="1"/>
  <c r="F1997" i="1"/>
  <c r="J2000" i="1"/>
  <c r="F2000" i="1"/>
  <c r="J2015" i="1"/>
  <c r="F2015" i="1"/>
  <c r="J2117" i="1"/>
  <c r="F2117" i="1"/>
  <c r="J2156" i="1"/>
  <c r="F2156" i="1"/>
  <c r="J2188" i="1"/>
  <c r="F2188" i="1"/>
  <c r="J2192" i="1"/>
  <c r="F2192" i="1"/>
  <c r="J2208" i="1"/>
  <c r="F2208" i="1"/>
  <c r="J2317" i="1"/>
  <c r="F2317" i="1"/>
  <c r="J539" i="1"/>
  <c r="F539" i="1"/>
  <c r="J553" i="1"/>
  <c r="F553" i="1"/>
  <c r="J727" i="1"/>
  <c r="F727" i="1"/>
  <c r="J829" i="1"/>
  <c r="F829" i="1"/>
  <c r="J541" i="1"/>
  <c r="F541" i="1"/>
  <c r="J544" i="1"/>
  <c r="F544" i="1"/>
  <c r="J546" i="1"/>
  <c r="F546" i="1"/>
  <c r="J725" i="1"/>
  <c r="F725" i="1"/>
  <c r="J726" i="1"/>
  <c r="F726" i="1"/>
  <c r="J729" i="1"/>
  <c r="F729" i="1"/>
  <c r="J981" i="1"/>
  <c r="F981" i="1"/>
  <c r="J1203" i="1"/>
  <c r="F1203" i="1"/>
  <c r="J1400" i="1"/>
  <c r="F1400" i="1"/>
  <c r="J1411" i="1"/>
  <c r="F1411" i="1"/>
  <c r="J1524" i="1"/>
  <c r="F1524" i="1"/>
  <c r="J1532" i="1"/>
  <c r="F1532" i="1"/>
  <c r="J1537" i="1"/>
  <c r="F1537" i="1"/>
  <c r="J1633" i="1"/>
  <c r="F1633" i="1"/>
  <c r="J1699" i="1"/>
  <c r="F1699" i="1"/>
  <c r="J1747" i="1"/>
  <c r="F1747" i="1"/>
  <c r="J1821" i="1"/>
  <c r="F1821" i="1"/>
  <c r="J1840" i="1"/>
  <c r="F1840" i="1"/>
  <c r="J1994" i="1"/>
  <c r="AJ1994" i="1" s="1"/>
  <c r="F1994" i="1"/>
  <c r="J2016" i="1"/>
  <c r="F2016" i="1"/>
  <c r="J2035" i="1"/>
  <c r="F2035" i="1"/>
  <c r="J2118" i="1"/>
  <c r="F2118" i="1"/>
  <c r="J2122" i="1"/>
  <c r="AJ2122" i="1" s="1"/>
  <c r="F2122" i="1"/>
  <c r="J2124" i="1"/>
  <c r="F2124" i="1"/>
  <c r="J2125" i="1"/>
  <c r="F2125" i="1"/>
  <c r="J2158" i="1"/>
  <c r="F2158" i="1"/>
  <c r="J2159" i="1"/>
  <c r="F2159" i="1"/>
  <c r="J2161" i="1"/>
  <c r="F2161" i="1"/>
  <c r="J2162" i="1"/>
  <c r="F2162" i="1"/>
  <c r="J2187" i="1"/>
  <c r="F2187" i="1"/>
  <c r="J2210" i="1"/>
  <c r="F2210" i="1"/>
  <c r="J2211" i="1"/>
  <c r="F2211" i="1"/>
  <c r="J2341" i="1"/>
  <c r="F2341" i="1"/>
  <c r="J2343" i="1"/>
  <c r="F2343" i="1"/>
  <c r="J548" i="1"/>
  <c r="F548" i="1"/>
  <c r="J575" i="1"/>
  <c r="F575" i="1"/>
  <c r="J576" i="1"/>
  <c r="F576" i="1"/>
  <c r="J622" i="1"/>
  <c r="F622" i="1"/>
  <c r="J723" i="1"/>
  <c r="F723" i="1"/>
  <c r="J825" i="1"/>
  <c r="F825" i="1"/>
  <c r="J827" i="1"/>
  <c r="F827" i="1"/>
  <c r="J919" i="1"/>
  <c r="F919" i="1"/>
  <c r="J936" i="1"/>
  <c r="F936" i="1"/>
  <c r="J982" i="1"/>
  <c r="F982" i="1"/>
  <c r="J1301" i="1"/>
  <c r="F1301" i="1"/>
  <c r="J1404" i="1"/>
  <c r="F1404" i="1"/>
  <c r="J1414" i="1"/>
  <c r="F1414" i="1"/>
  <c r="J1520" i="1"/>
  <c r="F1520" i="1"/>
  <c r="J1523" i="1"/>
  <c r="F1523" i="1"/>
  <c r="J1531" i="1"/>
  <c r="F1531" i="1"/>
  <c r="J1573" i="1"/>
  <c r="F1573" i="1"/>
  <c r="J1647" i="1"/>
  <c r="F1647" i="1"/>
  <c r="J1654" i="1"/>
  <c r="F1654" i="1"/>
  <c r="J1705" i="1"/>
  <c r="F1705" i="1"/>
  <c r="J1746" i="1"/>
  <c r="F1746" i="1"/>
  <c r="J1749" i="1"/>
  <c r="F1749" i="1"/>
  <c r="J1818" i="1"/>
  <c r="F1818" i="1"/>
  <c r="J2017" i="1"/>
  <c r="F2017" i="1"/>
  <c r="J2020" i="1"/>
  <c r="F2020" i="1"/>
  <c r="J2268" i="1"/>
  <c r="F2268" i="1"/>
  <c r="J2314" i="1"/>
  <c r="F2314" i="1"/>
  <c r="J2319" i="1"/>
  <c r="AJ2319" i="1" s="1"/>
  <c r="F2319" i="1"/>
  <c r="J2321" i="1"/>
  <c r="F2321" i="1"/>
  <c r="J624" i="1"/>
  <c r="F624" i="1"/>
  <c r="J625" i="1"/>
  <c r="F625" i="1"/>
  <c r="J830" i="1"/>
  <c r="F830" i="1"/>
  <c r="J920" i="1"/>
  <c r="F920" i="1"/>
  <c r="J923" i="1"/>
  <c r="F923" i="1"/>
  <c r="J926" i="1"/>
  <c r="F926" i="1"/>
  <c r="J927" i="1"/>
  <c r="F927" i="1"/>
  <c r="J938" i="1"/>
  <c r="F938" i="1"/>
  <c r="J1011" i="1"/>
  <c r="F1011" i="1"/>
  <c r="J1201" i="1"/>
  <c r="F1201" i="1"/>
  <c r="J1298" i="1"/>
  <c r="F1298" i="1"/>
  <c r="J1299" i="1"/>
  <c r="F1299" i="1"/>
  <c r="J1302" i="1"/>
  <c r="F1302" i="1"/>
  <c r="J1434" i="1"/>
  <c r="F1434" i="1"/>
  <c r="J1522" i="1"/>
  <c r="F1522" i="1"/>
  <c r="J1533" i="1"/>
  <c r="F1533" i="1"/>
  <c r="J1536" i="1"/>
  <c r="K1536" i="1" s="1"/>
  <c r="F1536" i="1"/>
  <c r="J1651" i="1"/>
  <c r="F1651" i="1"/>
  <c r="J1653" i="1"/>
  <c r="F1653" i="1"/>
  <c r="J1698" i="1"/>
  <c r="F1698" i="1"/>
  <c r="J1750" i="1"/>
  <c r="F1750" i="1"/>
  <c r="J1820" i="1"/>
  <c r="F1820" i="1"/>
  <c r="J1836" i="1"/>
  <c r="F1836" i="1"/>
  <c r="J2041" i="1"/>
  <c r="F2041" i="1"/>
  <c r="J2157" i="1"/>
  <c r="F2157" i="1"/>
  <c r="J2193" i="1"/>
  <c r="F2193" i="1"/>
  <c r="J2206" i="1"/>
  <c r="F2206" i="1"/>
  <c r="J2391" i="1"/>
  <c r="F2391" i="1"/>
  <c r="J84" i="1"/>
  <c r="F84" i="1"/>
  <c r="J201" i="1"/>
  <c r="F201" i="1"/>
  <c r="J300" i="1"/>
  <c r="F300" i="1"/>
  <c r="J357" i="1"/>
  <c r="F357" i="1"/>
  <c r="J363" i="1"/>
  <c r="F363" i="1"/>
  <c r="J368" i="1"/>
  <c r="F368" i="1"/>
  <c r="J557" i="1"/>
  <c r="F557" i="1"/>
  <c r="J702" i="1"/>
  <c r="F702" i="1"/>
  <c r="J1100" i="1"/>
  <c r="F1100" i="1"/>
  <c r="J2147" i="1"/>
  <c r="F2147" i="1"/>
  <c r="J47" i="1"/>
  <c r="F47" i="1"/>
  <c r="J122" i="1"/>
  <c r="F122" i="1"/>
  <c r="J162" i="1"/>
  <c r="F162" i="1"/>
  <c r="J199" i="1"/>
  <c r="F199" i="1"/>
  <c r="J251" i="1"/>
  <c r="F251" i="1"/>
  <c r="J276" i="1"/>
  <c r="F276" i="1"/>
  <c r="J292" i="1"/>
  <c r="F292" i="1"/>
  <c r="J329" i="1"/>
  <c r="F329" i="1"/>
  <c r="J555" i="1"/>
  <c r="F555" i="1"/>
  <c r="J805" i="1"/>
  <c r="F805" i="1"/>
  <c r="J880" i="1"/>
  <c r="F880" i="1"/>
  <c r="J360" i="1"/>
  <c r="F360" i="1"/>
  <c r="J436" i="1"/>
  <c r="F436" i="1"/>
  <c r="J439" i="1"/>
  <c r="F439" i="1"/>
  <c r="J558" i="1"/>
  <c r="F558" i="1"/>
  <c r="J704" i="1"/>
  <c r="F704" i="1"/>
  <c r="J777" i="1"/>
  <c r="F777" i="1"/>
  <c r="J781" i="1"/>
  <c r="F781" i="1"/>
  <c r="J884" i="1"/>
  <c r="F884" i="1"/>
  <c r="J1004" i="1"/>
  <c r="F1004" i="1"/>
  <c r="J1150" i="1"/>
  <c r="F1150" i="1"/>
  <c r="J1427" i="1"/>
  <c r="F1427" i="1"/>
  <c r="J1617" i="1"/>
  <c r="F1617" i="1"/>
  <c r="J1869" i="1"/>
  <c r="F1869" i="1"/>
  <c r="J2332" i="1"/>
  <c r="F2332" i="1"/>
  <c r="J7" i="1"/>
  <c r="F7" i="1"/>
  <c r="J191" i="1"/>
  <c r="F191" i="1"/>
  <c r="J314" i="1"/>
  <c r="F314" i="1"/>
  <c r="J374" i="1"/>
  <c r="F374" i="1"/>
  <c r="J380" i="1"/>
  <c r="F380" i="1"/>
  <c r="J384" i="1"/>
  <c r="F384" i="1"/>
  <c r="J474" i="1"/>
  <c r="F474" i="1"/>
  <c r="J563" i="1"/>
  <c r="F563" i="1"/>
  <c r="J619" i="1"/>
  <c r="F619" i="1"/>
  <c r="J689" i="1"/>
  <c r="F689" i="1"/>
  <c r="J785" i="1"/>
  <c r="F785" i="1"/>
  <c r="J794" i="1"/>
  <c r="F794" i="1"/>
  <c r="J800" i="1"/>
  <c r="F800" i="1"/>
  <c r="J858" i="1"/>
  <c r="F858" i="1"/>
  <c r="J866" i="1"/>
  <c r="F866" i="1"/>
  <c r="J894" i="1"/>
  <c r="F894" i="1"/>
  <c r="J896" i="1"/>
  <c r="F896" i="1"/>
  <c r="J897" i="1"/>
  <c r="F897" i="1"/>
  <c r="J1058" i="1"/>
  <c r="F1058" i="1"/>
  <c r="J1165" i="1"/>
  <c r="F1165" i="1"/>
  <c r="J1249" i="1"/>
  <c r="F1249" i="1"/>
  <c r="J1251" i="1"/>
  <c r="F1251" i="1"/>
  <c r="J1442" i="1"/>
  <c r="F1442" i="1"/>
  <c r="J1460" i="1"/>
  <c r="F1460" i="1"/>
  <c r="J1544" i="1"/>
  <c r="F1544" i="1"/>
  <c r="J1557" i="1"/>
  <c r="F1557" i="1"/>
  <c r="J1663" i="1"/>
  <c r="F1663" i="1"/>
  <c r="J1680" i="1"/>
  <c r="F1680" i="1"/>
  <c r="J1691" i="1"/>
  <c r="F1691" i="1"/>
  <c r="J1696" i="1"/>
  <c r="F1696" i="1"/>
  <c r="J1738" i="1"/>
  <c r="F1738" i="1"/>
  <c r="J1775" i="1"/>
  <c r="F1775" i="1"/>
  <c r="J1782" i="1"/>
  <c r="F1782" i="1"/>
  <c r="J1806" i="1"/>
  <c r="F1806" i="1"/>
  <c r="J1861" i="1"/>
  <c r="F1861" i="1"/>
  <c r="J1945" i="1"/>
  <c r="AJ1945" i="1" s="1"/>
  <c r="F1945" i="1"/>
  <c r="J2055" i="1"/>
  <c r="F2055" i="1"/>
  <c r="J2084" i="1"/>
  <c r="F2084" i="1"/>
  <c r="J2092" i="1"/>
  <c r="F2092" i="1"/>
  <c r="J2221" i="1"/>
  <c r="F2221" i="1"/>
  <c r="J2248" i="1"/>
  <c r="F2248" i="1"/>
  <c r="J2304" i="1"/>
  <c r="F2304" i="1"/>
  <c r="J2322" i="1"/>
  <c r="F2322" i="1"/>
  <c r="J2325" i="1"/>
  <c r="F2325" i="1"/>
  <c r="J2386" i="1"/>
  <c r="F2386" i="1"/>
  <c r="J376" i="1"/>
  <c r="F376" i="1"/>
  <c r="J386" i="1"/>
  <c r="F386" i="1"/>
  <c r="J478" i="1"/>
  <c r="F478" i="1"/>
  <c r="J495" i="1"/>
  <c r="F495" i="1"/>
  <c r="J605" i="1"/>
  <c r="F605" i="1"/>
  <c r="J631" i="1"/>
  <c r="F631" i="1"/>
  <c r="J656" i="1"/>
  <c r="F656" i="1"/>
  <c r="J792" i="1"/>
  <c r="F792" i="1"/>
  <c r="J854" i="1"/>
  <c r="F854" i="1"/>
  <c r="J855" i="1"/>
  <c r="K855" i="1" s="1"/>
  <c r="F855" i="1"/>
  <c r="J863" i="1"/>
  <c r="F863" i="1"/>
  <c r="J892" i="1"/>
  <c r="F892" i="1"/>
  <c r="J930" i="1"/>
  <c r="F930" i="1"/>
  <c r="J67" i="1"/>
  <c r="F67" i="1"/>
  <c r="J133" i="1"/>
  <c r="F133" i="1"/>
  <c r="J137" i="1"/>
  <c r="F137" i="1"/>
  <c r="J141" i="1"/>
  <c r="F141" i="1"/>
  <c r="J188" i="1"/>
  <c r="F188" i="1"/>
  <c r="J313" i="1"/>
  <c r="F313" i="1"/>
  <c r="J315" i="1"/>
  <c r="F315" i="1"/>
  <c r="J319" i="1"/>
  <c r="F319" i="1"/>
  <c r="J391" i="1"/>
  <c r="F391" i="1"/>
  <c r="J565" i="1"/>
  <c r="F565" i="1"/>
  <c r="J567" i="1"/>
  <c r="F567" i="1"/>
  <c r="J633" i="1"/>
  <c r="F633" i="1"/>
  <c r="J701" i="1"/>
  <c r="F701" i="1"/>
  <c r="J731" i="1"/>
  <c r="F731" i="1"/>
  <c r="J757" i="1"/>
  <c r="F757" i="1"/>
  <c r="J764" i="1"/>
  <c r="F764" i="1"/>
  <c r="J796" i="1"/>
  <c r="F796" i="1"/>
  <c r="J851" i="1"/>
  <c r="F851" i="1"/>
  <c r="J1239" i="1"/>
  <c r="F1239" i="1"/>
  <c r="J1248" i="1"/>
  <c r="F1248" i="1"/>
  <c r="J1281" i="1"/>
  <c r="F1281" i="1"/>
  <c r="J1441" i="1"/>
  <c r="F1441" i="1"/>
  <c r="J1667" i="1"/>
  <c r="F1667" i="1"/>
  <c r="J1827" i="1"/>
  <c r="F1827" i="1"/>
  <c r="J1828" i="1"/>
  <c r="F1828" i="1"/>
  <c r="J1831" i="1"/>
  <c r="F1831" i="1"/>
  <c r="J1958" i="1"/>
  <c r="F1958" i="1"/>
  <c r="J1964" i="1"/>
  <c r="F1964" i="1"/>
  <c r="J1980" i="1"/>
  <c r="F1980" i="1"/>
  <c r="J2008" i="1"/>
  <c r="F2008" i="1"/>
  <c r="J2010" i="1"/>
  <c r="F2010" i="1"/>
  <c r="J2057" i="1"/>
  <c r="F2057" i="1"/>
  <c r="J2068" i="1"/>
  <c r="F2068" i="1"/>
  <c r="J2070" i="1"/>
  <c r="F2070" i="1"/>
  <c r="J2091" i="1"/>
  <c r="F2091" i="1"/>
  <c r="J68" i="1"/>
  <c r="F68" i="1"/>
  <c r="J69" i="1"/>
  <c r="F69" i="1"/>
  <c r="J372" i="1"/>
  <c r="F372" i="1"/>
  <c r="J375" i="1"/>
  <c r="F375" i="1"/>
  <c r="J383" i="1"/>
  <c r="F383" i="1"/>
  <c r="J473" i="1"/>
  <c r="F473" i="1"/>
  <c r="J483" i="1"/>
  <c r="F483" i="1"/>
  <c r="J500" i="1"/>
  <c r="F500" i="1"/>
  <c r="J569" i="1"/>
  <c r="F569" i="1"/>
  <c r="J602" i="1"/>
  <c r="F602" i="1"/>
  <c r="J603" i="1"/>
  <c r="F603" i="1"/>
  <c r="J604" i="1"/>
  <c r="F604" i="1"/>
  <c r="J653" i="1"/>
  <c r="F653" i="1"/>
  <c r="J690" i="1"/>
  <c r="F690" i="1"/>
  <c r="J693" i="1"/>
  <c r="F693" i="1"/>
  <c r="J739" i="1"/>
  <c r="F739" i="1"/>
  <c r="J788" i="1"/>
  <c r="F788" i="1"/>
  <c r="J790" i="1"/>
  <c r="F790" i="1"/>
  <c r="J791" i="1"/>
  <c r="F791" i="1"/>
  <c r="J799" i="1"/>
  <c r="F799" i="1"/>
  <c r="J899" i="1"/>
  <c r="F899" i="1"/>
  <c r="J928" i="1"/>
  <c r="F928" i="1"/>
  <c r="J935" i="1"/>
  <c r="F935" i="1"/>
  <c r="J1052" i="1"/>
  <c r="F1052" i="1"/>
  <c r="J1053" i="1"/>
  <c r="F1053" i="1"/>
  <c r="J1055" i="1"/>
  <c r="F1055" i="1"/>
  <c r="J1056" i="1"/>
  <c r="F1056" i="1"/>
  <c r="J1279" i="1"/>
  <c r="F1279" i="1"/>
  <c r="J1443" i="1"/>
  <c r="F1443" i="1"/>
  <c r="J1546" i="1"/>
  <c r="F1546" i="1"/>
  <c r="J1553" i="1"/>
  <c r="F1553" i="1"/>
  <c r="J1585" i="1"/>
  <c r="F1585" i="1"/>
  <c r="J1695" i="1"/>
  <c r="F1695" i="1"/>
  <c r="J1697" i="1"/>
  <c r="F1697" i="1"/>
  <c r="J1779" i="1"/>
  <c r="F1779" i="1"/>
  <c r="J1804" i="1"/>
  <c r="F1804" i="1"/>
  <c r="J1808" i="1"/>
  <c r="F1808" i="1"/>
  <c r="J1846" i="1"/>
  <c r="F1846" i="1"/>
  <c r="J1860" i="1"/>
  <c r="F1860" i="1"/>
  <c r="J2013" i="1"/>
  <c r="F2013" i="1"/>
  <c r="J2050" i="1"/>
  <c r="F2050" i="1"/>
  <c r="J2081" i="1"/>
  <c r="F2081" i="1"/>
  <c r="J2089" i="1"/>
  <c r="F2089" i="1"/>
  <c r="J2284" i="1"/>
  <c r="F2284" i="1"/>
  <c r="J2309" i="1"/>
  <c r="F2309" i="1"/>
  <c r="J2310" i="1"/>
  <c r="F2310" i="1"/>
  <c r="J3" i="1"/>
  <c r="F3" i="1"/>
  <c r="J5" i="1"/>
  <c r="F5" i="1"/>
  <c r="J6" i="1"/>
  <c r="F6" i="1"/>
  <c r="J66" i="1"/>
  <c r="F66" i="1"/>
  <c r="J189" i="1"/>
  <c r="F189" i="1"/>
  <c r="J318" i="1"/>
  <c r="F318" i="1"/>
  <c r="J390" i="1"/>
  <c r="F390" i="1"/>
  <c r="J488" i="1"/>
  <c r="F488" i="1"/>
  <c r="J571" i="1"/>
  <c r="F571" i="1"/>
  <c r="J654" i="1"/>
  <c r="F654" i="1"/>
  <c r="J683" i="1"/>
  <c r="F683" i="1"/>
  <c r="J698" i="1"/>
  <c r="F698" i="1"/>
  <c r="J700" i="1"/>
  <c r="F700" i="1"/>
  <c r="J732" i="1"/>
  <c r="F732" i="1"/>
  <c r="J758" i="1"/>
  <c r="F758" i="1"/>
  <c r="J787" i="1"/>
  <c r="F787" i="1"/>
  <c r="J798" i="1"/>
  <c r="F798" i="1"/>
  <c r="J859" i="1"/>
  <c r="F859" i="1"/>
  <c r="J867" i="1"/>
  <c r="F867" i="1"/>
  <c r="J933" i="1"/>
  <c r="F933" i="1"/>
  <c r="J1190" i="1"/>
  <c r="F1190" i="1"/>
  <c r="J1229" i="1"/>
  <c r="F1229" i="1"/>
  <c r="J1240" i="1"/>
  <c r="F1240" i="1"/>
  <c r="J1273" i="1"/>
  <c r="F1273" i="1"/>
  <c r="J1274" i="1"/>
  <c r="F1274" i="1"/>
  <c r="J1587" i="1"/>
  <c r="F1587" i="1"/>
  <c r="J1670" i="1"/>
  <c r="F1670" i="1"/>
  <c r="J1674" i="1"/>
  <c r="F1674" i="1"/>
  <c r="J1675" i="1"/>
  <c r="F1675" i="1"/>
  <c r="J1679" i="1"/>
  <c r="F1679" i="1"/>
  <c r="J1681" i="1"/>
  <c r="F1681" i="1"/>
  <c r="J1739" i="1"/>
  <c r="F1739" i="1"/>
  <c r="J1740" i="1"/>
  <c r="F1740" i="1"/>
  <c r="J1825" i="1"/>
  <c r="F1825" i="1"/>
  <c r="J1829" i="1"/>
  <c r="F1829" i="1"/>
  <c r="J1832" i="1"/>
  <c r="F1832" i="1"/>
  <c r="J1842" i="1"/>
  <c r="F1842" i="1"/>
  <c r="J1876" i="1"/>
  <c r="F1876" i="1"/>
  <c r="J1905" i="1"/>
  <c r="F1905" i="1"/>
  <c r="J1960" i="1"/>
  <c r="F1960" i="1"/>
  <c r="J1973" i="1"/>
  <c r="F1973" i="1"/>
  <c r="J1977" i="1"/>
  <c r="F1977" i="1"/>
  <c r="J2080" i="1"/>
  <c r="F2080" i="1"/>
  <c r="J2085" i="1"/>
  <c r="F2085" i="1"/>
  <c r="J2252" i="1"/>
  <c r="F2252" i="1"/>
  <c r="J2299" i="1"/>
  <c r="F2299" i="1"/>
  <c r="J2302" i="1"/>
  <c r="F2302" i="1"/>
  <c r="J2311" i="1"/>
  <c r="F2311" i="1"/>
  <c r="J2385" i="1"/>
  <c r="F2385" i="1"/>
  <c r="J139" i="1"/>
  <c r="F139" i="1"/>
  <c r="J312" i="1"/>
  <c r="F312" i="1"/>
  <c r="J482" i="1"/>
  <c r="F482" i="1"/>
  <c r="J487" i="1"/>
  <c r="F487" i="1"/>
  <c r="J497" i="1"/>
  <c r="F497" i="1"/>
  <c r="J471" i="1"/>
  <c r="F471" i="1"/>
  <c r="J463" i="1"/>
  <c r="F463" i="1"/>
  <c r="J450" i="1"/>
  <c r="F450" i="1"/>
  <c r="J516" i="1"/>
  <c r="F516" i="1"/>
  <c r="J513" i="1"/>
  <c r="F513" i="1"/>
  <c r="J519" i="1"/>
  <c r="F519" i="1"/>
  <c r="J518" i="1"/>
  <c r="F518" i="1"/>
  <c r="J33" i="1"/>
  <c r="F33" i="1"/>
  <c r="J35" i="1"/>
  <c r="F35" i="1"/>
  <c r="J34" i="1"/>
  <c r="F34" i="1"/>
  <c r="J336" i="1"/>
  <c r="F336" i="1"/>
  <c r="J339" i="1"/>
  <c r="F339" i="1"/>
  <c r="J217" i="1"/>
  <c r="F217" i="1"/>
  <c r="J220" i="1"/>
  <c r="F220" i="1"/>
  <c r="J212" i="1"/>
  <c r="F212" i="1"/>
  <c r="J411" i="1"/>
  <c r="F411" i="1"/>
  <c r="J406" i="1"/>
  <c r="F406" i="1"/>
  <c r="J409" i="1"/>
  <c r="F409" i="1"/>
  <c r="J402" i="1"/>
  <c r="F402" i="1"/>
  <c r="J522" i="1"/>
  <c r="F522" i="1"/>
  <c r="J524" i="1"/>
  <c r="F524" i="1"/>
  <c r="AJ2369" i="1" l="1"/>
  <c r="AD2403" i="1"/>
  <c r="AJ31" i="1"/>
  <c r="AJ836" i="1"/>
  <c r="AJ1878" i="1"/>
  <c r="AJ1784" i="1"/>
  <c r="AJ1978" i="1"/>
  <c r="AJ1534" i="1"/>
  <c r="AJ845" i="1"/>
  <c r="AJ1752" i="1"/>
  <c r="AJ627" i="1"/>
  <c r="AJ1002" i="1"/>
  <c r="AJ2114" i="1"/>
  <c r="AJ707" i="1"/>
  <c r="AJ2230" i="1"/>
  <c r="AJ1092" i="1"/>
  <c r="AJ2152" i="1"/>
  <c r="AJ1280" i="1"/>
  <c r="AJ2281" i="1"/>
  <c r="AJ1220" i="1"/>
  <c r="AJ2291" i="1"/>
  <c r="AJ1616" i="1"/>
  <c r="AJ2373" i="1"/>
  <c r="AJ288" i="1"/>
  <c r="AJ1902" i="1"/>
  <c r="AJ1020" i="1"/>
  <c r="AJ121" i="1"/>
  <c r="AJ1235" i="1"/>
  <c r="AJ2238" i="1"/>
  <c r="AJ552" i="1"/>
  <c r="AJ1419" i="1"/>
  <c r="AJ626" i="1"/>
  <c r="AJ767" i="1"/>
  <c r="AJ1671" i="1"/>
  <c r="AJ945" i="1"/>
  <c r="AJ1125" i="1"/>
  <c r="AJ2172" i="1"/>
  <c r="AJ828" i="1"/>
  <c r="AJ1123" i="1"/>
  <c r="AJ1454" i="1"/>
  <c r="AJ1809" i="1"/>
  <c r="AJ2305" i="1"/>
  <c r="AJ412" i="1"/>
  <c r="AJ743" i="1"/>
  <c r="AJ1540" i="1"/>
  <c r="AJ2014" i="1"/>
  <c r="AJ2340" i="1"/>
  <c r="AJ1164" i="1"/>
  <c r="AJ1620" i="1"/>
  <c r="AJ1911" i="1"/>
  <c r="AJ2374" i="1"/>
  <c r="AJ419" i="1"/>
  <c r="AJ70" i="1"/>
  <c r="AJ1185" i="1"/>
  <c r="AJ1673" i="1"/>
  <c r="AJ484" i="1"/>
  <c r="AJ966" i="1"/>
  <c r="AJ1646" i="1"/>
  <c r="AJ2179" i="1"/>
  <c r="AJ158" i="1"/>
  <c r="AJ952" i="1"/>
  <c r="AJ1276" i="1"/>
  <c r="AJ526" i="1"/>
  <c r="AJ1790" i="1"/>
  <c r="AJ243" i="1"/>
  <c r="AJ2381" i="1"/>
  <c r="AJ613" i="1"/>
  <c r="AJ1082" i="1"/>
  <c r="AJ1384" i="1"/>
  <c r="AJ2183" i="1"/>
  <c r="AJ214" i="1"/>
  <c r="AJ678" i="1"/>
  <c r="AJ1452" i="1"/>
  <c r="AJ1904" i="1"/>
  <c r="AJ2278" i="1"/>
  <c r="AJ1908" i="1"/>
  <c r="AJ2235" i="1"/>
  <c r="AJ2387" i="1"/>
  <c r="AJ262" i="1"/>
  <c r="AJ542" i="1"/>
  <c r="AJ853" i="1"/>
  <c r="AJ1370" i="1"/>
  <c r="AJ1658" i="1"/>
  <c r="AJ1946" i="1"/>
  <c r="AJ2196" i="1"/>
  <c r="AJ2294" i="1"/>
  <c r="AJ190" i="1"/>
  <c r="AJ841" i="1"/>
  <c r="AJ1083" i="1"/>
  <c r="AJ1433" i="1"/>
  <c r="AJ2276" i="1"/>
  <c r="AJ2399" i="1"/>
  <c r="AJ271" i="1"/>
  <c r="AJ865" i="1"/>
  <c r="AJ1418" i="1"/>
  <c r="AJ1765" i="1"/>
  <c r="AJ1950" i="1"/>
  <c r="AJ2223" i="1"/>
  <c r="AJ2324" i="1"/>
  <c r="AJ499" i="1"/>
  <c r="AJ890" i="1"/>
  <c r="AJ1315" i="1"/>
  <c r="AJ1484" i="1"/>
  <c r="AJ1785" i="1"/>
  <c r="AJ2031" i="1"/>
  <c r="AJ398" i="1"/>
  <c r="AJ1038" i="1"/>
  <c r="AJ1486" i="1"/>
  <c r="AJ1817" i="1"/>
  <c r="AJ2088" i="1"/>
  <c r="AJ1340" i="1"/>
  <c r="AJ1572" i="1"/>
  <c r="AJ2052" i="1"/>
  <c r="AJ2290" i="1"/>
  <c r="AJ1050" i="1"/>
  <c r="AJ2126" i="1"/>
  <c r="AJ733" i="1"/>
  <c r="AJ992" i="1"/>
  <c r="AJ1406" i="1"/>
  <c r="AJ1628" i="1"/>
  <c r="AJ2333" i="1"/>
  <c r="AJ135" i="1"/>
  <c r="AJ1963" i="1"/>
  <c r="AJ2074" i="1"/>
  <c r="AJ2202" i="1"/>
  <c r="AJ2349" i="1"/>
  <c r="AJ164" i="1"/>
  <c r="AJ295" i="1"/>
  <c r="AJ434" i="1"/>
  <c r="AJ587" i="1"/>
  <c r="AJ717" i="1"/>
  <c r="AJ937" i="1"/>
  <c r="AJ1116" i="1"/>
  <c r="AJ1310" i="1"/>
  <c r="AJ1479" i="1"/>
  <c r="AJ1559" i="1"/>
  <c r="AJ1731" i="1"/>
  <c r="AJ1833" i="1"/>
  <c r="AJ1919" i="1"/>
  <c r="AJ2071" i="1"/>
  <c r="AJ2318" i="1"/>
  <c r="AJ11" i="1"/>
  <c r="AJ279" i="1"/>
  <c r="AJ574" i="1"/>
  <c r="AJ948" i="1"/>
  <c r="AJ1066" i="1"/>
  <c r="AJ1169" i="1"/>
  <c r="AJ1282" i="1"/>
  <c r="AJ1382" i="1"/>
  <c r="AJ1548" i="1"/>
  <c r="AJ1796" i="1"/>
  <c r="AJ2083" i="1"/>
  <c r="AJ2231" i="1"/>
  <c r="AJ2359" i="1"/>
  <c r="AJ24" i="1"/>
  <c r="AJ202" i="1"/>
  <c r="AJ316" i="1"/>
  <c r="AJ459" i="1"/>
  <c r="AJ591" i="1"/>
  <c r="AJ736" i="1"/>
  <c r="AJ941" i="1"/>
  <c r="AJ1122" i="1"/>
  <c r="AJ1364" i="1"/>
  <c r="AJ1487" i="1"/>
  <c r="AJ1610" i="1"/>
  <c r="AJ1743" i="1"/>
  <c r="AJ1875" i="1"/>
  <c r="AJ1929" i="1"/>
  <c r="AJ2073" i="1"/>
  <c r="AJ54" i="1"/>
  <c r="AJ308" i="1"/>
  <c r="AJ359" i="1"/>
  <c r="AJ692" i="1"/>
  <c r="AJ833" i="1"/>
  <c r="AJ985" i="1"/>
  <c r="AJ1212" i="1"/>
  <c r="AJ1318" i="1"/>
  <c r="AJ1584" i="1"/>
  <c r="AJ1689" i="1"/>
  <c r="AJ1844" i="1"/>
  <c r="AJ2002" i="1"/>
  <c r="AJ2123" i="1"/>
  <c r="AJ2257" i="1"/>
  <c r="AJ2289" i="1"/>
  <c r="AJ2368" i="1"/>
  <c r="AJ48" i="1"/>
  <c r="AJ246" i="1"/>
  <c r="AJ397" i="1"/>
  <c r="AJ491" i="1"/>
  <c r="AJ771" i="1"/>
  <c r="AJ998" i="1"/>
  <c r="AJ1188" i="1"/>
  <c r="AJ1403" i="1"/>
  <c r="AJ1498" i="1"/>
  <c r="AJ1637" i="1"/>
  <c r="AJ1764" i="1"/>
  <c r="AJ1885" i="1"/>
  <c r="AJ1952" i="1"/>
  <c r="AJ2087" i="1"/>
  <c r="AJ2181" i="1"/>
  <c r="AJ2258" i="1"/>
  <c r="AJ144" i="1"/>
  <c r="AJ371" i="1"/>
  <c r="AJ691" i="1"/>
  <c r="AJ848" i="1"/>
  <c r="AJ989" i="1"/>
  <c r="AJ1226" i="1"/>
  <c r="AJ1337" i="1"/>
  <c r="AJ1609" i="1"/>
  <c r="AJ1721" i="1"/>
  <c r="AJ1884" i="1"/>
  <c r="AJ2001" i="1"/>
  <c r="AJ2155" i="1"/>
  <c r="AJ2269" i="1"/>
  <c r="AJ2286" i="1"/>
  <c r="AJ2379" i="1"/>
  <c r="AJ77" i="1"/>
  <c r="AJ407" i="1"/>
  <c r="AJ506" i="1"/>
  <c r="AJ1029" i="1"/>
  <c r="AJ1186" i="1"/>
  <c r="AJ1416" i="1"/>
  <c r="AJ1516" i="1"/>
  <c r="AJ1644" i="1"/>
  <c r="AJ1763" i="1"/>
  <c r="AJ1951" i="1"/>
  <c r="AJ2090" i="1"/>
  <c r="AJ2191" i="1"/>
  <c r="AJ435" i="1"/>
  <c r="AJ1247" i="1"/>
  <c r="AJ2127" i="1"/>
  <c r="AJ216" i="1"/>
  <c r="AJ511" i="1"/>
  <c r="AJ810" i="1"/>
  <c r="AJ934" i="1"/>
  <c r="AJ1000" i="1"/>
  <c r="AJ1158" i="1"/>
  <c r="AJ1347" i="1"/>
  <c r="AJ1453" i="1"/>
  <c r="AJ1656" i="1"/>
  <c r="AJ1956" i="1"/>
  <c r="AJ2051" i="1"/>
  <c r="AJ2199" i="1"/>
  <c r="AJ2282" i="1"/>
  <c r="AJ2336" i="1"/>
  <c r="AJ160" i="1"/>
  <c r="AJ430" i="1"/>
  <c r="AJ566" i="1"/>
  <c r="AJ711" i="1"/>
  <c r="AJ889" i="1"/>
  <c r="AJ1103" i="1"/>
  <c r="AJ1277" i="1"/>
  <c r="AJ1461" i="1"/>
  <c r="AJ1556" i="1"/>
  <c r="AJ1719" i="1"/>
  <c r="AJ1830" i="1"/>
  <c r="AJ1920" i="1"/>
  <c r="AJ2018" i="1"/>
  <c r="AJ2141" i="1"/>
  <c r="AJ1597" i="1"/>
  <c r="AJ97" i="1"/>
  <c r="AJ275" i="1"/>
  <c r="AJ443" i="1"/>
  <c r="AJ638" i="1"/>
  <c r="AJ895" i="1"/>
  <c r="AJ983" i="1"/>
  <c r="AJ1059" i="1"/>
  <c r="AJ1132" i="1"/>
  <c r="AJ1195" i="1"/>
  <c r="AJ1515" i="1"/>
  <c r="AJ1901" i="1"/>
  <c r="AJ2038" i="1"/>
  <c r="AJ2111" i="1"/>
  <c r="AJ2182" i="1"/>
  <c r="AJ2255" i="1"/>
  <c r="AJ2292" i="1"/>
  <c r="AJ2338" i="1"/>
  <c r="AJ13" i="1"/>
  <c r="AJ124" i="1"/>
  <c r="AJ260" i="1"/>
  <c r="AJ351" i="1"/>
  <c r="AJ432" i="1"/>
  <c r="AJ536" i="1"/>
  <c r="AJ646" i="1"/>
  <c r="AJ789" i="1"/>
  <c r="AJ979" i="1"/>
  <c r="AJ1036" i="1"/>
  <c r="AJ1187" i="1"/>
  <c r="AJ1354" i="1"/>
  <c r="AJ1451" i="1"/>
  <c r="AJ1525" i="1"/>
  <c r="AJ1622" i="1"/>
  <c r="AJ1728" i="1"/>
  <c r="AJ1807" i="1"/>
  <c r="AJ1895" i="1"/>
  <c r="AJ1942" i="1"/>
  <c r="AJ2053" i="1"/>
  <c r="AJ2136" i="1"/>
  <c r="AJ2326" i="1"/>
  <c r="AJ1975" i="1"/>
  <c r="AJ2371" i="1"/>
  <c r="AJ470" i="1"/>
  <c r="AJ658" i="1"/>
  <c r="AJ1149" i="1"/>
  <c r="AJ1513" i="1"/>
  <c r="AJ2274" i="1"/>
  <c r="AJ187" i="1"/>
  <c r="AJ320" i="1"/>
  <c r="AJ991" i="1"/>
  <c r="AJ1223" i="1"/>
  <c r="AJ1294" i="1"/>
  <c r="AJ1355" i="1"/>
  <c r="AJ1445" i="1"/>
  <c r="AJ1547" i="1"/>
  <c r="AJ1629" i="1"/>
  <c r="AJ1700" i="1"/>
  <c r="AJ1810" i="1"/>
  <c r="AJ1934" i="1"/>
  <c r="AJ1989" i="1"/>
  <c r="AJ2138" i="1"/>
  <c r="AJ2209" i="1"/>
  <c r="AJ2360" i="1"/>
  <c r="AJ2377" i="1"/>
  <c r="AJ44" i="1"/>
  <c r="AJ1006" i="1"/>
  <c r="AJ2222" i="1"/>
  <c r="AJ63" i="1"/>
  <c r="AJ233" i="1"/>
  <c r="AJ399" i="1"/>
  <c r="AJ589" i="1"/>
  <c r="AJ807" i="1"/>
  <c r="AJ873" i="1"/>
  <c r="AJ978" i="1"/>
  <c r="AJ1022" i="1"/>
  <c r="AJ1112" i="1"/>
  <c r="AJ1174" i="1"/>
  <c r="AJ1244" i="1"/>
  <c r="AJ1332" i="1"/>
  <c r="AJ1394" i="1"/>
  <c r="AJ1472" i="1"/>
  <c r="AJ1582" i="1"/>
  <c r="AJ1655" i="1"/>
  <c r="AJ1756" i="1"/>
  <c r="AJ1853" i="1"/>
  <c r="AJ1970" i="1"/>
  <c r="AJ2009" i="1"/>
  <c r="AJ2095" i="1"/>
  <c r="AJ2171" i="1"/>
  <c r="AJ2250" i="1"/>
  <c r="AJ2323" i="1"/>
  <c r="AJ85" i="1"/>
  <c r="AJ240" i="1"/>
  <c r="AJ310" i="1"/>
  <c r="AJ426" i="1"/>
  <c r="AJ1285" i="1"/>
  <c r="AJ1432" i="1"/>
  <c r="AJ1501" i="1"/>
  <c r="AJ1613" i="1"/>
  <c r="AJ1706" i="1"/>
  <c r="AJ1783" i="1"/>
  <c r="AJ1023" i="1"/>
  <c r="AJ140" i="1"/>
  <c r="AJ119" i="1"/>
  <c r="AJ218" i="1"/>
  <c r="AJ347" i="1"/>
  <c r="AJ480" i="1"/>
  <c r="AJ639" i="1"/>
  <c r="AJ740" i="1"/>
  <c r="AJ831" i="1"/>
  <c r="AJ893" i="1"/>
  <c r="AJ950" i="1"/>
  <c r="AJ988" i="1"/>
  <c r="AJ1143" i="1"/>
  <c r="AJ1227" i="1"/>
  <c r="AJ1328" i="1"/>
  <c r="AJ1365" i="1"/>
  <c r="AJ1428" i="1"/>
  <c r="AJ1494" i="1"/>
  <c r="AJ1580" i="1"/>
  <c r="AJ1659" i="1"/>
  <c r="AJ1724" i="1"/>
  <c r="AJ1873" i="1"/>
  <c r="AJ1949" i="1"/>
  <c r="AJ1992" i="1"/>
  <c r="AJ2108" i="1"/>
  <c r="AJ2142" i="1"/>
  <c r="AJ2186" i="1"/>
  <c r="AJ2233" i="1"/>
  <c r="AJ2339" i="1"/>
  <c r="AJ2355" i="1"/>
  <c r="AJ2384" i="1"/>
  <c r="AJ71" i="1"/>
  <c r="AJ223" i="1"/>
  <c r="AJ377" i="1"/>
  <c r="AJ415" i="1"/>
  <c r="AJ457" i="1"/>
  <c r="AJ535" i="1"/>
  <c r="AJ769" i="1"/>
  <c r="AJ875" i="1"/>
  <c r="AJ975" i="1"/>
  <c r="AJ1360" i="1"/>
  <c r="AJ1424" i="1"/>
  <c r="AJ1567" i="1"/>
  <c r="AJ1877" i="1"/>
  <c r="AJ2062" i="1"/>
  <c r="AJ1760" i="1"/>
  <c r="AJ756" i="1"/>
  <c r="AJ1666" i="1"/>
  <c r="AJ2298" i="1"/>
  <c r="AJ1710" i="1"/>
  <c r="AJ26" i="1"/>
  <c r="AJ170" i="1"/>
  <c r="AJ252" i="1"/>
  <c r="AJ388" i="1"/>
  <c r="AJ534" i="1"/>
  <c r="AJ665" i="1"/>
  <c r="AJ776" i="1"/>
  <c r="AJ929" i="1"/>
  <c r="AJ1046" i="1"/>
  <c r="AJ1090" i="1"/>
  <c r="AJ1178" i="1"/>
  <c r="AJ1292" i="1"/>
  <c r="AJ1395" i="1"/>
  <c r="AJ1455" i="1"/>
  <c r="AJ1528" i="1"/>
  <c r="AJ1636" i="1"/>
  <c r="AJ1741" i="1"/>
  <c r="AJ1802" i="1"/>
  <c r="AJ2078" i="1"/>
  <c r="AJ2164" i="1"/>
  <c r="AJ2256" i="1"/>
  <c r="AJ2301" i="1"/>
  <c r="AJ2337" i="1"/>
  <c r="AJ408" i="1"/>
  <c r="AJ634" i="1"/>
  <c r="AJ721" i="1"/>
  <c r="AJ818" i="1"/>
  <c r="AJ921" i="1"/>
  <c r="AJ1043" i="1"/>
  <c r="AJ1180" i="1"/>
  <c r="AJ669" i="1"/>
  <c r="AJ1552" i="1"/>
  <c r="AJ1643" i="1"/>
  <c r="AJ1170" i="1"/>
  <c r="AJ1307" i="1"/>
  <c r="AJ1348" i="1"/>
  <c r="AJ2082" i="1"/>
  <c r="AJ2131" i="1"/>
  <c r="AJ2213" i="1"/>
  <c r="AJ2267" i="1"/>
  <c r="AJ2280" i="1"/>
  <c r="AJ2350" i="1"/>
  <c r="AJ2395" i="1"/>
  <c r="AJ40" i="1"/>
  <c r="AJ209" i="1"/>
  <c r="AJ259" i="1"/>
  <c r="AJ321" i="1"/>
  <c r="AJ1624" i="1"/>
  <c r="AJ206" i="1"/>
  <c r="AJ1009" i="1"/>
  <c r="AJ1064" i="1"/>
  <c r="AJ1133" i="1"/>
  <c r="AJ1162" i="1"/>
  <c r="AJ1213" i="1"/>
  <c r="AJ1242" i="1"/>
  <c r="AJ1694" i="1"/>
  <c r="AJ1774" i="1"/>
  <c r="AJ596" i="1"/>
  <c r="AJ1463" i="1"/>
  <c r="AJ2394" i="1"/>
  <c r="K713" i="1"/>
  <c r="AI713" i="1" s="1"/>
  <c r="AJ713" i="1"/>
  <c r="K1182" i="1"/>
  <c r="AI1182" i="1" s="1"/>
  <c r="AJ1182" i="1"/>
  <c r="K1431" i="1"/>
  <c r="AI1431" i="1" s="1"/>
  <c r="AJ1431" i="1"/>
  <c r="K1903" i="1"/>
  <c r="AI1903" i="1" s="1"/>
  <c r="AJ1903" i="1"/>
  <c r="K670" i="1"/>
  <c r="AI670" i="1" s="1"/>
  <c r="AJ670" i="1"/>
  <c r="AJ20" i="1"/>
  <c r="AJ80" i="1"/>
  <c r="AJ172" i="1"/>
  <c r="AJ224" i="1"/>
  <c r="AJ297" i="1"/>
  <c r="AJ379" i="1"/>
  <c r="AJ453" i="1"/>
  <c r="AJ523" i="1"/>
  <c r="AJ695" i="1"/>
  <c r="AJ963" i="1"/>
  <c r="AJ1183" i="1"/>
  <c r="K1512" i="1"/>
  <c r="AI1512" i="1" s="1"/>
  <c r="AJ1512" i="1"/>
  <c r="K1592" i="1"/>
  <c r="AI1592" i="1" s="1"/>
  <c r="AJ1592" i="1"/>
  <c r="K1672" i="1"/>
  <c r="AI1672" i="1" s="1"/>
  <c r="AJ1672" i="1"/>
  <c r="K1720" i="1"/>
  <c r="AI1720" i="1" s="1"/>
  <c r="AJ1720" i="1"/>
  <c r="K1969" i="1"/>
  <c r="AI1969" i="1" s="1"/>
  <c r="AJ1969" i="1"/>
  <c r="AJ1995" i="1"/>
  <c r="K138" i="1"/>
  <c r="AI138" i="1" s="1"/>
  <c r="AJ138" i="1"/>
  <c r="K735" i="1"/>
  <c r="AI735" i="1" s="1"/>
  <c r="AJ735" i="1"/>
  <c r="K840" i="1"/>
  <c r="AI840" i="1" s="1"/>
  <c r="AJ840" i="1"/>
  <c r="K939" i="1"/>
  <c r="AI939" i="1" s="1"/>
  <c r="AJ939" i="1"/>
  <c r="K2246" i="1"/>
  <c r="AI2246" i="1" s="1"/>
  <c r="AJ2246" i="1"/>
  <c r="K52" i="1"/>
  <c r="AI52" i="1" s="1"/>
  <c r="AJ52" i="1"/>
  <c r="K647" i="1"/>
  <c r="AI647" i="1" s="1"/>
  <c r="AJ647" i="1"/>
  <c r="K857" i="1"/>
  <c r="AI857" i="1" s="1"/>
  <c r="AJ857" i="1"/>
  <c r="AJ29" i="1"/>
  <c r="AJ117" i="1"/>
  <c r="AJ185" i="1"/>
  <c r="AJ239" i="1"/>
  <c r="AJ317" i="1"/>
  <c r="AJ401" i="1"/>
  <c r="AJ475" i="1"/>
  <c r="AJ549" i="1"/>
  <c r="AJ642" i="1"/>
  <c r="AJ844" i="1"/>
  <c r="K1309" i="1"/>
  <c r="AI1309" i="1" s="1"/>
  <c r="AJ1309" i="1"/>
  <c r="K1401" i="1"/>
  <c r="AI1401" i="1" s="1"/>
  <c r="AJ1401" i="1"/>
  <c r="AJ2067" i="1"/>
  <c r="K2110" i="1"/>
  <c r="AI2110" i="1" s="1"/>
  <c r="AJ2110" i="1"/>
  <c r="AJ2189" i="1"/>
  <c r="K2380" i="1"/>
  <c r="AI2380" i="1" s="1"/>
  <c r="AJ2380" i="1"/>
  <c r="AJ617" i="1"/>
  <c r="AJ1245" i="1"/>
  <c r="AJ45" i="1"/>
  <c r="K940" i="1"/>
  <c r="AI940" i="1" s="1"/>
  <c r="AJ940" i="1"/>
  <c r="K1047" i="1"/>
  <c r="AI1047" i="1" s="1"/>
  <c r="AJ1047" i="1"/>
  <c r="K1259" i="1"/>
  <c r="AI1259" i="1" s="1"/>
  <c r="AJ1259" i="1"/>
  <c r="AJ1312" i="1"/>
  <c r="K1469" i="1"/>
  <c r="AI1469" i="1" s="1"/>
  <c r="AJ1469" i="1"/>
  <c r="K1822" i="1"/>
  <c r="AI1822" i="1" s="1"/>
  <c r="AJ1822" i="1"/>
  <c r="AJ1021" i="1"/>
  <c r="AJ1550" i="1"/>
  <c r="AJ1725" i="1"/>
  <c r="AJ1912" i="1"/>
  <c r="AJ2037" i="1"/>
  <c r="AJ2220" i="1"/>
  <c r="AJ2372" i="1"/>
  <c r="AJ38" i="1"/>
  <c r="AJ136" i="1"/>
  <c r="AJ203" i="1"/>
  <c r="AJ249" i="1"/>
  <c r="AJ335" i="1"/>
  <c r="AJ410" i="1"/>
  <c r="AJ494" i="1"/>
  <c r="AJ562" i="1"/>
  <c r="AJ943" i="1"/>
  <c r="AJ1033" i="1"/>
  <c r="AJ1252" i="1"/>
  <c r="K1693" i="1"/>
  <c r="AI1693" i="1" s="1"/>
  <c r="AJ1693" i="1"/>
  <c r="K1926" i="1"/>
  <c r="AI1926" i="1" s="1"/>
  <c r="AJ1926" i="1"/>
  <c r="K2034" i="1"/>
  <c r="AI2034" i="1" s="1"/>
  <c r="AJ2034" i="1"/>
  <c r="K2362" i="1"/>
  <c r="AI2362" i="1" s="1"/>
  <c r="AJ2362" i="1"/>
  <c r="K89" i="1"/>
  <c r="AI89" i="1" s="1"/>
  <c r="AJ89" i="1"/>
  <c r="K784" i="1"/>
  <c r="AI784" i="1" s="1"/>
  <c r="AJ784" i="1"/>
  <c r="K874" i="1"/>
  <c r="AI874" i="1" s="1"/>
  <c r="AJ874" i="1"/>
  <c r="K974" i="1"/>
  <c r="AI974" i="1" s="1"/>
  <c r="AJ974" i="1"/>
  <c r="K1324" i="1"/>
  <c r="AI1324" i="1" s="1"/>
  <c r="AJ1324" i="1"/>
  <c r="K1889" i="1"/>
  <c r="AI1889" i="1" s="1"/>
  <c r="AJ1889" i="1"/>
  <c r="K601" i="1"/>
  <c r="AI601" i="1" s="1"/>
  <c r="AJ601" i="1"/>
  <c r="K786" i="1"/>
  <c r="AI786" i="1" s="1"/>
  <c r="AJ786" i="1"/>
  <c r="K1005" i="1"/>
  <c r="AI1005" i="1" s="1"/>
  <c r="AJ1005" i="1"/>
  <c r="K1105" i="1"/>
  <c r="AI1105" i="1" s="1"/>
  <c r="AJ1105" i="1"/>
  <c r="K2086" i="1"/>
  <c r="AI2086" i="1" s="1"/>
  <c r="AJ2086" i="1"/>
  <c r="K2262" i="1"/>
  <c r="AI2262" i="1" s="1"/>
  <c r="AJ2262" i="1"/>
  <c r="AJ1701" i="1"/>
  <c r="AJ4" i="1"/>
  <c r="AJ445" i="1"/>
  <c r="AJ512" i="1"/>
  <c r="AJ773" i="1"/>
  <c r="AJ1007" i="1"/>
  <c r="AJ1098" i="1"/>
  <c r="K1362" i="1"/>
  <c r="AI1362" i="1" s="1"/>
  <c r="AJ1362" i="1"/>
  <c r="K2212" i="1"/>
  <c r="AI2212" i="1" s="1"/>
  <c r="AJ2212" i="1"/>
  <c r="AJ2306" i="1"/>
  <c r="AJ715" i="1"/>
  <c r="AJ1780" i="1"/>
  <c r="AJ620" i="1"/>
  <c r="AJ2273" i="1"/>
  <c r="AJ1568" i="1"/>
  <c r="AJ1618" i="1"/>
  <c r="AJ1648" i="1"/>
  <c r="AJ1709" i="1"/>
  <c r="AJ1733" i="1"/>
  <c r="AJ1789" i="1"/>
  <c r="AJ1839" i="1"/>
  <c r="AJ1668" i="1"/>
  <c r="AJ1687" i="1"/>
  <c r="AJ2303" i="1"/>
  <c r="AJ1361" i="1"/>
  <c r="AJ1407" i="1"/>
  <c r="AJ1446" i="1"/>
  <c r="AJ1473" i="1"/>
  <c r="AJ1530" i="1"/>
  <c r="AJ1558" i="1"/>
  <c r="AJ1692" i="1"/>
  <c r="AJ1736" i="1"/>
  <c r="AJ1838" i="1"/>
  <c r="AJ1940" i="1"/>
  <c r="AJ2005" i="1"/>
  <c r="AJ2039" i="1"/>
  <c r="AJ2066" i="1"/>
  <c r="AJ2148" i="1"/>
  <c r="AJ2197" i="1"/>
  <c r="AJ2224" i="1"/>
  <c r="AJ2251" i="1"/>
  <c r="AJ2261" i="1"/>
  <c r="AJ41" i="1"/>
  <c r="AJ65" i="1"/>
  <c r="AJ109" i="1"/>
  <c r="AJ718" i="1"/>
  <c r="AJ1255" i="1"/>
  <c r="AJ1327" i="1"/>
  <c r="AJ1928" i="1"/>
  <c r="AJ657" i="1"/>
  <c r="AJ744" i="1"/>
  <c r="AJ806" i="1"/>
  <c r="AJ837" i="1"/>
  <c r="AJ872" i="1"/>
  <c r="AJ976" i="1"/>
  <c r="AJ1057" i="1"/>
  <c r="AJ1093" i="1"/>
  <c r="AJ1115" i="1"/>
  <c r="AJ1205" i="1"/>
  <c r="AJ1305" i="1"/>
  <c r="AJ1344" i="1"/>
  <c r="AJ1383" i="1"/>
  <c r="AJ1413" i="1"/>
  <c r="AJ1444" i="1"/>
  <c r="AJ1492" i="1"/>
  <c r="AJ1527" i="1"/>
  <c r="AJ1571" i="1"/>
  <c r="AJ1600" i="1"/>
  <c r="AJ1660" i="1"/>
  <c r="AJ1676" i="1"/>
  <c r="AJ1707" i="1"/>
  <c r="AJ1794" i="1"/>
  <c r="AJ1849" i="1"/>
  <c r="AJ1913" i="1"/>
  <c r="AJ2104" i="1"/>
  <c r="AJ2135" i="1"/>
  <c r="AJ2154" i="1"/>
  <c r="AJ2287" i="1"/>
  <c r="AJ2315" i="1"/>
  <c r="AJ2378" i="1"/>
  <c r="AJ154" i="1"/>
  <c r="AJ759" i="1"/>
  <c r="AJ795" i="1"/>
  <c r="AJ862" i="1"/>
  <c r="AJ909" i="1"/>
  <c r="AJ954" i="1"/>
  <c r="AJ1079" i="1"/>
  <c r="AJ1128" i="1"/>
  <c r="AJ1369" i="1"/>
  <c r="AJ882" i="1"/>
  <c r="AJ1219" i="1"/>
  <c r="AJ1603" i="1"/>
  <c r="K362" i="1"/>
  <c r="AI362" i="1" s="1"/>
  <c r="AJ362" i="1"/>
  <c r="K573" i="1"/>
  <c r="AI573" i="1" s="1"/>
  <c r="AJ573" i="1"/>
  <c r="K761" i="1"/>
  <c r="AI761" i="1" s="1"/>
  <c r="AJ761" i="1"/>
  <c r="K925" i="1"/>
  <c r="AI925" i="1" s="1"/>
  <c r="AJ925" i="1"/>
  <c r="K1478" i="1"/>
  <c r="AI1478" i="1" s="1"/>
  <c r="AJ1478" i="1"/>
  <c r="K1583" i="1"/>
  <c r="AI1583" i="1" s="1"/>
  <c r="AJ1583" i="1"/>
  <c r="K2216" i="1"/>
  <c r="AI2216" i="1" s="1"/>
  <c r="AJ2216" i="1"/>
  <c r="AJ23" i="1"/>
  <c r="AJ60" i="1"/>
  <c r="AJ132" i="1"/>
  <c r="AJ177" i="1"/>
  <c r="AJ211" i="1"/>
  <c r="AJ245" i="1"/>
  <c r="AJ282" i="1"/>
  <c r="AJ332" i="1"/>
  <c r="AJ369" i="1"/>
  <c r="AJ404" i="1"/>
  <c r="AJ455" i="1"/>
  <c r="AJ486" i="1"/>
  <c r="AJ517" i="1"/>
  <c r="AJ554" i="1"/>
  <c r="AJ600" i="1"/>
  <c r="AJ637" i="1"/>
  <c r="AJ667" i="1"/>
  <c r="AJ697" i="1"/>
  <c r="AJ742" i="1"/>
  <c r="AJ775" i="1"/>
  <c r="AJ883" i="1"/>
  <c r="AJ1077" i="1"/>
  <c r="AJ1109" i="1"/>
  <c r="AJ1130" i="1"/>
  <c r="AJ1210" i="1"/>
  <c r="AJ1261" i="1"/>
  <c r="AJ1288" i="1"/>
  <c r="AJ1321" i="1"/>
  <c r="AJ1480" i="1"/>
  <c r="AJ1497" i="1"/>
  <c r="AJ1529" i="1"/>
  <c r="AJ1604" i="1"/>
  <c r="AJ1737" i="1"/>
  <c r="AJ1767" i="1"/>
  <c r="AJ1824" i="1"/>
  <c r="AJ1907" i="1"/>
  <c r="AJ2094" i="1"/>
  <c r="K184" i="1"/>
  <c r="AI184" i="1" s="1"/>
  <c r="AJ184" i="1"/>
  <c r="K728" i="1"/>
  <c r="AI728" i="1" s="1"/>
  <c r="AJ728" i="1"/>
  <c r="K965" i="1"/>
  <c r="AI965" i="1" s="1"/>
  <c r="AJ965" i="1"/>
  <c r="K1278" i="1"/>
  <c r="AI1278" i="1" s="1"/>
  <c r="AJ1278" i="1"/>
  <c r="K1688" i="1"/>
  <c r="AI1688" i="1" s="1"/>
  <c r="AJ1688" i="1"/>
  <c r="AJ1204" i="1"/>
  <c r="K46" i="1"/>
  <c r="AI46" i="1" s="1"/>
  <c r="AJ46" i="1"/>
  <c r="K812" i="1"/>
  <c r="AI812" i="1" s="1"/>
  <c r="AJ812" i="1"/>
  <c r="K1091" i="1"/>
  <c r="AI1091" i="1" s="1"/>
  <c r="AJ1091" i="1"/>
  <c r="K2004" i="1"/>
  <c r="AI2004" i="1" s="1"/>
  <c r="AJ2004" i="1"/>
  <c r="AJ1027" i="1"/>
  <c r="AJ1054" i="1"/>
  <c r="AJ293" i="1"/>
  <c r="AJ340" i="1"/>
  <c r="AJ382" i="1"/>
  <c r="AJ414" i="1"/>
  <c r="AJ462" i="1"/>
  <c r="AJ493" i="1"/>
  <c r="AJ529" i="1"/>
  <c r="AJ568" i="1"/>
  <c r="AJ616" i="1"/>
  <c r="AJ649" i="1"/>
  <c r="AJ673" i="1"/>
  <c r="AJ710" i="1"/>
  <c r="AJ749" i="1"/>
  <c r="AJ783" i="1"/>
  <c r="AJ815" i="1"/>
  <c r="AJ903" i="1"/>
  <c r="AJ960" i="1"/>
  <c r="AJ1151" i="1"/>
  <c r="AJ1769" i="1"/>
  <c r="AJ1857" i="1"/>
  <c r="AJ1898" i="1"/>
  <c r="AJ1955" i="1"/>
  <c r="AJ1976" i="1"/>
  <c r="AJ2167" i="1"/>
  <c r="AJ2203" i="1"/>
  <c r="AJ2285" i="1"/>
  <c r="AJ2320" i="1"/>
  <c r="K296" i="1"/>
  <c r="AI296" i="1" s="1"/>
  <c r="AJ296" i="1"/>
  <c r="K508" i="1"/>
  <c r="AI508" i="1" s="1"/>
  <c r="AJ508" i="1"/>
  <c r="AJ650" i="1"/>
  <c r="K685" i="1"/>
  <c r="AI685" i="1" s="1"/>
  <c r="AJ685" i="1"/>
  <c r="K770" i="1"/>
  <c r="AI770" i="1" s="1"/>
  <c r="AJ770" i="1"/>
  <c r="K1016" i="1"/>
  <c r="AI1016" i="1" s="1"/>
  <c r="AJ1016" i="1"/>
  <c r="K1771" i="1"/>
  <c r="AI1771" i="1" s="1"/>
  <c r="AJ1771" i="1"/>
  <c r="AJ14" i="1"/>
  <c r="AJ42" i="1"/>
  <c r="AJ83" i="1"/>
  <c r="AJ161" i="1"/>
  <c r="AJ182" i="1"/>
  <c r="AJ226" i="1"/>
  <c r="AJ254" i="1"/>
  <c r="AJ302" i="1"/>
  <c r="AJ343" i="1"/>
  <c r="AJ385" i="1"/>
  <c r="AJ429" i="1"/>
  <c r="AJ468" i="1"/>
  <c r="AJ492" i="1"/>
  <c r="AJ537" i="1"/>
  <c r="AJ570" i="1"/>
  <c r="AJ621" i="1"/>
  <c r="AJ648" i="1"/>
  <c r="AJ671" i="1"/>
  <c r="AJ709" i="1"/>
  <c r="AJ748" i="1"/>
  <c r="AJ782" i="1"/>
  <c r="AJ864" i="1"/>
  <c r="AJ1049" i="1"/>
  <c r="AJ1117" i="1"/>
  <c r="AJ1214" i="1"/>
  <c r="AJ1267" i="1"/>
  <c r="AJ1296" i="1"/>
  <c r="AJ1359" i="1"/>
  <c r="AJ1466" i="1"/>
  <c r="AJ1488" i="1"/>
  <c r="AJ1562" i="1"/>
  <c r="AJ1589" i="1"/>
  <c r="AJ1786" i="1"/>
  <c r="AJ1835" i="1"/>
  <c r="AJ1863" i="1"/>
  <c r="AJ1897" i="1"/>
  <c r="AJ1927" i="1"/>
  <c r="AJ2218" i="1"/>
  <c r="AJ91" i="1"/>
  <c r="K126" i="1"/>
  <c r="AI126" i="1" s="1"/>
  <c r="AJ126" i="1"/>
  <c r="AJ345" i="1"/>
  <c r="AJ551" i="1"/>
  <c r="K861" i="1"/>
  <c r="AI861" i="1" s="1"/>
  <c r="AJ861" i="1"/>
  <c r="K1044" i="1"/>
  <c r="AI1044" i="1" s="1"/>
  <c r="AJ1044" i="1"/>
  <c r="K1399" i="1"/>
  <c r="AI1399" i="1" s="1"/>
  <c r="AJ1399" i="1"/>
  <c r="K1758" i="1"/>
  <c r="AI1758" i="1" s="1"/>
  <c r="AJ1758" i="1"/>
  <c r="K824" i="1"/>
  <c r="AI824" i="1" s="1"/>
  <c r="AJ824" i="1"/>
  <c r="K2113" i="1"/>
  <c r="AI2113" i="1" s="1"/>
  <c r="AJ2113" i="1"/>
  <c r="AJ9" i="1"/>
  <c r="AJ49" i="1"/>
  <c r="AJ107" i="1"/>
  <c r="AJ165" i="1"/>
  <c r="AJ194" i="1"/>
  <c r="AJ230" i="1"/>
  <c r="AJ263" i="1"/>
  <c r="AJ306" i="1"/>
  <c r="AJ354" i="1"/>
  <c r="AJ393" i="1"/>
  <c r="AJ437" i="1"/>
  <c r="AJ477" i="1"/>
  <c r="AJ502" i="1"/>
  <c r="AJ540" i="1"/>
  <c r="AJ577" i="1"/>
  <c r="AJ630" i="1"/>
  <c r="AJ662" i="1"/>
  <c r="AJ688" i="1"/>
  <c r="AJ724" i="1"/>
  <c r="AJ763" i="1"/>
  <c r="AJ804" i="1"/>
  <c r="AJ885" i="1"/>
  <c r="AJ931" i="1"/>
  <c r="AJ1094" i="1"/>
  <c r="AJ1144" i="1"/>
  <c r="AJ1224" i="1"/>
  <c r="AJ1254" i="1"/>
  <c r="AJ1398" i="1"/>
  <c r="AJ1426" i="1"/>
  <c r="AJ1521" i="1"/>
  <c r="AJ1551" i="1"/>
  <c r="AJ1614" i="1"/>
  <c r="AJ1744" i="1"/>
  <c r="AJ1941" i="1"/>
  <c r="AJ1959" i="1"/>
  <c r="AJ2042" i="1"/>
  <c r="AJ2107" i="1"/>
  <c r="AJ2132" i="1"/>
  <c r="AJ2163" i="1"/>
  <c r="AJ2227" i="1"/>
  <c r="K256" i="1"/>
  <c r="AI256" i="1" s="1"/>
  <c r="AJ256" i="1"/>
  <c r="K416" i="1"/>
  <c r="AI416" i="1" s="1"/>
  <c r="AJ416" i="1"/>
  <c r="K441" i="1"/>
  <c r="AI441" i="1" s="1"/>
  <c r="AJ441" i="1"/>
  <c r="K635" i="1"/>
  <c r="AI635" i="1" s="1"/>
  <c r="AJ635" i="1"/>
  <c r="AJ2030" i="1"/>
  <c r="AJ2045" i="1"/>
  <c r="AJ2389" i="1"/>
  <c r="AJ51" i="1"/>
  <c r="K82" i="1"/>
  <c r="AI82" i="1" s="1"/>
  <c r="AJ82" i="1"/>
  <c r="AJ277" i="1"/>
  <c r="AJ496" i="1"/>
  <c r="AJ672" i="1"/>
  <c r="K868" i="1"/>
  <c r="AI868" i="1" s="1"/>
  <c r="AJ868" i="1"/>
  <c r="K1922" i="1"/>
  <c r="AI1922" i="1" s="1"/>
  <c r="AJ1922" i="1"/>
  <c r="AJ917" i="1"/>
  <c r="AJ953" i="1"/>
  <c r="AJ1001" i="1"/>
  <c r="AJ1037" i="1"/>
  <c r="K1101" i="1"/>
  <c r="AI1101" i="1" s="1"/>
  <c r="AJ1101" i="1"/>
  <c r="K1481" i="1"/>
  <c r="AI1481" i="1" s="1"/>
  <c r="AJ1481" i="1"/>
  <c r="K1586" i="1"/>
  <c r="AI1586" i="1" s="1"/>
  <c r="AJ1586" i="1"/>
  <c r="K1723" i="1"/>
  <c r="AI1723" i="1" s="1"/>
  <c r="AJ1723" i="1"/>
  <c r="K1777" i="1"/>
  <c r="AI1777" i="1" s="1"/>
  <c r="AJ1777" i="1"/>
  <c r="K2144" i="1"/>
  <c r="AI2144" i="1" s="1"/>
  <c r="AJ2144" i="1"/>
  <c r="K2300" i="1"/>
  <c r="AI2300" i="1" s="1"/>
  <c r="AJ2300" i="1"/>
  <c r="K1139" i="1"/>
  <c r="AI1139" i="1" s="1"/>
  <c r="AJ1139" i="1"/>
  <c r="K1483" i="1"/>
  <c r="AI1483" i="1" s="1"/>
  <c r="AJ1483" i="1"/>
  <c r="K1606" i="1"/>
  <c r="AI1606" i="1" s="1"/>
  <c r="AJ1606" i="1"/>
  <c r="K1722" i="1"/>
  <c r="AI1722" i="1" s="1"/>
  <c r="AJ1722" i="1"/>
  <c r="K1776" i="1"/>
  <c r="AI1776" i="1" s="1"/>
  <c r="AJ1776" i="1"/>
  <c r="K1795" i="1"/>
  <c r="AI1795" i="1" s="1"/>
  <c r="AJ1795" i="1"/>
  <c r="K1931" i="1"/>
  <c r="AI1931" i="1" s="1"/>
  <c r="AJ1931" i="1"/>
  <c r="K2061" i="1"/>
  <c r="AI2061" i="1" s="1"/>
  <c r="AJ2061" i="1"/>
  <c r="K2166" i="1"/>
  <c r="AI2166" i="1" s="1"/>
  <c r="AJ2166" i="1"/>
  <c r="K2240" i="1"/>
  <c r="AI2240" i="1" s="1"/>
  <c r="AJ2240" i="1"/>
  <c r="K2308" i="1"/>
  <c r="AI2308" i="1" s="1"/>
  <c r="AJ2308" i="1"/>
  <c r="K2348" i="1"/>
  <c r="AI2348" i="1" s="1"/>
  <c r="AJ2348" i="1"/>
  <c r="AJ30" i="1"/>
  <c r="AJ61" i="1"/>
  <c r="AJ101" i="1"/>
  <c r="AJ150" i="1"/>
  <c r="AJ221" i="1"/>
  <c r="AJ269" i="1"/>
  <c r="AJ322" i="1"/>
  <c r="AJ396" i="1"/>
  <c r="AJ425" i="1"/>
  <c r="AJ489" i="1"/>
  <c r="AJ538" i="1"/>
  <c r="AJ598" i="1"/>
  <c r="AJ655" i="1"/>
  <c r="AJ714" i="1"/>
  <c r="AJ751" i="1"/>
  <c r="AJ793" i="1"/>
  <c r="AJ856" i="1"/>
  <c r="AJ891" i="1"/>
  <c r="AJ947" i="1"/>
  <c r="AJ996" i="1"/>
  <c r="AJ1032" i="1"/>
  <c r="AJ1068" i="1"/>
  <c r="K1166" i="1"/>
  <c r="AI1166" i="1" s="1"/>
  <c r="AJ1166" i="1"/>
  <c r="K1334" i="1"/>
  <c r="AI1334" i="1" s="1"/>
  <c r="AJ1334" i="1"/>
  <c r="K1438" i="1"/>
  <c r="AI1438" i="1" s="1"/>
  <c r="AJ1438" i="1"/>
  <c r="K1503" i="1"/>
  <c r="AI1503" i="1" s="1"/>
  <c r="AJ1503" i="1"/>
  <c r="K1625" i="1"/>
  <c r="AI1625" i="1" s="1"/>
  <c r="AJ1625" i="1"/>
  <c r="K1726" i="1"/>
  <c r="AI1726" i="1" s="1"/>
  <c r="AJ1726" i="1"/>
  <c r="K1797" i="1"/>
  <c r="AI1797" i="1" s="1"/>
  <c r="AJ1797" i="1"/>
  <c r="K1893" i="1"/>
  <c r="AI1893" i="1" s="1"/>
  <c r="AJ1893" i="1"/>
  <c r="K1939" i="1"/>
  <c r="AI1939" i="1" s="1"/>
  <c r="AJ1939" i="1"/>
  <c r="K2065" i="1"/>
  <c r="AI2065" i="1" s="1"/>
  <c r="AJ2065" i="1"/>
  <c r="K2170" i="1"/>
  <c r="AI2170" i="1" s="1"/>
  <c r="AJ2170" i="1"/>
  <c r="K2247" i="1"/>
  <c r="AI2247" i="1" s="1"/>
  <c r="AJ2247" i="1"/>
  <c r="K2357" i="1"/>
  <c r="AI2357" i="1" s="1"/>
  <c r="AJ2357" i="1"/>
  <c r="K1168" i="1"/>
  <c r="AI1168" i="1" s="1"/>
  <c r="AJ1168" i="1"/>
  <c r="K1198" i="1"/>
  <c r="AI1198" i="1" s="1"/>
  <c r="AJ1198" i="1"/>
  <c r="K1350" i="1"/>
  <c r="AI1350" i="1" s="1"/>
  <c r="AJ1350" i="1"/>
  <c r="K1437" i="1"/>
  <c r="AI1437" i="1" s="1"/>
  <c r="AJ1437" i="1"/>
  <c r="K1506" i="1"/>
  <c r="AI1506" i="1" s="1"/>
  <c r="AJ1506" i="1"/>
  <c r="K1632" i="1"/>
  <c r="AI1632" i="1" s="1"/>
  <c r="AJ1632" i="1"/>
  <c r="K1805" i="1"/>
  <c r="AI1805" i="1" s="1"/>
  <c r="AJ1805" i="1"/>
  <c r="K1892" i="1"/>
  <c r="AI1892" i="1" s="1"/>
  <c r="AJ1892" i="1"/>
  <c r="K1943" i="1"/>
  <c r="AI1943" i="1" s="1"/>
  <c r="AJ1943" i="1"/>
  <c r="K2064" i="1"/>
  <c r="AI2064" i="1" s="1"/>
  <c r="AJ2064" i="1"/>
  <c r="K2254" i="1"/>
  <c r="AI2254" i="1" s="1"/>
  <c r="AJ2254" i="1"/>
  <c r="K2390" i="1"/>
  <c r="AI2390" i="1" s="1"/>
  <c r="AJ2390" i="1"/>
  <c r="AJ2313" i="1"/>
  <c r="AJ1026" i="1"/>
  <c r="AJ1048" i="1"/>
  <c r="K1197" i="1"/>
  <c r="AI1197" i="1" s="1"/>
  <c r="AJ1197" i="1"/>
  <c r="K1352" i="1"/>
  <c r="AI1352" i="1" s="1"/>
  <c r="AJ1352" i="1"/>
  <c r="K1447" i="1"/>
  <c r="AI1447" i="1" s="1"/>
  <c r="AJ1447" i="1"/>
  <c r="K1514" i="1"/>
  <c r="AI1514" i="1" s="1"/>
  <c r="AJ1514" i="1"/>
  <c r="K1538" i="1"/>
  <c r="AI1538" i="1" s="1"/>
  <c r="AJ1538" i="1"/>
  <c r="K1638" i="1"/>
  <c r="AI1638" i="1" s="1"/>
  <c r="AJ1638" i="1"/>
  <c r="K1841" i="1"/>
  <c r="AI1841" i="1" s="1"/>
  <c r="AJ1841" i="1"/>
  <c r="K1891" i="1"/>
  <c r="AI1891" i="1" s="1"/>
  <c r="AJ1891" i="1"/>
  <c r="K1202" i="1"/>
  <c r="AJ1202" i="1"/>
  <c r="K1262" i="1"/>
  <c r="AI1262" i="1" s="1"/>
  <c r="AJ1262" i="1"/>
  <c r="K1379" i="1"/>
  <c r="AI1379" i="1" s="1"/>
  <c r="AJ1379" i="1"/>
  <c r="K1543" i="1"/>
  <c r="AI1543" i="1" s="1"/>
  <c r="AJ1543" i="1"/>
  <c r="K1678" i="1"/>
  <c r="AI1678" i="1" s="1"/>
  <c r="AJ1678" i="1"/>
  <c r="K1748" i="1"/>
  <c r="AI1748" i="1" s="1"/>
  <c r="AJ1748" i="1"/>
  <c r="K1856" i="1"/>
  <c r="AI1856" i="1" s="1"/>
  <c r="AJ1856" i="1"/>
  <c r="K1917" i="1"/>
  <c r="AI1917" i="1" s="1"/>
  <c r="AJ1917" i="1"/>
  <c r="K1984" i="1"/>
  <c r="AI1984" i="1" s="1"/>
  <c r="AJ1984" i="1"/>
  <c r="K2093" i="1"/>
  <c r="AI2093" i="1" s="1"/>
  <c r="AJ2093" i="1"/>
  <c r="K2195" i="1"/>
  <c r="AI2195" i="1" s="1"/>
  <c r="AJ2195" i="1"/>
  <c r="K1084" i="1"/>
  <c r="AI1084" i="1" s="1"/>
  <c r="AJ1084" i="1"/>
  <c r="AI1202" i="1"/>
  <c r="K1268" i="1"/>
  <c r="AI1268" i="1" s="1"/>
  <c r="AJ1268" i="1"/>
  <c r="K1393" i="1"/>
  <c r="AI1393" i="1" s="1"/>
  <c r="AJ1393" i="1"/>
  <c r="K1542" i="1"/>
  <c r="AI1542" i="1" s="1"/>
  <c r="AJ1542" i="1"/>
  <c r="K1677" i="1"/>
  <c r="AI1677" i="1" s="1"/>
  <c r="AJ1677" i="1"/>
  <c r="K1755" i="1"/>
  <c r="AI1755" i="1" s="1"/>
  <c r="AJ1755" i="1"/>
  <c r="K1867" i="1"/>
  <c r="AI1867" i="1" s="1"/>
  <c r="AJ1867" i="1"/>
  <c r="K1923" i="1"/>
  <c r="AI1923" i="1" s="1"/>
  <c r="AJ1923" i="1"/>
  <c r="K1999" i="1"/>
  <c r="AI1999" i="1" s="1"/>
  <c r="AJ1999" i="1"/>
  <c r="K2101" i="1"/>
  <c r="AI2101" i="1" s="1"/>
  <c r="AJ2101" i="1"/>
  <c r="K2214" i="1"/>
  <c r="AI2214" i="1" s="1"/>
  <c r="AJ2214" i="1"/>
  <c r="AJ1193" i="1"/>
  <c r="AJ1258" i="1"/>
  <c r="AJ1504" i="1"/>
  <c r="AJ1539" i="1"/>
  <c r="AJ1772" i="1"/>
  <c r="AJ1792" i="1"/>
  <c r="AJ1914" i="1"/>
  <c r="AJ2145" i="1"/>
  <c r="AJ2329" i="1"/>
  <c r="AJ2382" i="1"/>
  <c r="AJ2312" i="1"/>
  <c r="AJ2363" i="1"/>
  <c r="AJ2398" i="1"/>
  <c r="AI493" i="1"/>
  <c r="AJ860" i="1"/>
  <c r="AJ1121" i="1"/>
  <c r="AJ1167" i="1"/>
  <c r="AJ1211" i="1"/>
  <c r="AJ1289" i="1"/>
  <c r="AJ1331" i="1"/>
  <c r="K1381" i="1"/>
  <c r="AI1381" i="1" s="1"/>
  <c r="AJ1381" i="1"/>
  <c r="AJ1402" i="1"/>
  <c r="AJ1459" i="1"/>
  <c r="AJ1517" i="1"/>
  <c r="AJ1563" i="1"/>
  <c r="AJ1634" i="1"/>
  <c r="AJ1843" i="1"/>
  <c r="AJ2241" i="1"/>
  <c r="AJ847" i="1"/>
  <c r="AJ900" i="1"/>
  <c r="K1065" i="1"/>
  <c r="AI1065" i="1" s="1"/>
  <c r="AJ1065" i="1"/>
  <c r="AJ1163" i="1"/>
  <c r="AJ1218" i="1"/>
  <c r="AJ1271" i="1"/>
  <c r="AJ1323" i="1"/>
  <c r="AJ1386" i="1"/>
  <c r="AJ1448" i="1"/>
  <c r="AJ1485" i="1"/>
  <c r="AJ1549" i="1"/>
  <c r="AJ1626" i="1"/>
  <c r="AJ1770" i="1"/>
  <c r="K1826" i="1"/>
  <c r="AI1826" i="1" s="1"/>
  <c r="AJ1826" i="1"/>
  <c r="AJ1883" i="1"/>
  <c r="AJ2022" i="1"/>
  <c r="AJ2121" i="1"/>
  <c r="AJ2392" i="1"/>
  <c r="AJ1421" i="1"/>
  <c r="AJ1962" i="1"/>
  <c r="K1981" i="1"/>
  <c r="AI1981" i="1" s="1"/>
  <c r="AJ1981" i="1"/>
  <c r="K2204" i="1"/>
  <c r="AI2204" i="1" s="1"/>
  <c r="AJ2204" i="1"/>
  <c r="K2263" i="1"/>
  <c r="AI2263" i="1" s="1"/>
  <c r="AJ2263" i="1"/>
  <c r="AJ838" i="1"/>
  <c r="AJ888" i="1"/>
  <c r="AJ915" i="1"/>
  <c r="AJ1088" i="1"/>
  <c r="AJ1155" i="1"/>
  <c r="AJ1206" i="1"/>
  <c r="AJ1246" i="1"/>
  <c r="AJ1263" i="1"/>
  <c r="AJ1357" i="1"/>
  <c r="K2115" i="1"/>
  <c r="AI2115" i="1" s="1"/>
  <c r="AJ2115" i="1"/>
  <c r="K2133" i="1"/>
  <c r="AI2133" i="1" s="1"/>
  <c r="AJ2133" i="1"/>
  <c r="AJ878" i="1"/>
  <c r="AJ1078" i="1"/>
  <c r="AJ1141" i="1"/>
  <c r="AJ1184" i="1"/>
  <c r="AJ1225" i="1"/>
  <c r="AJ1243" i="1"/>
  <c r="K1314" i="1"/>
  <c r="AI1314" i="1" s="1"/>
  <c r="AJ1314" i="1"/>
  <c r="AJ1349" i="1"/>
  <c r="AJ1405" i="1"/>
  <c r="AJ1467" i="1"/>
  <c r="AJ1511" i="1"/>
  <c r="AJ1578" i="1"/>
  <c r="AJ1761" i="1"/>
  <c r="AJ1862" i="1"/>
  <c r="K1972" i="1"/>
  <c r="AI1972" i="1" s="1"/>
  <c r="AJ1972" i="1"/>
  <c r="K2217" i="1"/>
  <c r="AI2217" i="1" s="1"/>
  <c r="AJ2217" i="1"/>
  <c r="AJ1937" i="1"/>
  <c r="AJ2006" i="1"/>
  <c r="AJ2058" i="1"/>
  <c r="AJ2297" i="1"/>
  <c r="AJ2330" i="1"/>
  <c r="AJ2342" i="1"/>
  <c r="AJ2358" i="1"/>
  <c r="AJ2375" i="1"/>
  <c r="AJ2370" i="1"/>
  <c r="AJ2365" i="1"/>
  <c r="AJ1930" i="1"/>
  <c r="AJ2019" i="1"/>
  <c r="AJ2043" i="1"/>
  <c r="AJ2160" i="1"/>
  <c r="AJ2237" i="1"/>
  <c r="AJ2271" i="1"/>
  <c r="AJ2393" i="1"/>
  <c r="AJ2388" i="1"/>
  <c r="AJ1708" i="1"/>
  <c r="AJ1730" i="1"/>
  <c r="AJ12" i="1"/>
  <c r="AJ25" i="1"/>
  <c r="AJ39" i="1"/>
  <c r="AJ62" i="1"/>
  <c r="AJ90" i="1"/>
  <c r="AJ128" i="1"/>
  <c r="AJ159" i="1"/>
  <c r="AJ175" i="1"/>
  <c r="AJ181" i="1"/>
  <c r="AJ205" i="1"/>
  <c r="AJ225" i="1"/>
  <c r="AJ247" i="1"/>
  <c r="AJ253" i="1"/>
  <c r="AJ278" i="1"/>
  <c r="AJ301" i="1"/>
  <c r="AJ326" i="1"/>
  <c r="AJ348" i="1"/>
  <c r="AJ370" i="1"/>
  <c r="AJ389" i="1"/>
  <c r="AJ405" i="1"/>
  <c r="AJ428" i="1"/>
  <c r="AJ447" i="1"/>
  <c r="AJ467" i="1"/>
  <c r="AJ479" i="1"/>
  <c r="AJ490" i="1"/>
  <c r="K501" i="1"/>
  <c r="AI501" i="1" s="1"/>
  <c r="AJ501" i="1"/>
  <c r="AJ525" i="1"/>
  <c r="K579" i="1"/>
  <c r="AI579" i="1" s="1"/>
  <c r="AJ579" i="1"/>
  <c r="K699" i="1"/>
  <c r="AI699" i="1" s="1"/>
  <c r="AJ699" i="1"/>
  <c r="K590" i="1"/>
  <c r="AI590" i="1" s="1"/>
  <c r="AJ590" i="1"/>
  <c r="K737" i="1"/>
  <c r="AI737" i="1" s="1"/>
  <c r="AJ737" i="1"/>
  <c r="AJ15" i="1"/>
  <c r="AJ19" i="1"/>
  <c r="AJ43" i="1"/>
  <c r="AJ64" i="1"/>
  <c r="AJ79" i="1"/>
  <c r="AJ116" i="1"/>
  <c r="AJ148" i="1"/>
  <c r="AJ169" i="1"/>
  <c r="AJ183" i="1"/>
  <c r="AJ207" i="1"/>
  <c r="AJ227" i="1"/>
  <c r="AJ232" i="1"/>
  <c r="AJ255" i="1"/>
  <c r="AJ280" i="1"/>
  <c r="AJ303" i="1"/>
  <c r="AJ323" i="1"/>
  <c r="AJ344" i="1"/>
  <c r="AJ361" i="1"/>
  <c r="AJ381" i="1"/>
  <c r="AJ400" i="1"/>
  <c r="AJ413" i="1"/>
  <c r="AJ444" i="1"/>
  <c r="AJ464" i="1"/>
  <c r="AJ481" i="1"/>
  <c r="AJ507" i="1"/>
  <c r="K530" i="1"/>
  <c r="AI530" i="1" s="1"/>
  <c r="AJ530" i="1"/>
  <c r="K611" i="1"/>
  <c r="AI611" i="1" s="1"/>
  <c r="AJ611" i="1"/>
  <c r="K520" i="1"/>
  <c r="AI520" i="1" s="1"/>
  <c r="AJ520" i="1"/>
  <c r="K628" i="1"/>
  <c r="AI628" i="1" s="1"/>
  <c r="AJ628" i="1"/>
  <c r="AJ2" i="1"/>
  <c r="AJ8" i="1"/>
  <c r="AJ36" i="1"/>
  <c r="AJ55" i="1"/>
  <c r="AJ76" i="1"/>
  <c r="AJ112" i="1"/>
  <c r="AJ134" i="1"/>
  <c r="AJ163" i="1"/>
  <c r="AJ186" i="1"/>
  <c r="AJ196" i="1"/>
  <c r="AJ219" i="1"/>
  <c r="AJ229" i="1"/>
  <c r="AJ242" i="1"/>
  <c r="AJ268" i="1"/>
  <c r="AJ294" i="1"/>
  <c r="AJ305" i="1"/>
  <c r="AJ338" i="1"/>
  <c r="AJ356" i="1"/>
  <c r="AJ378" i="1"/>
  <c r="AJ392" i="1"/>
  <c r="AJ417" i="1"/>
  <c r="AJ440" i="1"/>
  <c r="AJ452" i="1"/>
  <c r="AJ476" i="1"/>
  <c r="K505" i="1"/>
  <c r="AI505" i="1" s="1"/>
  <c r="AJ505" i="1"/>
  <c r="K545" i="1"/>
  <c r="AI545" i="1" s="1"/>
  <c r="AJ545" i="1"/>
  <c r="K652" i="1"/>
  <c r="AI652" i="1" s="1"/>
  <c r="AJ652" i="1"/>
  <c r="K498" i="1"/>
  <c r="AI498" i="1" s="1"/>
  <c r="AJ498" i="1"/>
  <c r="K547" i="1"/>
  <c r="AI547" i="1" s="1"/>
  <c r="AJ547" i="1"/>
  <c r="K660" i="1"/>
  <c r="AI660" i="1" s="1"/>
  <c r="AJ660" i="1"/>
  <c r="AJ10" i="1"/>
  <c r="AJ32" i="1"/>
  <c r="AJ50" i="1"/>
  <c r="AJ59" i="1"/>
  <c r="AJ102" i="1"/>
  <c r="AJ131" i="1"/>
  <c r="AJ166" i="1"/>
  <c r="AJ179" i="1"/>
  <c r="AJ192" i="1"/>
  <c r="AJ210" i="1"/>
  <c r="AJ222" i="1"/>
  <c r="AJ244" i="1"/>
  <c r="AJ258" i="1"/>
  <c r="AJ284" i="1"/>
  <c r="AJ307" i="1"/>
  <c r="AJ331" i="1"/>
  <c r="AJ352" i="1"/>
  <c r="AJ373" i="1"/>
  <c r="AJ387" i="1"/>
  <c r="AJ403" i="1"/>
  <c r="AJ433" i="1"/>
  <c r="AJ454" i="1"/>
  <c r="AJ472" i="1"/>
  <c r="AJ485" i="1"/>
  <c r="K527" i="1"/>
  <c r="AI527" i="1" s="1"/>
  <c r="AJ527" i="1"/>
  <c r="K560" i="1"/>
  <c r="AI560" i="1" s="1"/>
  <c r="AJ560" i="1"/>
  <c r="K675" i="1"/>
  <c r="AI675" i="1" s="1"/>
  <c r="AJ675" i="1"/>
  <c r="K564" i="1"/>
  <c r="AI564" i="1" s="1"/>
  <c r="AJ564" i="1"/>
  <c r="K686" i="1"/>
  <c r="AI686" i="1" s="1"/>
  <c r="AJ686" i="1"/>
  <c r="AJ618" i="1"/>
  <c r="AJ632" i="1"/>
  <c r="AJ651" i="1"/>
  <c r="AJ659" i="1"/>
  <c r="AJ674" i="1"/>
  <c r="AJ684" i="1"/>
  <c r="AJ703" i="1"/>
  <c r="AJ734" i="1"/>
  <c r="AJ750" i="1"/>
  <c r="AJ768" i="1"/>
  <c r="AJ778" i="1"/>
  <c r="AJ808" i="1"/>
  <c r="AJ823" i="1"/>
  <c r="AJ834" i="1"/>
  <c r="AJ852" i="1"/>
  <c r="AJ879" i="1"/>
  <c r="AJ886" i="1"/>
  <c r="AJ910" i="1"/>
  <c r="AJ980" i="1"/>
  <c r="K1061" i="1"/>
  <c r="AI1061" i="1" s="1"/>
  <c r="AJ1061" i="1"/>
  <c r="K1086" i="1"/>
  <c r="AI1086" i="1" s="1"/>
  <c r="AJ1086" i="1"/>
  <c r="K1126" i="1"/>
  <c r="AI1126" i="1" s="1"/>
  <c r="AJ1126" i="1"/>
  <c r="K942" i="1"/>
  <c r="AI942" i="1" s="1"/>
  <c r="AJ942" i="1"/>
  <c r="K973" i="1"/>
  <c r="AI973" i="1" s="1"/>
  <c r="AJ973" i="1"/>
  <c r="K1031" i="1"/>
  <c r="AI1031" i="1" s="1"/>
  <c r="AJ1031" i="1"/>
  <c r="AJ543" i="1"/>
  <c r="AJ561" i="1"/>
  <c r="AJ580" i="1"/>
  <c r="AJ612" i="1"/>
  <c r="AJ629" i="1"/>
  <c r="AJ641" i="1"/>
  <c r="AJ661" i="1"/>
  <c r="AJ676" i="1"/>
  <c r="AJ687" i="1"/>
  <c r="AJ694" i="1"/>
  <c r="AJ738" i="1"/>
  <c r="AJ753" i="1"/>
  <c r="AJ762" i="1"/>
  <c r="AJ780" i="1"/>
  <c r="AJ803" i="1"/>
  <c r="AJ819" i="1"/>
  <c r="K1030" i="1"/>
  <c r="AI1030" i="1" s="1"/>
  <c r="AJ1030" i="1"/>
  <c r="K1160" i="1"/>
  <c r="AI1160" i="1" s="1"/>
  <c r="AJ1160" i="1"/>
  <c r="K968" i="1"/>
  <c r="AI968" i="1" s="1"/>
  <c r="AJ968" i="1"/>
  <c r="K994" i="1"/>
  <c r="AI994" i="1" s="1"/>
  <c r="AJ994" i="1"/>
  <c r="K1013" i="1"/>
  <c r="AI1013" i="1" s="1"/>
  <c r="AJ1013" i="1"/>
  <c r="K1051" i="1"/>
  <c r="AI1051" i="1" s="1"/>
  <c r="AJ1051" i="1"/>
  <c r="K1072" i="1"/>
  <c r="AI1072" i="1" s="1"/>
  <c r="AJ1072" i="1"/>
  <c r="K1137" i="1"/>
  <c r="AI1137" i="1" s="1"/>
  <c r="AJ1137" i="1"/>
  <c r="AJ533" i="1"/>
  <c r="AJ556" i="1"/>
  <c r="AJ572" i="1"/>
  <c r="AJ614" i="1"/>
  <c r="AJ623" i="1"/>
  <c r="AJ636" i="1"/>
  <c r="AJ645" i="1"/>
  <c r="AJ666" i="1"/>
  <c r="AJ682" i="1"/>
  <c r="AJ696" i="1"/>
  <c r="AJ719" i="1"/>
  <c r="AJ741" i="1"/>
  <c r="AJ755" i="1"/>
  <c r="AJ774" i="1"/>
  <c r="AJ797" i="1"/>
  <c r="AJ816" i="1"/>
  <c r="AJ839" i="1"/>
  <c r="AJ846" i="1"/>
  <c r="AJ876" i="1"/>
  <c r="AJ881" i="1"/>
  <c r="AJ898" i="1"/>
  <c r="AI915" i="1"/>
  <c r="AJ932" i="1"/>
  <c r="K1018" i="1"/>
  <c r="AI1018" i="1" s="1"/>
  <c r="AJ1018" i="1"/>
  <c r="AJ1067" i="1"/>
  <c r="K1074" i="1"/>
  <c r="AI1074" i="1" s="1"/>
  <c r="AJ1074" i="1"/>
  <c r="K1097" i="1"/>
  <c r="AJ1097" i="1"/>
  <c r="K1136" i="1"/>
  <c r="AI1136" i="1" s="1"/>
  <c r="AJ1136" i="1"/>
  <c r="AJ752" i="1"/>
  <c r="AJ760" i="1"/>
  <c r="AJ779" i="1"/>
  <c r="AJ802" i="1"/>
  <c r="AJ821" i="1"/>
  <c r="AJ835" i="1"/>
  <c r="AJ850" i="1"/>
  <c r="AJ871" i="1"/>
  <c r="AJ887" i="1"/>
  <c r="AJ911" i="1"/>
  <c r="AJ914" i="1"/>
  <c r="K944" i="1"/>
  <c r="AI944" i="1" s="1"/>
  <c r="AJ944" i="1"/>
  <c r="AJ967" i="1"/>
  <c r="AJ977" i="1"/>
  <c r="K984" i="1"/>
  <c r="AI984" i="1" s="1"/>
  <c r="AJ984" i="1"/>
  <c r="AJ997" i="1"/>
  <c r="K1024" i="1"/>
  <c r="AI1024" i="1" s="1"/>
  <c r="AJ1024" i="1"/>
  <c r="AI1097" i="1"/>
  <c r="K1107" i="1"/>
  <c r="AI1107" i="1" s="1"/>
  <c r="AJ1107" i="1"/>
  <c r="K1176" i="1"/>
  <c r="AI1176" i="1" s="1"/>
  <c r="AJ1176" i="1"/>
  <c r="K922" i="1"/>
  <c r="AI922" i="1" s="1"/>
  <c r="AJ922" i="1"/>
  <c r="K959" i="1"/>
  <c r="AI959" i="1" s="1"/>
  <c r="AJ959" i="1"/>
  <c r="K1003" i="1"/>
  <c r="AI1003" i="1" s="1"/>
  <c r="AJ1003" i="1"/>
  <c r="K1062" i="1"/>
  <c r="AI1062" i="1" s="1"/>
  <c r="AJ1062" i="1"/>
  <c r="K1087" i="1"/>
  <c r="AI1087" i="1" s="1"/>
  <c r="AJ1087" i="1"/>
  <c r="K1119" i="1"/>
  <c r="AI1119" i="1" s="1"/>
  <c r="AJ1119" i="1"/>
  <c r="K1153" i="1"/>
  <c r="AI1153" i="1" s="1"/>
  <c r="AJ1153" i="1"/>
  <c r="AJ1060" i="1"/>
  <c r="AJ1080" i="1"/>
  <c r="AJ1095" i="1"/>
  <c r="AJ1106" i="1"/>
  <c r="AJ1124" i="1"/>
  <c r="AJ1135" i="1"/>
  <c r="AJ1152" i="1"/>
  <c r="AJ1171" i="1"/>
  <c r="AJ1189" i="1"/>
  <c r="AJ1199" i="1"/>
  <c r="AJ1215" i="1"/>
  <c r="AJ1228" i="1"/>
  <c r="AJ1230" i="1"/>
  <c r="AJ1256" i="1"/>
  <c r="AJ1265" i="1"/>
  <c r="AJ1283" i="1"/>
  <c r="AJ1295" i="1"/>
  <c r="AJ1306" i="1"/>
  <c r="AJ1322" i="1"/>
  <c r="K1374" i="1"/>
  <c r="AI1374" i="1" s="1"/>
  <c r="AJ1374" i="1"/>
  <c r="K1440" i="1"/>
  <c r="AI1440" i="1" s="1"/>
  <c r="AJ1440" i="1"/>
  <c r="K1509" i="1"/>
  <c r="AI1509" i="1" s="1"/>
  <c r="AJ1509" i="1"/>
  <c r="K1366" i="1"/>
  <c r="AI1366" i="1" s="1"/>
  <c r="AJ1366" i="1"/>
  <c r="K1417" i="1"/>
  <c r="AI1417" i="1" s="1"/>
  <c r="AJ1417" i="1"/>
  <c r="K1575" i="1"/>
  <c r="AI1575" i="1" s="1"/>
  <c r="AJ1575" i="1"/>
  <c r="AJ1154" i="1"/>
  <c r="AJ1161" i="1"/>
  <c r="AJ1177" i="1"/>
  <c r="AJ1194" i="1"/>
  <c r="AJ1217" i="1"/>
  <c r="AJ1209" i="1"/>
  <c r="AJ1222" i="1"/>
  <c r="AJ1241" i="1"/>
  <c r="AJ1260" i="1"/>
  <c r="AJ1275" i="1"/>
  <c r="AJ1297" i="1"/>
  <c r="AJ1308" i="1"/>
  <c r="AJ1317" i="1"/>
  <c r="AJ1326" i="1"/>
  <c r="K1415" i="1"/>
  <c r="AI1415" i="1" s="1"/>
  <c r="AJ1415" i="1"/>
  <c r="K1490" i="1"/>
  <c r="AI1490" i="1" s="1"/>
  <c r="AJ1490" i="1"/>
  <c r="K1336" i="1"/>
  <c r="AI1336" i="1" s="1"/>
  <c r="AJ1336" i="1"/>
  <c r="K1410" i="1"/>
  <c r="AI1410" i="1" s="1"/>
  <c r="AJ1410" i="1"/>
  <c r="K1422" i="1"/>
  <c r="AI1422" i="1" s="1"/>
  <c r="AJ1422" i="1"/>
  <c r="K1458" i="1"/>
  <c r="AI1458" i="1" s="1"/>
  <c r="AJ1458" i="1"/>
  <c r="K1541" i="1"/>
  <c r="AI1541" i="1" s="1"/>
  <c r="AJ1541" i="1"/>
  <c r="AJ1270" i="1"/>
  <c r="AJ1311" i="1"/>
  <c r="K1409" i="1"/>
  <c r="AI1409" i="1" s="1"/>
  <c r="AJ1409" i="1"/>
  <c r="K1457" i="1"/>
  <c r="AI1457" i="1" s="1"/>
  <c r="AJ1457" i="1"/>
  <c r="AJ1192" i="1"/>
  <c r="AJ1216" i="1"/>
  <c r="AJ1208" i="1"/>
  <c r="AJ1231" i="1"/>
  <c r="AJ1250" i="1"/>
  <c r="K1320" i="1"/>
  <c r="AI1320" i="1" s="1"/>
  <c r="AJ1320" i="1"/>
  <c r="K1353" i="1"/>
  <c r="AI1353" i="1" s="1"/>
  <c r="AJ1353" i="1"/>
  <c r="K1388" i="1"/>
  <c r="AI1388" i="1" s="1"/>
  <c r="AJ1388" i="1"/>
  <c r="K1408" i="1"/>
  <c r="AI1408" i="1" s="1"/>
  <c r="AJ1408" i="1"/>
  <c r="K1519" i="1"/>
  <c r="AI1519" i="1" s="1"/>
  <c r="AJ1519" i="1"/>
  <c r="AJ1253" i="1"/>
  <c r="AJ1272" i="1"/>
  <c r="AJ1286" i="1"/>
  <c r="AJ1300" i="1"/>
  <c r="AJ1304" i="1"/>
  <c r="AJ1363" i="1"/>
  <c r="K1376" i="1"/>
  <c r="AI1376" i="1" s="1"/>
  <c r="AJ1376" i="1"/>
  <c r="K1391" i="1"/>
  <c r="AI1391" i="1" s="1"/>
  <c r="AJ1391" i="1"/>
  <c r="K1554" i="1"/>
  <c r="AI1554" i="1" s="1"/>
  <c r="AJ1554" i="1"/>
  <c r="K1339" i="1"/>
  <c r="AI1339" i="1" s="1"/>
  <c r="AJ1339" i="1"/>
  <c r="K1375" i="1"/>
  <c r="AI1375" i="1" s="1"/>
  <c r="AJ1375" i="1"/>
  <c r="K1396" i="1"/>
  <c r="AI1396" i="1" s="1"/>
  <c r="AJ1396" i="1"/>
  <c r="K1435" i="1"/>
  <c r="AI1435" i="1" s="1"/>
  <c r="AJ1435" i="1"/>
  <c r="K1464" i="1"/>
  <c r="AI1464" i="1" s="1"/>
  <c r="AJ1464" i="1"/>
  <c r="AJ1439" i="1"/>
  <c r="AJ1456" i="1"/>
  <c r="AJ1462" i="1"/>
  <c r="AJ1489" i="1"/>
  <c r="AJ1518" i="1"/>
  <c r="AJ1508" i="1"/>
  <c r="AJ1545" i="1"/>
  <c r="AJ1560" i="1"/>
  <c r="AJ1574" i="1"/>
  <c r="AJ1593" i="1"/>
  <c r="AJ1611" i="1"/>
  <c r="AJ1630" i="1"/>
  <c r="AJ1652" i="1"/>
  <c r="AJ1669" i="1"/>
  <c r="AJ1682" i="1"/>
  <c r="AJ1702" i="1"/>
  <c r="AJ1745" i="1"/>
  <c r="K1781" i="1"/>
  <c r="AI1781" i="1" s="1"/>
  <c r="AJ1781" i="1"/>
  <c r="AJ1823" i="1"/>
  <c r="K1859" i="1"/>
  <c r="AI1859" i="1" s="1"/>
  <c r="AJ1859" i="1"/>
  <c r="AJ1872" i="1"/>
  <c r="K1910" i="1"/>
  <c r="AI1910" i="1" s="1"/>
  <c r="AJ1910" i="1"/>
  <c r="AJ1948" i="1"/>
  <c r="K1985" i="1"/>
  <c r="AI1985" i="1" s="1"/>
  <c r="AJ1985" i="1"/>
  <c r="K1998" i="1"/>
  <c r="AI1998" i="1" s="1"/>
  <c r="AJ1998" i="1"/>
  <c r="K2134" i="1"/>
  <c r="AI2134" i="1" s="1"/>
  <c r="AJ2134" i="1"/>
  <c r="K1759" i="1"/>
  <c r="AI1759" i="1" s="1"/>
  <c r="AJ1759" i="1"/>
  <c r="K1858" i="1"/>
  <c r="AI1858" i="1" s="1"/>
  <c r="AJ1858" i="1"/>
  <c r="K1968" i="1"/>
  <c r="AI1968" i="1" s="1"/>
  <c r="AJ1968" i="1"/>
  <c r="K1974" i="1"/>
  <c r="AI1974" i="1" s="1"/>
  <c r="AJ1974" i="1"/>
  <c r="K2036" i="1"/>
  <c r="AI2036" i="1" s="1"/>
  <c r="AJ2036" i="1"/>
  <c r="AJ1465" i="1"/>
  <c r="AJ1491" i="1"/>
  <c r="AJ1500" i="1"/>
  <c r="AJ1510" i="1"/>
  <c r="AJ1526" i="1"/>
  <c r="AJ1555" i="1"/>
  <c r="AJ1570" i="1"/>
  <c r="AJ1588" i="1"/>
  <c r="AJ1602" i="1"/>
  <c r="AJ1623" i="1"/>
  <c r="AJ1650" i="1"/>
  <c r="AJ1665" i="1"/>
  <c r="AJ1684" i="1"/>
  <c r="AJ1704" i="1"/>
  <c r="AJ1712" i="1"/>
  <c r="K1757" i="1"/>
  <c r="AI1757" i="1" s="1"/>
  <c r="AJ1757" i="1"/>
  <c r="AJ1813" i="1"/>
  <c r="K1837" i="1"/>
  <c r="AI1837" i="1" s="1"/>
  <c r="AJ1837" i="1"/>
  <c r="AJ1851" i="1"/>
  <c r="K1880" i="1"/>
  <c r="AI1880" i="1" s="1"/>
  <c r="AJ1880" i="1"/>
  <c r="K1896" i="1"/>
  <c r="AI1896" i="1" s="1"/>
  <c r="AJ1896" i="1"/>
  <c r="AJ1933" i="1"/>
  <c r="K1947" i="1"/>
  <c r="AI1947" i="1" s="1"/>
  <c r="AJ1947" i="1"/>
  <c r="K1961" i="1"/>
  <c r="AI1961" i="1" s="1"/>
  <c r="AJ1961" i="1"/>
  <c r="K1735" i="1"/>
  <c r="AI1735" i="1" s="1"/>
  <c r="AJ1735" i="1"/>
  <c r="K1816" i="1"/>
  <c r="AI1816" i="1" s="1"/>
  <c r="AJ1816" i="1"/>
  <c r="K1845" i="1"/>
  <c r="AI1845" i="1" s="1"/>
  <c r="AJ1845" i="1"/>
  <c r="K1938" i="1"/>
  <c r="AI1938" i="1" s="1"/>
  <c r="AJ1938" i="1"/>
  <c r="K1954" i="1"/>
  <c r="AI1954" i="1" s="1"/>
  <c r="AJ1954" i="1"/>
  <c r="K2077" i="1"/>
  <c r="AI2077" i="1" s="1"/>
  <c r="AJ2077" i="1"/>
  <c r="K1716" i="1"/>
  <c r="AI1716" i="1" s="1"/>
  <c r="AJ1716" i="1"/>
  <c r="K1734" i="1"/>
  <c r="AI1734" i="1" s="1"/>
  <c r="AJ1734" i="1"/>
  <c r="K1819" i="1"/>
  <c r="AI1819" i="1" s="1"/>
  <c r="AJ1819" i="1"/>
  <c r="K1868" i="1"/>
  <c r="AI1868" i="1" s="1"/>
  <c r="AJ1868" i="1"/>
  <c r="K1932" i="1"/>
  <c r="AI1932" i="1" s="1"/>
  <c r="AJ1932" i="1"/>
  <c r="K1925" i="1"/>
  <c r="AI1925" i="1" s="1"/>
  <c r="AJ1925" i="1"/>
  <c r="K2028" i="1"/>
  <c r="AI2028" i="1" s="1"/>
  <c r="AJ2028" i="1"/>
  <c r="K2033" i="1"/>
  <c r="AI2033" i="1" s="1"/>
  <c r="AJ2033" i="1"/>
  <c r="K2112" i="1"/>
  <c r="AI2112" i="1" s="1"/>
  <c r="AJ2112" i="1"/>
  <c r="AJ1594" i="1"/>
  <c r="AJ1607" i="1"/>
  <c r="AJ1631" i="1"/>
  <c r="AJ1649" i="1"/>
  <c r="AJ1664" i="1"/>
  <c r="AJ1683" i="1"/>
  <c r="AJ1703" i="1"/>
  <c r="K1715" i="1"/>
  <c r="AI1715" i="1" s="1"/>
  <c r="AJ1715" i="1"/>
  <c r="K1800" i="1"/>
  <c r="AI1800" i="1" s="1"/>
  <c r="AJ1800" i="1"/>
  <c r="AJ1812" i="1"/>
  <c r="AJ1855" i="1"/>
  <c r="K1900" i="1"/>
  <c r="AI1900" i="1" s="1"/>
  <c r="AJ1900" i="1"/>
  <c r="K1906" i="1"/>
  <c r="AI1906" i="1" s="1"/>
  <c r="AJ1906" i="1"/>
  <c r="K1803" i="1"/>
  <c r="AI1803" i="1" s="1"/>
  <c r="AJ1803" i="1"/>
  <c r="K2003" i="1"/>
  <c r="AI2003" i="1" s="1"/>
  <c r="AJ2003" i="1"/>
  <c r="K2012" i="1"/>
  <c r="AI2012" i="1" s="1"/>
  <c r="AJ2012" i="1"/>
  <c r="K2056" i="1"/>
  <c r="AI2056" i="1" s="1"/>
  <c r="AJ2056" i="1"/>
  <c r="K1778" i="1"/>
  <c r="AI1778" i="1" s="1"/>
  <c r="AJ1778" i="1"/>
  <c r="K1865" i="1"/>
  <c r="AI1865" i="1" s="1"/>
  <c r="AJ1865" i="1"/>
  <c r="K1882" i="1"/>
  <c r="AI1882" i="1" s="1"/>
  <c r="AJ1882" i="1"/>
  <c r="K2099" i="1"/>
  <c r="AI2099" i="1" s="1"/>
  <c r="AJ2099" i="1"/>
  <c r="AJ1753" i="1"/>
  <c r="AJ1773" i="1"/>
  <c r="AJ1791" i="1"/>
  <c r="AJ1811" i="1"/>
  <c r="AJ1850" i="1"/>
  <c r="AJ1864" i="1"/>
  <c r="AJ1879" i="1"/>
  <c r="AJ1899" i="1"/>
  <c r="AJ1909" i="1"/>
  <c r="AJ2047" i="1"/>
  <c r="AJ2069" i="1"/>
  <c r="AJ2097" i="1"/>
  <c r="AJ2106" i="1"/>
  <c r="AJ2120" i="1"/>
  <c r="AJ2130" i="1"/>
  <c r="AJ2153" i="1"/>
  <c r="AJ2169" i="1"/>
  <c r="AJ2205" i="1"/>
  <c r="AJ2219" i="1"/>
  <c r="AJ2234" i="1"/>
  <c r="AJ2249" i="1"/>
  <c r="AJ2260" i="1"/>
  <c r="AJ2283" i="1"/>
  <c r="AJ2288" i="1"/>
  <c r="AJ2307" i="1"/>
  <c r="AJ2327" i="1"/>
  <c r="AJ2345" i="1"/>
  <c r="AJ2364" i="1"/>
  <c r="AJ2383" i="1"/>
  <c r="AJ2396" i="1"/>
  <c r="AJ1874" i="1"/>
  <c r="AJ1888" i="1"/>
  <c r="AJ1894" i="1"/>
  <c r="AJ1916" i="1"/>
  <c r="AJ1944" i="1"/>
  <c r="AJ1953" i="1"/>
  <c r="AJ1966" i="1"/>
  <c r="AJ1979" i="1"/>
  <c r="AJ2007" i="1"/>
  <c r="AJ2011" i="1"/>
  <c r="AJ2040" i="1"/>
  <c r="AJ2054" i="1"/>
  <c r="AJ2075" i="1"/>
  <c r="AJ2096" i="1"/>
  <c r="AJ2116" i="1"/>
  <c r="AJ2119" i="1"/>
  <c r="AJ2139" i="1"/>
  <c r="AJ2149" i="1"/>
  <c r="AJ2165" i="1"/>
  <c r="AJ2190" i="1"/>
  <c r="AJ2207" i="1"/>
  <c r="AJ2228" i="1"/>
  <c r="AJ2243" i="1"/>
  <c r="AJ2253" i="1"/>
  <c r="AJ2272" i="1"/>
  <c r="AJ2279" i="1"/>
  <c r="AJ2295" i="1"/>
  <c r="AJ2316" i="1"/>
  <c r="K2367" i="1"/>
  <c r="AI2367" i="1" s="1"/>
  <c r="K2168" i="1"/>
  <c r="K422" i="1"/>
  <c r="AI422" i="1" s="1"/>
  <c r="AJ422" i="1"/>
  <c r="K220" i="1"/>
  <c r="AI220" i="1" s="1"/>
  <c r="AJ220" i="1"/>
  <c r="K858" i="1"/>
  <c r="AI858" i="1" s="1"/>
  <c r="AJ858" i="1"/>
  <c r="AJ380" i="1"/>
  <c r="AJ7" i="1"/>
  <c r="AJ805" i="1"/>
  <c r="AJ292" i="1"/>
  <c r="K162" i="1"/>
  <c r="AI162" i="1" s="1"/>
  <c r="AJ162" i="1"/>
  <c r="K1100" i="1"/>
  <c r="AI1100" i="1" s="1"/>
  <c r="AJ1100" i="1"/>
  <c r="K2157" i="1"/>
  <c r="AI2157" i="1" s="1"/>
  <c r="AJ2157" i="1"/>
  <c r="K1836" i="1"/>
  <c r="AI1836" i="1" s="1"/>
  <c r="AJ1836" i="1"/>
  <c r="K1750" i="1"/>
  <c r="AI1750" i="1" s="1"/>
  <c r="AJ1750" i="1"/>
  <c r="K1698" i="1"/>
  <c r="AI1698" i="1" s="1"/>
  <c r="AJ1698" i="1"/>
  <c r="K927" i="1"/>
  <c r="AI927" i="1" s="1"/>
  <c r="AJ927" i="1"/>
  <c r="K2321" i="1"/>
  <c r="AI2321" i="1" s="1"/>
  <c r="AJ2321" i="1"/>
  <c r="K2268" i="1"/>
  <c r="AI2268" i="1" s="1"/>
  <c r="AJ2268" i="1"/>
  <c r="K1749" i="1"/>
  <c r="AI1749" i="1" s="1"/>
  <c r="AJ1749" i="1"/>
  <c r="K1573" i="1"/>
  <c r="AI1573" i="1" s="1"/>
  <c r="AJ1573" i="1"/>
  <c r="K1520" i="1"/>
  <c r="AI1520" i="1" s="1"/>
  <c r="AJ1520" i="1"/>
  <c r="AJ936" i="1"/>
  <c r="K723" i="1"/>
  <c r="AI723" i="1" s="1"/>
  <c r="AJ723" i="1"/>
  <c r="K2162" i="1"/>
  <c r="AI2162" i="1" s="1"/>
  <c r="AJ2162" i="1"/>
  <c r="K2125" i="1"/>
  <c r="AI2125" i="1" s="1"/>
  <c r="AJ2125" i="1"/>
  <c r="AJ2118" i="1"/>
  <c r="K2016" i="1"/>
  <c r="AI2016" i="1" s="1"/>
  <c r="AJ2016" i="1"/>
  <c r="AJ2208" i="1"/>
  <c r="K2188" i="1"/>
  <c r="AI2188" i="1" s="1"/>
  <c r="AJ2188" i="1"/>
  <c r="K1742" i="1"/>
  <c r="AI1742" i="1" s="1"/>
  <c r="AJ1742" i="1"/>
  <c r="K1200" i="1"/>
  <c r="AI1200" i="1" s="1"/>
  <c r="AJ1200" i="1"/>
  <c r="K986" i="1"/>
  <c r="AI986" i="1" s="1"/>
  <c r="AJ986" i="1"/>
  <c r="AJ730" i="1"/>
  <c r="AJ550" i="1"/>
  <c r="AJ1983" i="1"/>
  <c r="AJ1870" i="1"/>
  <c r="AJ1621" i="1"/>
  <c r="K1287" i="1"/>
  <c r="AI1287" i="1" s="1"/>
  <c r="AJ1287" i="1"/>
  <c r="K1102" i="1"/>
  <c r="AI1102" i="1" s="1"/>
  <c r="AJ1102" i="1"/>
  <c r="K1041" i="1"/>
  <c r="AI1041" i="1" s="1"/>
  <c r="AJ1041" i="1"/>
  <c r="K972" i="1"/>
  <c r="AI972" i="1" s="1"/>
  <c r="AJ972" i="1"/>
  <c r="K1662" i="1"/>
  <c r="AI1662" i="1" s="1"/>
  <c r="AJ1662" i="1"/>
  <c r="K1377" i="1"/>
  <c r="AI1377" i="1" s="1"/>
  <c r="AJ1377" i="1"/>
  <c r="K970" i="1"/>
  <c r="AI970" i="1" s="1"/>
  <c r="AJ970" i="1"/>
  <c r="AJ111" i="1"/>
  <c r="K95" i="1"/>
  <c r="AI95" i="1" s="1"/>
  <c r="AJ95" i="1"/>
  <c r="K2021" i="1"/>
  <c r="AI2021" i="1" s="1"/>
  <c r="AJ2021" i="1"/>
  <c r="K1887" i="1"/>
  <c r="AI1887" i="1" s="1"/>
  <c r="AJ1887" i="1"/>
  <c r="K1591" i="1"/>
  <c r="AI1591" i="1" s="1"/>
  <c r="AJ1591" i="1"/>
  <c r="AJ1577" i="1"/>
  <c r="AJ1470" i="1"/>
  <c r="K1423" i="1"/>
  <c r="AI1423" i="1" s="1"/>
  <c r="AJ1423" i="1"/>
  <c r="K1341" i="1"/>
  <c r="AI1341" i="1" s="1"/>
  <c r="AJ1341" i="1"/>
  <c r="AJ1148" i="1"/>
  <c r="K178" i="1"/>
  <c r="AI178" i="1" s="1"/>
  <c r="AJ178" i="1"/>
  <c r="K94" i="1"/>
  <c r="AI94" i="1" s="1"/>
  <c r="AJ94" i="1"/>
  <c r="K2293" i="1"/>
  <c r="AI2293" i="1" s="1"/>
  <c r="AJ2293" i="1"/>
  <c r="AJ2174" i="1"/>
  <c r="AJ2079" i="1"/>
  <c r="AJ1854" i="1"/>
  <c r="AJ1475" i="1"/>
  <c r="K1372" i="1"/>
  <c r="AI1372" i="1" s="1"/>
  <c r="AJ1372" i="1"/>
  <c r="AJ1343" i="1"/>
  <c r="AJ1237" i="1"/>
  <c r="K1159" i="1"/>
  <c r="AI1159" i="1" s="1"/>
  <c r="AJ1159" i="1"/>
  <c r="K993" i="1"/>
  <c r="AI993" i="1" s="1"/>
  <c r="AJ993" i="1"/>
  <c r="K916" i="1"/>
  <c r="AI916" i="1" s="1"/>
  <c r="AJ916" i="1"/>
  <c r="K849" i="1"/>
  <c r="AI849" i="1" s="1"/>
  <c r="AJ849" i="1"/>
  <c r="K817" i="1"/>
  <c r="AI817" i="1" s="1"/>
  <c r="AJ817" i="1"/>
  <c r="K599" i="1"/>
  <c r="AI599" i="1" s="1"/>
  <c r="AJ599" i="1"/>
  <c r="K180" i="1"/>
  <c r="AI180" i="1" s="1"/>
  <c r="AJ180" i="1"/>
  <c r="AJ103" i="1"/>
  <c r="K2296" i="1"/>
  <c r="AI2296" i="1" s="1"/>
  <c r="AJ2296" i="1"/>
  <c r="AJ2232" i="1"/>
  <c r="AJ2023" i="1"/>
  <c r="AJ1886" i="1"/>
  <c r="K1799" i="1"/>
  <c r="AI1799" i="1" s="1"/>
  <c r="AJ1799" i="1"/>
  <c r="K1581" i="1"/>
  <c r="AI1581" i="1" s="1"/>
  <c r="AJ1581" i="1"/>
  <c r="AJ1330" i="1"/>
  <c r="K1172" i="1"/>
  <c r="AI1172" i="1" s="1"/>
  <c r="AJ1172" i="1"/>
  <c r="AJ289" i="1"/>
  <c r="AJ75" i="1"/>
  <c r="K912" i="1"/>
  <c r="AI912" i="1" s="1"/>
  <c r="AJ912" i="1"/>
  <c r="AJ814" i="1"/>
  <c r="K712" i="1"/>
  <c r="AI712" i="1" s="1"/>
  <c r="AJ712" i="1"/>
  <c r="AJ594" i="1"/>
  <c r="K586" i="1"/>
  <c r="AI586" i="1" s="1"/>
  <c r="AJ586" i="1"/>
  <c r="K27" i="1"/>
  <c r="AI27" i="1" s="1"/>
  <c r="AJ27" i="1"/>
  <c r="AJ1935" i="1"/>
  <c r="AJ22" i="1"/>
  <c r="K324" i="1"/>
  <c r="AI324" i="1" s="1"/>
  <c r="AJ324" i="1"/>
  <c r="AJ272" i="1"/>
  <c r="K127" i="1"/>
  <c r="AI127" i="1" s="1"/>
  <c r="AJ127" i="1"/>
  <c r="K1319" i="1"/>
  <c r="AI1319" i="1" s="1"/>
  <c r="AJ1319" i="1"/>
  <c r="K877" i="1"/>
  <c r="AI877" i="1" s="1"/>
  <c r="AJ877" i="1"/>
  <c r="K664" i="1"/>
  <c r="AI664" i="1" s="1"/>
  <c r="AJ664" i="1"/>
  <c r="K367" i="1"/>
  <c r="AI367" i="1" s="1"/>
  <c r="AJ367" i="1"/>
  <c r="AJ171" i="1"/>
  <c r="AJ129" i="1"/>
  <c r="AJ88" i="1"/>
  <c r="K114" i="1"/>
  <c r="AI114" i="1" s="1"/>
  <c r="AJ114" i="1"/>
  <c r="AJ2346" i="1"/>
  <c r="K2103" i="1"/>
  <c r="AI2103" i="1" s="1"/>
  <c r="AJ2103" i="1"/>
  <c r="K1073" i="1"/>
  <c r="AI1073" i="1" s="1"/>
  <c r="AJ1073" i="1"/>
  <c r="AJ870" i="1"/>
  <c r="K766" i="1"/>
  <c r="AI766" i="1" s="1"/>
  <c r="AJ766" i="1"/>
  <c r="AJ610" i="1"/>
  <c r="K531" i="1"/>
  <c r="AI531" i="1" s="1"/>
  <c r="AJ531" i="1"/>
  <c r="K53" i="1"/>
  <c r="AI53" i="1" s="1"/>
  <c r="AJ53" i="1"/>
  <c r="K2277" i="1"/>
  <c r="AI2277" i="1" s="1"/>
  <c r="AJ2277" i="1"/>
  <c r="K1639" i="1"/>
  <c r="AI1639" i="1" s="1"/>
  <c r="AJ1639" i="1"/>
  <c r="K1114" i="1"/>
  <c r="AI1114" i="1" s="1"/>
  <c r="AJ1114" i="1"/>
  <c r="K337" i="1"/>
  <c r="AI337" i="1" s="1"/>
  <c r="AJ337" i="1"/>
  <c r="AJ469" i="1"/>
  <c r="K309" i="1"/>
  <c r="AI309" i="1" s="1"/>
  <c r="AJ309" i="1"/>
  <c r="K1973" i="1"/>
  <c r="AI1973" i="1" s="1"/>
  <c r="AJ1973" i="1"/>
  <c r="K1740" i="1"/>
  <c r="AI1740" i="1" s="1"/>
  <c r="AJ1740" i="1"/>
  <c r="K757" i="1"/>
  <c r="AI757" i="1" s="1"/>
  <c r="AJ757" i="1"/>
  <c r="K1806" i="1"/>
  <c r="AI1806" i="1" s="1"/>
  <c r="AJ1806" i="1"/>
  <c r="K1427" i="1"/>
  <c r="AI1427" i="1" s="1"/>
  <c r="AJ1427" i="1"/>
  <c r="K1522" i="1"/>
  <c r="AI1522" i="1" s="1"/>
  <c r="AJ1522" i="1"/>
  <c r="AJ1727" i="1"/>
  <c r="K1113" i="1"/>
  <c r="AI1113" i="1" s="1"/>
  <c r="AJ1113" i="1"/>
  <c r="AJ1852" i="1"/>
  <c r="K962" i="1"/>
  <c r="AI962" i="1" s="1"/>
  <c r="AJ962" i="1"/>
  <c r="K198" i="1"/>
  <c r="AI198" i="1" s="1"/>
  <c r="AJ198" i="1"/>
  <c r="AJ37" i="1"/>
  <c r="K859" i="1"/>
  <c r="AI859" i="1" s="1"/>
  <c r="AJ859" i="1"/>
  <c r="AJ1846" i="1"/>
  <c r="AJ1697" i="1"/>
  <c r="K1443" i="1"/>
  <c r="AI1443" i="1" s="1"/>
  <c r="AJ1443" i="1"/>
  <c r="AJ1052" i="1"/>
  <c r="AJ1825" i="1"/>
  <c r="K1670" i="1"/>
  <c r="AI1670" i="1" s="1"/>
  <c r="AJ1670" i="1"/>
  <c r="K2068" i="1"/>
  <c r="AI2068" i="1" s="1"/>
  <c r="AJ2068" i="1"/>
  <c r="K1980" i="1"/>
  <c r="AI1980" i="1" s="1"/>
  <c r="AJ1980" i="1"/>
  <c r="K1827" i="1"/>
  <c r="AI1827" i="1" s="1"/>
  <c r="AJ1827" i="1"/>
  <c r="K1441" i="1"/>
  <c r="AI1441" i="1" s="1"/>
  <c r="AJ1441" i="1"/>
  <c r="K1248" i="1"/>
  <c r="AI1248" i="1" s="1"/>
  <c r="AJ1248" i="1"/>
  <c r="K854" i="1"/>
  <c r="AI854" i="1" s="1"/>
  <c r="AJ854" i="1"/>
  <c r="AJ656" i="1"/>
  <c r="AJ631" i="1"/>
  <c r="K495" i="1"/>
  <c r="AI495" i="1" s="1"/>
  <c r="AJ495" i="1"/>
  <c r="AJ478" i="1"/>
  <c r="AJ376" i="1"/>
  <c r="AJ2304" i="1"/>
  <c r="K1775" i="1"/>
  <c r="AI1775" i="1" s="1"/>
  <c r="AJ1775" i="1"/>
  <c r="K1544" i="1"/>
  <c r="AI1544" i="1" s="1"/>
  <c r="AJ1544" i="1"/>
  <c r="AJ1165" i="1"/>
  <c r="AJ1617" i="1"/>
  <c r="AJ777" i="1"/>
  <c r="K436" i="1"/>
  <c r="AI436" i="1" s="1"/>
  <c r="AJ436" i="1"/>
  <c r="AJ880" i="1"/>
  <c r="K557" i="1"/>
  <c r="AI557" i="1" s="1"/>
  <c r="AJ557" i="1"/>
  <c r="AJ84" i="1"/>
  <c r="K1434" i="1"/>
  <c r="AI1434" i="1" s="1"/>
  <c r="AJ1434" i="1"/>
  <c r="AJ1298" i="1"/>
  <c r="AJ1747" i="1"/>
  <c r="K1633" i="1"/>
  <c r="AI1633" i="1" s="1"/>
  <c r="AJ1633" i="1"/>
  <c r="K1532" i="1"/>
  <c r="AI1532" i="1" s="1"/>
  <c r="AJ1532" i="1"/>
  <c r="K725" i="1"/>
  <c r="AI725" i="1" s="1"/>
  <c r="AJ725" i="1"/>
  <c r="K1535" i="1"/>
  <c r="AI1535" i="1" s="1"/>
  <c r="AJ1535" i="1"/>
  <c r="K550" i="1"/>
  <c r="AI550" i="1" s="1"/>
  <c r="K2335" i="1"/>
  <c r="AI2335" i="1" s="1"/>
  <c r="AJ2335" i="1"/>
  <c r="AJ2150" i="1"/>
  <c r="K1351" i="1"/>
  <c r="AI1351" i="1" s="1"/>
  <c r="AJ1351" i="1"/>
  <c r="AJ1042" i="1"/>
  <c r="AJ1010" i="1"/>
  <c r="K1661" i="1"/>
  <c r="AI1661" i="1" s="1"/>
  <c r="AJ1661" i="1"/>
  <c r="K1502" i="1"/>
  <c r="AI1502" i="1" s="1"/>
  <c r="AJ1502" i="1"/>
  <c r="K1392" i="1"/>
  <c r="AI1392" i="1" s="1"/>
  <c r="AJ1392" i="1"/>
  <c r="K1257" i="1"/>
  <c r="AI1257" i="1" s="1"/>
  <c r="AJ1257" i="1"/>
  <c r="K1076" i="1"/>
  <c r="AI1076" i="1" s="1"/>
  <c r="AJ1076" i="1"/>
  <c r="AJ1008" i="1"/>
  <c r="K958" i="1"/>
  <c r="AI958" i="1" s="1"/>
  <c r="AJ958" i="1"/>
  <c r="AJ1596" i="1"/>
  <c r="K2397" i="1"/>
  <c r="AI2397" i="1" s="1"/>
  <c r="AJ2397" i="1"/>
  <c r="AJ2060" i="1"/>
  <c r="AJ1787" i="1"/>
  <c r="K1642" i="1"/>
  <c r="AI1642" i="1" s="1"/>
  <c r="AJ1642" i="1"/>
  <c r="K1118" i="1"/>
  <c r="AI1118" i="1" s="1"/>
  <c r="AJ1118" i="1"/>
  <c r="AJ1089" i="1"/>
  <c r="AJ2361" i="1"/>
  <c r="K2353" i="1"/>
  <c r="AI2353" i="1" s="1"/>
  <c r="AJ2353" i="1"/>
  <c r="K1131" i="1"/>
  <c r="AI1131" i="1" s="1"/>
  <c r="AJ1131" i="1"/>
  <c r="K2347" i="1"/>
  <c r="AI2347" i="1" s="1"/>
  <c r="AJ2347" i="1"/>
  <c r="K2184" i="1"/>
  <c r="AI2184" i="1" s="1"/>
  <c r="AJ2184" i="1"/>
  <c r="K1045" i="1"/>
  <c r="AI1045" i="1" s="1"/>
  <c r="AJ1045" i="1"/>
  <c r="AJ946" i="1"/>
  <c r="AJ843" i="1"/>
  <c r="AJ820" i="1"/>
  <c r="AJ716" i="1"/>
  <c r="K581" i="1"/>
  <c r="AI581" i="1" s="1"/>
  <c r="AJ581" i="1"/>
  <c r="AJ286" i="1"/>
  <c r="K1847" i="1"/>
  <c r="AI1847" i="1" s="1"/>
  <c r="AJ1847" i="1"/>
  <c r="K1801" i="1"/>
  <c r="AI1801" i="1" s="1"/>
  <c r="AJ1801" i="1"/>
  <c r="AJ1390" i="1"/>
  <c r="K1266" i="1"/>
  <c r="AI1266" i="1" s="1"/>
  <c r="AJ1266" i="1"/>
  <c r="K949" i="1"/>
  <c r="AI949" i="1" s="1"/>
  <c r="AJ949" i="1"/>
  <c r="K720" i="1"/>
  <c r="AI720" i="1" s="1"/>
  <c r="AJ720" i="1"/>
  <c r="K1729" i="1"/>
  <c r="AI1729" i="1" s="1"/>
  <c r="AJ1729" i="1"/>
  <c r="K1380" i="1"/>
  <c r="AI1380" i="1" s="1"/>
  <c r="AJ1380" i="1"/>
  <c r="K663" i="1"/>
  <c r="AI663" i="1" s="1"/>
  <c r="AJ663" i="1"/>
  <c r="K353" i="1"/>
  <c r="AI353" i="1" s="1"/>
  <c r="AJ353" i="1"/>
  <c r="K273" i="1"/>
  <c r="AI273" i="1" s="1"/>
  <c r="AJ273" i="1"/>
  <c r="K193" i="1"/>
  <c r="AI193" i="1" s="1"/>
  <c r="AJ193" i="1"/>
  <c r="K2259" i="1"/>
  <c r="AI2259" i="1" s="1"/>
  <c r="AJ2259" i="1"/>
  <c r="K607" i="1"/>
  <c r="AI607" i="1" s="1"/>
  <c r="AJ607" i="1"/>
  <c r="K241" i="1"/>
  <c r="AI241" i="1" s="1"/>
  <c r="AJ241" i="1"/>
  <c r="K153" i="1"/>
  <c r="AI153" i="1" s="1"/>
  <c r="AJ153" i="1"/>
  <c r="K2400" i="1"/>
  <c r="AI2400" i="1" s="1"/>
  <c r="AJ2400" i="1"/>
  <c r="K1990" i="1"/>
  <c r="AI1990" i="1" s="1"/>
  <c r="AJ1990" i="1"/>
  <c r="K1111" i="1"/>
  <c r="AI1111" i="1" s="1"/>
  <c r="AJ1111" i="1"/>
  <c r="AJ510" i="1"/>
  <c r="K231" i="1"/>
  <c r="AI231" i="1" s="1"/>
  <c r="AJ231" i="1"/>
  <c r="K152" i="1"/>
  <c r="AI152" i="1" s="1"/>
  <c r="AJ152" i="1"/>
  <c r="K115" i="1"/>
  <c r="AI115" i="1" s="1"/>
  <c r="AJ115" i="1"/>
  <c r="K746" i="1"/>
  <c r="AI746" i="1" s="1"/>
  <c r="AJ746" i="1"/>
  <c r="K640" i="1"/>
  <c r="AI640" i="1" s="1"/>
  <c r="AJ640" i="1"/>
  <c r="K427" i="1"/>
  <c r="AI427" i="1" s="1"/>
  <c r="AJ427" i="1"/>
  <c r="AJ215" i="1"/>
  <c r="AJ513" i="1"/>
  <c r="AJ1681" i="1"/>
  <c r="K1964" i="1"/>
  <c r="AI1964" i="1" s="1"/>
  <c r="AJ1964" i="1"/>
  <c r="K796" i="1"/>
  <c r="AI796" i="1" s="1"/>
  <c r="AJ796" i="1"/>
  <c r="K1557" i="1"/>
  <c r="AI1557" i="1" s="1"/>
  <c r="AJ1557" i="1"/>
  <c r="K1249" i="1"/>
  <c r="AI1249" i="1" s="1"/>
  <c r="AJ1249" i="1"/>
  <c r="AJ439" i="1"/>
  <c r="AJ1299" i="1"/>
  <c r="K1821" i="1"/>
  <c r="AI1821" i="1" s="1"/>
  <c r="AJ1821" i="1"/>
  <c r="K726" i="1"/>
  <c r="AI726" i="1" s="1"/>
  <c r="AJ726" i="1"/>
  <c r="AJ1436" i="1"/>
  <c r="AI1436" i="1"/>
  <c r="K1039" i="1"/>
  <c r="AI1039" i="1" s="1"/>
  <c r="AJ1039" i="1"/>
  <c r="AJ908" i="1"/>
  <c r="K2146" i="1"/>
  <c r="AI2146" i="1" s="1"/>
  <c r="AJ2146" i="1"/>
  <c r="K765" i="1"/>
  <c r="AI765" i="1" s="1"/>
  <c r="AJ765" i="1"/>
  <c r="K34" i="1"/>
  <c r="AI34" i="1" s="1"/>
  <c r="AJ34" i="1"/>
  <c r="K867" i="1"/>
  <c r="AI867" i="1" s="1"/>
  <c r="AJ867" i="1"/>
  <c r="K683" i="1"/>
  <c r="AI683" i="1" s="1"/>
  <c r="AJ683" i="1"/>
  <c r="AJ3" i="1"/>
  <c r="K1553" i="1"/>
  <c r="AI1553" i="1" s="1"/>
  <c r="AJ1553" i="1"/>
  <c r="K791" i="1"/>
  <c r="AI791" i="1" s="1"/>
  <c r="AJ791" i="1"/>
  <c r="K483" i="1"/>
  <c r="AI483" i="1" s="1"/>
  <c r="AJ483" i="1"/>
  <c r="K516" i="1"/>
  <c r="AI516" i="1" s="1"/>
  <c r="AJ516" i="1"/>
  <c r="AJ1739" i="1"/>
  <c r="K406" i="1"/>
  <c r="AI406" i="1" s="1"/>
  <c r="AJ406" i="1"/>
  <c r="K700" i="1"/>
  <c r="AI700" i="1" s="1"/>
  <c r="AJ700" i="1"/>
  <c r="K488" i="1"/>
  <c r="AI488" i="1" s="1"/>
  <c r="AJ488" i="1"/>
  <c r="K189" i="1"/>
  <c r="AI189" i="1" s="1"/>
  <c r="AJ189" i="1"/>
  <c r="K2089" i="1"/>
  <c r="AI2089" i="1" s="1"/>
  <c r="AJ2089" i="1"/>
  <c r="AJ2050" i="1"/>
  <c r="K1804" i="1"/>
  <c r="AI1804" i="1" s="1"/>
  <c r="AJ1804" i="1"/>
  <c r="K1695" i="1"/>
  <c r="AI1695" i="1" s="1"/>
  <c r="AJ1695" i="1"/>
  <c r="K1056" i="1"/>
  <c r="AI1056" i="1" s="1"/>
  <c r="AJ1056" i="1"/>
  <c r="AJ935" i="1"/>
  <c r="AJ790" i="1"/>
  <c r="K604" i="1"/>
  <c r="AI604" i="1" s="1"/>
  <c r="AJ604" i="1"/>
  <c r="K383" i="1"/>
  <c r="AI383" i="1" s="1"/>
  <c r="AJ383" i="1"/>
  <c r="K315" i="1"/>
  <c r="AI315" i="1" s="1"/>
  <c r="AJ315" i="1"/>
  <c r="K141" i="1"/>
  <c r="AI141" i="1" s="1"/>
  <c r="AJ141" i="1"/>
  <c r="K67" i="1"/>
  <c r="AI67" i="1" s="1"/>
  <c r="AJ67" i="1"/>
  <c r="K892" i="1"/>
  <c r="AI892" i="1" s="1"/>
  <c r="AJ892" i="1"/>
  <c r="K2055" i="1"/>
  <c r="AI2055" i="1" s="1"/>
  <c r="AJ2055" i="1"/>
  <c r="K897" i="1"/>
  <c r="AI897" i="1" s="1"/>
  <c r="AJ897" i="1"/>
  <c r="K785" i="1"/>
  <c r="AI785" i="1" s="1"/>
  <c r="AJ785" i="1"/>
  <c r="K619" i="1"/>
  <c r="AI619" i="1" s="1"/>
  <c r="AJ619" i="1"/>
  <c r="K374" i="1"/>
  <c r="AI374" i="1" s="1"/>
  <c r="AJ374" i="1"/>
  <c r="K329" i="1"/>
  <c r="AI329" i="1" s="1"/>
  <c r="AJ329" i="1"/>
  <c r="AJ199" i="1"/>
  <c r="K122" i="1"/>
  <c r="AI122" i="1" s="1"/>
  <c r="AJ122" i="1"/>
  <c r="K2193" i="1"/>
  <c r="AI2193" i="1" s="1"/>
  <c r="AJ2193" i="1"/>
  <c r="AJ1820" i="1"/>
  <c r="K1653" i="1"/>
  <c r="AI1653" i="1" s="1"/>
  <c r="AJ1653" i="1"/>
  <c r="AJ1536" i="1"/>
  <c r="AI1536" i="1"/>
  <c r="K1298" i="1"/>
  <c r="AI1298" i="1" s="1"/>
  <c r="K1201" i="1"/>
  <c r="AI1201" i="1" s="1"/>
  <c r="AJ1201" i="1"/>
  <c r="K926" i="1"/>
  <c r="AI926" i="1" s="1"/>
  <c r="AJ926" i="1"/>
  <c r="K920" i="1"/>
  <c r="AI920" i="1" s="1"/>
  <c r="AJ920" i="1"/>
  <c r="AJ1746" i="1"/>
  <c r="K1647" i="1"/>
  <c r="AI1647" i="1" s="1"/>
  <c r="AJ1647" i="1"/>
  <c r="K1414" i="1"/>
  <c r="AI1414" i="1" s="1"/>
  <c r="AJ1414" i="1"/>
  <c r="AJ919" i="1"/>
  <c r="K548" i="1"/>
  <c r="AI548" i="1" s="1"/>
  <c r="AJ548" i="1"/>
  <c r="K2343" i="1"/>
  <c r="AI2343" i="1" s="1"/>
  <c r="AJ2343" i="1"/>
  <c r="K2211" i="1"/>
  <c r="AI2211" i="1" s="1"/>
  <c r="AJ2211" i="1"/>
  <c r="K2161" i="1"/>
  <c r="AI2161" i="1" s="1"/>
  <c r="AJ2161" i="1"/>
  <c r="K2124" i="1"/>
  <c r="AI2124" i="1" s="1"/>
  <c r="AJ2124" i="1"/>
  <c r="AJ553" i="1"/>
  <c r="K2317" i="1"/>
  <c r="AI2317" i="1" s="1"/>
  <c r="AJ2317" i="1"/>
  <c r="K2117" i="1"/>
  <c r="AI2117" i="1" s="1"/>
  <c r="AJ2117" i="1"/>
  <c r="AJ1635" i="1"/>
  <c r="AI1635" i="1"/>
  <c r="K1412" i="1"/>
  <c r="AI1412" i="1" s="1"/>
  <c r="AJ1412" i="1"/>
  <c r="AJ1014" i="1"/>
  <c r="K924" i="1"/>
  <c r="AI924" i="1" s="1"/>
  <c r="AJ924" i="1"/>
  <c r="AJ1866" i="1"/>
  <c r="AJ1329" i="1"/>
  <c r="AJ1081" i="1"/>
  <c r="K1035" i="1"/>
  <c r="AI1035" i="1" s="1"/>
  <c r="AJ1035" i="1"/>
  <c r="AJ969" i="1"/>
  <c r="K2109" i="1"/>
  <c r="AI2109" i="1" s="1"/>
  <c r="AJ2109" i="1"/>
  <c r="K1619" i="1"/>
  <c r="AI1619" i="1" s="1"/>
  <c r="AJ1619" i="1"/>
  <c r="K1345" i="1"/>
  <c r="AI1345" i="1" s="1"/>
  <c r="AJ1345" i="1"/>
  <c r="AJ1181" i="1"/>
  <c r="AJ957" i="1"/>
  <c r="K999" i="1"/>
  <c r="AI999" i="1" s="1"/>
  <c r="AJ999" i="1"/>
  <c r="K204" i="1"/>
  <c r="AI204" i="1" s="1"/>
  <c r="AJ204" i="1"/>
  <c r="AJ110" i="1"/>
  <c r="AJ1686" i="1"/>
  <c r="AJ1590" i="1"/>
  <c r="K1496" i="1"/>
  <c r="AI1496" i="1" s="1"/>
  <c r="AJ1496" i="1"/>
  <c r="AJ1468" i="1"/>
  <c r="AJ1368" i="1"/>
  <c r="AJ1147" i="1"/>
  <c r="AI1147" i="1"/>
  <c r="K286" i="1"/>
  <c r="AI286" i="1" s="1"/>
  <c r="AJ176" i="1"/>
  <c r="AJ81" i="1"/>
  <c r="AJ2245" i="1"/>
  <c r="K2173" i="1"/>
  <c r="AI2173" i="1" s="1"/>
  <c r="AJ2173" i="1"/>
  <c r="AJ2027" i="1"/>
  <c r="AJ1918" i="1"/>
  <c r="AJ1798" i="1"/>
  <c r="K1566" i="1"/>
  <c r="AI1566" i="1" s="1"/>
  <c r="AJ1566" i="1"/>
  <c r="K1371" i="1"/>
  <c r="AI1371" i="1" s="1"/>
  <c r="AJ1371" i="1"/>
  <c r="K1236" i="1"/>
  <c r="AI1236" i="1" s="1"/>
  <c r="AJ1236" i="1"/>
  <c r="AJ1196" i="1"/>
  <c r="AJ1157" i="1"/>
  <c r="K1028" i="1"/>
  <c r="AI1028" i="1" s="1"/>
  <c r="AJ1028" i="1"/>
  <c r="AJ913" i="1"/>
  <c r="K350" i="1"/>
  <c r="AI350" i="1" s="1"/>
  <c r="AJ350" i="1"/>
  <c r="K100" i="1"/>
  <c r="AI100" i="1" s="1"/>
  <c r="AJ100" i="1"/>
  <c r="K2185" i="1"/>
  <c r="AI2185" i="1" s="1"/>
  <c r="AJ2185" i="1"/>
  <c r="AJ2177" i="1"/>
  <c r="K2049" i="1"/>
  <c r="AI2049" i="1" s="1"/>
  <c r="AJ2049" i="1"/>
  <c r="K1890" i="1"/>
  <c r="AI1890" i="1" s="1"/>
  <c r="AJ1890" i="1"/>
  <c r="K1815" i="1"/>
  <c r="AI1815" i="1" s="1"/>
  <c r="AJ1815" i="1"/>
  <c r="AJ1579" i="1"/>
  <c r="AJ1420" i="1"/>
  <c r="K1356" i="1"/>
  <c r="AI1356" i="1" s="1"/>
  <c r="AJ1356" i="1"/>
  <c r="AJ1191" i="1"/>
  <c r="AJ677" i="1"/>
  <c r="K395" i="1"/>
  <c r="AI395" i="1" s="1"/>
  <c r="AJ395" i="1"/>
  <c r="K73" i="1"/>
  <c r="AI73" i="1" s="1"/>
  <c r="AJ73" i="1"/>
  <c r="K901" i="1"/>
  <c r="AI901" i="1" s="1"/>
  <c r="AJ901" i="1"/>
  <c r="K842" i="1"/>
  <c r="AI842" i="1" s="1"/>
  <c r="AJ842" i="1"/>
  <c r="K593" i="1"/>
  <c r="AI593" i="1" s="1"/>
  <c r="AJ593" i="1"/>
  <c r="K583" i="1"/>
  <c r="AI583" i="1" s="1"/>
  <c r="AJ583" i="1"/>
  <c r="K74" i="1"/>
  <c r="AI74" i="1" s="1"/>
  <c r="AJ74" i="1"/>
  <c r="K1915" i="1"/>
  <c r="AI1915" i="1" s="1"/>
  <c r="AJ1915" i="1"/>
  <c r="AJ287" i="1"/>
  <c r="K92" i="1"/>
  <c r="AI92" i="1" s="1"/>
  <c r="AJ92" i="1"/>
  <c r="K21" i="1"/>
  <c r="AI21" i="1" s="1"/>
  <c r="AJ21" i="1"/>
  <c r="K366" i="1"/>
  <c r="AI366" i="1" s="1"/>
  <c r="AJ366" i="1"/>
  <c r="AJ355" i="1"/>
  <c r="AJ298" i="1"/>
  <c r="AJ250" i="1"/>
  <c r="K1430" i="1"/>
  <c r="AI1430" i="1" s="1"/>
  <c r="AJ1430" i="1"/>
  <c r="AJ364" i="1"/>
  <c r="K504" i="1"/>
  <c r="AI504" i="1" s="1"/>
  <c r="AJ504" i="1"/>
  <c r="K237" i="1"/>
  <c r="AI237" i="1" s="1"/>
  <c r="AJ237" i="1"/>
  <c r="AJ1017" i="1"/>
  <c r="K869" i="1"/>
  <c r="AI869" i="1" s="1"/>
  <c r="AJ869" i="1"/>
  <c r="AJ609" i="1"/>
  <c r="K270" i="1"/>
  <c r="AI270" i="1" s="1"/>
  <c r="AJ270" i="1"/>
  <c r="K149" i="1"/>
  <c r="AI149" i="1" s="1"/>
  <c r="AJ149" i="1"/>
  <c r="K1993" i="1"/>
  <c r="AI1993" i="1" s="1"/>
  <c r="AJ1993" i="1"/>
  <c r="K1762" i="1"/>
  <c r="AI1762" i="1" s="1"/>
  <c r="AJ1762" i="1"/>
  <c r="K1096" i="1"/>
  <c r="AI1096" i="1" s="1"/>
  <c r="AJ1096" i="1"/>
  <c r="K431" i="1"/>
  <c r="AI431" i="1" s="1"/>
  <c r="AJ431" i="1"/>
  <c r="K235" i="1"/>
  <c r="AI235" i="1" s="1"/>
  <c r="AJ235" i="1"/>
  <c r="K449" i="1"/>
  <c r="AI449" i="1" s="1"/>
  <c r="AJ449" i="1"/>
  <c r="AJ334" i="1"/>
  <c r="K465" i="1"/>
  <c r="AI465" i="1" s="1"/>
  <c r="AJ465" i="1"/>
  <c r="AJ2085" i="1"/>
  <c r="K1674" i="1"/>
  <c r="AI1674" i="1" s="1"/>
  <c r="AJ1674" i="1"/>
  <c r="K2070" i="1"/>
  <c r="AI2070" i="1" s="1"/>
  <c r="AJ2070" i="1"/>
  <c r="K1696" i="1"/>
  <c r="AI1696" i="1" s="1"/>
  <c r="AJ1696" i="1"/>
  <c r="AJ1150" i="1"/>
  <c r="K360" i="1"/>
  <c r="AI360" i="1" s="1"/>
  <c r="AJ360" i="1"/>
  <c r="K201" i="1"/>
  <c r="AI201" i="1" s="1"/>
  <c r="AJ201" i="1"/>
  <c r="AJ1400" i="1"/>
  <c r="AJ2366" i="1"/>
  <c r="K1063" i="1"/>
  <c r="AI1063" i="1" s="1"/>
  <c r="AJ1063" i="1"/>
  <c r="K2143" i="1"/>
  <c r="AI2143" i="1" s="1"/>
  <c r="AJ2143" i="1"/>
  <c r="AJ195" i="1"/>
  <c r="AJ281" i="1"/>
  <c r="AJ2264" i="1"/>
  <c r="K1120" i="1"/>
  <c r="AI1120" i="1" s="1"/>
  <c r="AJ1120" i="1"/>
  <c r="K518" i="1"/>
  <c r="AI518" i="1" s="1"/>
  <c r="AJ518" i="1"/>
  <c r="K739" i="1"/>
  <c r="AI739" i="1" s="1"/>
  <c r="AJ739" i="1"/>
  <c r="AJ463" i="1"/>
  <c r="AJ497" i="1"/>
  <c r="K2311" i="1"/>
  <c r="AI2311" i="1" s="1"/>
  <c r="AJ2311" i="1"/>
  <c r="K1905" i="1"/>
  <c r="AI1905" i="1" s="1"/>
  <c r="AJ1905" i="1"/>
  <c r="K524" i="1"/>
  <c r="AI524" i="1" s="1"/>
  <c r="AJ524" i="1"/>
  <c r="K1229" i="1"/>
  <c r="AI1229" i="1" s="1"/>
  <c r="AJ1229" i="1"/>
  <c r="AJ1958" i="1"/>
  <c r="K1831" i="1"/>
  <c r="AI1831" i="1" s="1"/>
  <c r="AJ1831" i="1"/>
  <c r="K1667" i="1"/>
  <c r="AI1667" i="1" s="1"/>
  <c r="AJ1667" i="1"/>
  <c r="K851" i="1"/>
  <c r="AI851" i="1" s="1"/>
  <c r="AJ851" i="1"/>
  <c r="K764" i="1"/>
  <c r="AI764" i="1" s="1"/>
  <c r="AJ764" i="1"/>
  <c r="K792" i="1"/>
  <c r="AI792" i="1" s="1"/>
  <c r="AJ792" i="1"/>
  <c r="AJ2386" i="1"/>
  <c r="K2325" i="1"/>
  <c r="AI2325" i="1" s="1"/>
  <c r="AJ2325" i="1"/>
  <c r="AJ2221" i="1"/>
  <c r="K2084" i="1"/>
  <c r="AI2084" i="1" s="1"/>
  <c r="AJ2084" i="1"/>
  <c r="K1738" i="1"/>
  <c r="AI1738" i="1" s="1"/>
  <c r="AJ1738" i="1"/>
  <c r="AJ1691" i="1"/>
  <c r="K1869" i="1"/>
  <c r="AI1869" i="1" s="1"/>
  <c r="AJ1869" i="1"/>
  <c r="K884" i="1"/>
  <c r="AI884" i="1" s="1"/>
  <c r="AJ884" i="1"/>
  <c r="K702" i="1"/>
  <c r="AI702" i="1" s="1"/>
  <c r="AJ702" i="1"/>
  <c r="K368" i="1"/>
  <c r="AI368" i="1" s="1"/>
  <c r="AJ368" i="1"/>
  <c r="K2206" i="1"/>
  <c r="AI2206" i="1" s="1"/>
  <c r="AJ2206" i="1"/>
  <c r="K1302" i="1"/>
  <c r="AI1302" i="1" s="1"/>
  <c r="AJ1302" i="1"/>
  <c r="AJ1524" i="1"/>
  <c r="K1411" i="1"/>
  <c r="AI1411" i="1" s="1"/>
  <c r="AJ1411" i="1"/>
  <c r="AJ544" i="1"/>
  <c r="AJ2334" i="1"/>
  <c r="K1040" i="1"/>
  <c r="AI1040" i="1" s="1"/>
  <c r="AJ1040" i="1"/>
  <c r="K2331" i="1"/>
  <c r="AI2331" i="1" s="1"/>
  <c r="AJ2331" i="1"/>
  <c r="K1104" i="1"/>
  <c r="AI1104" i="1" s="1"/>
  <c r="AJ1104" i="1"/>
  <c r="AJ2356" i="1"/>
  <c r="AJ2226" i="1"/>
  <c r="K2129" i="1"/>
  <c r="AI2129" i="1" s="1"/>
  <c r="AJ2129" i="1"/>
  <c r="K1108" i="1"/>
  <c r="AI1108" i="1" s="1"/>
  <c r="AJ1108" i="1"/>
  <c r="AJ1019" i="1"/>
  <c r="K1601" i="1"/>
  <c r="AI1601" i="1" s="1"/>
  <c r="AJ1601" i="1"/>
  <c r="K2275" i="1"/>
  <c r="AI2275" i="1" s="1"/>
  <c r="AJ2275" i="1"/>
  <c r="K2200" i="1"/>
  <c r="AI2200" i="1" s="1"/>
  <c r="AJ2200" i="1"/>
  <c r="K2032" i="1"/>
  <c r="AI2032" i="1" s="1"/>
  <c r="AJ2032" i="1"/>
  <c r="AJ1717" i="1"/>
  <c r="AJ1482" i="1"/>
  <c r="AJ2201" i="1"/>
  <c r="K1988" i="1"/>
  <c r="AI1988" i="1" s="1"/>
  <c r="AJ1988" i="1"/>
  <c r="K1129" i="1"/>
  <c r="AI1129" i="1" s="1"/>
  <c r="AJ1129" i="1"/>
  <c r="AJ2178" i="1"/>
  <c r="AJ907" i="1"/>
  <c r="K679" i="1"/>
  <c r="AI679" i="1" s="1"/>
  <c r="AJ679" i="1"/>
  <c r="K595" i="1"/>
  <c r="AI595" i="1" s="1"/>
  <c r="AJ595" i="1"/>
  <c r="AJ460" i="1"/>
  <c r="K394" i="1"/>
  <c r="AI394" i="1" s="1"/>
  <c r="AJ394" i="1"/>
  <c r="K1881" i="1"/>
  <c r="AI1881" i="1" s="1"/>
  <c r="AJ1881" i="1"/>
  <c r="AJ1814" i="1"/>
  <c r="AJ1754" i="1"/>
  <c r="AJ1564" i="1"/>
  <c r="K1493" i="1"/>
  <c r="AI1493" i="1" s="1"/>
  <c r="AJ1493" i="1"/>
  <c r="K1449" i="1"/>
  <c r="AI1449" i="1" s="1"/>
  <c r="AJ1449" i="1"/>
  <c r="AJ1358" i="1"/>
  <c r="K1338" i="1"/>
  <c r="AI1338" i="1" s="1"/>
  <c r="AJ1338" i="1"/>
  <c r="K1232" i="1"/>
  <c r="AI1232" i="1" s="1"/>
  <c r="AJ1232" i="1"/>
  <c r="AJ1138" i="1"/>
  <c r="K832" i="1"/>
  <c r="AI832" i="1" s="1"/>
  <c r="AJ832" i="1"/>
  <c r="K168" i="1"/>
  <c r="AI168" i="1" s="1"/>
  <c r="AJ168" i="1"/>
  <c r="K86" i="1"/>
  <c r="AI86" i="1" s="1"/>
  <c r="AJ86" i="1"/>
  <c r="K1378" i="1"/>
  <c r="AI1378" i="1" s="1"/>
  <c r="AJ1378" i="1"/>
  <c r="AJ708" i="1"/>
  <c r="AJ438" i="1"/>
  <c r="K328" i="1"/>
  <c r="AI328" i="1" s="1"/>
  <c r="AJ328" i="1"/>
  <c r="AJ113" i="1"/>
  <c r="K2236" i="1"/>
  <c r="AI2236" i="1" s="1"/>
  <c r="AJ2236" i="1"/>
  <c r="K2100" i="1"/>
  <c r="AI2100" i="1" s="1"/>
  <c r="AJ2100" i="1"/>
  <c r="K1291" i="1"/>
  <c r="AI1291" i="1" s="1"/>
  <c r="AJ1291" i="1"/>
  <c r="K615" i="1"/>
  <c r="AI615" i="1" s="1"/>
  <c r="AJ615" i="1"/>
  <c r="K264" i="1"/>
  <c r="AI264" i="1" s="1"/>
  <c r="AJ264" i="1"/>
  <c r="AJ2198" i="1"/>
  <c r="K1967" i="1"/>
  <c r="AI1967" i="1" s="1"/>
  <c r="AJ1967" i="1"/>
  <c r="K1070" i="1"/>
  <c r="AI1070" i="1" s="1"/>
  <c r="AJ1070" i="1"/>
  <c r="K747" i="1"/>
  <c r="AI747" i="1" s="1"/>
  <c r="AJ747" i="1"/>
  <c r="K151" i="1"/>
  <c r="AI151" i="1" s="1"/>
  <c r="AJ151" i="1"/>
  <c r="K745" i="1"/>
  <c r="AI745" i="1" s="1"/>
  <c r="AJ745" i="1"/>
  <c r="K238" i="1"/>
  <c r="AI238" i="1" s="1"/>
  <c r="AJ238" i="1"/>
  <c r="K2252" i="1"/>
  <c r="AI2252" i="1" s="1"/>
  <c r="AJ2252" i="1"/>
  <c r="K1587" i="1"/>
  <c r="AI1587" i="1" s="1"/>
  <c r="AJ1587" i="1"/>
  <c r="K633" i="1"/>
  <c r="AI633" i="1" s="1"/>
  <c r="AJ633" i="1"/>
  <c r="K1782" i="1"/>
  <c r="AI1782" i="1" s="1"/>
  <c r="AJ1782" i="1"/>
  <c r="K1004" i="1"/>
  <c r="AI1004" i="1" s="1"/>
  <c r="AJ1004" i="1"/>
  <c r="AJ251" i="1"/>
  <c r="AJ300" i="1"/>
  <c r="AJ546" i="1"/>
  <c r="K1316" i="1"/>
  <c r="AI1316" i="1" s="1"/>
  <c r="AJ1316" i="1"/>
  <c r="K58" i="1"/>
  <c r="AI58" i="1" s="1"/>
  <c r="AJ58" i="1"/>
  <c r="K142" i="1"/>
  <c r="AI142" i="1" s="1"/>
  <c r="AJ142" i="1"/>
  <c r="K451" i="1"/>
  <c r="AI451" i="1" s="1"/>
  <c r="AJ451" i="1"/>
  <c r="K690" i="1"/>
  <c r="AI690" i="1" s="1"/>
  <c r="AJ690" i="1"/>
  <c r="K133" i="1"/>
  <c r="AI133" i="1" s="1"/>
  <c r="AJ133" i="1"/>
  <c r="K339" i="1"/>
  <c r="AI339" i="1" s="1"/>
  <c r="AJ339" i="1"/>
  <c r="K35" i="1"/>
  <c r="AI35" i="1" s="1"/>
  <c r="AJ35" i="1"/>
  <c r="K471" i="1"/>
  <c r="AI471" i="1" s="1"/>
  <c r="AJ471" i="1"/>
  <c r="K487" i="1"/>
  <c r="AI487" i="1" s="1"/>
  <c r="AJ487" i="1"/>
  <c r="K217" i="1"/>
  <c r="AI217" i="1" s="1"/>
  <c r="AJ217" i="1"/>
  <c r="K758" i="1"/>
  <c r="AI758" i="1" s="1"/>
  <c r="AJ758" i="1"/>
  <c r="K2284" i="1"/>
  <c r="AI2284" i="1" s="1"/>
  <c r="AJ2284" i="1"/>
  <c r="K473" i="1"/>
  <c r="AI473" i="1" s="1"/>
  <c r="AJ473" i="1"/>
  <c r="AJ391" i="1"/>
  <c r="AJ313" i="1"/>
  <c r="AJ863" i="1"/>
  <c r="K896" i="1"/>
  <c r="AI896" i="1" s="1"/>
  <c r="AJ896" i="1"/>
  <c r="K866" i="1"/>
  <c r="AI866" i="1" s="1"/>
  <c r="AJ866" i="1"/>
  <c r="K800" i="1"/>
  <c r="AI800" i="1" s="1"/>
  <c r="AJ800" i="1"/>
  <c r="AJ474" i="1"/>
  <c r="K314" i="1"/>
  <c r="AI314" i="1" s="1"/>
  <c r="AJ314" i="1"/>
  <c r="K2332" i="1"/>
  <c r="AI2332" i="1" s="1"/>
  <c r="AJ2332" i="1"/>
  <c r="K555" i="1"/>
  <c r="AI555" i="1" s="1"/>
  <c r="AJ555" i="1"/>
  <c r="AJ276" i="1"/>
  <c r="K47" i="1"/>
  <c r="AI47" i="1" s="1"/>
  <c r="AJ47" i="1"/>
  <c r="AJ2041" i="1"/>
  <c r="AJ1651" i="1"/>
  <c r="K1011" i="1"/>
  <c r="AI1011" i="1" s="1"/>
  <c r="AJ1011" i="1"/>
  <c r="AJ830" i="1"/>
  <c r="AJ625" i="1"/>
  <c r="K2020" i="1"/>
  <c r="AI2020" i="1" s="1"/>
  <c r="AJ2020" i="1"/>
  <c r="K1705" i="1"/>
  <c r="AI1705" i="1" s="1"/>
  <c r="AJ1705" i="1"/>
  <c r="K1531" i="1"/>
  <c r="AI1531" i="1" s="1"/>
  <c r="AJ1531" i="1"/>
  <c r="K1404" i="1"/>
  <c r="AI1404" i="1" s="1"/>
  <c r="AJ1404" i="1"/>
  <c r="K1301" i="1"/>
  <c r="AI1301" i="1" s="1"/>
  <c r="AJ1301" i="1"/>
  <c r="K827" i="1"/>
  <c r="AI827" i="1" s="1"/>
  <c r="AJ827" i="1"/>
  <c r="AJ576" i="1"/>
  <c r="K2341" i="1"/>
  <c r="AI2341" i="1" s="1"/>
  <c r="AJ2341" i="1"/>
  <c r="K2210" i="1"/>
  <c r="AI2210" i="1" s="1"/>
  <c r="AJ2210" i="1"/>
  <c r="AJ2159" i="1"/>
  <c r="K2035" i="1"/>
  <c r="AI2035" i="1" s="1"/>
  <c r="AJ2035" i="1"/>
  <c r="AJ2015" i="1"/>
  <c r="K1997" i="1"/>
  <c r="AI1997" i="1" s="1"/>
  <c r="AJ1997" i="1"/>
  <c r="K1834" i="1"/>
  <c r="AI1834" i="1" s="1"/>
  <c r="AJ1834" i="1"/>
  <c r="K1397" i="1"/>
  <c r="AI1397" i="1" s="1"/>
  <c r="AJ1397" i="1"/>
  <c r="AJ1012" i="1"/>
  <c r="K918" i="1"/>
  <c r="AI918" i="1" s="1"/>
  <c r="AJ918" i="1"/>
  <c r="K722" i="1"/>
  <c r="AI722" i="1" s="1"/>
  <c r="AJ722" i="1"/>
  <c r="K578" i="1"/>
  <c r="AI578" i="1" s="1"/>
  <c r="AJ578" i="1"/>
  <c r="K2105" i="1"/>
  <c r="AI2105" i="1" s="1"/>
  <c r="AJ2105" i="1"/>
  <c r="K1627" i="1"/>
  <c r="AI1627" i="1" s="1"/>
  <c r="AJ1627" i="1"/>
  <c r="K1429" i="1"/>
  <c r="AI1429" i="1" s="1"/>
  <c r="AJ1429" i="1"/>
  <c r="K1313" i="1"/>
  <c r="AI1313" i="1" s="1"/>
  <c r="AJ1313" i="1"/>
  <c r="AJ1156" i="1"/>
  <c r="K955" i="1"/>
  <c r="AI955" i="1" s="1"/>
  <c r="AJ955" i="1"/>
  <c r="AJ1987" i="1"/>
  <c r="K1615" i="1"/>
  <c r="AI1615" i="1" s="1"/>
  <c r="AJ1615" i="1"/>
  <c r="AJ1505" i="1"/>
  <c r="K1179" i="1"/>
  <c r="AI1179" i="1" s="1"/>
  <c r="AJ1179" i="1"/>
  <c r="K1075" i="1"/>
  <c r="AI1075" i="1" s="1"/>
  <c r="AJ1075" i="1"/>
  <c r="AJ995" i="1"/>
  <c r="K105" i="1"/>
  <c r="AI105" i="1" s="1"/>
  <c r="AJ105" i="1"/>
  <c r="K2072" i="1"/>
  <c r="AI2072" i="1" s="1"/>
  <c r="AJ2072" i="1"/>
  <c r="K1690" i="1"/>
  <c r="AI1690" i="1" s="1"/>
  <c r="AJ1690" i="1"/>
  <c r="AJ1495" i="1"/>
  <c r="AJ1335" i="1"/>
  <c r="AJ285" i="1"/>
  <c r="AJ174" i="1"/>
  <c r="AJ2244" i="1"/>
  <c r="K2046" i="1"/>
  <c r="AI2046" i="1" s="1"/>
  <c r="AJ2046" i="1"/>
  <c r="AJ1848" i="1"/>
  <c r="AJ1605" i="1"/>
  <c r="K1565" i="1"/>
  <c r="AI1565" i="1" s="1"/>
  <c r="AJ1565" i="1"/>
  <c r="K1450" i="1"/>
  <c r="AI1450" i="1" s="1"/>
  <c r="AJ1450" i="1"/>
  <c r="AJ1367" i="1"/>
  <c r="K1269" i="1"/>
  <c r="AI1269" i="1" s="1"/>
  <c r="AJ1269" i="1"/>
  <c r="AJ1234" i="1"/>
  <c r="AJ1145" i="1"/>
  <c r="AJ1025" i="1"/>
  <c r="AJ951" i="1"/>
  <c r="K585" i="1"/>
  <c r="AI585" i="1" s="1"/>
  <c r="AJ585" i="1"/>
  <c r="AJ283" i="1"/>
  <c r="AJ173" i="1"/>
  <c r="AJ98" i="1"/>
  <c r="K2175" i="1"/>
  <c r="AI2175" i="1" s="1"/>
  <c r="AJ2175" i="1"/>
  <c r="AJ1936" i="1"/>
  <c r="K1751" i="1"/>
  <c r="AI1751" i="1" s="1"/>
  <c r="AJ1751" i="1"/>
  <c r="K1389" i="1"/>
  <c r="AI1389" i="1" s="1"/>
  <c r="AJ1389" i="1"/>
  <c r="AJ905" i="1"/>
  <c r="AJ809" i="1"/>
  <c r="K461" i="1"/>
  <c r="AI461" i="1" s="1"/>
  <c r="AJ461" i="1"/>
  <c r="AJ16" i="1"/>
  <c r="K811" i="1"/>
  <c r="AI811" i="1" s="1"/>
  <c r="AJ811" i="1"/>
  <c r="K681" i="1"/>
  <c r="AI681" i="1" s="1"/>
  <c r="AJ681" i="1"/>
  <c r="K592" i="1"/>
  <c r="AI592" i="1" s="1"/>
  <c r="AJ592" i="1"/>
  <c r="K582" i="1"/>
  <c r="AI582" i="1" s="1"/>
  <c r="AJ582" i="1"/>
  <c r="K290" i="1"/>
  <c r="AI290" i="1" s="1"/>
  <c r="AJ290" i="1"/>
  <c r="K108" i="1"/>
  <c r="AI108" i="1" s="1"/>
  <c r="AJ108" i="1"/>
  <c r="K72" i="1"/>
  <c r="AI72" i="1" s="1"/>
  <c r="AJ72" i="1"/>
  <c r="AJ2076" i="1"/>
  <c r="K2024" i="1"/>
  <c r="AI2024" i="1" s="1"/>
  <c r="AJ2024" i="1"/>
  <c r="AJ106" i="1"/>
  <c r="K365" i="1"/>
  <c r="AI365" i="1" s="1"/>
  <c r="AJ365" i="1"/>
  <c r="K327" i="1"/>
  <c r="AI327" i="1" s="1"/>
  <c r="AJ327" i="1"/>
  <c r="K248" i="1"/>
  <c r="AI248" i="1" s="1"/>
  <c r="AJ248" i="1"/>
  <c r="K1793" i="1"/>
  <c r="AI1793" i="1" s="1"/>
  <c r="AJ1793" i="1"/>
  <c r="K1507" i="1"/>
  <c r="AI1507" i="1" s="1"/>
  <c r="AJ1507" i="1"/>
  <c r="AJ1346" i="1"/>
  <c r="K961" i="1"/>
  <c r="AI961" i="1" s="1"/>
  <c r="AJ961" i="1"/>
  <c r="K358" i="1"/>
  <c r="AI358" i="1" s="1"/>
  <c r="AJ358" i="1"/>
  <c r="AJ274" i="1"/>
  <c r="K123" i="1"/>
  <c r="AI123" i="1" s="1"/>
  <c r="AJ123" i="1"/>
  <c r="AJ503" i="1"/>
  <c r="AJ266" i="1"/>
  <c r="K236" i="1"/>
  <c r="AI236" i="1" s="1"/>
  <c r="AJ236" i="1"/>
  <c r="AJ145" i="1"/>
  <c r="K1768" i="1"/>
  <c r="AI1768" i="1" s="1"/>
  <c r="AJ1768" i="1"/>
  <c r="AJ772" i="1"/>
  <c r="AJ644" i="1"/>
  <c r="K267" i="1"/>
  <c r="AI267" i="1" s="1"/>
  <c r="AJ267" i="1"/>
  <c r="K157" i="1"/>
  <c r="AI157" i="1" s="1"/>
  <c r="AJ157" i="1"/>
  <c r="K147" i="1"/>
  <c r="AI147" i="1" s="1"/>
  <c r="AJ147" i="1"/>
  <c r="K2354" i="1"/>
  <c r="AI2354" i="1" s="1"/>
  <c r="AJ2354" i="1"/>
  <c r="K2137" i="1"/>
  <c r="AI2137" i="1" s="1"/>
  <c r="AJ2137" i="1"/>
  <c r="K1991" i="1"/>
  <c r="AI1991" i="1" s="1"/>
  <c r="AJ1991" i="1"/>
  <c r="AJ1085" i="1"/>
  <c r="K1085" i="1"/>
  <c r="AI1085" i="1" s="1"/>
  <c r="AJ2302" i="1"/>
  <c r="K1273" i="1"/>
  <c r="AI1273" i="1" s="1"/>
  <c r="AJ1273" i="1"/>
  <c r="K933" i="1"/>
  <c r="AI933" i="1" s="1"/>
  <c r="AJ933" i="1"/>
  <c r="K2008" i="1"/>
  <c r="AI2008" i="1" s="1"/>
  <c r="AJ2008" i="1"/>
  <c r="AJ2322" i="1"/>
  <c r="K704" i="1"/>
  <c r="AI704" i="1" s="1"/>
  <c r="AJ704" i="1"/>
  <c r="AJ357" i="1"/>
  <c r="AJ727" i="1"/>
  <c r="K1569" i="1"/>
  <c r="AI1569" i="1" s="1"/>
  <c r="AJ1569" i="1"/>
  <c r="AJ528" i="1"/>
  <c r="K1957" i="1"/>
  <c r="AI1957" i="1" s="1"/>
  <c r="AJ1957" i="1"/>
  <c r="AJ1342" i="1"/>
  <c r="AJ559" i="1"/>
  <c r="K261" i="1"/>
  <c r="AI261" i="1" s="1"/>
  <c r="AJ261" i="1"/>
  <c r="AJ2102" i="1"/>
  <c r="AJ155" i="1"/>
  <c r="K521" i="1"/>
  <c r="AI521" i="1" s="1"/>
  <c r="AJ521" i="1"/>
  <c r="AJ787" i="1"/>
  <c r="AJ732" i="1"/>
  <c r="K571" i="1"/>
  <c r="AI571" i="1" s="1"/>
  <c r="AJ571" i="1"/>
  <c r="K2081" i="1"/>
  <c r="AI2081" i="1" s="1"/>
  <c r="AJ2081" i="1"/>
  <c r="K899" i="1"/>
  <c r="AI899" i="1" s="1"/>
  <c r="AJ899" i="1"/>
  <c r="AJ569" i="1"/>
  <c r="K2080" i="1"/>
  <c r="AI2080" i="1" s="1"/>
  <c r="AJ2080" i="1"/>
  <c r="AJ1679" i="1"/>
  <c r="AJ1240" i="1"/>
  <c r="AJ2385" i="1"/>
  <c r="AJ1960" i="1"/>
  <c r="AJ522" i="1"/>
  <c r="K411" i="1"/>
  <c r="AI411" i="1" s="1"/>
  <c r="AJ411" i="1"/>
  <c r="AJ336" i="1"/>
  <c r="AJ33" i="1"/>
  <c r="K798" i="1"/>
  <c r="AI798" i="1" s="1"/>
  <c r="AJ798" i="1"/>
  <c r="AJ698" i="1"/>
  <c r="K6" i="1"/>
  <c r="AI6" i="1" s="1"/>
  <c r="AJ6" i="1"/>
  <c r="K799" i="1"/>
  <c r="AI799" i="1" s="1"/>
  <c r="AJ799" i="1"/>
  <c r="K653" i="1"/>
  <c r="AI653" i="1" s="1"/>
  <c r="AJ653" i="1"/>
  <c r="K500" i="1"/>
  <c r="AI500" i="1" s="1"/>
  <c r="AJ500" i="1"/>
  <c r="K69" i="1"/>
  <c r="AI69" i="1" s="1"/>
  <c r="AJ69" i="1"/>
  <c r="AJ519" i="1"/>
  <c r="K482" i="1"/>
  <c r="AI482" i="1" s="1"/>
  <c r="AJ482" i="1"/>
  <c r="K139" i="1"/>
  <c r="AI139" i="1" s="1"/>
  <c r="AJ139" i="1"/>
  <c r="AJ1832" i="1"/>
  <c r="K1675" i="1"/>
  <c r="AI1675" i="1" s="1"/>
  <c r="AJ1675" i="1"/>
  <c r="AJ1274" i="1"/>
  <c r="AJ1190" i="1"/>
  <c r="K731" i="1"/>
  <c r="AI731" i="1" s="1"/>
  <c r="AJ731" i="1"/>
  <c r="K605" i="1"/>
  <c r="AI605" i="1" s="1"/>
  <c r="AJ605" i="1"/>
  <c r="K386" i="1"/>
  <c r="AI386" i="1" s="1"/>
  <c r="AJ386" i="1"/>
  <c r="K2092" i="1"/>
  <c r="AI2092" i="1" s="1"/>
  <c r="AJ2092" i="1"/>
  <c r="AJ1680" i="1"/>
  <c r="K1460" i="1"/>
  <c r="AI1460" i="1" s="1"/>
  <c r="AJ1460" i="1"/>
  <c r="K1251" i="1"/>
  <c r="AI1251" i="1" s="1"/>
  <c r="AJ1251" i="1"/>
  <c r="AJ1058" i="1"/>
  <c r="K558" i="1"/>
  <c r="AI558" i="1" s="1"/>
  <c r="AJ558" i="1"/>
  <c r="K363" i="1"/>
  <c r="AI363" i="1" s="1"/>
  <c r="AJ363" i="1"/>
  <c r="AJ1533" i="1"/>
  <c r="AJ1699" i="1"/>
  <c r="AJ981" i="1"/>
  <c r="AJ829" i="1"/>
  <c r="K1034" i="1"/>
  <c r="AI1034" i="1" s="1"/>
  <c r="AJ1034" i="1"/>
  <c r="AJ2328" i="1"/>
  <c r="K1871" i="1"/>
  <c r="AI1871" i="1" s="1"/>
  <c r="AJ1871" i="1"/>
  <c r="AJ1425" i="1"/>
  <c r="K971" i="1"/>
  <c r="AI971" i="1" s="1"/>
  <c r="AJ971" i="1"/>
  <c r="K2128" i="1"/>
  <c r="AI2128" i="1" s="1"/>
  <c r="AJ2128" i="1"/>
  <c r="K1965" i="1"/>
  <c r="AI1965" i="1" s="1"/>
  <c r="AJ1965" i="1"/>
  <c r="K1476" i="1"/>
  <c r="AI1476" i="1" s="1"/>
  <c r="AJ1476" i="1"/>
  <c r="K1015" i="1"/>
  <c r="AI1015" i="1" s="1"/>
  <c r="AJ1015" i="1"/>
  <c r="K2265" i="1"/>
  <c r="AI2265" i="1" s="1"/>
  <c r="AJ2265" i="1"/>
  <c r="K1110" i="1"/>
  <c r="AI1110" i="1" s="1"/>
  <c r="AJ1110" i="1"/>
  <c r="K2266" i="1"/>
  <c r="AI2266" i="1" s="1"/>
  <c r="AJ2266" i="1"/>
  <c r="AJ1711" i="1"/>
  <c r="AJ1146" i="1"/>
  <c r="AJ906" i="1"/>
  <c r="K1561" i="1"/>
  <c r="AI1561" i="1" s="1"/>
  <c r="AJ1561" i="1"/>
  <c r="K1333" i="1"/>
  <c r="AI1333" i="1" s="1"/>
  <c r="AJ1333" i="1"/>
  <c r="K813" i="1"/>
  <c r="AI813" i="1" s="1"/>
  <c r="AJ813" i="1"/>
  <c r="K167" i="1"/>
  <c r="AI167" i="1" s="1"/>
  <c r="AJ167" i="1"/>
  <c r="AJ801" i="1"/>
  <c r="AJ299" i="1"/>
  <c r="K125" i="1"/>
  <c r="AI125" i="1" s="1"/>
  <c r="AJ125" i="1"/>
  <c r="K118" i="1"/>
  <c r="AI118" i="1" s="1"/>
  <c r="AJ118" i="1"/>
  <c r="K2194" i="1"/>
  <c r="AI2194" i="1" s="1"/>
  <c r="AJ2194" i="1"/>
  <c r="K1718" i="1"/>
  <c r="AI1718" i="1" s="1"/>
  <c r="AJ1718" i="1"/>
  <c r="K466" i="1"/>
  <c r="AI466" i="1" s="1"/>
  <c r="AJ466" i="1"/>
  <c r="K304" i="1"/>
  <c r="AI304" i="1" s="1"/>
  <c r="AJ304" i="1"/>
  <c r="K1829" i="1"/>
  <c r="AI1829" i="1" s="1"/>
  <c r="AJ1829" i="1"/>
  <c r="K2057" i="1"/>
  <c r="AI2057" i="1" s="1"/>
  <c r="AJ2057" i="1"/>
  <c r="AJ1828" i="1"/>
  <c r="K701" i="1"/>
  <c r="AI701" i="1" s="1"/>
  <c r="AJ701" i="1"/>
  <c r="AJ781" i="1"/>
  <c r="K2391" i="1"/>
  <c r="AI2391" i="1" s="1"/>
  <c r="AJ2391" i="1"/>
  <c r="K956" i="1"/>
  <c r="AI956" i="1" s="1"/>
  <c r="AJ956" i="1"/>
  <c r="K1640" i="1"/>
  <c r="AI1640" i="1" s="1"/>
  <c r="AJ1640" i="1"/>
  <c r="K1471" i="1"/>
  <c r="AI1471" i="1" s="1"/>
  <c r="AJ1471" i="1"/>
  <c r="K1134" i="1"/>
  <c r="AI1134" i="1" s="1"/>
  <c r="AJ1134" i="1"/>
  <c r="AJ754" i="1"/>
  <c r="K608" i="1"/>
  <c r="AI608" i="1" s="1"/>
  <c r="AJ608" i="1"/>
  <c r="K1595" i="1"/>
  <c r="AI1595" i="1" s="1"/>
  <c r="AJ1595" i="1"/>
  <c r="K418" i="1"/>
  <c r="AI418" i="1" s="1"/>
  <c r="AJ418" i="1"/>
  <c r="K341" i="1"/>
  <c r="AI341" i="1" s="1"/>
  <c r="AJ341" i="1"/>
  <c r="AJ402" i="1"/>
  <c r="AJ318" i="1"/>
  <c r="K565" i="1"/>
  <c r="AI565" i="1" s="1"/>
  <c r="AJ565" i="1"/>
  <c r="AJ930" i="1"/>
  <c r="AJ2299" i="1"/>
  <c r="K1842" i="1"/>
  <c r="AI1842" i="1" s="1"/>
  <c r="AJ1842" i="1"/>
  <c r="AJ654" i="1"/>
  <c r="K2310" i="1"/>
  <c r="AI2310" i="1" s="1"/>
  <c r="AJ2310" i="1"/>
  <c r="K2013" i="1"/>
  <c r="AI2013" i="1" s="1"/>
  <c r="AJ2013" i="1"/>
  <c r="K1055" i="1"/>
  <c r="AI1055" i="1" s="1"/>
  <c r="AJ1055" i="1"/>
  <c r="K788" i="1"/>
  <c r="AI788" i="1" s="1"/>
  <c r="AJ788" i="1"/>
  <c r="AJ603" i="1"/>
  <c r="K375" i="1"/>
  <c r="AI375" i="1" s="1"/>
  <c r="AJ375" i="1"/>
  <c r="AJ450" i="1"/>
  <c r="AJ312" i="1"/>
  <c r="AJ1977" i="1"/>
  <c r="AJ1876" i="1"/>
  <c r="AJ2091" i="1"/>
  <c r="K2010" i="1"/>
  <c r="AI2010" i="1" s="1"/>
  <c r="AJ2010" i="1"/>
  <c r="AJ1281" i="1"/>
  <c r="K1239" i="1"/>
  <c r="AI1239" i="1" s="1"/>
  <c r="AJ1239" i="1"/>
  <c r="K2248" i="1"/>
  <c r="AI2248" i="1" s="1"/>
  <c r="AJ2248" i="1"/>
  <c r="K1861" i="1"/>
  <c r="AI1861" i="1" s="1"/>
  <c r="AJ1861" i="1"/>
  <c r="K1663" i="1"/>
  <c r="AI1663" i="1" s="1"/>
  <c r="AJ1663" i="1"/>
  <c r="K1442" i="1"/>
  <c r="AI1442" i="1" s="1"/>
  <c r="AJ1442" i="1"/>
  <c r="K276" i="1"/>
  <c r="AI276" i="1" s="1"/>
  <c r="K1537" i="1"/>
  <c r="AI1537" i="1" s="1"/>
  <c r="AJ1537" i="1"/>
  <c r="AJ1203" i="1"/>
  <c r="K729" i="1"/>
  <c r="AI729" i="1" s="1"/>
  <c r="AJ729" i="1"/>
  <c r="K541" i="1"/>
  <c r="AI541" i="1" s="1"/>
  <c r="AJ541" i="1"/>
  <c r="K2215" i="1"/>
  <c r="AI2215" i="1" s="1"/>
  <c r="AJ2215" i="1"/>
  <c r="K2351" i="1"/>
  <c r="AI2351" i="1" s="1"/>
  <c r="AJ2351" i="1"/>
  <c r="K2225" i="1"/>
  <c r="AI2225" i="1" s="1"/>
  <c r="AJ2225" i="1"/>
  <c r="K1713" i="1"/>
  <c r="AI1713" i="1" s="1"/>
  <c r="AJ1713" i="1"/>
  <c r="K2239" i="1"/>
  <c r="AI2239" i="1" s="1"/>
  <c r="AJ2239" i="1"/>
  <c r="K1971" i="1"/>
  <c r="AI1971" i="1" s="1"/>
  <c r="AJ1971" i="1"/>
  <c r="AJ1599" i="1"/>
  <c r="AJ2376" i="1"/>
  <c r="AJ1645" i="1"/>
  <c r="AJ1293" i="1"/>
  <c r="K1766" i="1"/>
  <c r="AI1766" i="1" s="1"/>
  <c r="AJ1766" i="1"/>
  <c r="AJ456" i="1"/>
  <c r="AJ346" i="1"/>
  <c r="K1385" i="1"/>
  <c r="AI1385" i="1" s="1"/>
  <c r="AJ1385" i="1"/>
  <c r="AJ200" i="1"/>
  <c r="K1325" i="1"/>
  <c r="AI1325" i="1" s="1"/>
  <c r="AJ1325" i="1"/>
  <c r="K706" i="1"/>
  <c r="AI706" i="1" s="1"/>
  <c r="AJ706" i="1"/>
  <c r="K2059" i="1"/>
  <c r="AI2059" i="1" s="1"/>
  <c r="AJ2059" i="1"/>
  <c r="K1127" i="1"/>
  <c r="AI1127" i="1" s="1"/>
  <c r="AJ1127" i="1"/>
  <c r="K424" i="1"/>
  <c r="AI424" i="1" s="1"/>
  <c r="AJ424" i="1"/>
  <c r="K2344" i="1"/>
  <c r="AI2344" i="1" s="1"/>
  <c r="AJ2344" i="1"/>
  <c r="AJ213" i="1"/>
  <c r="AJ409" i="1"/>
  <c r="AJ212" i="1"/>
  <c r="K390" i="1"/>
  <c r="AI390" i="1" s="1"/>
  <c r="AJ390" i="1"/>
  <c r="AJ66" i="1"/>
  <c r="K5" i="1"/>
  <c r="AI5" i="1" s="1"/>
  <c r="AJ5" i="1"/>
  <c r="K2309" i="1"/>
  <c r="AI2309" i="1" s="1"/>
  <c r="AJ2309" i="1"/>
  <c r="K1860" i="1"/>
  <c r="AI1860" i="1" s="1"/>
  <c r="AJ1860" i="1"/>
  <c r="K1808" i="1"/>
  <c r="AI1808" i="1" s="1"/>
  <c r="AJ1808" i="1"/>
  <c r="AJ1779" i="1"/>
  <c r="AJ1585" i="1"/>
  <c r="K1546" i="1"/>
  <c r="AI1546" i="1" s="1"/>
  <c r="AJ1546" i="1"/>
  <c r="K1279" i="1"/>
  <c r="AI1279" i="1" s="1"/>
  <c r="AJ1279" i="1"/>
  <c r="K1053" i="1"/>
  <c r="AI1053" i="1" s="1"/>
  <c r="AJ1053" i="1"/>
  <c r="K928" i="1"/>
  <c r="AI928" i="1" s="1"/>
  <c r="AJ928" i="1"/>
  <c r="K693" i="1"/>
  <c r="AI693" i="1" s="1"/>
  <c r="AJ693" i="1"/>
  <c r="K602" i="1"/>
  <c r="AI602" i="1" s="1"/>
  <c r="AJ602" i="1"/>
  <c r="K372" i="1"/>
  <c r="AI372" i="1" s="1"/>
  <c r="AJ372" i="1"/>
  <c r="AJ68" i="1"/>
  <c r="AJ567" i="1"/>
  <c r="K319" i="1"/>
  <c r="AI319" i="1" s="1"/>
  <c r="AJ319" i="1"/>
  <c r="K188" i="1"/>
  <c r="AI188" i="1" s="1"/>
  <c r="AJ188" i="1"/>
  <c r="K137" i="1"/>
  <c r="AI137" i="1" s="1"/>
  <c r="AJ137" i="1"/>
  <c r="AJ855" i="1"/>
  <c r="AI855" i="1"/>
  <c r="K1058" i="1"/>
  <c r="AI1058" i="1" s="1"/>
  <c r="K894" i="1"/>
  <c r="AI894" i="1" s="1"/>
  <c r="AJ894" i="1"/>
  <c r="AJ794" i="1"/>
  <c r="K689" i="1"/>
  <c r="AI689" i="1" s="1"/>
  <c r="AJ689" i="1"/>
  <c r="AJ563" i="1"/>
  <c r="K384" i="1"/>
  <c r="AI384" i="1" s="1"/>
  <c r="AJ384" i="1"/>
  <c r="AJ191" i="1"/>
  <c r="AJ2147" i="1"/>
  <c r="K938" i="1"/>
  <c r="AI938" i="1" s="1"/>
  <c r="AJ938" i="1"/>
  <c r="K923" i="1"/>
  <c r="AI923" i="1" s="1"/>
  <c r="AJ923" i="1"/>
  <c r="K624" i="1"/>
  <c r="AI624" i="1" s="1"/>
  <c r="AJ624" i="1"/>
  <c r="AJ2314" i="1"/>
  <c r="K2017" i="1"/>
  <c r="AI2017" i="1" s="1"/>
  <c r="AJ2017" i="1"/>
  <c r="K1818" i="1"/>
  <c r="AI1818" i="1" s="1"/>
  <c r="AJ1818" i="1"/>
  <c r="K1654" i="1"/>
  <c r="AI1654" i="1" s="1"/>
  <c r="AJ1654" i="1"/>
  <c r="K1523" i="1"/>
  <c r="AI1523" i="1" s="1"/>
  <c r="AJ1523" i="1"/>
  <c r="K982" i="1"/>
  <c r="AI982" i="1" s="1"/>
  <c r="AJ982" i="1"/>
  <c r="K825" i="1"/>
  <c r="AI825" i="1" s="1"/>
  <c r="AJ825" i="1"/>
  <c r="K622" i="1"/>
  <c r="AI622" i="1" s="1"/>
  <c r="AJ622" i="1"/>
  <c r="K575" i="1"/>
  <c r="AI575" i="1" s="1"/>
  <c r="AJ575" i="1"/>
  <c r="K2187" i="1"/>
  <c r="AI2187" i="1" s="1"/>
  <c r="AJ2187" i="1"/>
  <c r="K2158" i="1"/>
  <c r="AI2158" i="1" s="1"/>
  <c r="AJ2158" i="1"/>
  <c r="AJ1840" i="1"/>
  <c r="K539" i="1"/>
  <c r="AI539" i="1" s="1"/>
  <c r="AJ539" i="1"/>
  <c r="K2192" i="1"/>
  <c r="AI2192" i="1" s="1"/>
  <c r="AJ2192" i="1"/>
  <c r="K2156" i="1"/>
  <c r="AI2156" i="1" s="1"/>
  <c r="AJ2156" i="1"/>
  <c r="AJ2000" i="1"/>
  <c r="K1996" i="1"/>
  <c r="AI1996" i="1" s="1"/>
  <c r="AJ1996" i="1"/>
  <c r="AJ1303" i="1"/>
  <c r="AJ987" i="1"/>
  <c r="K826" i="1"/>
  <c r="AI826" i="1" s="1"/>
  <c r="AJ826" i="1"/>
  <c r="K668" i="1"/>
  <c r="AI668" i="1" s="1"/>
  <c r="AJ668" i="1"/>
  <c r="K1986" i="1"/>
  <c r="AI1986" i="1" s="1"/>
  <c r="AJ1986" i="1"/>
  <c r="K1924" i="1"/>
  <c r="AI1924" i="1" s="1"/>
  <c r="AJ1924" i="1"/>
  <c r="K1657" i="1"/>
  <c r="AI1657" i="1" s="1"/>
  <c r="AJ1657" i="1"/>
  <c r="AJ1290" i="1"/>
  <c r="AJ1221" i="1"/>
  <c r="K1982" i="1"/>
  <c r="AI1982" i="1" s="1"/>
  <c r="AJ1982" i="1"/>
  <c r="AJ1612" i="1"/>
  <c r="K1284" i="1"/>
  <c r="AI1284" i="1" s="1"/>
  <c r="AJ1284" i="1"/>
  <c r="AJ1069" i="1"/>
  <c r="K99" i="1"/>
  <c r="AI99" i="1" s="1"/>
  <c r="AJ99" i="1"/>
  <c r="AJ17" i="1"/>
  <c r="K1499" i="1"/>
  <c r="AI1499" i="1" s="1"/>
  <c r="AJ1499" i="1"/>
  <c r="K1474" i="1"/>
  <c r="AI1474" i="1" s="1"/>
  <c r="AJ1474" i="1"/>
  <c r="K1373" i="1"/>
  <c r="AI1373" i="1" s="1"/>
  <c r="AJ1373" i="1"/>
  <c r="AJ1238" i="1"/>
  <c r="K1175" i="1"/>
  <c r="AI1175" i="1" s="1"/>
  <c r="AJ1175" i="1"/>
  <c r="K208" i="1"/>
  <c r="AI208" i="1" s="1"/>
  <c r="AJ208" i="1"/>
  <c r="AJ96" i="1"/>
  <c r="K2229" i="1"/>
  <c r="AI2229" i="1" s="1"/>
  <c r="AJ2229" i="1"/>
  <c r="K2044" i="1"/>
  <c r="AI2044" i="1" s="1"/>
  <c r="AJ2044" i="1"/>
  <c r="AJ1608" i="1"/>
  <c r="AJ1576" i="1"/>
  <c r="AJ1387" i="1"/>
  <c r="K1233" i="1"/>
  <c r="AI1233" i="1" s="1"/>
  <c r="AJ1233" i="1"/>
  <c r="K1140" i="1"/>
  <c r="AI1140" i="1" s="1"/>
  <c r="AJ1140" i="1"/>
  <c r="AJ104" i="1"/>
  <c r="AJ93" i="1"/>
  <c r="AJ18" i="1"/>
  <c r="AJ2242" i="1"/>
  <c r="K2180" i="1"/>
  <c r="AI2180" i="1" s="1"/>
  <c r="AJ2180" i="1"/>
  <c r="K156" i="1"/>
  <c r="AI156" i="1" s="1"/>
  <c r="AJ156" i="1"/>
  <c r="K2063" i="1"/>
  <c r="AI2063" i="1" s="1"/>
  <c r="AJ2063" i="1"/>
  <c r="K1714" i="1"/>
  <c r="AI1714" i="1" s="1"/>
  <c r="AJ1714" i="1"/>
  <c r="K1071" i="1"/>
  <c r="AI1071" i="1" s="1"/>
  <c r="AJ1071" i="1"/>
  <c r="K420" i="1"/>
  <c r="AI420" i="1" s="1"/>
  <c r="AJ420" i="1"/>
  <c r="K57" i="1"/>
  <c r="AI57" i="1" s="1"/>
  <c r="AJ57" i="1"/>
  <c r="K515" i="1"/>
  <c r="AI515" i="1" s="1"/>
  <c r="AJ515" i="1"/>
  <c r="K448" i="1"/>
  <c r="AI448" i="1" s="1"/>
  <c r="AJ448" i="1"/>
  <c r="AJ514" i="1"/>
  <c r="K446" i="1"/>
  <c r="AI446" i="1" s="1"/>
  <c r="AJ446" i="1"/>
  <c r="AI2168" i="1"/>
  <c r="K1207" i="1"/>
  <c r="AI1207" i="1" s="1"/>
  <c r="AJ1207" i="1"/>
  <c r="K2098" i="1"/>
  <c r="AI2098" i="1" s="1"/>
  <c r="AJ2098" i="1"/>
  <c r="K1788" i="1"/>
  <c r="AI1788" i="1" s="1"/>
  <c r="AJ1788" i="1"/>
  <c r="K1598" i="1"/>
  <c r="AI1598" i="1" s="1"/>
  <c r="AJ1598" i="1"/>
  <c r="AJ1099" i="1"/>
  <c r="K1142" i="1"/>
  <c r="AI1142" i="1" s="1"/>
  <c r="AJ1142" i="1"/>
  <c r="K990" i="1"/>
  <c r="AI990" i="1" s="1"/>
  <c r="AJ990" i="1"/>
  <c r="K584" i="1"/>
  <c r="AI584" i="1" s="1"/>
  <c r="AJ584" i="1"/>
  <c r="AJ342" i="1"/>
  <c r="K964" i="1"/>
  <c r="AI964" i="1" s="1"/>
  <c r="AJ964" i="1"/>
  <c r="K904" i="1"/>
  <c r="AI904" i="1" s="1"/>
  <c r="AJ904" i="1"/>
  <c r="K291" i="1"/>
  <c r="AI291" i="1" s="1"/>
  <c r="AJ291" i="1"/>
  <c r="AJ78" i="1"/>
  <c r="K680" i="1"/>
  <c r="AI680" i="1" s="1"/>
  <c r="AJ680" i="1"/>
  <c r="K588" i="1"/>
  <c r="AI588" i="1" s="1"/>
  <c r="AJ588" i="1"/>
  <c r="AJ458" i="1"/>
  <c r="AJ349" i="1"/>
  <c r="AJ28" i="1"/>
  <c r="K2176" i="1"/>
  <c r="AI2176" i="1" s="1"/>
  <c r="AJ2176" i="1"/>
  <c r="AJ325" i="1"/>
  <c r="K87" i="1"/>
  <c r="AI87" i="1" s="1"/>
  <c r="AJ87" i="1"/>
  <c r="K2151" i="1"/>
  <c r="AI2151" i="1" s="1"/>
  <c r="AJ2151" i="1"/>
  <c r="AJ1732" i="1"/>
  <c r="K705" i="1"/>
  <c r="AI705" i="1" s="1"/>
  <c r="AJ705" i="1"/>
  <c r="K330" i="1"/>
  <c r="AI330" i="1" s="1"/>
  <c r="AJ330" i="1"/>
  <c r="K197" i="1"/>
  <c r="AI197" i="1" s="1"/>
  <c r="AJ197" i="1"/>
  <c r="AJ130" i="1"/>
  <c r="K509" i="1"/>
  <c r="AI509" i="1" s="1"/>
  <c r="AJ509" i="1"/>
  <c r="K265" i="1"/>
  <c r="AI265" i="1" s="1"/>
  <c r="AJ265" i="1"/>
  <c r="K234" i="1"/>
  <c r="AI234" i="1" s="1"/>
  <c r="AJ234" i="1"/>
  <c r="K120" i="1"/>
  <c r="AI120" i="1" s="1"/>
  <c r="AJ120" i="1"/>
  <c r="K643" i="1"/>
  <c r="AI643" i="1" s="1"/>
  <c r="AJ643" i="1"/>
  <c r="K532" i="1"/>
  <c r="AI532" i="1" s="1"/>
  <c r="AJ532" i="1"/>
  <c r="K423" i="1"/>
  <c r="AI423" i="1" s="1"/>
  <c r="AJ423" i="1"/>
  <c r="K257" i="1"/>
  <c r="AI257" i="1" s="1"/>
  <c r="AJ257" i="1"/>
  <c r="K143" i="1"/>
  <c r="AI143" i="1" s="1"/>
  <c r="AJ143" i="1"/>
  <c r="K146" i="1"/>
  <c r="AI146" i="1" s="1"/>
  <c r="AJ146" i="1"/>
  <c r="K56" i="1"/>
  <c r="AI56" i="1" s="1"/>
  <c r="AJ56" i="1"/>
  <c r="K421" i="1"/>
  <c r="AI421" i="1" s="1"/>
  <c r="AJ421" i="1"/>
  <c r="K606" i="1"/>
  <c r="AI606" i="1" s="1"/>
  <c r="AJ606" i="1"/>
  <c r="K228" i="1"/>
  <c r="AI228" i="1" s="1"/>
  <c r="AJ228" i="1"/>
  <c r="K442" i="1"/>
  <c r="AI442" i="1" s="1"/>
  <c r="AJ442" i="1"/>
  <c r="K311" i="1"/>
  <c r="AI311" i="1" s="1"/>
  <c r="AJ311" i="1"/>
  <c r="K333" i="1"/>
  <c r="AI333" i="1" s="1"/>
  <c r="AJ333" i="1"/>
  <c r="K513" i="1"/>
  <c r="AI513" i="1" s="1"/>
  <c r="K787" i="1"/>
  <c r="AI787" i="1" s="1"/>
  <c r="K1281" i="1"/>
  <c r="AI1281" i="1" s="1"/>
  <c r="K1524" i="1"/>
  <c r="AI1524" i="1" s="1"/>
  <c r="K212" i="1"/>
  <c r="AI212" i="1" s="1"/>
  <c r="K33" i="1"/>
  <c r="AI33" i="1" s="1"/>
  <c r="K732" i="1"/>
  <c r="AI732" i="1" s="1"/>
  <c r="K3" i="1"/>
  <c r="AI3" i="1" s="1"/>
  <c r="K631" i="1"/>
  <c r="AI631" i="1" s="1"/>
  <c r="K794" i="1"/>
  <c r="AI794" i="1" s="1"/>
  <c r="K298" i="1"/>
  <c r="AI298" i="1" s="1"/>
  <c r="K522" i="1"/>
  <c r="AI522" i="1" s="1"/>
  <c r="K2302" i="1"/>
  <c r="AI2302" i="1" s="1"/>
  <c r="K2050" i="1"/>
  <c r="AI2050" i="1" s="1"/>
  <c r="K1697" i="1"/>
  <c r="AI1697" i="1" s="1"/>
  <c r="K790" i="1"/>
  <c r="AI790" i="1" s="1"/>
  <c r="K569" i="1"/>
  <c r="AI569" i="1" s="1"/>
  <c r="K313" i="1"/>
  <c r="AI313" i="1" s="1"/>
  <c r="K478" i="1"/>
  <c r="AI478" i="1" s="1"/>
  <c r="K1691" i="1"/>
  <c r="AI1691" i="1" s="1"/>
  <c r="K805" i="1"/>
  <c r="AI805" i="1" s="1"/>
  <c r="K357" i="1"/>
  <c r="AI357" i="1" s="1"/>
  <c r="K1641" i="1"/>
  <c r="AI1641" i="1" s="1"/>
  <c r="K1681" i="1"/>
  <c r="AI1681" i="1" s="1"/>
  <c r="K1190" i="1"/>
  <c r="AI1190" i="1" s="1"/>
  <c r="K698" i="1"/>
  <c r="AI698" i="1" s="1"/>
  <c r="K68" i="1"/>
  <c r="AI68" i="1" s="1"/>
  <c r="K863" i="1"/>
  <c r="AI863" i="1" s="1"/>
  <c r="K544" i="1"/>
  <c r="AI544" i="1" s="1"/>
  <c r="K1081" i="1"/>
  <c r="AI1081" i="1" s="1"/>
  <c r="K2361" i="1"/>
  <c r="AI2361" i="1" s="1"/>
  <c r="K1739" i="1"/>
  <c r="AI1739" i="1" s="1"/>
  <c r="K603" i="1"/>
  <c r="AI603" i="1" s="1"/>
  <c r="K567" i="1"/>
  <c r="AI567" i="1" s="1"/>
  <c r="K336" i="1"/>
  <c r="AI336" i="1" s="1"/>
  <c r="K312" i="1"/>
  <c r="AI312" i="1" s="1"/>
  <c r="K66" i="1"/>
  <c r="AI66" i="1" s="1"/>
  <c r="K2091" i="1"/>
  <c r="AI2091" i="1" s="1"/>
  <c r="K519" i="1"/>
  <c r="AI519" i="1" s="1"/>
  <c r="K1825" i="1"/>
  <c r="AI1825" i="1" s="1"/>
  <c r="K1846" i="1"/>
  <c r="AI1846" i="1" s="1"/>
  <c r="K935" i="1"/>
  <c r="AI935" i="1" s="1"/>
  <c r="K376" i="1"/>
  <c r="AI376" i="1" s="1"/>
  <c r="K1150" i="1"/>
  <c r="AI1150" i="1" s="1"/>
  <c r="K2041" i="1"/>
  <c r="AI2041" i="1" s="1"/>
  <c r="K546" i="1"/>
  <c r="AI546" i="1" s="1"/>
  <c r="K1290" i="1"/>
  <c r="AI1290" i="1" s="1"/>
  <c r="K1425" i="1"/>
  <c r="AI1425" i="1" s="1"/>
  <c r="K474" i="1"/>
  <c r="AI474" i="1" s="1"/>
  <c r="K2085" i="1"/>
  <c r="AI2085" i="1" s="1"/>
  <c r="K1240" i="1"/>
  <c r="AI1240" i="1" s="1"/>
  <c r="K654" i="1"/>
  <c r="AI654" i="1" s="1"/>
  <c r="K2322" i="1"/>
  <c r="AI2322" i="1" s="1"/>
  <c r="K1987" i="1"/>
  <c r="AI1987" i="1" s="1"/>
  <c r="K1052" i="1"/>
  <c r="AI1052" i="1" s="1"/>
  <c r="K1828" i="1"/>
  <c r="AI1828" i="1" s="1"/>
  <c r="K251" i="1"/>
  <c r="AI251" i="1" s="1"/>
  <c r="K1012" i="1"/>
  <c r="AI1012" i="1" s="1"/>
  <c r="K2328" i="1"/>
  <c r="AI2328" i="1" s="1"/>
  <c r="K1343" i="1"/>
  <c r="AI1343" i="1" s="1"/>
  <c r="K104" i="1"/>
  <c r="AI104" i="1" s="1"/>
  <c r="K299" i="1"/>
  <c r="AI299" i="1" s="1"/>
  <c r="K1621" i="1"/>
  <c r="AI1621" i="1" s="1"/>
  <c r="K409" i="1"/>
  <c r="AI409" i="1" s="1"/>
  <c r="K463" i="1"/>
  <c r="AI463" i="1" s="1"/>
  <c r="K1960" i="1"/>
  <c r="AI1960" i="1" s="1"/>
  <c r="K1876" i="1"/>
  <c r="AI1876" i="1" s="1"/>
  <c r="K1779" i="1"/>
  <c r="AI1779" i="1" s="1"/>
  <c r="K1585" i="1"/>
  <c r="AI1585" i="1" s="1"/>
  <c r="K1958" i="1"/>
  <c r="AI1958" i="1" s="1"/>
  <c r="K930" i="1"/>
  <c r="AI930" i="1" s="1"/>
  <c r="K656" i="1"/>
  <c r="AI656" i="1" s="1"/>
  <c r="K2386" i="1"/>
  <c r="AI2386" i="1" s="1"/>
  <c r="K2304" i="1"/>
  <c r="AI2304" i="1" s="1"/>
  <c r="K7" i="1"/>
  <c r="AI7" i="1" s="1"/>
  <c r="K625" i="1"/>
  <c r="AI625" i="1" s="1"/>
  <c r="K1820" i="1"/>
  <c r="AI1820" i="1" s="1"/>
  <c r="K1866" i="1"/>
  <c r="AI1866" i="1" s="1"/>
  <c r="K1468" i="1"/>
  <c r="AI1468" i="1" s="1"/>
  <c r="K274" i="1"/>
  <c r="AI274" i="1" s="1"/>
  <c r="K292" i="1"/>
  <c r="AI292" i="1" s="1"/>
  <c r="K1299" i="1"/>
  <c r="AI1299" i="1" s="1"/>
  <c r="K829" i="1"/>
  <c r="AI829" i="1" s="1"/>
  <c r="K2015" i="1"/>
  <c r="AI2015" i="1" s="1"/>
  <c r="K2366" i="1"/>
  <c r="AI2366" i="1" s="1"/>
  <c r="K1089" i="1"/>
  <c r="AI1089" i="1" s="1"/>
  <c r="K1605" i="1"/>
  <c r="AI1605" i="1" s="1"/>
  <c r="K1367" i="1"/>
  <c r="AI1367" i="1" s="1"/>
  <c r="K559" i="1"/>
  <c r="AI559" i="1" s="1"/>
  <c r="K199" i="1"/>
  <c r="AI199" i="1" s="1"/>
  <c r="K2314" i="1"/>
  <c r="AI2314" i="1" s="1"/>
  <c r="K576" i="1"/>
  <c r="AI576" i="1" s="1"/>
  <c r="K553" i="1"/>
  <c r="AI553" i="1" s="1"/>
  <c r="K1505" i="1"/>
  <c r="AI1505" i="1" s="1"/>
  <c r="K1008" i="1"/>
  <c r="AI1008" i="1" s="1"/>
  <c r="K1599" i="1"/>
  <c r="AI1599" i="1" s="1"/>
  <c r="K2376" i="1"/>
  <c r="AI2376" i="1" s="1"/>
  <c r="K1099" i="1"/>
  <c r="AI1099" i="1" s="1"/>
  <c r="K1173" i="1"/>
  <c r="AI1173" i="1" s="1"/>
  <c r="K391" i="1"/>
  <c r="AI391" i="1" s="1"/>
  <c r="K2221" i="1"/>
  <c r="AI2221" i="1" s="1"/>
  <c r="K1945" i="1"/>
  <c r="AI1945" i="1" s="1"/>
  <c r="K781" i="1"/>
  <c r="AI781" i="1" s="1"/>
  <c r="K439" i="1"/>
  <c r="AI439" i="1" s="1"/>
  <c r="K880" i="1"/>
  <c r="AI880" i="1" s="1"/>
  <c r="K2319" i="1"/>
  <c r="AI2319" i="1" s="1"/>
  <c r="K1983" i="1"/>
  <c r="AI1983" i="1" s="1"/>
  <c r="K1156" i="1"/>
  <c r="AI1156" i="1" s="1"/>
  <c r="K969" i="1"/>
  <c r="AI969" i="1" s="1"/>
  <c r="K1181" i="1"/>
  <c r="AI1181" i="1" s="1"/>
  <c r="K2226" i="1"/>
  <c r="AI2226" i="1" s="1"/>
  <c r="K1482" i="1"/>
  <c r="AI1482" i="1" s="1"/>
  <c r="K176" i="1"/>
  <c r="AI176" i="1" s="1"/>
  <c r="K1886" i="1"/>
  <c r="AI1886" i="1" s="1"/>
  <c r="K402" i="1"/>
  <c r="AI402" i="1" s="1"/>
  <c r="K450" i="1"/>
  <c r="AI450" i="1" s="1"/>
  <c r="K497" i="1"/>
  <c r="AI497" i="1" s="1"/>
  <c r="K2385" i="1"/>
  <c r="AI2385" i="1" s="1"/>
  <c r="K2299" i="1"/>
  <c r="AI2299" i="1" s="1"/>
  <c r="K1977" i="1"/>
  <c r="AI1977" i="1" s="1"/>
  <c r="K1832" i="1"/>
  <c r="AI1832" i="1" s="1"/>
  <c r="K1679" i="1"/>
  <c r="AI1679" i="1" s="1"/>
  <c r="K1274" i="1"/>
  <c r="AI1274" i="1" s="1"/>
  <c r="K318" i="1"/>
  <c r="AI318" i="1" s="1"/>
  <c r="K1617" i="1"/>
  <c r="AI1617" i="1" s="1"/>
  <c r="K300" i="1"/>
  <c r="AI300" i="1" s="1"/>
  <c r="K1533" i="1"/>
  <c r="AI1533" i="1" s="1"/>
  <c r="K919" i="1"/>
  <c r="AI919" i="1" s="1"/>
  <c r="K1699" i="1"/>
  <c r="AI1699" i="1" s="1"/>
  <c r="K1010" i="1"/>
  <c r="AI1010" i="1" s="1"/>
  <c r="K2232" i="1"/>
  <c r="AI2232" i="1" s="1"/>
  <c r="K1680" i="1"/>
  <c r="AI1680" i="1" s="1"/>
  <c r="K1165" i="1"/>
  <c r="AI1165" i="1" s="1"/>
  <c r="K563" i="1"/>
  <c r="AI563" i="1" s="1"/>
  <c r="K380" i="1"/>
  <c r="AI380" i="1" s="1"/>
  <c r="K1746" i="1"/>
  <c r="AI1746" i="1" s="1"/>
  <c r="K2150" i="1"/>
  <c r="AI2150" i="1" s="1"/>
  <c r="K2060" i="1"/>
  <c r="AI2060" i="1" s="1"/>
  <c r="K2026" i="1"/>
  <c r="AI2026" i="1" s="1"/>
  <c r="K1335" i="1"/>
  <c r="AI1335" i="1" s="1"/>
  <c r="K2177" i="1"/>
  <c r="AI2177" i="1" s="1"/>
  <c r="K820" i="1"/>
  <c r="AI820" i="1" s="1"/>
  <c r="K1157" i="1"/>
  <c r="AI1157" i="1" s="1"/>
  <c r="K1936" i="1"/>
  <c r="AI1936" i="1" s="1"/>
  <c r="K2102" i="1"/>
  <c r="AI2102" i="1" s="1"/>
  <c r="K2122" i="1"/>
  <c r="AI2122" i="1" s="1"/>
  <c r="K1994" i="1"/>
  <c r="AI1994" i="1" s="1"/>
  <c r="K1747" i="1"/>
  <c r="AI1747" i="1" s="1"/>
  <c r="K1400" i="1"/>
  <c r="AI1400" i="1" s="1"/>
  <c r="K727" i="1"/>
  <c r="AI727" i="1" s="1"/>
  <c r="K2000" i="1"/>
  <c r="AI2000" i="1" s="1"/>
  <c r="K1014" i="1"/>
  <c r="AI1014" i="1" s="1"/>
  <c r="K730" i="1"/>
  <c r="AI730" i="1" s="1"/>
  <c r="K1329" i="1"/>
  <c r="AI1329" i="1" s="1"/>
  <c r="K1221" i="1"/>
  <c r="AI1221" i="1" s="1"/>
  <c r="K1612" i="1"/>
  <c r="AI1612" i="1" s="1"/>
  <c r="K957" i="1"/>
  <c r="AI957" i="1" s="1"/>
  <c r="K2334" i="1"/>
  <c r="AI2334" i="1" s="1"/>
  <c r="K1042" i="1"/>
  <c r="AI1042" i="1" s="1"/>
  <c r="K2201" i="1"/>
  <c r="AI2201" i="1" s="1"/>
  <c r="K17" i="1"/>
  <c r="AI17" i="1" s="1"/>
  <c r="K98" i="1"/>
  <c r="AI98" i="1" s="1"/>
  <c r="K1138" i="1"/>
  <c r="AI1138" i="1" s="1"/>
  <c r="K200" i="1"/>
  <c r="AI200" i="1" s="1"/>
  <c r="K1727" i="1"/>
  <c r="AI1727" i="1" s="1"/>
  <c r="K1019" i="1"/>
  <c r="AI1019" i="1" s="1"/>
  <c r="K2029" i="1"/>
  <c r="AI2029" i="1" s="1"/>
  <c r="K907" i="1"/>
  <c r="AI907" i="1" s="1"/>
  <c r="K191" i="1"/>
  <c r="AI191" i="1" s="1"/>
  <c r="K777" i="1"/>
  <c r="AI777" i="1" s="1"/>
  <c r="K2147" i="1"/>
  <c r="AI2147" i="1" s="1"/>
  <c r="K84" i="1"/>
  <c r="AI84" i="1" s="1"/>
  <c r="K1651" i="1"/>
  <c r="AI1651" i="1" s="1"/>
  <c r="K830" i="1"/>
  <c r="AI830" i="1" s="1"/>
  <c r="K936" i="1"/>
  <c r="AI936" i="1" s="1"/>
  <c r="K2159" i="1"/>
  <c r="AI2159" i="1" s="1"/>
  <c r="K2118" i="1"/>
  <c r="AI2118" i="1" s="1"/>
  <c r="K1840" i="1"/>
  <c r="AI1840" i="1" s="1"/>
  <c r="K1203" i="1"/>
  <c r="AI1203" i="1" s="1"/>
  <c r="K981" i="1"/>
  <c r="AI981" i="1" s="1"/>
  <c r="K2208" i="1"/>
  <c r="AI2208" i="1" s="1"/>
  <c r="K1303" i="1"/>
  <c r="AI1303" i="1" s="1"/>
  <c r="K987" i="1"/>
  <c r="AI987" i="1" s="1"/>
  <c r="K528" i="1"/>
  <c r="AI528" i="1" s="1"/>
  <c r="K1870" i="1"/>
  <c r="AI1870" i="1" s="1"/>
  <c r="K1645" i="1"/>
  <c r="AI1645" i="1" s="1"/>
  <c r="K1196" i="1"/>
  <c r="AI1196" i="1" s="1"/>
  <c r="K1330" i="1"/>
  <c r="AI1330" i="1" s="1"/>
  <c r="K677" i="1"/>
  <c r="AI677" i="1" s="1"/>
  <c r="K364" i="1"/>
  <c r="AI364" i="1" s="1"/>
  <c r="K2356" i="1"/>
  <c r="AI2356" i="1" s="1"/>
  <c r="K1596" i="1"/>
  <c r="AI1596" i="1" s="1"/>
  <c r="K1787" i="1"/>
  <c r="AI1787" i="1" s="1"/>
  <c r="K1293" i="1"/>
  <c r="AI1293" i="1" s="1"/>
  <c r="K2245" i="1"/>
  <c r="AI2245" i="1" s="1"/>
  <c r="K995" i="1"/>
  <c r="AI995" i="1" s="1"/>
  <c r="K1686" i="1"/>
  <c r="AI1686" i="1" s="1"/>
  <c r="K1146" i="1"/>
  <c r="AI1146" i="1" s="1"/>
  <c r="K93" i="1"/>
  <c r="AI93" i="1" s="1"/>
  <c r="K905" i="1"/>
  <c r="AI905" i="1" s="1"/>
  <c r="K438" i="1"/>
  <c r="AI438" i="1" s="1"/>
  <c r="K145" i="1"/>
  <c r="AI145" i="1" s="1"/>
  <c r="K772" i="1"/>
  <c r="AI772" i="1" s="1"/>
  <c r="K609" i="1"/>
  <c r="AI609" i="1" s="1"/>
  <c r="K1577" i="1"/>
  <c r="AI1577" i="1" s="1"/>
  <c r="K469" i="1"/>
  <c r="AI469" i="1" s="1"/>
  <c r="K946" i="1"/>
  <c r="AI946" i="1" s="1"/>
  <c r="K2027" i="1"/>
  <c r="AI2027" i="1" s="1"/>
  <c r="K18" i="1"/>
  <c r="AI18" i="1" s="1"/>
  <c r="K88" i="1"/>
  <c r="AI88" i="1" s="1"/>
  <c r="K113" i="1"/>
  <c r="AI113" i="1" s="1"/>
  <c r="K1477" i="1"/>
  <c r="AI1477" i="1" s="1"/>
  <c r="K2140" i="1"/>
  <c r="AI2140" i="1" s="1"/>
  <c r="K1717" i="1"/>
  <c r="AI1717" i="1" s="1"/>
  <c r="K110" i="1"/>
  <c r="AI110" i="1" s="1"/>
  <c r="K902" i="1"/>
  <c r="AI902" i="1" s="1"/>
  <c r="K460" i="1"/>
  <c r="AI460" i="1" s="1"/>
  <c r="K342" i="1"/>
  <c r="AI342" i="1" s="1"/>
  <c r="K96" i="1"/>
  <c r="AI96" i="1" s="1"/>
  <c r="K2174" i="1"/>
  <c r="AI2174" i="1" s="1"/>
  <c r="K1234" i="1"/>
  <c r="AI1234" i="1" s="1"/>
  <c r="K266" i="1"/>
  <c r="AI266" i="1" s="1"/>
  <c r="K334" i="1"/>
  <c r="AI334" i="1" s="1"/>
  <c r="K1711" i="1"/>
  <c r="AI1711" i="1" s="1"/>
  <c r="K1495" i="1"/>
  <c r="AI1495" i="1" s="1"/>
  <c r="K2023" i="1"/>
  <c r="AI2023" i="1" s="1"/>
  <c r="K754" i="1"/>
  <c r="AI754" i="1" s="1"/>
  <c r="K2048" i="1"/>
  <c r="AI2048" i="1" s="1"/>
  <c r="K111" i="1"/>
  <c r="AI111" i="1" s="1"/>
  <c r="K2178" i="1"/>
  <c r="AI2178" i="1" s="1"/>
  <c r="K1590" i="1"/>
  <c r="AI1590" i="1" s="1"/>
  <c r="K1148" i="1"/>
  <c r="AI1148" i="1" s="1"/>
  <c r="K843" i="1"/>
  <c r="AI843" i="1" s="1"/>
  <c r="K716" i="1"/>
  <c r="AI716" i="1" s="1"/>
  <c r="K456" i="1"/>
  <c r="AI456" i="1" s="1"/>
  <c r="K285" i="1"/>
  <c r="AI285" i="1" s="1"/>
  <c r="K81" i="1"/>
  <c r="AI81" i="1" s="1"/>
  <c r="K2244" i="1"/>
  <c r="AI2244" i="1" s="1"/>
  <c r="K1854" i="1"/>
  <c r="AI1854" i="1" s="1"/>
  <c r="K289" i="1"/>
  <c r="AI289" i="1" s="1"/>
  <c r="K75" i="1"/>
  <c r="AI75" i="1" s="1"/>
  <c r="K458" i="1"/>
  <c r="AI458" i="1" s="1"/>
  <c r="K2076" i="1"/>
  <c r="AI2076" i="1" s="1"/>
  <c r="K908" i="1"/>
  <c r="AI908" i="1" s="1"/>
  <c r="K355" i="1"/>
  <c r="AI355" i="1" s="1"/>
  <c r="K708" i="1"/>
  <c r="AI708" i="1" s="1"/>
  <c r="K130" i="1"/>
  <c r="AI130" i="1" s="1"/>
  <c r="K503" i="1"/>
  <c r="AI503" i="1" s="1"/>
  <c r="K2264" i="1"/>
  <c r="AI2264" i="1" s="1"/>
  <c r="K2198" i="1"/>
  <c r="AI2198" i="1" s="1"/>
  <c r="K1069" i="1"/>
  <c r="AI1069" i="1" s="1"/>
  <c r="K1470" i="1"/>
  <c r="AI1470" i="1" s="1"/>
  <c r="K1368" i="1"/>
  <c r="AI1368" i="1" s="1"/>
  <c r="K1238" i="1"/>
  <c r="AI1238" i="1" s="1"/>
  <c r="K906" i="1"/>
  <c r="AI906" i="1" s="1"/>
  <c r="K346" i="1"/>
  <c r="AI346" i="1" s="1"/>
  <c r="K174" i="1"/>
  <c r="AI174" i="1" s="1"/>
  <c r="K2079" i="1"/>
  <c r="AI2079" i="1" s="1"/>
  <c r="K1798" i="1"/>
  <c r="AI1798" i="1" s="1"/>
  <c r="K1608" i="1"/>
  <c r="AI1608" i="1" s="1"/>
  <c r="K1576" i="1"/>
  <c r="AI1576" i="1" s="1"/>
  <c r="K1387" i="1"/>
  <c r="AI1387" i="1" s="1"/>
  <c r="K1145" i="1"/>
  <c r="AI1145" i="1" s="1"/>
  <c r="K1025" i="1"/>
  <c r="AI1025" i="1" s="1"/>
  <c r="K951" i="1"/>
  <c r="AI951" i="1" s="1"/>
  <c r="K283" i="1"/>
  <c r="AI283" i="1" s="1"/>
  <c r="K103" i="1"/>
  <c r="AI103" i="1" s="1"/>
  <c r="K1579" i="1"/>
  <c r="AI1579" i="1" s="1"/>
  <c r="K1264" i="1"/>
  <c r="AI1264" i="1" s="1"/>
  <c r="K1191" i="1"/>
  <c r="AI1191" i="1" s="1"/>
  <c r="K16" i="1"/>
  <c r="AI16" i="1" s="1"/>
  <c r="K814" i="1"/>
  <c r="AI814" i="1" s="1"/>
  <c r="K287" i="1"/>
  <c r="AI287" i="1" s="1"/>
  <c r="K325" i="1"/>
  <c r="AI325" i="1" s="1"/>
  <c r="K1346" i="1"/>
  <c r="AI1346" i="1" s="1"/>
  <c r="K1918" i="1"/>
  <c r="AI1918" i="1" s="1"/>
  <c r="K1848" i="1"/>
  <c r="AI1848" i="1" s="1"/>
  <c r="K1475" i="1"/>
  <c r="AI1475" i="1" s="1"/>
  <c r="K1237" i="1"/>
  <c r="AI1237" i="1" s="1"/>
  <c r="K913" i="1"/>
  <c r="AI913" i="1" s="1"/>
  <c r="K173" i="1"/>
  <c r="AI173" i="1" s="1"/>
  <c r="K2242" i="1"/>
  <c r="AI2242" i="1" s="1"/>
  <c r="K2025" i="1"/>
  <c r="AI2025" i="1" s="1"/>
  <c r="K1685" i="1"/>
  <c r="AI1685" i="1" s="1"/>
  <c r="K597" i="1"/>
  <c r="AI597" i="1" s="1"/>
  <c r="K822" i="1"/>
  <c r="AI822" i="1" s="1"/>
  <c r="K1814" i="1"/>
  <c r="AI1814" i="1" s="1"/>
  <c r="K1564" i="1"/>
  <c r="AI1564" i="1" s="1"/>
  <c r="K1342" i="1"/>
  <c r="AI1342" i="1" s="1"/>
  <c r="K106" i="1"/>
  <c r="AI106" i="1" s="1"/>
  <c r="K272" i="1"/>
  <c r="AI272" i="1" s="1"/>
  <c r="K1017" i="1"/>
  <c r="AI1017" i="1" s="1"/>
  <c r="K510" i="1"/>
  <c r="AI510" i="1" s="1"/>
  <c r="K155" i="1"/>
  <c r="AI155" i="1" s="1"/>
  <c r="K1420" i="1"/>
  <c r="AI1420" i="1" s="1"/>
  <c r="K594" i="1"/>
  <c r="AI594" i="1" s="1"/>
  <c r="K250" i="1"/>
  <c r="AI250" i="1" s="1"/>
  <c r="K644" i="1"/>
  <c r="AI644" i="1" s="1"/>
  <c r="K809" i="1"/>
  <c r="AI809" i="1" s="1"/>
  <c r="K78" i="1"/>
  <c r="AI78" i="1" s="1"/>
  <c r="K349" i="1"/>
  <c r="AI349" i="1" s="1"/>
  <c r="K28" i="1"/>
  <c r="AI28" i="1" s="1"/>
  <c r="K1935" i="1"/>
  <c r="AI1935" i="1" s="1"/>
  <c r="K1852" i="1"/>
  <c r="AI1852" i="1" s="1"/>
  <c r="K1754" i="1"/>
  <c r="AI1754" i="1" s="1"/>
  <c r="K1390" i="1"/>
  <c r="AI1390" i="1" s="1"/>
  <c r="K1358" i="1"/>
  <c r="AI1358" i="1" s="1"/>
  <c r="K22" i="1"/>
  <c r="AI22" i="1" s="1"/>
  <c r="K1732" i="1"/>
  <c r="AI1732" i="1" s="1"/>
  <c r="K801" i="1"/>
  <c r="AI801" i="1" s="1"/>
  <c r="K281" i="1"/>
  <c r="AI281" i="1" s="1"/>
  <c r="K171" i="1"/>
  <c r="AI171" i="1" s="1"/>
  <c r="K129" i="1"/>
  <c r="AI129" i="1" s="1"/>
  <c r="K2352" i="1"/>
  <c r="AI2352" i="1" s="1"/>
  <c r="K870" i="1"/>
  <c r="AI870" i="1" s="1"/>
  <c r="K514" i="1"/>
  <c r="AI514" i="1" s="1"/>
  <c r="K195" i="1"/>
  <c r="AI195" i="1" s="1"/>
  <c r="K2346" i="1"/>
  <c r="AI2346" i="1" s="1"/>
  <c r="K610" i="1"/>
  <c r="AI610" i="1" s="1"/>
  <c r="K37" i="1"/>
  <c r="AI37" i="1" s="1"/>
  <c r="K215" i="1"/>
  <c r="AI215" i="1" s="1"/>
  <c r="K213" i="1"/>
  <c r="AI2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<sst xmlns="http://schemas.openxmlformats.org/spreadsheetml/2006/main" count="19593" uniqueCount="2585">
  <si>
    <t>Open position</t>
  </si>
  <si>
    <t>Position ID</t>
  </si>
  <si>
    <t xml:space="preserve">Department </t>
  </si>
  <si>
    <t>Role</t>
  </si>
  <si>
    <t>Designation</t>
  </si>
  <si>
    <t>Job Vacancy</t>
  </si>
  <si>
    <t>Level/Band</t>
  </si>
  <si>
    <t>Position Requisition Date</t>
  </si>
  <si>
    <t>Vacancy approval date</t>
  </si>
  <si>
    <t>Job advert open date</t>
  </si>
  <si>
    <t>Job advert closing date</t>
  </si>
  <si>
    <t>Shortlisted Status</t>
  </si>
  <si>
    <t>Interview date</t>
  </si>
  <si>
    <t>Hire Status</t>
  </si>
  <si>
    <t>Rejection Reason</t>
  </si>
  <si>
    <t>Date job offer</t>
  </si>
  <si>
    <t>Offer Status</t>
  </si>
  <si>
    <t>Date contract prepared</t>
  </si>
  <si>
    <t>Date contract issued </t>
  </si>
  <si>
    <t>Reporting date </t>
  </si>
  <si>
    <t>Date of induction/onboarding </t>
  </si>
  <si>
    <t>Hired</t>
  </si>
  <si>
    <t>Date e-file opened</t>
  </si>
  <si>
    <t>Date physical file open </t>
  </si>
  <si>
    <t>Date of inclusion to benefits </t>
  </si>
  <si>
    <t>Comments</t>
  </si>
  <si>
    <t>Rejected By</t>
  </si>
  <si>
    <t>Date of File Closure</t>
  </si>
  <si>
    <t>From Application to Interveiw</t>
  </si>
  <si>
    <t>Time to Hire</t>
  </si>
  <si>
    <t>Time to Publish Advert</t>
  </si>
  <si>
    <t>Open Days</t>
  </si>
  <si>
    <t>End of probation date</t>
  </si>
  <si>
    <t>Time Between Onboarding to file Openning</t>
  </si>
  <si>
    <t>Time Between Interview and Candidate Reporting</t>
  </si>
  <si>
    <t>Time to Approve Requisition</t>
  </si>
  <si>
    <t>525 | Administation</t>
  </si>
  <si>
    <t>Risk Management</t>
  </si>
  <si>
    <t>Risk Management - Junior</t>
  </si>
  <si>
    <t>Analyst</t>
  </si>
  <si>
    <t>Junior</t>
  </si>
  <si>
    <t>Yes</t>
  </si>
  <si>
    <t>Failed</t>
  </si>
  <si>
    <t>Other</t>
  </si>
  <si>
    <t>Company</t>
  </si>
  <si>
    <t>524 | Administation</t>
  </si>
  <si>
    <t>Risk Management - Associate</t>
  </si>
  <si>
    <t>Associate</t>
  </si>
  <si>
    <t>Declined</t>
  </si>
  <si>
    <t>522 | Administation</t>
  </si>
  <si>
    <t>407 | Administation</t>
  </si>
  <si>
    <t>Supervisor</t>
  </si>
  <si>
    <t>No</t>
  </si>
  <si>
    <t>401 | Administation</t>
  </si>
  <si>
    <t>Risk Management - Executive</t>
  </si>
  <si>
    <t>Director</t>
  </si>
  <si>
    <t>Executive</t>
  </si>
  <si>
    <t>404 | Administation</t>
  </si>
  <si>
    <t>Not a culture fit</t>
  </si>
  <si>
    <t>403 | Administation</t>
  </si>
  <si>
    <t>408 | Administation</t>
  </si>
  <si>
    <t>409 | Administation</t>
  </si>
  <si>
    <t>Candidate</t>
  </si>
  <si>
    <t>405 | Administation</t>
  </si>
  <si>
    <t>Accepted</t>
  </si>
  <si>
    <t>410 | Administation</t>
  </si>
  <si>
    <t>211 | Administation</t>
  </si>
  <si>
    <t>219 | Administation</t>
  </si>
  <si>
    <t>220 | Administation</t>
  </si>
  <si>
    <t>Head of Department</t>
  </si>
  <si>
    <t>216 | Administation</t>
  </si>
  <si>
    <t>215 | Administation</t>
  </si>
  <si>
    <t>339 | Administation</t>
  </si>
  <si>
    <t>Salary expectation too high</t>
  </si>
  <si>
    <t>338 | Administation</t>
  </si>
  <si>
    <t>335 | Administation</t>
  </si>
  <si>
    <t>35 | Administation</t>
  </si>
  <si>
    <t>33 | Administation</t>
  </si>
  <si>
    <t>34 | Administation</t>
  </si>
  <si>
    <t>32 | Administation</t>
  </si>
  <si>
    <t>37 | Administation</t>
  </si>
  <si>
    <t>518 | Administation</t>
  </si>
  <si>
    <t>511 | Administation</t>
  </si>
  <si>
    <t>519 | Administation</t>
  </si>
  <si>
    <t>512 | Administation</t>
  </si>
  <si>
    <t>515 | Administation</t>
  </si>
  <si>
    <t>442 | Administation</t>
  </si>
  <si>
    <t>449 | Administation</t>
  </si>
  <si>
    <t>444 | Administation</t>
  </si>
  <si>
    <t>462 | Administation</t>
  </si>
  <si>
    <t>467 | Administation</t>
  </si>
  <si>
    <t>466 | Administation</t>
  </si>
  <si>
    <t>461 | Administation</t>
  </si>
  <si>
    <t>469 | Administation</t>
  </si>
  <si>
    <t>470 | Administation</t>
  </si>
  <si>
    <t>306 | Administation</t>
  </si>
  <si>
    <t>304 | Administation</t>
  </si>
  <si>
    <t>305 | Administation</t>
  </si>
  <si>
    <t>Position filled by another</t>
  </si>
  <si>
    <t>2975 | Program Office</t>
  </si>
  <si>
    <t>Program Office</t>
  </si>
  <si>
    <t>Program Office - Senior Management</t>
  </si>
  <si>
    <t>Senior Manager</t>
  </si>
  <si>
    <t>Senior Management</t>
  </si>
  <si>
    <t>2970 | Program Office</t>
  </si>
  <si>
    <t>2888 | Program Office</t>
  </si>
  <si>
    <t>2869 | Program Office</t>
  </si>
  <si>
    <t>2861 | Program Office</t>
  </si>
  <si>
    <t>2731 | Program Office</t>
  </si>
  <si>
    <t>2555 | Program Office</t>
  </si>
  <si>
    <t>2536 | Program Office</t>
  </si>
  <si>
    <t>2519 | Program Office</t>
  </si>
  <si>
    <t>2366 | Program Office</t>
  </si>
  <si>
    <t>Didn't pass technical test</t>
  </si>
  <si>
    <t>2315 | Program Office</t>
  </si>
  <si>
    <t>2250 | Program Office</t>
  </si>
  <si>
    <t>2241 | Program Office</t>
  </si>
  <si>
    <t>2125 | Program Office</t>
  </si>
  <si>
    <t>2122 | Program Office</t>
  </si>
  <si>
    <t>2070 | Program Office</t>
  </si>
  <si>
    <t>1980 | Program Office</t>
  </si>
  <si>
    <t>1815 | Program Office</t>
  </si>
  <si>
    <t>1807 | Program Office</t>
  </si>
  <si>
    <t>1801 | Program Office</t>
  </si>
  <si>
    <t>1687 | Program Office</t>
  </si>
  <si>
    <t>1405 | Program Office</t>
  </si>
  <si>
    <t>1385 | Program Office</t>
  </si>
  <si>
    <t>1381 | Program Office</t>
  </si>
  <si>
    <t>1322 | Program Office</t>
  </si>
  <si>
    <t>1294 | Program Office</t>
  </si>
  <si>
    <t>498 | Program Office</t>
  </si>
  <si>
    <t>496 | Program Office</t>
  </si>
  <si>
    <t>Senior Supervisory Manager</t>
  </si>
  <si>
    <t>486 | Program Office</t>
  </si>
  <si>
    <t>481 | Program Office</t>
  </si>
  <si>
    <t>478 | Program Office</t>
  </si>
  <si>
    <t>384 | Program Office</t>
  </si>
  <si>
    <t>377 | Program Office</t>
  </si>
  <si>
    <t>311 | Program Office</t>
  </si>
  <si>
    <t>185 | Program Office</t>
  </si>
  <si>
    <t>184 | Program Office</t>
  </si>
  <si>
    <t>182 | Program Office</t>
  </si>
  <si>
    <t>138 | Program Office</t>
  </si>
  <si>
    <t>9 | Program Office</t>
  </si>
  <si>
    <t>7 | Program Office</t>
  </si>
  <si>
    <t>2973 | Program Office</t>
  </si>
  <si>
    <t>Program Office - Senior</t>
  </si>
  <si>
    <t>Senior</t>
  </si>
  <si>
    <t>2966 | Program Office</t>
  </si>
  <si>
    <t>2964 | Program Office</t>
  </si>
  <si>
    <t>2961 | Program Office</t>
  </si>
  <si>
    <t>2886 | Program Office</t>
  </si>
  <si>
    <t>2882 | Program Office</t>
  </si>
  <si>
    <t>2868 | Program Office</t>
  </si>
  <si>
    <t>2867 | Program Office</t>
  </si>
  <si>
    <t>2862 | Program Office</t>
  </si>
  <si>
    <t>2859 | Program Office</t>
  </si>
  <si>
    <t>2855 | Program Office</t>
  </si>
  <si>
    <t>2851 | Program Office</t>
  </si>
  <si>
    <t>2790 | Program Office</t>
  </si>
  <si>
    <t>2789 | Program Office</t>
  </si>
  <si>
    <t>2788 | Program Office</t>
  </si>
  <si>
    <t>2740 | Program Office</t>
  </si>
  <si>
    <t>2569 | Program Office</t>
  </si>
  <si>
    <t>2567 | Program Office</t>
  </si>
  <si>
    <t>2557 | Program Office</t>
  </si>
  <si>
    <t>2551 | Program Office</t>
  </si>
  <si>
    <t>Pending</t>
  </si>
  <si>
    <t>2457 | Program Office</t>
  </si>
  <si>
    <t>2406 | Program Office</t>
  </si>
  <si>
    <t>2401 | Program Office</t>
  </si>
  <si>
    <t>2384 | Program Office</t>
  </si>
  <si>
    <t>2383 | Program Office</t>
  </si>
  <si>
    <t>2370 | Program Office</t>
  </si>
  <si>
    <t>2314 | Program Office</t>
  </si>
  <si>
    <t>2313 | Program Office</t>
  </si>
  <si>
    <t>2267 | Program Office</t>
  </si>
  <si>
    <t>2263 | Program Office</t>
  </si>
  <si>
    <t>2216 | Program Office</t>
  </si>
  <si>
    <t>2215 | Program Office</t>
  </si>
  <si>
    <t>2213 | Program Office</t>
  </si>
  <si>
    <t>2200 | Program Office</t>
  </si>
  <si>
    <t>2197 | Program Office</t>
  </si>
  <si>
    <t>2191 | Program Office</t>
  </si>
  <si>
    <t>2129 | Program Office</t>
  </si>
  <si>
    <t>2114 | Program Office</t>
  </si>
  <si>
    <t>2069 | Program Office</t>
  </si>
  <si>
    <t>2068 | Program Office</t>
  </si>
  <si>
    <t>2063 | Program Office</t>
  </si>
  <si>
    <t>1988 | Program Office</t>
  </si>
  <si>
    <t>1986 | Program Office</t>
  </si>
  <si>
    <t>1984 | Program Office</t>
  </si>
  <si>
    <t>1982 | Program Office</t>
  </si>
  <si>
    <t>1977 | Program Office</t>
  </si>
  <si>
    <t>1975 | Program Office</t>
  </si>
  <si>
    <t>1970 | Program Office</t>
  </si>
  <si>
    <t>1968 | Program Office</t>
  </si>
  <si>
    <t>1860 | Program Office</t>
  </si>
  <si>
    <t>1858 | Program Office</t>
  </si>
  <si>
    <t>1853 | Program Office</t>
  </si>
  <si>
    <t>1796 | Program Office</t>
  </si>
  <si>
    <t>1442 | Program Office</t>
  </si>
  <si>
    <t>1441 | Program Office</t>
  </si>
  <si>
    <t>1419 | Program Office</t>
  </si>
  <si>
    <t>1414 | Program Office</t>
  </si>
  <si>
    <t>1406 | Program Office</t>
  </si>
  <si>
    <t>1403 | Program Office</t>
  </si>
  <si>
    <t>1402 | Program Office</t>
  </si>
  <si>
    <t>1383 | Program Office</t>
  </si>
  <si>
    <t>1330 | Program Office</t>
  </si>
  <si>
    <t>1324 | Program Office</t>
  </si>
  <si>
    <t>1297 | Program Office</t>
  </si>
  <si>
    <t>1153 | Program Office</t>
  </si>
  <si>
    <t>998 | Program Office</t>
  </si>
  <si>
    <t>997 | Program Office</t>
  </si>
  <si>
    <t>958 | Program Office</t>
  </si>
  <si>
    <t>953 | Program Office</t>
  </si>
  <si>
    <t>944 | Program Office</t>
  </si>
  <si>
    <t>919 | Program Office</t>
  </si>
  <si>
    <t>916 | Program Office</t>
  </si>
  <si>
    <t>912 | Program Office</t>
  </si>
  <si>
    <t>911 | Program Office</t>
  </si>
  <si>
    <t>910 | Program Office</t>
  </si>
  <si>
    <t>907 | Program Office</t>
  </si>
  <si>
    <t>836 | Program Office</t>
  </si>
  <si>
    <t>827 | Program Office</t>
  </si>
  <si>
    <t>825 | Program Office</t>
  </si>
  <si>
    <t>824 | Program Office</t>
  </si>
  <si>
    <t>821 | Program Office</t>
  </si>
  <si>
    <t>798 | Program Office</t>
  </si>
  <si>
    <t>797 | Program Office</t>
  </si>
  <si>
    <t>795 | Program Office</t>
  </si>
  <si>
    <t>793 | Program Office</t>
  </si>
  <si>
    <t>767 | Program Office</t>
  </si>
  <si>
    <t>762 | Program Office</t>
  </si>
  <si>
    <t>729 | Program Office</t>
  </si>
  <si>
    <t>726 | Program Office</t>
  </si>
  <si>
    <t>715 | Program Office</t>
  </si>
  <si>
    <t>711 | Program Office</t>
  </si>
  <si>
    <t>678 | Program Office</t>
  </si>
  <si>
    <t>677 | Program Office</t>
  </si>
  <si>
    <t>657 | Program Office</t>
  </si>
  <si>
    <t>654 | Program Office</t>
  </si>
  <si>
    <t>651 | Program Office</t>
  </si>
  <si>
    <t>640 | Program Office</t>
  </si>
  <si>
    <t>633 | Program Office</t>
  </si>
  <si>
    <t>580 | Program Office</t>
  </si>
  <si>
    <t>574 | Program Office</t>
  </si>
  <si>
    <t>500 | Program Office</t>
  </si>
  <si>
    <t>497 | Program Office</t>
  </si>
  <si>
    <t>490 | Program Office</t>
  </si>
  <si>
    <t>487 | Program Office</t>
  </si>
  <si>
    <t>479 | Program Office</t>
  </si>
  <si>
    <t>389 | Program Office</t>
  </si>
  <si>
    <t>380 | Program Office</t>
  </si>
  <si>
    <t>376 | Program Office</t>
  </si>
  <si>
    <t>320 | Program Office</t>
  </si>
  <si>
    <t>319 | Program Office</t>
  </si>
  <si>
    <t>317 | Program Office</t>
  </si>
  <si>
    <t>188 | Program Office</t>
  </si>
  <si>
    <t>135 | Program Office</t>
  </si>
  <si>
    <t>65 | Program Office</t>
  </si>
  <si>
    <t>64 | Program Office</t>
  </si>
  <si>
    <t>61 | Program Office</t>
  </si>
  <si>
    <t>5 | Program Office</t>
  </si>
  <si>
    <t>4 | Program Office</t>
  </si>
  <si>
    <t>2 | Program Office</t>
  </si>
  <si>
    <t>2965 | Program Office</t>
  </si>
  <si>
    <t>Program Office - Manager Level</t>
  </si>
  <si>
    <t>Manager</t>
  </si>
  <si>
    <t>Manager Level</t>
  </si>
  <si>
    <t>2866 | Program Office</t>
  </si>
  <si>
    <t>2865 | Program Office</t>
  </si>
  <si>
    <t>2856 | Program Office</t>
  </si>
  <si>
    <t>2838 | Program Office</t>
  </si>
  <si>
    <t>2832 | Program Office</t>
  </si>
  <si>
    <t>2787 | Program Office</t>
  </si>
  <si>
    <t>2785 | Program Office</t>
  </si>
  <si>
    <t>2562 | Program Office</t>
  </si>
  <si>
    <t>2561 | Program Office</t>
  </si>
  <si>
    <t>2558 | Program Office</t>
  </si>
  <si>
    <t>2552 | Program Office</t>
  </si>
  <si>
    <t>2511 | Program Office</t>
  </si>
  <si>
    <t>2460 | Program Office</t>
  </si>
  <si>
    <t>2444 | Program Office</t>
  </si>
  <si>
    <t>2410 | Program Office</t>
  </si>
  <si>
    <t>2405 | Program Office</t>
  </si>
  <si>
    <t>2388 | Program Office</t>
  </si>
  <si>
    <t>2320 | Program Office</t>
  </si>
  <si>
    <t>2262 | Program Office</t>
  </si>
  <si>
    <t>2249 | Program Office</t>
  </si>
  <si>
    <t>Cordination Manager</t>
  </si>
  <si>
    <t>2248 | Program Office</t>
  </si>
  <si>
    <t>2244 | Program Office</t>
  </si>
  <si>
    <t>2219 | Program Office</t>
  </si>
  <si>
    <t>2218 | Program Office</t>
  </si>
  <si>
    <t>2212 | Program Office</t>
  </si>
  <si>
    <t>2170 | Program Office</t>
  </si>
  <si>
    <t>2168 | Program Office</t>
  </si>
  <si>
    <t>2162 | Program Office</t>
  </si>
  <si>
    <t>2124 | Program Office</t>
  </si>
  <si>
    <t>2123 | Program Office</t>
  </si>
  <si>
    <t>2121 | Program Office</t>
  </si>
  <si>
    <t>2118 | Program Office</t>
  </si>
  <si>
    <t>2112 | Program Office</t>
  </si>
  <si>
    <t>2061 | Program Office</t>
  </si>
  <si>
    <t>2009 | Program Office</t>
  </si>
  <si>
    <t>2007 | Program Office</t>
  </si>
  <si>
    <t>2003 | Program Office</t>
  </si>
  <si>
    <t>2002 | Program Office</t>
  </si>
  <si>
    <t>1990 | Program Office</t>
  </si>
  <si>
    <t>1971 | Program Office</t>
  </si>
  <si>
    <t>1859 | Program Office</t>
  </si>
  <si>
    <t>1856 | Program Office</t>
  </si>
  <si>
    <t>1812 | Program Office</t>
  </si>
  <si>
    <t>1811 | Program Office</t>
  </si>
  <si>
    <t>1808 | Program Office</t>
  </si>
  <si>
    <t>1802 | Program Office</t>
  </si>
  <si>
    <t>1794 | Program Office</t>
  </si>
  <si>
    <t>1792 | Program Office</t>
  </si>
  <si>
    <t>1681 | Program Office</t>
  </si>
  <si>
    <t>1670 | Program Office</t>
  </si>
  <si>
    <t>1666 | Program Office</t>
  </si>
  <si>
    <t>1663 | Program Office</t>
  </si>
  <si>
    <t>1662 | Program Office</t>
  </si>
  <si>
    <t>1447 | Program Office</t>
  </si>
  <si>
    <t>1446 | Program Office</t>
  </si>
  <si>
    <t>1410 | Program Office</t>
  </si>
  <si>
    <t>1382 | Program Office</t>
  </si>
  <si>
    <t>1328 | Program Office</t>
  </si>
  <si>
    <t>1327 | Program Office</t>
  </si>
  <si>
    <t>1298 | Program Office</t>
  </si>
  <si>
    <t>1291 | Program Office</t>
  </si>
  <si>
    <t>1157 | Program Office</t>
  </si>
  <si>
    <t>1155 | Program Office</t>
  </si>
  <si>
    <t>1154 | Program Office</t>
  </si>
  <si>
    <t>1152 | Program Office</t>
  </si>
  <si>
    <t>1151 | Program Office</t>
  </si>
  <si>
    <t>1000 | Program Office</t>
  </si>
  <si>
    <t>992 | Program Office</t>
  </si>
  <si>
    <t>991 | Program Office</t>
  </si>
  <si>
    <t>957 | Program Office</t>
  </si>
  <si>
    <t>956 | Program Office</t>
  </si>
  <si>
    <t>948 | Program Office</t>
  </si>
  <si>
    <t>947 | Program Office</t>
  </si>
  <si>
    <t>908 | Program Office</t>
  </si>
  <si>
    <t>903 | Program Office</t>
  </si>
  <si>
    <t>838 | Program Office</t>
  </si>
  <si>
    <t>833 | Program Office</t>
  </si>
  <si>
    <t>829 | Program Office</t>
  </si>
  <si>
    <t>828 | Program Office</t>
  </si>
  <si>
    <t>826 | Program Office</t>
  </si>
  <si>
    <t>799 | Program Office</t>
  </si>
  <si>
    <t>769 | Program Office</t>
  </si>
  <si>
    <t>768 | Program Office</t>
  </si>
  <si>
    <t>764 | Program Office</t>
  </si>
  <si>
    <t>725 | Program Office</t>
  </si>
  <si>
    <t>724 | Program Office</t>
  </si>
  <si>
    <t>723 | Program Office</t>
  </si>
  <si>
    <t>722 | Program Office</t>
  </si>
  <si>
    <t>721 | Program Office</t>
  </si>
  <si>
    <t>718 | Program Office</t>
  </si>
  <si>
    <t>712 | Program Office</t>
  </si>
  <si>
    <t>676 | Program Office</t>
  </si>
  <si>
    <t>674 | Program Office</t>
  </si>
  <si>
    <t>632 | Program Office</t>
  </si>
  <si>
    <t>617 | Program Office</t>
  </si>
  <si>
    <t>614 | Program Office</t>
  </si>
  <si>
    <t>613 | Program Office</t>
  </si>
  <si>
    <t>578 | Program Office</t>
  </si>
  <si>
    <t>572 | Program Office</t>
  </si>
  <si>
    <t>499 | Program Office</t>
  </si>
  <si>
    <t>489 | Program Office</t>
  </si>
  <si>
    <t>482 | Program Office</t>
  </si>
  <si>
    <t>474 | Program Office</t>
  </si>
  <si>
    <t>472 | Program Office</t>
  </si>
  <si>
    <t>471 | Program Office</t>
  </si>
  <si>
    <t>387 | Program Office</t>
  </si>
  <si>
    <t>382 | Program Office</t>
  </si>
  <si>
    <t>374 | Program Office</t>
  </si>
  <si>
    <t>371 | Program Office</t>
  </si>
  <si>
    <t>137 | Program Office</t>
  </si>
  <si>
    <t>133 | Program Office</t>
  </si>
  <si>
    <t>68 | Program Office</t>
  </si>
  <si>
    <t>67 | Program Office</t>
  </si>
  <si>
    <t>3 | Program Office</t>
  </si>
  <si>
    <t>2976 | Program Office</t>
  </si>
  <si>
    <t>Program Office - Junior</t>
  </si>
  <si>
    <t>Extension Officer</t>
  </si>
  <si>
    <t>2858 | Program Office</t>
  </si>
  <si>
    <t>2852 | Program Office</t>
  </si>
  <si>
    <t>2839 | Program Office</t>
  </si>
  <si>
    <t>2834 | Program Office</t>
  </si>
  <si>
    <t>2831 | Program Office</t>
  </si>
  <si>
    <t>2734 | Program Office</t>
  </si>
  <si>
    <t>2732 | Program Office</t>
  </si>
  <si>
    <t>2570 | Program Office</t>
  </si>
  <si>
    <t>2564 | Program Office</t>
  </si>
  <si>
    <t>2539 | Program Office</t>
  </si>
  <si>
    <t>2537 | Program Office</t>
  </si>
  <si>
    <t>2534 | Program Office</t>
  </si>
  <si>
    <t>2532 | Program Office</t>
  </si>
  <si>
    <t>2520 | Program Office</t>
  </si>
  <si>
    <t>2516 | Program Office</t>
  </si>
  <si>
    <t>2515 | Program Office</t>
  </si>
  <si>
    <t>2456 | Program Office</t>
  </si>
  <si>
    <t>2450 | Program Office</t>
  </si>
  <si>
    <t>2446 | Program Office</t>
  </si>
  <si>
    <t>2445 | Program Office</t>
  </si>
  <si>
    <t>2443 | Program Office</t>
  </si>
  <si>
    <t>2441 | Program Office</t>
  </si>
  <si>
    <t>2409 | Program Office</t>
  </si>
  <si>
    <t>2407 | Program Office</t>
  </si>
  <si>
    <t>2402 | Program Office</t>
  </si>
  <si>
    <t>2389 | Program Office</t>
  </si>
  <si>
    <t>2385 | Program Office</t>
  </si>
  <si>
    <t>2381 | Program Office</t>
  </si>
  <si>
    <t>2367 | Program Office</t>
  </si>
  <si>
    <t>2362 | Program Office</t>
  </si>
  <si>
    <t>2319 | Program Office</t>
  </si>
  <si>
    <t>2268 | Program Office</t>
  </si>
  <si>
    <t>2266 | Program Office</t>
  </si>
  <si>
    <t>2261 | Program Office</t>
  </si>
  <si>
    <t>2242 | Program Office</t>
  </si>
  <si>
    <t>2199 | Program Office</t>
  </si>
  <si>
    <t>2198 | Program Office</t>
  </si>
  <si>
    <t>2196 | Program Office</t>
  </si>
  <si>
    <t>2194 | Program Office</t>
  </si>
  <si>
    <t>2193 | Program Office</t>
  </si>
  <si>
    <t>2117 | Program Office</t>
  </si>
  <si>
    <t>1983 | Program Office</t>
  </si>
  <si>
    <t>1974 | Program Office</t>
  </si>
  <si>
    <t>1965 | Program Office</t>
  </si>
  <si>
    <t>1963 | Program Office</t>
  </si>
  <si>
    <t>1962 | Program Office</t>
  </si>
  <si>
    <t>1852 | Program Office</t>
  </si>
  <si>
    <t>1818 | Program Office</t>
  </si>
  <si>
    <t>1814 | Program Office</t>
  </si>
  <si>
    <t>1810 | Program Office</t>
  </si>
  <si>
    <t>1804 | Program Office</t>
  </si>
  <si>
    <t>1799 | Program Office</t>
  </si>
  <si>
    <t>1688 | Program Office</t>
  </si>
  <si>
    <t>1669 | Program Office</t>
  </si>
  <si>
    <t>1664 | Program Office</t>
  </si>
  <si>
    <t>1661 | Program Office</t>
  </si>
  <si>
    <t>1449 | Program Office</t>
  </si>
  <si>
    <t>1444 | Program Office</t>
  </si>
  <si>
    <t>1420 | Program Office</t>
  </si>
  <si>
    <t>1418 | Program Office</t>
  </si>
  <si>
    <t>1417 | Program Office</t>
  </si>
  <si>
    <t>1416 | Program Office</t>
  </si>
  <si>
    <t>1411 | Program Office</t>
  </si>
  <si>
    <t>1408 | Program Office</t>
  </si>
  <si>
    <t>1401 | Program Office</t>
  </si>
  <si>
    <t>1387 | Program Office</t>
  </si>
  <si>
    <t>1326 | Program Office</t>
  </si>
  <si>
    <t>1325 | Program Office</t>
  </si>
  <si>
    <t>1293 | Program Office</t>
  </si>
  <si>
    <t>995 | Program Office</t>
  </si>
  <si>
    <t>946 | Program Office</t>
  </si>
  <si>
    <t>942 | Program Office</t>
  </si>
  <si>
    <t>941 | Program Office</t>
  </si>
  <si>
    <t>920 | Program Office</t>
  </si>
  <si>
    <t>913 | Program Office</t>
  </si>
  <si>
    <t>901 | Program Office</t>
  </si>
  <si>
    <t>835 | Program Office</t>
  </si>
  <si>
    <t>834 | Program Office</t>
  </si>
  <si>
    <t>822 | Program Office</t>
  </si>
  <si>
    <t>800 | Program Office</t>
  </si>
  <si>
    <t>794 | Program Office</t>
  </si>
  <si>
    <t>792 | Program Office</t>
  </si>
  <si>
    <t>766 | Program Office</t>
  </si>
  <si>
    <t>765 | Program Office</t>
  </si>
  <si>
    <t>Officer</t>
  </si>
  <si>
    <t>761 | Program Office</t>
  </si>
  <si>
    <t>730 | Program Office</t>
  </si>
  <si>
    <t>720 | Program Office</t>
  </si>
  <si>
    <t>680 | Program Office</t>
  </si>
  <si>
    <t>659 | Program Office</t>
  </si>
  <si>
    <t>655 | Program Office</t>
  </si>
  <si>
    <t>636 | Program Office</t>
  </si>
  <si>
    <t>577 | Program Office</t>
  </si>
  <si>
    <t>575 | Program Office</t>
  </si>
  <si>
    <t>573 | Program Office</t>
  </si>
  <si>
    <t>492 | Program Office</t>
  </si>
  <si>
    <t>491 | Program Office</t>
  </si>
  <si>
    <t>483 | Program Office</t>
  </si>
  <si>
    <t>480 | Program Office</t>
  </si>
  <si>
    <t>476 | Program Office</t>
  </si>
  <si>
    <t>390 | Program Office</t>
  </si>
  <si>
    <t>388 | Program Office</t>
  </si>
  <si>
    <t>386 | Program Office</t>
  </si>
  <si>
    <t>381 | Program Office</t>
  </si>
  <si>
    <t>372 | Program Office</t>
  </si>
  <si>
    <t>318 | Program Office</t>
  </si>
  <si>
    <t>316 | Program Office</t>
  </si>
  <si>
    <t>314 | Program Office</t>
  </si>
  <si>
    <t>312 | Program Office</t>
  </si>
  <si>
    <t>187 | Program Office</t>
  </si>
  <si>
    <t>181 | Program Office</t>
  </si>
  <si>
    <t>140 | Program Office</t>
  </si>
  <si>
    <t>139 | Program Office</t>
  </si>
  <si>
    <t>136 | Program Office</t>
  </si>
  <si>
    <t>132 | Program Office</t>
  </si>
  <si>
    <t>66 | Program Office</t>
  </si>
  <si>
    <t>2540 | Program Office</t>
  </si>
  <si>
    <t>Program Office - Executive</t>
  </si>
  <si>
    <t>2531 | Program Office</t>
  </si>
  <si>
    <t>2265 | Program Office</t>
  </si>
  <si>
    <t>2127 | Program Office</t>
  </si>
  <si>
    <t>2120 | Program Office</t>
  </si>
  <si>
    <t>2115 | Program Office</t>
  </si>
  <si>
    <t>1857 | Program Office</t>
  </si>
  <si>
    <t>1820 | Program Office</t>
  </si>
  <si>
    <t>1816 | Program Office</t>
  </si>
  <si>
    <t>1809 | Program Office</t>
  </si>
  <si>
    <t>993 | Program Office</t>
  </si>
  <si>
    <t>949 | Program Office</t>
  </si>
  <si>
    <t>914 | Program Office</t>
  </si>
  <si>
    <t>906 | Program Office</t>
  </si>
  <si>
    <t>904 | Program Office</t>
  </si>
  <si>
    <t>830 | Program Office</t>
  </si>
  <si>
    <t>791 | Program Office</t>
  </si>
  <si>
    <t>763 | Program Office</t>
  </si>
  <si>
    <t>728 | Program Office</t>
  </si>
  <si>
    <t>719 | Program Office</t>
  </si>
  <si>
    <t>716 | Program Office</t>
  </si>
  <si>
    <t>713 | Program Office</t>
  </si>
  <si>
    <t>679 | Program Office</t>
  </si>
  <si>
    <t>675 | Program Office</t>
  </si>
  <si>
    <t>671 | Program Office</t>
  </si>
  <si>
    <t>658 | Program Office</t>
  </si>
  <si>
    <t>653 | Program Office</t>
  </si>
  <si>
    <t>639 | Program Office</t>
  </si>
  <si>
    <t>618 | Program Office</t>
  </si>
  <si>
    <t>579 | Program Office</t>
  </si>
  <si>
    <t>494 | Program Office</t>
  </si>
  <si>
    <t>493 | Program Office</t>
  </si>
  <si>
    <t>485 | Program Office</t>
  </si>
  <si>
    <t>484 | Program Office</t>
  </si>
  <si>
    <t>477 | Program Office</t>
  </si>
  <si>
    <t>475 | Program Office</t>
  </si>
  <si>
    <t>385 | Program Office</t>
  </si>
  <si>
    <t>378 | Program Office</t>
  </si>
  <si>
    <t>375 | Program Office</t>
  </si>
  <si>
    <t>315 | Program Office</t>
  </si>
  <si>
    <t>189 | Program Office</t>
  </si>
  <si>
    <t>131 | Program Office</t>
  </si>
  <si>
    <t>70 | Program Office</t>
  </si>
  <si>
    <t>63 | Program Office</t>
  </si>
  <si>
    <t>62 | Program Office</t>
  </si>
  <si>
    <t>10 | Program Office</t>
  </si>
  <si>
    <t>8 | Program Office</t>
  </si>
  <si>
    <t>2974 | Program Office</t>
  </si>
  <si>
    <t>Program Office - Associate</t>
  </si>
  <si>
    <t>2972 | Program Office</t>
  </si>
  <si>
    <t>2969 | Program Office</t>
  </si>
  <si>
    <t>2967 | Program Office</t>
  </si>
  <si>
    <t>2885 | Program Office</t>
  </si>
  <si>
    <t>2884 | Program Office</t>
  </si>
  <si>
    <t>2881 | Program Office</t>
  </si>
  <si>
    <t>2857 | Program Office</t>
  </si>
  <si>
    <t>2854 | Program Office</t>
  </si>
  <si>
    <t>2840 | Program Office</t>
  </si>
  <si>
    <t>2836 | Program Office</t>
  </si>
  <si>
    <t>2833 | Program Office</t>
  </si>
  <si>
    <t>2786 | Program Office</t>
  </si>
  <si>
    <t>2783 | Program Office</t>
  </si>
  <si>
    <t>2782 | Program Office</t>
  </si>
  <si>
    <t>2781 | Program Office</t>
  </si>
  <si>
    <t>2736 | Program Office</t>
  </si>
  <si>
    <t>2566 | Program Office</t>
  </si>
  <si>
    <t>2563 | Program Office</t>
  </si>
  <si>
    <t>2559 | Program Office</t>
  </si>
  <si>
    <t>2556 | Program Office</t>
  </si>
  <si>
    <t>2554 | Program Office</t>
  </si>
  <si>
    <t>2538 | Program Office</t>
  </si>
  <si>
    <t>2517 | Program Office</t>
  </si>
  <si>
    <t>2513 | Program Office</t>
  </si>
  <si>
    <t>2512 | Program Office</t>
  </si>
  <si>
    <t>2459 | Program Office</t>
  </si>
  <si>
    <t>2452 | Program Office</t>
  </si>
  <si>
    <t>2449 | Program Office</t>
  </si>
  <si>
    <t>2448 | Program Office</t>
  </si>
  <si>
    <t>2408 | Program Office</t>
  </si>
  <si>
    <t>2404 | Program Office</t>
  </si>
  <si>
    <t>2382 | Program Office</t>
  </si>
  <si>
    <t>2369 | Program Office</t>
  </si>
  <si>
    <t>2368 | Program Office</t>
  </si>
  <si>
    <t>2364 | Program Office</t>
  </si>
  <si>
    <t>2363 | Program Office</t>
  </si>
  <si>
    <t>2361 | Program Office</t>
  </si>
  <si>
    <t>2316 | Program Office</t>
  </si>
  <si>
    <t>2312 | Program Office</t>
  </si>
  <si>
    <t>2246 | Program Office</t>
  </si>
  <si>
    <t>2167 | Program Office</t>
  </si>
  <si>
    <t>2165 | Program Office</t>
  </si>
  <si>
    <t>Business Partner</t>
  </si>
  <si>
    <t>2130 | Program Office</t>
  </si>
  <si>
    <t>2128 | Program Office</t>
  </si>
  <si>
    <t>2126 | Program Office</t>
  </si>
  <si>
    <t>2119 | Program Office</t>
  </si>
  <si>
    <t>2064 | Program Office</t>
  </si>
  <si>
    <t>2062 | Program Office</t>
  </si>
  <si>
    <t>2008 | Program Office</t>
  </si>
  <si>
    <t>2006 | Program Office</t>
  </si>
  <si>
    <t>2001 | Program Office</t>
  </si>
  <si>
    <t>1985 | Program Office</t>
  </si>
  <si>
    <t>1972 | Program Office</t>
  </si>
  <si>
    <t>1969 | Program Office</t>
  </si>
  <si>
    <t>1964 | Program Office</t>
  </si>
  <si>
    <t>1961 | Program Office</t>
  </si>
  <si>
    <t>1817 | Program Office</t>
  </si>
  <si>
    <t>1800 | Program Office</t>
  </si>
  <si>
    <t>1791 | Program Office</t>
  </si>
  <si>
    <t>1690 | Program Office</t>
  </si>
  <si>
    <t>1685 | Program Office</t>
  </si>
  <si>
    <t>1668 | Program Office</t>
  </si>
  <si>
    <t>1667 | Program Office</t>
  </si>
  <si>
    <t>1665 | Program Office</t>
  </si>
  <si>
    <t>1448 | Program Office</t>
  </si>
  <si>
    <t>1445 | Program Office</t>
  </si>
  <si>
    <t>1443 | Program Office</t>
  </si>
  <si>
    <t>1415 | Program Office</t>
  </si>
  <si>
    <t>1413 | Program Office</t>
  </si>
  <si>
    <t>1409 | Program Office</t>
  </si>
  <si>
    <t>1407 | Program Office</t>
  </si>
  <si>
    <t>1299 | Program Office</t>
  </si>
  <si>
    <t>1296 | Program Office</t>
  </si>
  <si>
    <t>1292 | Program Office</t>
  </si>
  <si>
    <t>1159 | Program Office</t>
  </si>
  <si>
    <t>1158 | Program Office</t>
  </si>
  <si>
    <t>996 | Program Office</t>
  </si>
  <si>
    <t>955 | Program Office</t>
  </si>
  <si>
    <t>954 | Program Office</t>
  </si>
  <si>
    <t>952 | Program Office</t>
  </si>
  <si>
    <t>951 | Program Office</t>
  </si>
  <si>
    <t>943 | Program Office</t>
  </si>
  <si>
    <t>918 | Program Office</t>
  </si>
  <si>
    <t>917 | Program Office</t>
  </si>
  <si>
    <t>909 | Program Office</t>
  </si>
  <si>
    <t>902 | Program Office</t>
  </si>
  <si>
    <t>839 | Program Office</t>
  </si>
  <si>
    <t>832 | Program Office</t>
  </si>
  <si>
    <t>831 | Program Office</t>
  </si>
  <si>
    <t>823 | Program Office</t>
  </si>
  <si>
    <t>770 | Program Office</t>
  </si>
  <si>
    <t>717 | Program Office</t>
  </si>
  <si>
    <t>714 | Program Office</t>
  </si>
  <si>
    <t>673 | Program Office</t>
  </si>
  <si>
    <t>672 | Program Office</t>
  </si>
  <si>
    <t>660 | Program Office</t>
  </si>
  <si>
    <t>656 | Program Office</t>
  </si>
  <si>
    <t>637 | Program Office</t>
  </si>
  <si>
    <t>612 | Program Office</t>
  </si>
  <si>
    <t>571 | Program Office</t>
  </si>
  <si>
    <t>495 | Program Office</t>
  </si>
  <si>
    <t>488 | Program Office</t>
  </si>
  <si>
    <t>473 | Program Office</t>
  </si>
  <si>
    <t>383 | Program Office</t>
  </si>
  <si>
    <t>379 | Program Office</t>
  </si>
  <si>
    <t>373 | Program Office</t>
  </si>
  <si>
    <t>313 | Program Office</t>
  </si>
  <si>
    <t>190 | Program Office</t>
  </si>
  <si>
    <t>186 | Program Office</t>
  </si>
  <si>
    <t>183 | Program Office</t>
  </si>
  <si>
    <t>134 | Program Office</t>
  </si>
  <si>
    <t>69 | Program Office</t>
  </si>
  <si>
    <t>6 | Program Office</t>
  </si>
  <si>
    <t>1 | Program Office</t>
  </si>
  <si>
    <t>2895 | Communication and Advocacy</t>
  </si>
  <si>
    <t>Operations</t>
  </si>
  <si>
    <t>Operations - Junior</t>
  </si>
  <si>
    <t>Controller</t>
  </si>
  <si>
    <t>2728 | Communication and Advocacy</t>
  </si>
  <si>
    <t>2332 | Communication and Advocacy</t>
  </si>
  <si>
    <t>2255 | Communication and Advocacy</t>
  </si>
  <si>
    <t>2146 | Communication and Advocacy</t>
  </si>
  <si>
    <t>1906 | Communication and Advocacy</t>
  </si>
  <si>
    <t>1898 | Communication and Advocacy</t>
  </si>
  <si>
    <t>1892 | Communication and Advocacy</t>
  </si>
  <si>
    <t>1773 | Communication and Advocacy</t>
  </si>
  <si>
    <t>1646 | Communication and Advocacy</t>
  </si>
  <si>
    <t>1577 | Communication and Advocacy</t>
  </si>
  <si>
    <t>1507 | Communication and Advocacy</t>
  </si>
  <si>
    <t>1423 | Communication and Advocacy</t>
  </si>
  <si>
    <t>1272 | Communication and Advocacy</t>
  </si>
  <si>
    <t>1216 | Communication and Advocacy</t>
  </si>
  <si>
    <t>1186 | Communication and Advocacy</t>
  </si>
  <si>
    <t>1129 | Communication and Advocacy</t>
  </si>
  <si>
    <t>1082 | Communication and Advocacy</t>
  </si>
  <si>
    <t>1046 | Communication and Advocacy</t>
  </si>
  <si>
    <t>940 | Communication and Advocacy</t>
  </si>
  <si>
    <t>848 | Communication and Advocacy</t>
  </si>
  <si>
    <t>819 | Communication and Advocacy</t>
  </si>
  <si>
    <t>814 | Communication and Advocacy</t>
  </si>
  <si>
    <t>790 | Communication and Advocacy</t>
  </si>
  <si>
    <t>736 | Communication and Advocacy</t>
  </si>
  <si>
    <t>733 | Communication and Advocacy</t>
  </si>
  <si>
    <t>681 | Communication and Advocacy</t>
  </si>
  <si>
    <t>568 | Communication and Advocacy</t>
  </si>
  <si>
    <t>565 | Communication and Advocacy</t>
  </si>
  <si>
    <t>438 | Communication and Advocacy</t>
  </si>
  <si>
    <t>435 | Communication and Advocacy</t>
  </si>
  <si>
    <t>370 | Communication and Advocacy</t>
  </si>
  <si>
    <t>361 | Communication and Advocacy</t>
  </si>
  <si>
    <t>359 | Communication and Advocacy</t>
  </si>
  <si>
    <t>2892 | Communication and Advocacy</t>
  </si>
  <si>
    <t>Operations - Executive</t>
  </si>
  <si>
    <t>Lead</t>
  </si>
  <si>
    <t>2663 | Communication and Advocacy</t>
  </si>
  <si>
    <t>1901 | Communication and Advocacy</t>
  </si>
  <si>
    <t>1539 | Communication and Advocacy</t>
  </si>
  <si>
    <t>1454 | Communication and Advocacy</t>
  </si>
  <si>
    <t>1130 | Communication and Advocacy</t>
  </si>
  <si>
    <t>1123 | Communication and Advocacy</t>
  </si>
  <si>
    <t>937 | Communication and Advocacy</t>
  </si>
  <si>
    <t>935 | Communication and Advocacy</t>
  </si>
  <si>
    <t>934 | Communication and Advocacy</t>
  </si>
  <si>
    <t>932 | Communication and Advocacy</t>
  </si>
  <si>
    <t>845 | Communication and Advocacy</t>
  </si>
  <si>
    <t>844 | Communication and Advocacy</t>
  </si>
  <si>
    <t>842 | Communication and Advocacy</t>
  </si>
  <si>
    <t>785 | Communication and Advocacy</t>
  </si>
  <si>
    <t>740 | Communication and Advocacy</t>
  </si>
  <si>
    <t>686 | Communication and Advocacy</t>
  </si>
  <si>
    <t>562 | Communication and Advocacy</t>
  </si>
  <si>
    <t>561 | Communication and Advocacy</t>
  </si>
  <si>
    <t>431 | Communication and Advocacy</t>
  </si>
  <si>
    <t>328 | Communication and Advocacy</t>
  </si>
  <si>
    <t>322 | Communication and Advocacy</t>
  </si>
  <si>
    <t>321 | Communication and Advocacy</t>
  </si>
  <si>
    <t>291 | Communication and Advocacy</t>
  </si>
  <si>
    <t>276 | Communication and Advocacy</t>
  </si>
  <si>
    <t>275 | Communication and Advocacy</t>
  </si>
  <si>
    <t>250 | Communication and Advocacy</t>
  </si>
  <si>
    <t>248 | Communication and Advocacy</t>
  </si>
  <si>
    <t>246 | Communication and Advocacy</t>
  </si>
  <si>
    <t>245 | Communication and Advocacy</t>
  </si>
  <si>
    <t>243 | Communication and Advocacy</t>
  </si>
  <si>
    <t>198 | Communication and Advocacy</t>
  </si>
  <si>
    <t>195 | Communication and Advocacy</t>
  </si>
  <si>
    <t>193 | Communication and Advocacy</t>
  </si>
  <si>
    <t>161 | Communication and Advocacy</t>
  </si>
  <si>
    <t>121 | Communication and Advocacy</t>
  </si>
  <si>
    <t>46 | Communication and Advocacy</t>
  </si>
  <si>
    <t>2641 | Communication and Advocacy</t>
  </si>
  <si>
    <t>Operations - Associate</t>
  </si>
  <si>
    <t>2413 | Communication and Advocacy</t>
  </si>
  <si>
    <t>2333 | Communication and Advocacy</t>
  </si>
  <si>
    <t>2253 | Communication and Advocacy</t>
  </si>
  <si>
    <t>2150 | Communication and Advocacy</t>
  </si>
  <si>
    <t>2052 | Communication and Advocacy</t>
  </si>
  <si>
    <t>1897 | Communication and Advocacy</t>
  </si>
  <si>
    <t>1747 | Communication and Advocacy</t>
  </si>
  <si>
    <t>1428 | Communication and Advocacy</t>
  </si>
  <si>
    <t>1211 | Communication and Advocacy</t>
  </si>
  <si>
    <t>1139 | Communication and Advocacy</t>
  </si>
  <si>
    <t>1022 | Communication and Advocacy</t>
  </si>
  <si>
    <t>936 | Communication and Advocacy</t>
  </si>
  <si>
    <t>850 | Communication and Advocacy</t>
  </si>
  <si>
    <t>818 | Communication and Advocacy</t>
  </si>
  <si>
    <t>817 | Communication and Advocacy</t>
  </si>
  <si>
    <t>813 | Communication and Advocacy</t>
  </si>
  <si>
    <t>812 | Communication and Advocacy</t>
  </si>
  <si>
    <t>788 | Communication and Advocacy</t>
  </si>
  <si>
    <t>786 | Communication and Advocacy</t>
  </si>
  <si>
    <t>783 | Communication and Advocacy</t>
  </si>
  <si>
    <t>732 | Communication and Advocacy</t>
  </si>
  <si>
    <t>731 | Communication and Advocacy</t>
  </si>
  <si>
    <t>690 | Communication and Advocacy</t>
  </si>
  <si>
    <t>683 | Communication and Advocacy</t>
  </si>
  <si>
    <t>564 | Communication and Advocacy</t>
  </si>
  <si>
    <t>440 | Communication and Advocacy</t>
  </si>
  <si>
    <t>436 | Communication and Advocacy</t>
  </si>
  <si>
    <t>433 | Communication and Advocacy</t>
  </si>
  <si>
    <t>368 | Communication and Advocacy</t>
  </si>
  <si>
    <t>367 | Communication and Advocacy</t>
  </si>
  <si>
    <t>362 | Communication and Advocacy</t>
  </si>
  <si>
    <t>356 | Communication and Advocacy</t>
  </si>
  <si>
    <t>351 | Communication and Advocacy</t>
  </si>
  <si>
    <t>325 | Communication and Advocacy</t>
  </si>
  <si>
    <t>300 | Communication and Advocacy</t>
  </si>
  <si>
    <t>299 | Communication and Advocacy</t>
  </si>
  <si>
    <t>295 | Communication and Advocacy</t>
  </si>
  <si>
    <t>294 | Communication and Advocacy</t>
  </si>
  <si>
    <t>292 | Communication and Advocacy</t>
  </si>
  <si>
    <t>200 | Communication and Advocacy</t>
  </si>
  <si>
    <t>191 | Communication and Advocacy</t>
  </si>
  <si>
    <t>164 | Communication and Advocacy</t>
  </si>
  <si>
    <t>162 | Communication and Advocacy</t>
  </si>
  <si>
    <t>89 | Communication and Advocacy</t>
  </si>
  <si>
    <t>83 | Communication and Advocacy</t>
  </si>
  <si>
    <t>82 | Communication and Advocacy</t>
  </si>
  <si>
    <t>45 | Communication and Advocacy</t>
  </si>
  <si>
    <t>2988 | M and E</t>
  </si>
  <si>
    <t>M and E</t>
  </si>
  <si>
    <t>M and E - Senior Management</t>
  </si>
  <si>
    <t>2981 | M and E</t>
  </si>
  <si>
    <t>2902 | M and E</t>
  </si>
  <si>
    <t>2901 | M and E</t>
  </si>
  <si>
    <t>2817 | M and E</t>
  </si>
  <si>
    <t>2696 | M and E</t>
  </si>
  <si>
    <t>2347 | M and E</t>
  </si>
  <si>
    <t>2298 | M and E</t>
  </si>
  <si>
    <t>2048 | M and E</t>
  </si>
  <si>
    <t>2019 | M and E</t>
  </si>
  <si>
    <t>1948 | M and E</t>
  </si>
  <si>
    <t>1840 | M and E</t>
  </si>
  <si>
    <t>1781 | M and E</t>
  </si>
  <si>
    <t>1728 | M and E</t>
  </si>
  <si>
    <t>1371 | M and E</t>
  </si>
  <si>
    <t>1058 | M and E</t>
  </si>
  <si>
    <t>2986 | M and E</t>
  </si>
  <si>
    <t>M and E - Senior</t>
  </si>
  <si>
    <t>Auditor</t>
  </si>
  <si>
    <t>2903 | M and E</t>
  </si>
  <si>
    <t>2873 | M and E</t>
  </si>
  <si>
    <t>2872 | M and E</t>
  </si>
  <si>
    <t>2820 | M and E</t>
  </si>
  <si>
    <t>2813 | M and E</t>
  </si>
  <si>
    <t>2715 | M and E</t>
  </si>
  <si>
    <t>2712 | M and E</t>
  </si>
  <si>
    <t>2711 | M and E</t>
  </si>
  <si>
    <t>2700 | M and E</t>
  </si>
  <si>
    <t>2698 | M and E</t>
  </si>
  <si>
    <t>2697 | M and E</t>
  </si>
  <si>
    <t>2654 | M and E</t>
  </si>
  <si>
    <t>2651 | M and E</t>
  </si>
  <si>
    <t>2499 | M and E</t>
  </si>
  <si>
    <t>2498 | M and E</t>
  </si>
  <si>
    <t>2494 | M and E</t>
  </si>
  <si>
    <t>2346 | M and E</t>
  </si>
  <si>
    <t>2208 | M and E</t>
  </si>
  <si>
    <t>2207 | M and E</t>
  </si>
  <si>
    <t>2205 | M and E</t>
  </si>
  <si>
    <t>2184 | M and E</t>
  </si>
  <si>
    <t>2183 | M and E</t>
  </si>
  <si>
    <t>2181 | M and E</t>
  </si>
  <si>
    <t>2080 | M and E</t>
  </si>
  <si>
    <t>2075 | M and E</t>
  </si>
  <si>
    <t>2074 | M and E</t>
  </si>
  <si>
    <t>2049 | M and E</t>
  </si>
  <si>
    <t>2046 | M and E</t>
  </si>
  <si>
    <t>2041 | M and E</t>
  </si>
  <si>
    <t>2017 | M and E</t>
  </si>
  <si>
    <t>2014 | M and E</t>
  </si>
  <si>
    <t>2011 | M and E</t>
  </si>
  <si>
    <t>1949 | M and E</t>
  </si>
  <si>
    <t>1946 | M and E</t>
  </si>
  <si>
    <t>1941 | M and E</t>
  </si>
  <si>
    <t>1836 | M and E</t>
  </si>
  <si>
    <t>1788 | M and E</t>
  </si>
  <si>
    <t>1784 | M and E</t>
  </si>
  <si>
    <t>1767 | M and E</t>
  </si>
  <si>
    <t>1766 | M and E</t>
  </si>
  <si>
    <t>1763 | M and E</t>
  </si>
  <si>
    <t>1761 | M and E</t>
  </si>
  <si>
    <t>1660 | M and E</t>
  </si>
  <si>
    <t>1655 | M and E</t>
  </si>
  <si>
    <t>1653 | M and E</t>
  </si>
  <si>
    <t>1630 | M and E</t>
  </si>
  <si>
    <t>1627 | M and E</t>
  </si>
  <si>
    <t>1480 | M and E</t>
  </si>
  <si>
    <t>1476 | M and E</t>
  </si>
  <si>
    <t>1474 | M and E</t>
  </si>
  <si>
    <t>1472 | M and E</t>
  </si>
  <si>
    <t>1471 | M and E</t>
  </si>
  <si>
    <t>1380 | M and E</t>
  </si>
  <si>
    <t>1375 | M and E</t>
  </si>
  <si>
    <t>1349 | M and E</t>
  </si>
  <si>
    <t>1344 | M and E</t>
  </si>
  <si>
    <t>1092 | M and E</t>
  </si>
  <si>
    <t>1052 | M and E</t>
  </si>
  <si>
    <t>1051 | M and E</t>
  </si>
  <si>
    <t>1006 | M and E</t>
  </si>
  <si>
    <t>1004 | M and E</t>
  </si>
  <si>
    <t>1003 | M and E</t>
  </si>
  <si>
    <t>990 | M and E</t>
  </si>
  <si>
    <t>989 | M and E</t>
  </si>
  <si>
    <t>988 | M and E</t>
  </si>
  <si>
    <t>986 | M and E</t>
  </si>
  <si>
    <t>985 | M and E</t>
  </si>
  <si>
    <t>983 | M and E</t>
  </si>
  <si>
    <t>878 | M and E</t>
  </si>
  <si>
    <t>874 | M and E</t>
  </si>
  <si>
    <t>753 | M and E</t>
  </si>
  <si>
    <t>700 | M and E</t>
  </si>
  <si>
    <t>645 | M and E</t>
  </si>
  <si>
    <t>644 | M and E</t>
  </si>
  <si>
    <t>558 | M and E</t>
  </si>
  <si>
    <t>554 | M and E</t>
  </si>
  <si>
    <t>2989 | M and E</t>
  </si>
  <si>
    <t>M and E - Manager Level</t>
  </si>
  <si>
    <t>2907 | M and E</t>
  </si>
  <si>
    <t>2880 | M and E</t>
  </si>
  <si>
    <t>2876 | M and E</t>
  </si>
  <si>
    <t>2875 | M and E</t>
  </si>
  <si>
    <t>2871 | M and E</t>
  </si>
  <si>
    <t>2811 | M and E</t>
  </si>
  <si>
    <t>2718 | M and E</t>
  </si>
  <si>
    <t>2714 | M and E</t>
  </si>
  <si>
    <t>2652 | M and E</t>
  </si>
  <si>
    <t>2608 | M and E</t>
  </si>
  <si>
    <t>2605 | M and E</t>
  </si>
  <si>
    <t>2470 | M and E</t>
  </si>
  <si>
    <t>2466 | M and E</t>
  </si>
  <si>
    <t>2433 | M and E</t>
  </si>
  <si>
    <t>2350 | M and E</t>
  </si>
  <si>
    <t>2343 | M and E</t>
  </si>
  <si>
    <t>2182 | M and E</t>
  </si>
  <si>
    <t>2079 | M and E</t>
  </si>
  <si>
    <t>2076 | M and E</t>
  </si>
  <si>
    <t>2020 | M and E</t>
  </si>
  <si>
    <t>1950 | M and E</t>
  </si>
  <si>
    <t>1945 | M and E</t>
  </si>
  <si>
    <t>1942 | M and E</t>
  </si>
  <si>
    <t>1927 | M and E</t>
  </si>
  <si>
    <t>1923 | M and E</t>
  </si>
  <si>
    <t>1839 | M and E</t>
  </si>
  <si>
    <t>1790 | M and E</t>
  </si>
  <si>
    <t>1782 | M and E</t>
  </si>
  <si>
    <t>1768 | M and E</t>
  </si>
  <si>
    <t>1765 | M and E</t>
  </si>
  <si>
    <t>1764 | M and E</t>
  </si>
  <si>
    <t>1729 | M and E</t>
  </si>
  <si>
    <t>1721 | M and E</t>
  </si>
  <si>
    <t>1651 | M and E</t>
  </si>
  <si>
    <t>1626 | M and E</t>
  </si>
  <si>
    <t>1610 | M and E</t>
  </si>
  <si>
    <t>1609 | M and E</t>
  </si>
  <si>
    <t>1608 | M and E</t>
  </si>
  <si>
    <t>1604 | M and E</t>
  </si>
  <si>
    <t>1475 | M and E</t>
  </si>
  <si>
    <t>1055 | M and E</t>
  </si>
  <si>
    <t>1001 | M and E</t>
  </si>
  <si>
    <t>982 | M and E</t>
  </si>
  <si>
    <t>873 | M and E</t>
  </si>
  <si>
    <t>871 | M and E</t>
  </si>
  <si>
    <t>752 | M and E</t>
  </si>
  <si>
    <t>699 | M and E</t>
  </si>
  <si>
    <t>698 | M and E</t>
  </si>
  <si>
    <t>696 | M and E</t>
  </si>
  <si>
    <t>695 | M and E</t>
  </si>
  <si>
    <t>648 | M and E</t>
  </si>
  <si>
    <t>643 | M and E</t>
  </si>
  <si>
    <t>642 | M and E</t>
  </si>
  <si>
    <t>589 | M and E</t>
  </si>
  <si>
    <t>586 | M and E</t>
  </si>
  <si>
    <t>585 | M and E</t>
  </si>
  <si>
    <t>584 | M and E</t>
  </si>
  <si>
    <t>581 | M and E</t>
  </si>
  <si>
    <t>555 | M and E</t>
  </si>
  <si>
    <t>542 | M and E</t>
  </si>
  <si>
    <t>529 | M and E</t>
  </si>
  <si>
    <t>526 | M and E</t>
  </si>
  <si>
    <t>2908 | M and E</t>
  </si>
  <si>
    <t>M and E - Junior</t>
  </si>
  <si>
    <t>2906 | M and E</t>
  </si>
  <si>
    <t>2904 | M and E</t>
  </si>
  <si>
    <t>2812 | M and E</t>
  </si>
  <si>
    <t>2720 | M and E</t>
  </si>
  <si>
    <t>2719 | M and E</t>
  </si>
  <si>
    <t>2693 | M and E</t>
  </si>
  <si>
    <t>2659 | M and E</t>
  </si>
  <si>
    <t>2658 | M and E</t>
  </si>
  <si>
    <t>2656 | M and E</t>
  </si>
  <si>
    <t>2655 | M and E</t>
  </si>
  <si>
    <t>2610 | M and E</t>
  </si>
  <si>
    <t>2609 | M and E</t>
  </si>
  <si>
    <t>2606 | M and E</t>
  </si>
  <si>
    <t>2603 | M and E</t>
  </si>
  <si>
    <t>2602 | M and E</t>
  </si>
  <si>
    <t>2496 | M and E</t>
  </si>
  <si>
    <t>2492 | M and E</t>
  </si>
  <si>
    <t>2469 | M and E</t>
  </si>
  <si>
    <t>2464 | M and E</t>
  </si>
  <si>
    <t>2432 | M and E</t>
  </si>
  <si>
    <t>2344 | M and E</t>
  </si>
  <si>
    <t>2209 | M and E</t>
  </si>
  <si>
    <t>2206 | M and E</t>
  </si>
  <si>
    <t>2188 | M and E</t>
  </si>
  <si>
    <t>2186 | M and E</t>
  </si>
  <si>
    <t>2185 | M and E</t>
  </si>
  <si>
    <t>2077 | M and E</t>
  </si>
  <si>
    <t>2016 | M and E</t>
  </si>
  <si>
    <t>2013 | M and E</t>
  </si>
  <si>
    <t>1944 | M and E</t>
  </si>
  <si>
    <t>1922 | M and E</t>
  </si>
  <si>
    <t>1834 | M and E</t>
  </si>
  <si>
    <t>1789 | M and E</t>
  </si>
  <si>
    <t>1786 | M and E</t>
  </si>
  <si>
    <t>1783 | M and E</t>
  </si>
  <si>
    <t>1769 | M and E</t>
  </si>
  <si>
    <t>1762 | M and E</t>
  </si>
  <si>
    <t>1725 | M and E</t>
  </si>
  <si>
    <t>1723 | M and E</t>
  </si>
  <si>
    <t>1622 | M and E</t>
  </si>
  <si>
    <t>1607 | M and E</t>
  </si>
  <si>
    <t>1606 | M and E</t>
  </si>
  <si>
    <t>1605 | M and E</t>
  </si>
  <si>
    <t>1601 | M and E</t>
  </si>
  <si>
    <t>1479 | M and E</t>
  </si>
  <si>
    <t>1379 | M and E</t>
  </si>
  <si>
    <t>1377 | M and E</t>
  </si>
  <si>
    <t>1350 | M and E</t>
  </si>
  <si>
    <t>1347 | M and E</t>
  </si>
  <si>
    <t>1346 | M and E</t>
  </si>
  <si>
    <t>1341 | M and E</t>
  </si>
  <si>
    <t>1095 | M and E</t>
  </si>
  <si>
    <t>1053 | M and E</t>
  </si>
  <si>
    <t>1002 | M and E</t>
  </si>
  <si>
    <t>984 | M and E</t>
  </si>
  <si>
    <t>880 | M and E</t>
  </si>
  <si>
    <t>758 | M and E</t>
  </si>
  <si>
    <t>755 | M and E</t>
  </si>
  <si>
    <t>754 | M and E</t>
  </si>
  <si>
    <t>692 | M and E</t>
  </si>
  <si>
    <t>559 | M and E</t>
  </si>
  <si>
    <t>553 | M and E</t>
  </si>
  <si>
    <t>552 | M and E</t>
  </si>
  <si>
    <t>551 | M and E</t>
  </si>
  <si>
    <t>547 | M and E</t>
  </si>
  <si>
    <t>545 | M and E</t>
  </si>
  <si>
    <t>541 | M and E</t>
  </si>
  <si>
    <t>2982 | M and E</t>
  </si>
  <si>
    <t>M and E - Executive</t>
  </si>
  <si>
    <t>2462 | M and E</t>
  </si>
  <si>
    <t>2341 | M and E</t>
  </si>
  <si>
    <t>2291 | M and E</t>
  </si>
  <si>
    <t>2201 | M and E</t>
  </si>
  <si>
    <t>2078 | M and E</t>
  </si>
  <si>
    <t>2073 | M and E</t>
  </si>
  <si>
    <t>2050 | M and E</t>
  </si>
  <si>
    <t>1929 | M and E</t>
  </si>
  <si>
    <t>875 | M and E</t>
  </si>
  <si>
    <t>756 | M and E</t>
  </si>
  <si>
    <t>697 | M and E</t>
  </si>
  <si>
    <t>649 | M and E</t>
  </si>
  <si>
    <t>Associate Director</t>
  </si>
  <si>
    <t>647 | M and E</t>
  </si>
  <si>
    <t>582 | M and E</t>
  </si>
  <si>
    <t>560 | M and E</t>
  </si>
  <si>
    <t>556 | M and E</t>
  </si>
  <si>
    <t>544 | M and E</t>
  </si>
  <si>
    <t>2878 | M and E</t>
  </si>
  <si>
    <t>M and E - Associate</t>
  </si>
  <si>
    <t>2874 | M and E</t>
  </si>
  <si>
    <t>2818 | M and E</t>
  </si>
  <si>
    <t>2815 | M and E</t>
  </si>
  <si>
    <t>2717 | M and E</t>
  </si>
  <si>
    <t>2716 | M and E</t>
  </si>
  <si>
    <t>2713 | M and E</t>
  </si>
  <si>
    <t>2699 | M and E</t>
  </si>
  <si>
    <t>2694 | M and E</t>
  </si>
  <si>
    <t>2660 | M and E</t>
  </si>
  <si>
    <t>2657 | M and E</t>
  </si>
  <si>
    <t>2653 | M and E</t>
  </si>
  <si>
    <t>2604 | M and E</t>
  </si>
  <si>
    <t>2601 | M and E</t>
  </si>
  <si>
    <t>2497 | M and E</t>
  </si>
  <si>
    <t>2493 | M and E</t>
  </si>
  <si>
    <t>2491 | M and E</t>
  </si>
  <si>
    <t>2467 | M and E</t>
  </si>
  <si>
    <t>2463 | M and E</t>
  </si>
  <si>
    <t>2440 | M and E</t>
  </si>
  <si>
    <t>2439 | M and E</t>
  </si>
  <si>
    <t>2438 | M and E</t>
  </si>
  <si>
    <t>2437 | M and E</t>
  </si>
  <si>
    <t>2436 | M and E</t>
  </si>
  <si>
    <t>2349 | M and E</t>
  </si>
  <si>
    <t>2300 | M and E</t>
  </si>
  <si>
    <t>2296 | M and E</t>
  </si>
  <si>
    <t>2293 | M and E</t>
  </si>
  <si>
    <t>2292 | M and E</t>
  </si>
  <si>
    <t>2204 | M and E</t>
  </si>
  <si>
    <t>2202 | M and E</t>
  </si>
  <si>
    <t>2187 | M and E</t>
  </si>
  <si>
    <t>2072 | M and E</t>
  </si>
  <si>
    <t>2047 | M and E</t>
  </si>
  <si>
    <t>2015 | M and E</t>
  </si>
  <si>
    <t>1943 | M and E</t>
  </si>
  <si>
    <t>1926 | M and E</t>
  </si>
  <si>
    <t>1924 | M and E</t>
  </si>
  <si>
    <t>1835 | M and E</t>
  </si>
  <si>
    <t>1833 | M and E</t>
  </si>
  <si>
    <t>1787 | M and E</t>
  </si>
  <si>
    <t>1730 | M and E</t>
  </si>
  <si>
    <t>1726 | M and E</t>
  </si>
  <si>
    <t>1658 | M and E</t>
  </si>
  <si>
    <t>1656 | M and E</t>
  </si>
  <si>
    <t>1654 | M and E</t>
  </si>
  <si>
    <t>1628 | M and E</t>
  </si>
  <si>
    <t>1625 | M and E</t>
  </si>
  <si>
    <t>1623 | M and E</t>
  </si>
  <si>
    <t>1602 | M and E</t>
  </si>
  <si>
    <t>1478 | M and E</t>
  </si>
  <si>
    <t>1343 | M and E</t>
  </si>
  <si>
    <t>1096 | M and E</t>
  </si>
  <si>
    <t>1093 | M and E</t>
  </si>
  <si>
    <t>1060 | M and E</t>
  </si>
  <si>
    <t>1059 | M and E</t>
  </si>
  <si>
    <t>1057 | M and E</t>
  </si>
  <si>
    <t>1056 | M and E</t>
  </si>
  <si>
    <t>1009 | M and E</t>
  </si>
  <si>
    <t>1008 | M and E</t>
  </si>
  <si>
    <t>987 | M and E</t>
  </si>
  <si>
    <t>981 | M and E</t>
  </si>
  <si>
    <t>872 | M and E</t>
  </si>
  <si>
    <t>760 | M and E</t>
  </si>
  <si>
    <t>757 | M and E</t>
  </si>
  <si>
    <t>751 | M and E</t>
  </si>
  <si>
    <t>694 | M and E</t>
  </si>
  <si>
    <t>650 | M and E</t>
  </si>
  <si>
    <t>588 | M and E</t>
  </si>
  <si>
    <t>587 | M and E</t>
  </si>
  <si>
    <t>583 | M and E</t>
  </si>
  <si>
    <t>557 | M and E</t>
  </si>
  <si>
    <t>549 | M and E</t>
  </si>
  <si>
    <t>548 | M and E</t>
  </si>
  <si>
    <t>530 | M and E</t>
  </si>
  <si>
    <t>2947 | HR</t>
  </si>
  <si>
    <t>IT</t>
  </si>
  <si>
    <t>IT - Senior Management</t>
  </si>
  <si>
    <t>2943 | HR</t>
  </si>
  <si>
    <t>2896 | HR</t>
  </si>
  <si>
    <t>2723 | HR</t>
  </si>
  <si>
    <t>2583 | HR</t>
  </si>
  <si>
    <t>2581 | HR</t>
  </si>
  <si>
    <t>2377 | HR</t>
  </si>
  <si>
    <t>2254 | HR</t>
  </si>
  <si>
    <t>2055 | HR</t>
  </si>
  <si>
    <t>1958 | HR</t>
  </si>
  <si>
    <t>1957 | HR</t>
  </si>
  <si>
    <t>1918 | HR</t>
  </si>
  <si>
    <t>1916 | HR</t>
  </si>
  <si>
    <t>1645 | HR</t>
  </si>
  <si>
    <t>1452 | HR</t>
  </si>
  <si>
    <t>1273 | HR</t>
  </si>
  <si>
    <t>1220 | HR</t>
  </si>
  <si>
    <t>1165 | HR</t>
  </si>
  <si>
    <t>1089 | HR</t>
  </si>
  <si>
    <t>1050 | HR</t>
  </si>
  <si>
    <t>1029 | HR</t>
  </si>
  <si>
    <t>2942 | HR</t>
  </si>
  <si>
    <t>IT - Senior</t>
  </si>
  <si>
    <t>Quality Assurance</t>
  </si>
  <si>
    <t>2900 | HR</t>
  </si>
  <si>
    <t>2584 | HR</t>
  </si>
  <si>
    <t>2582 | HR</t>
  </si>
  <si>
    <t>2415 | HR</t>
  </si>
  <si>
    <t>2412 | HR</t>
  </si>
  <si>
    <t>2374 | HR</t>
  </si>
  <si>
    <t>2339 | HR</t>
  </si>
  <si>
    <t>2337 | HR</t>
  </si>
  <si>
    <t>2256 | HR</t>
  </si>
  <si>
    <t>2252 | HR</t>
  </si>
  <si>
    <t>2251 | HR</t>
  </si>
  <si>
    <t>1954 | HR</t>
  </si>
  <si>
    <t>1951 | HR</t>
  </si>
  <si>
    <t>1915 | HR</t>
  </si>
  <si>
    <t>1914 | HR</t>
  </si>
  <si>
    <t>1909 | HR</t>
  </si>
  <si>
    <t>1905 | HR</t>
  </si>
  <si>
    <t>1777 | HR</t>
  </si>
  <si>
    <t>1649 | HR</t>
  </si>
  <si>
    <t>1591 | HR</t>
  </si>
  <si>
    <t>1531 | HR</t>
  </si>
  <si>
    <t>1510 | HR</t>
  </si>
  <si>
    <t>1491 | HR</t>
  </si>
  <si>
    <t>1460 | HR</t>
  </si>
  <si>
    <t>1456 | HR</t>
  </si>
  <si>
    <t>1429 | HR</t>
  </si>
  <si>
    <t>1424 | HR</t>
  </si>
  <si>
    <t>1370 | HR</t>
  </si>
  <si>
    <t>1367 | HR</t>
  </si>
  <si>
    <t>1312 | HR</t>
  </si>
  <si>
    <t>1280 | HR</t>
  </si>
  <si>
    <t>1276 | HR</t>
  </si>
  <si>
    <t>1214 | HR</t>
  </si>
  <si>
    <t>1188 | HR</t>
  </si>
  <si>
    <t>1168 | HR</t>
  </si>
  <si>
    <t>1163 | HR</t>
  </si>
  <si>
    <t>1135 | HR</t>
  </si>
  <si>
    <t>1128 | HR</t>
  </si>
  <si>
    <t>1081 | HR</t>
  </si>
  <si>
    <t>1049 | HR</t>
  </si>
  <si>
    <t>1044 | HR</t>
  </si>
  <si>
    <t>1041 | HR</t>
  </si>
  <si>
    <t>1024 | HR</t>
  </si>
  <si>
    <t>2950 | HR</t>
  </si>
  <si>
    <t>IT - Manager Level</t>
  </si>
  <si>
    <t>2893 | HR</t>
  </si>
  <si>
    <t>2588 | HR</t>
  </si>
  <si>
    <t>2419 | HR</t>
  </si>
  <si>
    <t>2411 | HR</t>
  </si>
  <si>
    <t>1960 | HR</t>
  </si>
  <si>
    <t>1902 | HR</t>
  </si>
  <si>
    <t>1896 | HR</t>
  </si>
  <si>
    <t>1891 | HR</t>
  </si>
  <si>
    <t>1780 | HR</t>
  </si>
  <si>
    <t>1776 | HR</t>
  </si>
  <si>
    <t>1748 | HR</t>
  </si>
  <si>
    <t>1619 | HR</t>
  </si>
  <si>
    <t>1574 | HR</t>
  </si>
  <si>
    <t>1532 | HR</t>
  </si>
  <si>
    <t>1459 | HR</t>
  </si>
  <si>
    <t>1453 | HR</t>
  </si>
  <si>
    <t>1426 | HR</t>
  </si>
  <si>
    <t>1316 | HR</t>
  </si>
  <si>
    <t>1314 | HR</t>
  </si>
  <si>
    <t>1275 | HR</t>
  </si>
  <si>
    <t>1042 | HR</t>
  </si>
  <si>
    <t>1026 | HR</t>
  </si>
  <si>
    <t>2661 | HR</t>
  </si>
  <si>
    <t>HR</t>
  </si>
  <si>
    <t>HR - Manager Level</t>
  </si>
  <si>
    <t>Specialist</t>
  </si>
  <si>
    <t>2649 | HR</t>
  </si>
  <si>
    <t>2643 | HR</t>
  </si>
  <si>
    <t>2642 | HR</t>
  </si>
  <si>
    <t>2375 | HR</t>
  </si>
  <si>
    <t>2340 | HR</t>
  </si>
  <si>
    <t>2338 | HR</t>
  </si>
  <si>
    <t>2259 | HR</t>
  </si>
  <si>
    <t>2148 | HR</t>
  </si>
  <si>
    <t>2059 | HR</t>
  </si>
  <si>
    <t>1953 | HR</t>
  </si>
  <si>
    <t>1917 | HR</t>
  </si>
  <si>
    <t>1620 | HR</t>
  </si>
  <si>
    <t>1617 | HR</t>
  </si>
  <si>
    <t>1614 | HR</t>
  </si>
  <si>
    <t>1600 | HR</t>
  </si>
  <si>
    <t>1598 | HR</t>
  </si>
  <si>
    <t>1580 | HR</t>
  </si>
  <si>
    <t>1571 | HR</t>
  </si>
  <si>
    <t>1537 | HR</t>
  </si>
  <si>
    <t>1535 | HR</t>
  </si>
  <si>
    <t>1496 | HR</t>
  </si>
  <si>
    <t>1493 | HR</t>
  </si>
  <si>
    <t>1492 | HR</t>
  </si>
  <si>
    <t>1362 | HR</t>
  </si>
  <si>
    <t>1361 | HR</t>
  </si>
  <si>
    <t>1218 | HR</t>
  </si>
  <si>
    <t>1190 | HR</t>
  </si>
  <si>
    <t>1187 | HR</t>
  </si>
  <si>
    <t>1121 | HR</t>
  </si>
  <si>
    <t>1083 | HR</t>
  </si>
  <si>
    <t>2949 | HR</t>
  </si>
  <si>
    <t>HR - Junior</t>
  </si>
  <si>
    <t>Screening Associate</t>
  </si>
  <si>
    <t>2945 | HR</t>
  </si>
  <si>
    <t>2944 | HR</t>
  </si>
  <si>
    <t>2899 | HR</t>
  </si>
  <si>
    <t>2898 | HR</t>
  </si>
  <si>
    <t>2727 | HR</t>
  </si>
  <si>
    <t>2722 | HR</t>
  </si>
  <si>
    <t>2646 | HR</t>
  </si>
  <si>
    <t>2586 | HR</t>
  </si>
  <si>
    <t>2414 | HR</t>
  </si>
  <si>
    <t>2145 | HR</t>
  </si>
  <si>
    <t>1912 | HR</t>
  </si>
  <si>
    <t>1908 | HR</t>
  </si>
  <si>
    <t>1741 | HR</t>
  </si>
  <si>
    <t>1611 | HR</t>
  </si>
  <si>
    <t>1540 | HR</t>
  </si>
  <si>
    <t>1508 | HR</t>
  </si>
  <si>
    <t>1505 | HR</t>
  </si>
  <si>
    <t>1500 | HR</t>
  </si>
  <si>
    <t>1499 | HR</t>
  </si>
  <si>
    <t>1451 | HR</t>
  </si>
  <si>
    <t>1366 | HR</t>
  </si>
  <si>
    <t>1319 | HR</t>
  </si>
  <si>
    <t>1311 | HR</t>
  </si>
  <si>
    <t>1279 | HR</t>
  </si>
  <si>
    <t>1169 | HR</t>
  </si>
  <si>
    <t>1166 | HR</t>
  </si>
  <si>
    <t>1137 | HR</t>
  </si>
  <si>
    <t>1133 | HR</t>
  </si>
  <si>
    <t>1125 | HR</t>
  </si>
  <si>
    <t>1124 | HR</t>
  </si>
  <si>
    <t>1090 | HR</t>
  </si>
  <si>
    <t>1086 | HR</t>
  </si>
  <si>
    <t>1045 | HR</t>
  </si>
  <si>
    <t>1025 | HR</t>
  </si>
  <si>
    <t>1021 | HR</t>
  </si>
  <si>
    <t>2894 | HR</t>
  </si>
  <si>
    <t>HR - Associate</t>
  </si>
  <si>
    <t>2891 | HR</t>
  </si>
  <si>
    <t>2729 | HR</t>
  </si>
  <si>
    <t>2668 | HR</t>
  </si>
  <si>
    <t>2662 | HR</t>
  </si>
  <si>
    <t>2650 | HR</t>
  </si>
  <si>
    <t>2378 | HR</t>
  </si>
  <si>
    <t>2373 | HR</t>
  </si>
  <si>
    <t>2258 | HR</t>
  </si>
  <si>
    <t>2257 | HR</t>
  </si>
  <si>
    <t>2051 | HR</t>
  </si>
  <si>
    <t>1959 | HR</t>
  </si>
  <si>
    <t>1904 | HR</t>
  </si>
  <si>
    <t>1895 | HR</t>
  </si>
  <si>
    <t>1774 | HR</t>
  </si>
  <si>
    <t>1743 | HR</t>
  </si>
  <si>
    <t>1648 | HR</t>
  </si>
  <si>
    <t>1643 | HR</t>
  </si>
  <si>
    <t>1618 | HR</t>
  </si>
  <si>
    <t>1593 | HR</t>
  </si>
  <si>
    <t>1536 | HR</t>
  </si>
  <si>
    <t>1502 | HR</t>
  </si>
  <si>
    <t>1501 | HR</t>
  </si>
  <si>
    <t>1495 | HR</t>
  </si>
  <si>
    <t>1458 | HR</t>
  </si>
  <si>
    <t>1455 | HR</t>
  </si>
  <si>
    <t>1427 | HR</t>
  </si>
  <si>
    <t>1421 | HR</t>
  </si>
  <si>
    <t>1363 | HR</t>
  </si>
  <si>
    <t>1318 | HR</t>
  </si>
  <si>
    <t>1277 | HR</t>
  </si>
  <si>
    <t>1271 | HR</t>
  </si>
  <si>
    <t>1217 | HR</t>
  </si>
  <si>
    <t>1184 | HR</t>
  </si>
  <si>
    <t>1183 | HR</t>
  </si>
  <si>
    <t>1181 | HR</t>
  </si>
  <si>
    <t>1167 | HR</t>
  </si>
  <si>
    <t>1162 | HR</t>
  </si>
  <si>
    <t>1132 | HR</t>
  </si>
  <si>
    <t>1087 | HR</t>
  </si>
  <si>
    <t>1048 | HR</t>
  </si>
  <si>
    <t>1043 | HR</t>
  </si>
  <si>
    <t>1028 | HR</t>
  </si>
  <si>
    <t>1027 | HR</t>
  </si>
  <si>
    <t>2993 | Fundraising</t>
  </si>
  <si>
    <t>Fundraising</t>
  </si>
  <si>
    <t>Fundraising - Senior Management</t>
  </si>
  <si>
    <t>2830 | Fundraising</t>
  </si>
  <si>
    <t>2801 | Fundraising</t>
  </si>
  <si>
    <t>2767 | Fundraising</t>
  </si>
  <si>
    <t>2762 | Fundraising</t>
  </si>
  <si>
    <t>2629 | Fundraising</t>
  </si>
  <si>
    <t>2486 | Fundraising</t>
  </si>
  <si>
    <t>2482 | Fundraising</t>
  </si>
  <si>
    <t>1874 | Fundraising</t>
  </si>
  <si>
    <t>1692 | Fundraising</t>
  </si>
  <si>
    <t>1551 | Fundraising</t>
  </si>
  <si>
    <t>1489 | Fundraising</t>
  </si>
  <si>
    <t>1486 | Fundraising</t>
  </si>
  <si>
    <t>1481 | Fundraising</t>
  </si>
  <si>
    <t>1466 | Fundraising</t>
  </si>
  <si>
    <t>1359 | Fundraising</t>
  </si>
  <si>
    <t>1353 | Fundraising</t>
  </si>
  <si>
    <t>1243 | Fundraising</t>
  </si>
  <si>
    <t>1209 | Fundraising</t>
  </si>
  <si>
    <t>1205 | Fundraising</t>
  </si>
  <si>
    <t>1198 | Fundraising</t>
  </si>
  <si>
    <t>1177 | Fundraising</t>
  </si>
  <si>
    <t>1110 | Fundraising</t>
  </si>
  <si>
    <t>1104 | Fundraising</t>
  </si>
  <si>
    <t>1080 | Fundraising</t>
  </si>
  <si>
    <t>2939 | Fundraising</t>
  </si>
  <si>
    <t>Fundraising - Senior</t>
  </si>
  <si>
    <t>Fund Administrator</t>
  </si>
  <si>
    <t>2936 | Fundraising</t>
  </si>
  <si>
    <t>2932 | Fundraising</t>
  </si>
  <si>
    <t>2924 | Fundraising</t>
  </si>
  <si>
    <t>2921 | Fundraising</t>
  </si>
  <si>
    <t>2823 | Fundraising</t>
  </si>
  <si>
    <t>2810 | Fundraising</t>
  </si>
  <si>
    <t>2799 | Fundraising</t>
  </si>
  <si>
    <t>2792 | Fundraising</t>
  </si>
  <si>
    <t>2764 | Fundraising</t>
  </si>
  <si>
    <t>2746 | Fundraising</t>
  </si>
  <si>
    <t>2745 | Fundraising</t>
  </si>
  <si>
    <t>2635 | Fundraising</t>
  </si>
  <si>
    <t>2624 | Fundraising</t>
  </si>
  <si>
    <t>2618 | Fundraising</t>
  </si>
  <si>
    <t>2617 | Fundraising</t>
  </si>
  <si>
    <t>2597 | Fundraising</t>
  </si>
  <si>
    <t>2593 | Fundraising</t>
  </si>
  <si>
    <t>2574 | Fundraising</t>
  </si>
  <si>
    <t>2429 | Fundraising</t>
  </si>
  <si>
    <t>2424 | Fundraising</t>
  </si>
  <si>
    <t>2400 | Fundraising</t>
  </si>
  <si>
    <t>2392 | Fundraising</t>
  </si>
  <si>
    <t>2391 | Fundraising</t>
  </si>
  <si>
    <t>2040 | Fundraising</t>
  </si>
  <si>
    <t>2036 | Fundraising</t>
  </si>
  <si>
    <t>2035 | Fundraising</t>
  </si>
  <si>
    <t>2033 | Fundraising</t>
  </si>
  <si>
    <t>1933 | Fundraising</t>
  </si>
  <si>
    <t>1873 | Fundraising</t>
  </si>
  <si>
    <t>1719 | Fundraising</t>
  </si>
  <si>
    <t>1711 | Fundraising</t>
  </si>
  <si>
    <t>1698 | Fundraising</t>
  </si>
  <si>
    <t>1559 | Fundraising</t>
  </si>
  <si>
    <t>1557 | Fundraising</t>
  </si>
  <si>
    <t>1553 | Fundraising</t>
  </si>
  <si>
    <t>1490 | Fundraising</t>
  </si>
  <si>
    <t>1483 | Fundraising</t>
  </si>
  <si>
    <t>1470 | Fundraising</t>
  </si>
  <si>
    <t>1462 | Fundraising</t>
  </si>
  <si>
    <t>1245 | Fundraising</t>
  </si>
  <si>
    <t>1242 | Fundraising</t>
  </si>
  <si>
    <t>1236 | Fundraising</t>
  </si>
  <si>
    <t>1234 | Fundraising</t>
  </si>
  <si>
    <t>1229 | Fundraising</t>
  </si>
  <si>
    <t>1223 | Fundraising</t>
  </si>
  <si>
    <t>1222 | Fundraising</t>
  </si>
  <si>
    <t>1208 | Fundraising</t>
  </si>
  <si>
    <t>1191 | Fundraising</t>
  </si>
  <si>
    <t>1179 | Fundraising</t>
  </si>
  <si>
    <t>1105 | Fundraising</t>
  </si>
  <si>
    <t>1101 | Fundraising</t>
  </si>
  <si>
    <t>2998 | Fundraising</t>
  </si>
  <si>
    <t>Fundraising - Manager Level</t>
  </si>
  <si>
    <t>2996 | Fundraising</t>
  </si>
  <si>
    <t>2791 | Fundraising</t>
  </si>
  <si>
    <t>2769 | Fundraising</t>
  </si>
  <si>
    <t>2742 | Fundraising</t>
  </si>
  <si>
    <t>2622 | Fundraising</t>
  </si>
  <si>
    <t>2619 | Fundraising</t>
  </si>
  <si>
    <t>2592 | Fundraising</t>
  </si>
  <si>
    <t>2571 | Fundraising</t>
  </si>
  <si>
    <t>2525 | Fundraising</t>
  </si>
  <si>
    <t>2521 | Fundraising</t>
  </si>
  <si>
    <t>2399 | Fundraising</t>
  </si>
  <si>
    <t>2139 | Fundraising</t>
  </si>
  <si>
    <t>2131 | Fundraising</t>
  </si>
  <si>
    <t>2108 | Fundraising</t>
  </si>
  <si>
    <t>2094 | Fundraising</t>
  </si>
  <si>
    <t>1937 | Fundraising</t>
  </si>
  <si>
    <t>1936 | Fundraising</t>
  </si>
  <si>
    <t>1879 | Fundraising</t>
  </si>
  <si>
    <t>1877 | Fundraising</t>
  </si>
  <si>
    <t>1712 | Fundraising</t>
  </si>
  <si>
    <t>1554 | Fundraising</t>
  </si>
  <si>
    <t>1360 | Fundraising</t>
  </si>
  <si>
    <t>1357 | Fundraising</t>
  </si>
  <si>
    <t>1352 | Fundraising</t>
  </si>
  <si>
    <t>1235 | Fundraising</t>
  </si>
  <si>
    <t>1232 | Fundraising</t>
  </si>
  <si>
    <t>1228 | Fundraising</t>
  </si>
  <si>
    <t>1202 | Fundraising</t>
  </si>
  <si>
    <t>1197 | Fundraising</t>
  </si>
  <si>
    <t>1196 | Fundraising</t>
  </si>
  <si>
    <t>1106 | Fundraising</t>
  </si>
  <si>
    <t>1077 | Fundraising</t>
  </si>
  <si>
    <t>1073 | Fundraising</t>
  </si>
  <si>
    <t>2994 | Fundraising</t>
  </si>
  <si>
    <t>Fundraising - Junior</t>
  </si>
  <si>
    <t>2958 | Fundraising</t>
  </si>
  <si>
    <t>2955 | Fundraising</t>
  </si>
  <si>
    <t>2938 | Fundraising</t>
  </si>
  <si>
    <t>2937 | Fundraising</t>
  </si>
  <si>
    <t>2935 | Fundraising</t>
  </si>
  <si>
    <t>2931 | Fundraising</t>
  </si>
  <si>
    <t>2928 | Fundraising</t>
  </si>
  <si>
    <t>2923 | Fundraising</t>
  </si>
  <si>
    <t>2912 | Fundraising</t>
  </si>
  <si>
    <t>2828 | Fundraising</t>
  </si>
  <si>
    <t>2826 | Fundraising</t>
  </si>
  <si>
    <t>2821 | Fundraising</t>
  </si>
  <si>
    <t>2807 | Fundraising</t>
  </si>
  <si>
    <t>2794 | Fundraising</t>
  </si>
  <si>
    <t>2747 | Fundraising</t>
  </si>
  <si>
    <t>2709 | Fundraising</t>
  </si>
  <si>
    <t>2634 | Fundraising</t>
  </si>
  <si>
    <t>2632 | Fundraising</t>
  </si>
  <si>
    <t>2631 | Fundraising</t>
  </si>
  <si>
    <t>2626 | Fundraising</t>
  </si>
  <si>
    <t>2620 | Fundraising</t>
  </si>
  <si>
    <t>2573 | Fundraising</t>
  </si>
  <si>
    <t>2572 | Fundraising</t>
  </si>
  <si>
    <t>2489 | Fundraising</t>
  </si>
  <si>
    <t>2487 | Fundraising</t>
  </si>
  <si>
    <t>2484 | Fundraising</t>
  </si>
  <si>
    <t>2398 | Fundraising</t>
  </si>
  <si>
    <t>2397 | Fundraising</t>
  </si>
  <si>
    <t>2396 | Fundraising</t>
  </si>
  <si>
    <t>2133 | Fundraising</t>
  </si>
  <si>
    <t>2106 | Fundraising</t>
  </si>
  <si>
    <t>2037 | Fundraising</t>
  </si>
  <si>
    <t>1940 | Fundraising</t>
  </si>
  <si>
    <t>1876 | Fundraising</t>
  </si>
  <si>
    <t>1720 | Fundraising</t>
  </si>
  <si>
    <t>Review Associate</t>
  </si>
  <si>
    <t>1717 | Fundraising</t>
  </si>
  <si>
    <t>1700 | Fundraising</t>
  </si>
  <si>
    <t>1485 | Fundraising</t>
  </si>
  <si>
    <t>1469 | Fundraising</t>
  </si>
  <si>
    <t>1468 | Fundraising</t>
  </si>
  <si>
    <t>1465 | Fundraising</t>
  </si>
  <si>
    <t>1351 | Fundraising</t>
  </si>
  <si>
    <t>1250 | Fundraising</t>
  </si>
  <si>
    <t>1239 | Fundraising</t>
  </si>
  <si>
    <t>1224 | Fundraising</t>
  </si>
  <si>
    <t>1210 | Fundraising</t>
  </si>
  <si>
    <t>1201 | Fundraising</t>
  </si>
  <si>
    <t>1194 | Fundraising</t>
  </si>
  <si>
    <t>1171 | Fundraising</t>
  </si>
  <si>
    <t>2954 | Fundraising</t>
  </si>
  <si>
    <t>Fundraising - Associate</t>
  </si>
  <si>
    <t>2916 | Fundraising</t>
  </si>
  <si>
    <t>2829 | Fundraising</t>
  </si>
  <si>
    <t>2809 | Fundraising</t>
  </si>
  <si>
    <t>2802 | Fundraising</t>
  </si>
  <si>
    <t>2800 | Fundraising</t>
  </si>
  <si>
    <t>2710 | Fundraising</t>
  </si>
  <si>
    <t>2708 | Fundraising</t>
  </si>
  <si>
    <t>2706 | Fundraising</t>
  </si>
  <si>
    <t>2621 | Fundraising</t>
  </si>
  <si>
    <t>2599 | Fundraising</t>
  </si>
  <si>
    <t>2596 | Fundraising</t>
  </si>
  <si>
    <t>2594 | Fundraising</t>
  </si>
  <si>
    <t>2490 | Fundraising</t>
  </si>
  <si>
    <t>2423 | Fundraising</t>
  </si>
  <si>
    <t>2104 | Fundraising</t>
  </si>
  <si>
    <t>2098 | Fundraising</t>
  </si>
  <si>
    <t>2091 | Fundraising</t>
  </si>
  <si>
    <t>2032 | Fundraising</t>
  </si>
  <si>
    <t>2031 | Fundraising</t>
  </si>
  <si>
    <t>1934 | Fundraising</t>
  </si>
  <si>
    <t>1878 | Fundraising</t>
  </si>
  <si>
    <t>1715 | Fundraising</t>
  </si>
  <si>
    <t>1696 | Fundraising</t>
  </si>
  <si>
    <t>1695 | Fundraising</t>
  </si>
  <si>
    <t>1555 | Fundraising</t>
  </si>
  <si>
    <t>1358 | Fundraising</t>
  </si>
  <si>
    <t>1356 | Fundraising</t>
  </si>
  <si>
    <t>1355 | Fundraising</t>
  </si>
  <si>
    <t>1249 | Fundraising</t>
  </si>
  <si>
    <t>1248 | Fundraising</t>
  </si>
  <si>
    <t>1221 | Fundraising</t>
  </si>
  <si>
    <t>1204 | Fundraising</t>
  </si>
  <si>
    <t>1195 | Fundraising</t>
  </si>
  <si>
    <t>1180 | Fundraising</t>
  </si>
  <si>
    <t>1173 | Fundraising</t>
  </si>
  <si>
    <t>1109 | Fundraising</t>
  </si>
  <si>
    <t>1075 | Fundraising</t>
  </si>
  <si>
    <t>1071 | Fundraising</t>
  </si>
  <si>
    <t>2849 | Finance</t>
  </si>
  <si>
    <t>Finance</t>
  </si>
  <si>
    <t>Finance - Senior Management</t>
  </si>
  <si>
    <t>2772 | Finance</t>
  </si>
  <si>
    <t>2690 | Finance</t>
  </si>
  <si>
    <t>2685 | Finance</t>
  </si>
  <si>
    <t>2323 | Finance</t>
  </si>
  <si>
    <t>2278 | Finance</t>
  </si>
  <si>
    <t>2223 | Finance</t>
  </si>
  <si>
    <t>2180 | Finance</t>
  </si>
  <si>
    <t>2175 | Finance</t>
  </si>
  <si>
    <t>2084 | Finance</t>
  </si>
  <si>
    <t>1890 | Finance</t>
  </si>
  <si>
    <t>1883 | Finance</t>
  </si>
  <si>
    <t>1845 | Finance</t>
  </si>
  <si>
    <t>1757 | Finance</t>
  </si>
  <si>
    <t>1702 | Finance</t>
  </si>
  <si>
    <t>1677 | Finance</t>
  </si>
  <si>
    <t>1635 | Finance</t>
  </si>
  <si>
    <t>1585 | Finance</t>
  </si>
  <si>
    <t>1581 | Finance</t>
  </si>
  <si>
    <t>1568 | Finance</t>
  </si>
  <si>
    <t>1524 | Finance</t>
  </si>
  <si>
    <t>1514 | Finance</t>
  </si>
  <si>
    <t>1434 | Finance</t>
  </si>
  <si>
    <t>1288 | Finance</t>
  </si>
  <si>
    <t>1262 | Finance</t>
  </si>
  <si>
    <t>1256 | Finance</t>
  </si>
  <si>
    <t>1150 | Finance</t>
  </si>
  <si>
    <t>1120 | Finance</t>
  </si>
  <si>
    <t>1112 | Finance</t>
  </si>
  <si>
    <t>1068 | Finance</t>
  </si>
  <si>
    <t>1067 | Finance</t>
  </si>
  <si>
    <t>1032 | Finance</t>
  </si>
  <si>
    <t>1019 | Finance</t>
  </si>
  <si>
    <t>210 | Finance</t>
  </si>
  <si>
    <t>203 | Finance</t>
  </si>
  <si>
    <t>176 | Finance</t>
  </si>
  <si>
    <t>171 | Finance</t>
  </si>
  <si>
    <t>110 | Finance</t>
  </si>
  <si>
    <t>109 | Finance</t>
  </si>
  <si>
    <t>104 | Finance</t>
  </si>
  <si>
    <t>98 | Finance</t>
  </si>
  <si>
    <t>94 | Finance</t>
  </si>
  <si>
    <t>28 | Finance</t>
  </si>
  <si>
    <t>22 | Finance</t>
  </si>
  <si>
    <t>16 | Finance</t>
  </si>
  <si>
    <t>14 | Finance</t>
  </si>
  <si>
    <t>2850 | Finance</t>
  </si>
  <si>
    <t>Finance - Senior</t>
  </si>
  <si>
    <t>2846 | Finance</t>
  </si>
  <si>
    <t>2842 | Finance</t>
  </si>
  <si>
    <t>2841 | Finance</t>
  </si>
  <si>
    <t>2754 | Finance</t>
  </si>
  <si>
    <t>2753 | Finance</t>
  </si>
  <si>
    <t>2751 | Finance</t>
  </si>
  <si>
    <t>2688 | Finance</t>
  </si>
  <si>
    <t>2681 | Finance</t>
  </si>
  <si>
    <t>2674 | Finance</t>
  </si>
  <si>
    <t>2671 | Finance</t>
  </si>
  <si>
    <t>2545 | Finance</t>
  </si>
  <si>
    <t>2541 | Finance</t>
  </si>
  <si>
    <t>2479 | Finance</t>
  </si>
  <si>
    <t>2471 | Finance</t>
  </si>
  <si>
    <t>2355 | Finance</t>
  </si>
  <si>
    <t>2354 | Finance</t>
  </si>
  <si>
    <t>2309 | Finance</t>
  </si>
  <si>
    <t>2283 | Finance</t>
  </si>
  <si>
    <t>2234 | Finance</t>
  </si>
  <si>
    <t>2224 | Finance</t>
  </si>
  <si>
    <t>2171 | Finance</t>
  </si>
  <si>
    <t>2088 | Finance</t>
  </si>
  <si>
    <t>2023 | Finance</t>
  </si>
  <si>
    <t>2000 | Finance</t>
  </si>
  <si>
    <t>1998 | Finance</t>
  </si>
  <si>
    <t>1997 | Finance</t>
  </si>
  <si>
    <t>1995 | Finance</t>
  </si>
  <si>
    <t>1993 | Finance</t>
  </si>
  <si>
    <t>1870 | Finance</t>
  </si>
  <si>
    <t>1866 | Finance</t>
  </si>
  <si>
    <t>1861 | Finance</t>
  </si>
  <si>
    <t>1850 | Finance</t>
  </si>
  <si>
    <t>1848 | Finance</t>
  </si>
  <si>
    <t>1844 | Finance</t>
  </si>
  <si>
    <t>1760 | Finance</t>
  </si>
  <si>
    <t>1756 | Finance</t>
  </si>
  <si>
    <t>1740 | Finance</t>
  </si>
  <si>
    <t>1737 | Finance</t>
  </si>
  <si>
    <t>1736 | Finance</t>
  </si>
  <si>
    <t>1735 | Finance</t>
  </si>
  <si>
    <t>1708 | Finance</t>
  </si>
  <si>
    <t>1703 | Finance</t>
  </si>
  <si>
    <t>1701 | Finance</t>
  </si>
  <si>
    <t>1678 | Finance</t>
  </si>
  <si>
    <t>1675 | Finance</t>
  </si>
  <si>
    <t>1638 | Finance</t>
  </si>
  <si>
    <t>1636 | Finance</t>
  </si>
  <si>
    <t>1633 | Finance</t>
  </si>
  <si>
    <t>1567 | Finance</t>
  </si>
  <si>
    <t>1564 | Finance</t>
  </si>
  <si>
    <t>1562 | Finance</t>
  </si>
  <si>
    <t>1549 | Finance</t>
  </si>
  <si>
    <t>1542 | Finance</t>
  </si>
  <si>
    <t>1526 | Finance</t>
  </si>
  <si>
    <t>1521 | Finance</t>
  </si>
  <si>
    <t>1517 | Finance</t>
  </si>
  <si>
    <t>1400 | Finance</t>
  </si>
  <si>
    <t>1396 | Finance</t>
  </si>
  <si>
    <t>1340 | Finance</t>
  </si>
  <si>
    <t>1337 | Finance</t>
  </si>
  <si>
    <t>1309 | Finance</t>
  </si>
  <si>
    <t>1270 | Finance</t>
  </si>
  <si>
    <t>1269 | Finance</t>
  </si>
  <si>
    <t>1268 | Finance</t>
  </si>
  <si>
    <t>1264 | Finance</t>
  </si>
  <si>
    <t>1259 | Finance</t>
  </si>
  <si>
    <t>1254 | Finance</t>
  </si>
  <si>
    <t>1251 | Finance</t>
  </si>
  <si>
    <t>1144 | Finance</t>
  </si>
  <si>
    <t>1142 | Finance</t>
  </si>
  <si>
    <t>1141 | Finance</t>
  </si>
  <si>
    <t>1116 | Finance</t>
  </si>
  <si>
    <t>1066 | Finance</t>
  </si>
  <si>
    <t>1015 | Finance</t>
  </si>
  <si>
    <t>1014 | Finance</t>
  </si>
  <si>
    <t>980 | Finance</t>
  </si>
  <si>
    <t>976 | Finance</t>
  </si>
  <si>
    <t>973 | Finance</t>
  </si>
  <si>
    <t>968 | Finance</t>
  </si>
  <si>
    <t>967 | Finance</t>
  </si>
  <si>
    <t>962 | Finance</t>
  </si>
  <si>
    <t>892 | Finance</t>
  </si>
  <si>
    <t>890 | Finance</t>
  </si>
  <si>
    <t>889 | Finance</t>
  </si>
  <si>
    <t>885 | Finance</t>
  </si>
  <si>
    <t>865 | Finance</t>
  </si>
  <si>
    <t>860 | Finance</t>
  </si>
  <si>
    <t>858 | Finance</t>
  </si>
  <si>
    <t>748 | Finance</t>
  </si>
  <si>
    <t>745 | Finance</t>
  </si>
  <si>
    <t>705 | Finance</t>
  </si>
  <si>
    <t>701 | Finance</t>
  </si>
  <si>
    <t>608 | Finance</t>
  </si>
  <si>
    <t>606 | Finance</t>
  </si>
  <si>
    <t>605 | Finance</t>
  </si>
  <si>
    <t>597 | Finance</t>
  </si>
  <si>
    <t>594 | Finance</t>
  </si>
  <si>
    <t>591 | Finance</t>
  </si>
  <si>
    <t>459 | Finance</t>
  </si>
  <si>
    <t>455 | Finance</t>
  </si>
  <si>
    <t>452 | Finance</t>
  </si>
  <si>
    <t>400 | Finance</t>
  </si>
  <si>
    <t>393 | Finance</t>
  </si>
  <si>
    <t>345 | Finance</t>
  </si>
  <si>
    <t>341 | Finance</t>
  </si>
  <si>
    <t>285 | Finance</t>
  </si>
  <si>
    <t>284 | Finance</t>
  </si>
  <si>
    <t>207 | Finance</t>
  </si>
  <si>
    <t>177 | Finance</t>
  </si>
  <si>
    <t>175 | Finance</t>
  </si>
  <si>
    <t>173 | Finance</t>
  </si>
  <si>
    <t>95 | Finance</t>
  </si>
  <si>
    <t>93 | Finance</t>
  </si>
  <si>
    <t>80 | Finance</t>
  </si>
  <si>
    <t>29 | Finance</t>
  </si>
  <si>
    <t>18 | Finance</t>
  </si>
  <si>
    <t>2843 | Finance</t>
  </si>
  <si>
    <t>Finance - Manager Level</t>
  </si>
  <si>
    <t>2780 | Finance</t>
  </si>
  <si>
    <t>2778 | Finance</t>
  </si>
  <si>
    <t>2752 | Finance</t>
  </si>
  <si>
    <t>2677 | Finance</t>
  </si>
  <si>
    <t>2676 | Finance</t>
  </si>
  <si>
    <t>2675 | Finance</t>
  </si>
  <si>
    <t>2673 | Finance</t>
  </si>
  <si>
    <t>2550 | Finance</t>
  </si>
  <si>
    <t>2544 | Finance</t>
  </si>
  <si>
    <t>2506 | Finance</t>
  </si>
  <si>
    <t>2503 | Finance</t>
  </si>
  <si>
    <t>2502 | Finance</t>
  </si>
  <si>
    <t>2480 | Finance</t>
  </si>
  <si>
    <t>2472 | Finance</t>
  </si>
  <si>
    <t>2359 | Finance</t>
  </si>
  <si>
    <t>2356 | Finance</t>
  </si>
  <si>
    <t>2330 | Finance</t>
  </si>
  <si>
    <t>2308 | Finance</t>
  </si>
  <si>
    <t>2279 | Finance</t>
  </si>
  <si>
    <t>2230 | Finance</t>
  </si>
  <si>
    <t>2226 | Finance</t>
  </si>
  <si>
    <t>2222 | Finance</t>
  </si>
  <si>
    <t>2172 | Finance</t>
  </si>
  <si>
    <t>2156 | Finance</t>
  </si>
  <si>
    <t>2154 | Finance</t>
  </si>
  <si>
    <t>2083 | Finance</t>
  </si>
  <si>
    <t>2030 | Finance</t>
  </si>
  <si>
    <t>2021 | Finance</t>
  </si>
  <si>
    <t>1996 | Finance</t>
  </si>
  <si>
    <t>1889 | Finance</t>
  </si>
  <si>
    <t>1887 | Finance</t>
  </si>
  <si>
    <t>1886 | Finance</t>
  </si>
  <si>
    <t>1885 | Finance</t>
  </si>
  <si>
    <t>1884 | Finance</t>
  </si>
  <si>
    <t>1843 | Finance</t>
  </si>
  <si>
    <t>1842 | Finance</t>
  </si>
  <si>
    <t>1828 | Finance</t>
  </si>
  <si>
    <t>1827 | Finance</t>
  </si>
  <si>
    <t>1825 | Finance</t>
  </si>
  <si>
    <t>1824 | Finance</t>
  </si>
  <si>
    <t>1755 | Finance</t>
  </si>
  <si>
    <t>1753 | Finance</t>
  </si>
  <si>
    <t>1739 | Finance</t>
  </si>
  <si>
    <t>1710 | Finance</t>
  </si>
  <si>
    <t>1676 | Finance</t>
  </si>
  <si>
    <t>1673 | Finance</t>
  </si>
  <si>
    <t>1587 | Finance</t>
  </si>
  <si>
    <t>1566 | Finance</t>
  </si>
  <si>
    <t>1565 | Finance</t>
  </si>
  <si>
    <t>1561 | Finance</t>
  </si>
  <si>
    <t>1541 | Finance</t>
  </si>
  <si>
    <t>1530 | Finance</t>
  </si>
  <si>
    <t>1440 | Finance</t>
  </si>
  <si>
    <t>1437 | Finance</t>
  </si>
  <si>
    <t>1432 | Finance</t>
  </si>
  <si>
    <t>1399 | Finance</t>
  </si>
  <si>
    <t>1397 | Finance</t>
  </si>
  <si>
    <t>1394 | Finance</t>
  </si>
  <si>
    <t>1393 | Finance</t>
  </si>
  <si>
    <t>1339 | Finance</t>
  </si>
  <si>
    <t>1338 | Finance</t>
  </si>
  <si>
    <t>1336 | Finance</t>
  </si>
  <si>
    <t>1289 | Finance</t>
  </si>
  <si>
    <t>1284 | Finance</t>
  </si>
  <si>
    <t>1281 | Finance</t>
  </si>
  <si>
    <t>1267 | Finance</t>
  </si>
  <si>
    <t>1261 | Finance</t>
  </si>
  <si>
    <t>1146 | Finance</t>
  </si>
  <si>
    <t>1118 | Finance</t>
  </si>
  <si>
    <t>1113 | Finance</t>
  </si>
  <si>
    <t>1070 | Finance</t>
  </si>
  <si>
    <t>1069 | Finance</t>
  </si>
  <si>
    <t>1035 | Finance</t>
  </si>
  <si>
    <t>1020 | Finance</t>
  </si>
  <si>
    <t>1011 | Finance</t>
  </si>
  <si>
    <t>979 | Finance</t>
  </si>
  <si>
    <t>975 | Finance</t>
  </si>
  <si>
    <t>971 | Finance</t>
  </si>
  <si>
    <t>970 | Finance</t>
  </si>
  <si>
    <t>899 | Finance</t>
  </si>
  <si>
    <t>886 | Finance</t>
  </si>
  <si>
    <t>866 | Finance</t>
  </si>
  <si>
    <t>862 | Finance</t>
  </si>
  <si>
    <t>861 | Finance</t>
  </si>
  <si>
    <t>750 | Finance</t>
  </si>
  <si>
    <t>747 | Finance</t>
  </si>
  <si>
    <t>704 | Finance</t>
  </si>
  <si>
    <t>609 | Finance</t>
  </si>
  <si>
    <t>600 | Finance</t>
  </si>
  <si>
    <t>595 | Finance</t>
  </si>
  <si>
    <t>451 | Finance</t>
  </si>
  <si>
    <t>392 | Finance</t>
  </si>
  <si>
    <t>349 | Finance</t>
  </si>
  <si>
    <t>347 | Finance</t>
  </si>
  <si>
    <t>346 | Finance</t>
  </si>
  <si>
    <t>342 | Finance</t>
  </si>
  <si>
    <t>287 | Finance</t>
  </si>
  <si>
    <t>Contoller</t>
  </si>
  <si>
    <t>282 | Finance</t>
  </si>
  <si>
    <t>202 | Finance</t>
  </si>
  <si>
    <t>179 | Finance</t>
  </si>
  <si>
    <t>174 | Finance</t>
  </si>
  <si>
    <t>172 | Finance</t>
  </si>
  <si>
    <t>103 | Finance</t>
  </si>
  <si>
    <t>102 | Finance</t>
  </si>
  <si>
    <t>99 | Finance</t>
  </si>
  <si>
    <t>97 | Finance</t>
  </si>
  <si>
    <t>92 | Finance</t>
  </si>
  <si>
    <t>79 | Finance</t>
  </si>
  <si>
    <t>76 | Finance</t>
  </si>
  <si>
    <t>24 | Finance</t>
  </si>
  <si>
    <t>17 | Finance</t>
  </si>
  <si>
    <t>2848 | Finance</t>
  </si>
  <si>
    <t>Finance - Junior</t>
  </si>
  <si>
    <t>2845 | Finance</t>
  </si>
  <si>
    <t>2775 | Finance</t>
  </si>
  <si>
    <t>2773 | Finance</t>
  </si>
  <si>
    <t>2759 | Finance</t>
  </si>
  <si>
    <t>2689 | Finance</t>
  </si>
  <si>
    <t>2687 | Finance</t>
  </si>
  <si>
    <t>2683 | Finance</t>
  </si>
  <si>
    <t>2682 | Finance</t>
  </si>
  <si>
    <t>2680 | Finance</t>
  </si>
  <si>
    <t>2678 | Finance</t>
  </si>
  <si>
    <t>2549 | Finance</t>
  </si>
  <si>
    <t>2543 | Finance</t>
  </si>
  <si>
    <t>2510 | Finance</t>
  </si>
  <si>
    <t>2507 | Finance</t>
  </si>
  <si>
    <t>2477 | Finance</t>
  </si>
  <si>
    <t>2473 | Finance</t>
  </si>
  <si>
    <t>2358 | Finance</t>
  </si>
  <si>
    <t>2352 | Finance</t>
  </si>
  <si>
    <t>2329 | Finance</t>
  </si>
  <si>
    <t>2327 | Finance</t>
  </si>
  <si>
    <t>2324 | Finance</t>
  </si>
  <si>
    <t>2322 | Finance</t>
  </si>
  <si>
    <t>2310 | Finance</t>
  </si>
  <si>
    <t>2303 | Finance</t>
  </si>
  <si>
    <t>2289 | Finance</t>
  </si>
  <si>
    <t>2288 | Finance</t>
  </si>
  <si>
    <t>2284 | Finance</t>
  </si>
  <si>
    <t>2280 | Finance</t>
  </si>
  <si>
    <t>2277 | Finance</t>
  </si>
  <si>
    <t>2276 | Finance</t>
  </si>
  <si>
    <t>2236 | Finance</t>
  </si>
  <si>
    <t>2232 | Finance</t>
  </si>
  <si>
    <t>2179 | Finance</t>
  </si>
  <si>
    <t>2176 | Finance</t>
  </si>
  <si>
    <t>2158 | Finance</t>
  </si>
  <si>
    <t>2155 | Finance</t>
  </si>
  <si>
    <t>2086 | Finance</t>
  </si>
  <si>
    <t>2082 | Finance</t>
  </si>
  <si>
    <t>1994 | Finance</t>
  </si>
  <si>
    <t>1882 | Finance</t>
  </si>
  <si>
    <t>1881 | Finance</t>
  </si>
  <si>
    <t>Billing Officer</t>
  </si>
  <si>
    <t>1869 | Finance</t>
  </si>
  <si>
    <t>1868 | Finance</t>
  </si>
  <si>
    <t>1849 | Finance</t>
  </si>
  <si>
    <t>1847 | Finance</t>
  </si>
  <si>
    <t>1821 | Finance</t>
  </si>
  <si>
    <t>1733 | Finance</t>
  </si>
  <si>
    <t>1707 | Finance</t>
  </si>
  <si>
    <t>1634 | Finance</t>
  </si>
  <si>
    <t>1589 | Finance</t>
  </si>
  <si>
    <t>1582 | Finance</t>
  </si>
  <si>
    <t>1570 | Finance</t>
  </si>
  <si>
    <t>1548 | Finance</t>
  </si>
  <si>
    <t>1543 | Finance</t>
  </si>
  <si>
    <t>1520 | Finance</t>
  </si>
  <si>
    <t>1511 | Finance</t>
  </si>
  <si>
    <t>1439 | Finance</t>
  </si>
  <si>
    <t>1438 | Finance</t>
  </si>
  <si>
    <t>1431 | Finance</t>
  </si>
  <si>
    <t>1333 | Finance</t>
  </si>
  <si>
    <t>1331 | Finance</t>
  </si>
  <si>
    <t>1310 | Finance</t>
  </si>
  <si>
    <t>1304 | Finance</t>
  </si>
  <si>
    <t>1303 | Finance</t>
  </si>
  <si>
    <t>1286 | Finance</t>
  </si>
  <si>
    <t>1282 | Finance</t>
  </si>
  <si>
    <t>1266 | Finance</t>
  </si>
  <si>
    <t>1265 | Finance</t>
  </si>
  <si>
    <t>1252 | Finance</t>
  </si>
  <si>
    <t>1038 | Finance</t>
  </si>
  <si>
    <t>1033 | Finance</t>
  </si>
  <si>
    <t>1017 | Finance</t>
  </si>
  <si>
    <t>1016 | Finance</t>
  </si>
  <si>
    <t>966 | Finance</t>
  </si>
  <si>
    <t>965 | Finance</t>
  </si>
  <si>
    <t>887 | Finance</t>
  </si>
  <si>
    <t>864 | Finance</t>
  </si>
  <si>
    <t>851 | Finance</t>
  </si>
  <si>
    <t>746 | Finance</t>
  </si>
  <si>
    <t>743 | Finance</t>
  </si>
  <si>
    <t>703 | Finance</t>
  </si>
  <si>
    <t>702 | Finance</t>
  </si>
  <si>
    <t>607 | Finance</t>
  </si>
  <si>
    <t>601 | Finance</t>
  </si>
  <si>
    <t>599 | Finance</t>
  </si>
  <si>
    <t>460 | Finance</t>
  </si>
  <si>
    <t>454 | Finance</t>
  </si>
  <si>
    <t>453 | Finance</t>
  </si>
  <si>
    <t>394 | Finance</t>
  </si>
  <si>
    <t>350 | Finance</t>
  </si>
  <si>
    <t>290 | Finance</t>
  </si>
  <si>
    <t>288 | Finance</t>
  </si>
  <si>
    <t>208 | Finance</t>
  </si>
  <si>
    <t>206 | Finance</t>
  </si>
  <si>
    <t>205 | Finance</t>
  </si>
  <si>
    <t>180 | Finance</t>
  </si>
  <si>
    <t>108 | Finance</t>
  </si>
  <si>
    <t>78 | Finance</t>
  </si>
  <si>
    <t>77 | Finance</t>
  </si>
  <si>
    <t>74 | Finance</t>
  </si>
  <si>
    <t>72 | Finance</t>
  </si>
  <si>
    <t>15 | Finance</t>
  </si>
  <si>
    <t>2290 | Finance</t>
  </si>
  <si>
    <t>Finance - Executive</t>
  </si>
  <si>
    <t>2028 | Finance</t>
  </si>
  <si>
    <t>1829 | Finance</t>
  </si>
  <si>
    <t>1759 | Finance</t>
  </si>
  <si>
    <t>1632 | Finance</t>
  </si>
  <si>
    <t>1516 | Finance</t>
  </si>
  <si>
    <t>1435 | Finance</t>
  </si>
  <si>
    <t>1149 | Finance</t>
  </si>
  <si>
    <t>1034 | Finance</t>
  </si>
  <si>
    <t>974 | Finance</t>
  </si>
  <si>
    <t>961 | Finance</t>
  </si>
  <si>
    <t>900 | Finance</t>
  </si>
  <si>
    <t>896 | Finance</t>
  </si>
  <si>
    <t>893 | Finance</t>
  </si>
  <si>
    <t>Principal Officer</t>
  </si>
  <si>
    <t>891 | Finance</t>
  </si>
  <si>
    <t>888 | Finance</t>
  </si>
  <si>
    <t>883 | Finance</t>
  </si>
  <si>
    <t>882 | Finance</t>
  </si>
  <si>
    <t>869 | Finance</t>
  </si>
  <si>
    <t>868 | Finance</t>
  </si>
  <si>
    <t>867 | Finance</t>
  </si>
  <si>
    <t>857 | Finance</t>
  </si>
  <si>
    <t>854 | Finance</t>
  </si>
  <si>
    <t>853 | Finance</t>
  </si>
  <si>
    <t>742 | Finance</t>
  </si>
  <si>
    <t>741 | Finance</t>
  </si>
  <si>
    <t>709 | Finance</t>
  </si>
  <si>
    <t>708 | Finance</t>
  </si>
  <si>
    <t>706 | Finance</t>
  </si>
  <si>
    <t>604 | Finance</t>
  </si>
  <si>
    <t>603 | Finance</t>
  </si>
  <si>
    <t>602 | Finance</t>
  </si>
  <si>
    <t>598 | Finance</t>
  </si>
  <si>
    <t>596 | Finance</t>
  </si>
  <si>
    <t>593 | Finance</t>
  </si>
  <si>
    <t>592 | Finance</t>
  </si>
  <si>
    <t>457 | Finance</t>
  </si>
  <si>
    <t>398 | Finance</t>
  </si>
  <si>
    <t>397 | Finance</t>
  </si>
  <si>
    <t>391 | Finance</t>
  </si>
  <si>
    <t>348 | Finance</t>
  </si>
  <si>
    <t>344 | Finance</t>
  </si>
  <si>
    <t>343 | Finance</t>
  </si>
  <si>
    <t>289 | Finance</t>
  </si>
  <si>
    <t>281 | Finance</t>
  </si>
  <si>
    <t>209 | Finance</t>
  </si>
  <si>
    <t>201 | Finance</t>
  </si>
  <si>
    <t>107 | Finance</t>
  </si>
  <si>
    <t>96 | Finance</t>
  </si>
  <si>
    <t>75 | Finance</t>
  </si>
  <si>
    <t>73 | Finance</t>
  </si>
  <si>
    <t>71 | Finance</t>
  </si>
  <si>
    <t>27 | Finance</t>
  </si>
  <si>
    <t>26 | Finance</t>
  </si>
  <si>
    <t>25 | Finance</t>
  </si>
  <si>
    <t>19 | Finance</t>
  </si>
  <si>
    <t>13 | Finance</t>
  </si>
  <si>
    <t>11 | Finance</t>
  </si>
  <si>
    <t>2760 | Finance</t>
  </si>
  <si>
    <t>Finance - Associate</t>
  </si>
  <si>
    <t>Revenue Recorgnition</t>
  </si>
  <si>
    <t>2684 | Finance</t>
  </si>
  <si>
    <t>2679 | Finance</t>
  </si>
  <si>
    <t>2672 | Finance</t>
  </si>
  <si>
    <t>2548 | Finance</t>
  </si>
  <si>
    <t>2546 | Finance</t>
  </si>
  <si>
    <t>2509 | Finance</t>
  </si>
  <si>
    <t>2504 | Finance</t>
  </si>
  <si>
    <t>2501 | Finance</t>
  </si>
  <si>
    <t>2475 | Finance</t>
  </si>
  <si>
    <t>2353 | Finance</t>
  </si>
  <si>
    <t>2351 | Finance</t>
  </si>
  <si>
    <t>2326 | Finance</t>
  </si>
  <si>
    <t>2321 | Finance</t>
  </si>
  <si>
    <t>2306 | Finance</t>
  </si>
  <si>
    <t>2302 | Finance</t>
  </si>
  <si>
    <t>2271 | Finance</t>
  </si>
  <si>
    <t>2229 | Finance</t>
  </si>
  <si>
    <t>2227 | Finance</t>
  </si>
  <si>
    <t>2221 | Finance</t>
  </si>
  <si>
    <t>2178 | Finance</t>
  </si>
  <si>
    <t>2177 | Finance</t>
  </si>
  <si>
    <t>2159 | Finance</t>
  </si>
  <si>
    <t>2157 | Finance</t>
  </si>
  <si>
    <t>2085 | Finance</t>
  </si>
  <si>
    <t>2024 | Finance</t>
  </si>
  <si>
    <t>1888 | Finance</t>
  </si>
  <si>
    <t>1830 | Finance</t>
  </si>
  <si>
    <t>1826 | Finance</t>
  </si>
  <si>
    <t>1823 | Finance</t>
  </si>
  <si>
    <t>1754 | Finance</t>
  </si>
  <si>
    <t>1751 | Finance</t>
  </si>
  <si>
    <t>1732 | Finance</t>
  </si>
  <si>
    <t>1706 | Finance</t>
  </si>
  <si>
    <t>1704 | Finance</t>
  </si>
  <si>
    <t>1674 | Finance</t>
  </si>
  <si>
    <t>1672 | Finance</t>
  </si>
  <si>
    <t>1671 | Finance</t>
  </si>
  <si>
    <t>1640 | Finance</t>
  </si>
  <si>
    <t>1590 | Finance</t>
  </si>
  <si>
    <t>1588 | Finance</t>
  </si>
  <si>
    <t>1584 | Finance</t>
  </si>
  <si>
    <t>1583 | Finance</t>
  </si>
  <si>
    <t>1563 | Finance</t>
  </si>
  <si>
    <t>1550 | Finance</t>
  </si>
  <si>
    <t>1545 | Finance</t>
  </si>
  <si>
    <t>1528 | Finance</t>
  </si>
  <si>
    <t>1525 | Finance</t>
  </si>
  <si>
    <t>1523 | Finance</t>
  </si>
  <si>
    <t>1515 | Finance</t>
  </si>
  <si>
    <t>1513 | Finance</t>
  </si>
  <si>
    <t>1433 | Finance</t>
  </si>
  <si>
    <t>1392 | Finance</t>
  </si>
  <si>
    <t>1335 | Finance</t>
  </si>
  <si>
    <t>1305 | Finance</t>
  </si>
  <si>
    <t>1290 | Finance</t>
  </si>
  <si>
    <t>1257 | Finance</t>
  </si>
  <si>
    <t>1255 | Finance</t>
  </si>
  <si>
    <t>1253 | Finance</t>
  </si>
  <si>
    <t>1148 | Finance</t>
  </si>
  <si>
    <t>1145 | Finance</t>
  </si>
  <si>
    <t>1119 | Finance</t>
  </si>
  <si>
    <t>1114 | Finance</t>
  </si>
  <si>
    <t>1064 | Finance</t>
  </si>
  <si>
    <t>1062 | Finance</t>
  </si>
  <si>
    <t>1036 | Finance</t>
  </si>
  <si>
    <t>1031 | Finance</t>
  </si>
  <si>
    <t>1018 | Finance</t>
  </si>
  <si>
    <t>1012 | Finance</t>
  </si>
  <si>
    <t>977 | Finance</t>
  </si>
  <si>
    <t>969 | Finance</t>
  </si>
  <si>
    <t>963 | Finance</t>
  </si>
  <si>
    <t>898 | Finance</t>
  </si>
  <si>
    <t>897 | Finance</t>
  </si>
  <si>
    <t>895 | Finance</t>
  </si>
  <si>
    <t>884 | Finance</t>
  </si>
  <si>
    <t>881 | Finance</t>
  </si>
  <si>
    <t>855 | Finance</t>
  </si>
  <si>
    <t>852 | Finance</t>
  </si>
  <si>
    <t>749 | Finance</t>
  </si>
  <si>
    <t>744 | Finance</t>
  </si>
  <si>
    <t>610 | Finance</t>
  </si>
  <si>
    <t>458 | Finance</t>
  </si>
  <si>
    <t>456 | Finance</t>
  </si>
  <si>
    <t>399 | Finance</t>
  </si>
  <si>
    <t>396 | Finance</t>
  </si>
  <si>
    <t>Collections Officer</t>
  </si>
  <si>
    <t>395 | Finance</t>
  </si>
  <si>
    <t>286 | Finance</t>
  </si>
  <si>
    <t>283 | Finance</t>
  </si>
  <si>
    <t>204 | Finance</t>
  </si>
  <si>
    <t>178 | Finance</t>
  </si>
  <si>
    <t>106 | Finance</t>
  </si>
  <si>
    <t>105 | Finance</t>
  </si>
  <si>
    <t>101 | Finance</t>
  </si>
  <si>
    <t>100 | Finance</t>
  </si>
  <si>
    <t>91 | Finance</t>
  </si>
  <si>
    <t>30 | Finance</t>
  </si>
  <si>
    <t>23 | Finance</t>
  </si>
  <si>
    <t>21 | Finance</t>
  </si>
  <si>
    <t>20 | Finance</t>
  </si>
  <si>
    <t>12 | Finance</t>
  </si>
  <si>
    <t>439 | Communication and Advocacy</t>
  </si>
  <si>
    <t>Communication and Advocacy</t>
  </si>
  <si>
    <t>Communication and Advocacy - Senior Management</t>
  </si>
  <si>
    <t>432 | Communication and Advocacy</t>
  </si>
  <si>
    <t>365 | Communication and Advocacy</t>
  </si>
  <si>
    <t>364 | Communication and Advocacy</t>
  </si>
  <si>
    <t>360 | Communication and Advocacy</t>
  </si>
  <si>
    <t>358 | Communication and Advocacy</t>
  </si>
  <si>
    <t>354 | Communication and Advocacy</t>
  </si>
  <si>
    <t>326 | Communication and Advocacy</t>
  </si>
  <si>
    <t>324 | Communication and Advocacy</t>
  </si>
  <si>
    <t>323 | Communication and Advocacy</t>
  </si>
  <si>
    <t>297 | Communication and Advocacy</t>
  </si>
  <si>
    <t>279 | Communication and Advocacy</t>
  </si>
  <si>
    <t>278 | Communication and Advocacy</t>
  </si>
  <si>
    <t>271 | Communication and Advocacy</t>
  </si>
  <si>
    <t>249 | Communication and Advocacy</t>
  </si>
  <si>
    <t>247 | Communication and Advocacy</t>
  </si>
  <si>
    <t>242 | Communication and Advocacy</t>
  </si>
  <si>
    <t>126 | Communication and Advocacy</t>
  </si>
  <si>
    <t>123 | Communication and Advocacy</t>
  </si>
  <si>
    <t>88 | Communication and Advocacy</t>
  </si>
  <si>
    <t>86 | Communication and Advocacy</t>
  </si>
  <si>
    <t>43 | Communication and Advocacy</t>
  </si>
  <si>
    <t>41 | Communication and Advocacy</t>
  </si>
  <si>
    <t>2724 | Communication and Advocacy</t>
  </si>
  <si>
    <t>Communication and Advocacy - Senior</t>
  </si>
  <si>
    <t>2648 | Communication and Advocacy</t>
  </si>
  <si>
    <t>2371 | Communication and Advocacy</t>
  </si>
  <si>
    <t>2331 | Communication and Advocacy</t>
  </si>
  <si>
    <t>2141 | Communication and Advocacy</t>
  </si>
  <si>
    <t>2057 | Communication and Advocacy</t>
  </si>
  <si>
    <t>1955 | Communication and Advocacy</t>
  </si>
  <si>
    <t>1920 | Communication and Advocacy</t>
  </si>
  <si>
    <t>1750 | Communication and Advocacy</t>
  </si>
  <si>
    <t>1749 | Communication and Advocacy</t>
  </si>
  <si>
    <t>1742 | Communication and Advocacy</t>
  </si>
  <si>
    <t>1650 | Communication and Advocacy</t>
  </si>
  <si>
    <t>1533 | Communication and Advocacy</t>
  </si>
  <si>
    <t>1503 | Communication and Advocacy</t>
  </si>
  <si>
    <t>1497 | Communication and Advocacy</t>
  </si>
  <si>
    <t>1368 | Communication and Advocacy</t>
  </si>
  <si>
    <t>1213 | Communication and Advocacy</t>
  </si>
  <si>
    <t>1131 | Communication and Advocacy</t>
  </si>
  <si>
    <t>1085 | Communication and Advocacy</t>
  </si>
  <si>
    <t>1047 | Communication and Advocacy</t>
  </si>
  <si>
    <t>1030 | Communication and Advocacy</t>
  </si>
  <si>
    <t>938 | Communication and Advocacy</t>
  </si>
  <si>
    <t>931 | Communication and Advocacy</t>
  </si>
  <si>
    <t>849 | Communication and Advocacy</t>
  </si>
  <si>
    <t>843 | Communication and Advocacy</t>
  </si>
  <si>
    <t>820 | Communication and Advocacy</t>
  </si>
  <si>
    <t>816 | Communication and Advocacy</t>
  </si>
  <si>
    <t>787 | Communication and Advocacy</t>
  </si>
  <si>
    <t>739 | Communication and Advocacy</t>
  </si>
  <si>
    <t>734 | Communication and Advocacy</t>
  </si>
  <si>
    <t>688 | Communication and Advocacy</t>
  </si>
  <si>
    <t>682 | Communication and Advocacy</t>
  </si>
  <si>
    <t>567 | Communication and Advocacy</t>
  </si>
  <si>
    <t>369 | Communication and Advocacy</t>
  </si>
  <si>
    <t>366 | Communication and Advocacy</t>
  </si>
  <si>
    <t>363 | Communication and Advocacy</t>
  </si>
  <si>
    <t>357 | Communication and Advocacy</t>
  </si>
  <si>
    <t>329 | Communication and Advocacy</t>
  </si>
  <si>
    <t>293 | Communication and Advocacy</t>
  </si>
  <si>
    <t>274 | Communication and Advocacy</t>
  </si>
  <si>
    <t>199 | Communication and Advocacy</t>
  </si>
  <si>
    <t>194 | Communication and Advocacy</t>
  </si>
  <si>
    <t>169 | Communication and Advocacy</t>
  </si>
  <si>
    <t>167 | Communication and Advocacy</t>
  </si>
  <si>
    <t>166 | Communication and Advocacy</t>
  </si>
  <si>
    <t>163 | Communication and Advocacy</t>
  </si>
  <si>
    <t>125 | Communication and Advocacy</t>
  </si>
  <si>
    <t>85 | Communication and Advocacy</t>
  </si>
  <si>
    <t>84 | Communication and Advocacy</t>
  </si>
  <si>
    <t>49 | Communication and Advocacy</t>
  </si>
  <si>
    <t>48 | Communication and Advocacy</t>
  </si>
  <si>
    <t>42 | Communication and Advocacy</t>
  </si>
  <si>
    <t>2948 | Communication and Advocacy</t>
  </si>
  <si>
    <t>Communication and Advocacy - Manager Level</t>
  </si>
  <si>
    <t>2941 | Communication and Advocacy</t>
  </si>
  <si>
    <t>2336 | Communication and Advocacy</t>
  </si>
  <si>
    <t>2335 | Communication and Advocacy</t>
  </si>
  <si>
    <t>2058 | Communication and Advocacy</t>
  </si>
  <si>
    <t>2056 | Communication and Advocacy</t>
  </si>
  <si>
    <t>2054 | Communication and Advocacy</t>
  </si>
  <si>
    <t>1911 | Communication and Advocacy</t>
  </si>
  <si>
    <t>1745 | Communication and Advocacy</t>
  </si>
  <si>
    <t>1597 | Communication and Advocacy</t>
  </si>
  <si>
    <t>1579 | Communication and Advocacy</t>
  </si>
  <si>
    <t>1576 | Communication and Advocacy</t>
  </si>
  <si>
    <t>1504 | Communication and Advocacy</t>
  </si>
  <si>
    <t>1494 | Communication and Advocacy</t>
  </si>
  <si>
    <t>1315 | Communication and Advocacy</t>
  </si>
  <si>
    <t>1023 | Communication and Advocacy</t>
  </si>
  <si>
    <t>841 | Communication and Advocacy</t>
  </si>
  <si>
    <t>789 | Communication and Advocacy</t>
  </si>
  <si>
    <t>738 | Communication and Advocacy</t>
  </si>
  <si>
    <t>737 | Communication and Advocacy</t>
  </si>
  <si>
    <t>735 | Communication and Advocacy</t>
  </si>
  <si>
    <t>689 | Communication and Advocacy</t>
  </si>
  <si>
    <t>687 | Communication and Advocacy</t>
  </si>
  <si>
    <t>685 | Communication and Advocacy</t>
  </si>
  <si>
    <t>570 | Communication and Advocacy</t>
  </si>
  <si>
    <t>566 | Communication and Advocacy</t>
  </si>
  <si>
    <t>563 | Communication and Advocacy</t>
  </si>
  <si>
    <t>437 | Communication and Advocacy</t>
  </si>
  <si>
    <t>434 | Communication and Advocacy</t>
  </si>
  <si>
    <t>353 | Communication and Advocacy</t>
  </si>
  <si>
    <t>352 | Communication and Advocacy</t>
  </si>
  <si>
    <t>327 | Communication and Advocacy</t>
  </si>
  <si>
    <t>298 | Communication and Advocacy</t>
  </si>
  <si>
    <t>280 | Communication and Advocacy</t>
  </si>
  <si>
    <t>272 | Communication and Advocacy</t>
  </si>
  <si>
    <t>244 | Communication and Advocacy</t>
  </si>
  <si>
    <t>241 | Communication and Advocacy</t>
  </si>
  <si>
    <t>197 | Communication and Advocacy</t>
  </si>
  <si>
    <t>192 | Communication and Advocacy</t>
  </si>
  <si>
    <t>168 | Communication and Advocacy</t>
  </si>
  <si>
    <t>124 | Communication and Advocacy</t>
  </si>
  <si>
    <t>50 | Communication and Advocacy</t>
  </si>
  <si>
    <t>44 | Communication and Advocacy</t>
  </si>
  <si>
    <t>355 | Communication and Advocacy</t>
  </si>
  <si>
    <t>Communication and Advocacy - Junior</t>
  </si>
  <si>
    <t>330 | Communication and Advocacy</t>
  </si>
  <si>
    <t>296 | Communication and Advocacy</t>
  </si>
  <si>
    <t>277 | Communication and Advocacy</t>
  </si>
  <si>
    <t>273 | Communication and Advocacy</t>
  </si>
  <si>
    <t>196 | Communication and Advocacy</t>
  </si>
  <si>
    <t>170 | Communication and Advocacy</t>
  </si>
  <si>
    <t>165 | Communication and Advocacy</t>
  </si>
  <si>
    <t>130 | Communication and Advocacy</t>
  </si>
  <si>
    <t>129 | Communication and Advocacy</t>
  </si>
  <si>
    <t>128 | Communication and Advocacy</t>
  </si>
  <si>
    <t>127 | Communication and Advocacy</t>
  </si>
  <si>
    <t>122 | Communication and Advocacy</t>
  </si>
  <si>
    <t>90 | Communication and Advocacy</t>
  </si>
  <si>
    <t>87 | Communication and Advocacy</t>
  </si>
  <si>
    <t>81 | Communication and Advocacy</t>
  </si>
  <si>
    <t>47 | Communication and Advocacy</t>
  </si>
  <si>
    <t>508 | Capacity Building</t>
  </si>
  <si>
    <t>Capacity Building</t>
  </si>
  <si>
    <t>Capacity Building - Senior Management</t>
  </si>
  <si>
    <t>506 | Capacity Building</t>
  </si>
  <si>
    <t>503 | Capacity Building</t>
  </si>
  <si>
    <t>502 | Capacity Building</t>
  </si>
  <si>
    <t>416 | Capacity Building</t>
  </si>
  <si>
    <t>413 | Capacity Building</t>
  </si>
  <si>
    <t>412 | Capacity Building</t>
  </si>
  <si>
    <t>265 | Capacity Building</t>
  </si>
  <si>
    <t>264 | Capacity Building</t>
  </si>
  <si>
    <t>258 | Capacity Building</t>
  </si>
  <si>
    <t>236 | Capacity Building</t>
  </si>
  <si>
    <t>235 | Capacity Building</t>
  </si>
  <si>
    <t>233 | Capacity Building</t>
  </si>
  <si>
    <t>160 | Capacity Building</t>
  </si>
  <si>
    <t>157 | Capacity Building</t>
  </si>
  <si>
    <t>144 | Capacity Building</t>
  </si>
  <si>
    <t>119 | Capacity Building</t>
  </si>
  <si>
    <t>113 | Capacity Building</t>
  </si>
  <si>
    <t>53 | Capacity Building</t>
  </si>
  <si>
    <t>3000 | Capacity Building</t>
  </si>
  <si>
    <t>Capacity Building - Senior</t>
  </si>
  <si>
    <t>2925 | Capacity Building</t>
  </si>
  <si>
    <t>2915 | Capacity Building</t>
  </si>
  <si>
    <t>2825 | Capacity Building</t>
  </si>
  <si>
    <t>2703 | Capacity Building</t>
  </si>
  <si>
    <t>2636 | Capacity Building</t>
  </si>
  <si>
    <t>2580 | Capacity Building</t>
  </si>
  <si>
    <t>2140 | Capacity Building</t>
  </si>
  <si>
    <t>2107 | Capacity Building</t>
  </si>
  <si>
    <t>2100 | Capacity Building</t>
  </si>
  <si>
    <t>1714 | Capacity Building</t>
  </si>
  <si>
    <t>1693 | Capacity Building</t>
  </si>
  <si>
    <t>1552 | Capacity Building</t>
  </si>
  <si>
    <t>1200 | Capacity Building</t>
  </si>
  <si>
    <t>1178 | Capacity Building</t>
  </si>
  <si>
    <t>1103 | Capacity Building</t>
  </si>
  <si>
    <t>1074 | Capacity Building</t>
  </si>
  <si>
    <t>923 | Capacity Building</t>
  </si>
  <si>
    <t>922 | Capacity Building</t>
  </si>
  <si>
    <t>921 | Capacity Building</t>
  </si>
  <si>
    <t>808 | Capacity Building</t>
  </si>
  <si>
    <t>803 | Capacity Building</t>
  </si>
  <si>
    <t>802 | Capacity Building</t>
  </si>
  <si>
    <t>771 | Capacity Building</t>
  </si>
  <si>
    <t>666 | Capacity Building</t>
  </si>
  <si>
    <t>665 | Capacity Building</t>
  </si>
  <si>
    <t>625 | Capacity Building</t>
  </si>
  <si>
    <t>624 | Capacity Building</t>
  </si>
  <si>
    <t>540 | Capacity Building</t>
  </si>
  <si>
    <t>536 | Capacity Building</t>
  </si>
  <si>
    <t>533 | Capacity Building</t>
  </si>
  <si>
    <t>501 | Capacity Building</t>
  </si>
  <si>
    <t>429 | Capacity Building</t>
  </si>
  <si>
    <t>422 | Capacity Building</t>
  </si>
  <si>
    <t>411 | Capacity Building</t>
  </si>
  <si>
    <t>269 | Capacity Building</t>
  </si>
  <si>
    <t>266 | Capacity Building</t>
  </si>
  <si>
    <t>256 | Capacity Building</t>
  </si>
  <si>
    <t>254 | Capacity Building</t>
  </si>
  <si>
    <t>251 | Capacity Building</t>
  </si>
  <si>
    <t>231 | Capacity Building</t>
  </si>
  <si>
    <t>224 | Capacity Building</t>
  </si>
  <si>
    <t>223 | Capacity Building</t>
  </si>
  <si>
    <t>158 | Capacity Building</t>
  </si>
  <si>
    <t>153 | Capacity Building</t>
  </si>
  <si>
    <t>142 | Capacity Building</t>
  </si>
  <si>
    <t>115 | Capacity Building</t>
  </si>
  <si>
    <t>112 | Capacity Building</t>
  </si>
  <si>
    <t>60 | Capacity Building</t>
  </si>
  <si>
    <t>59 | Capacity Building</t>
  </si>
  <si>
    <t>51 | Capacity Building</t>
  </si>
  <si>
    <t>2952 | Capacity Building</t>
  </si>
  <si>
    <t>Capacity Building - Manager Level</t>
  </si>
  <si>
    <t>2934 | Capacity Building</t>
  </si>
  <si>
    <t>2805 | Capacity Building</t>
  </si>
  <si>
    <t>2798 | Capacity Building</t>
  </si>
  <si>
    <t>2766 | Capacity Building</t>
  </si>
  <si>
    <t>2705 | Capacity Building</t>
  </si>
  <si>
    <t>2615 | Capacity Building</t>
  </si>
  <si>
    <t>2611 | Capacity Building</t>
  </si>
  <si>
    <t>2575 | Capacity Building</t>
  </si>
  <si>
    <t>2523 | Capacity Building</t>
  </si>
  <si>
    <t>2134 | Capacity Building</t>
  </si>
  <si>
    <t>2102 | Capacity Building</t>
  </si>
  <si>
    <t>2039 | Capacity Building</t>
  </si>
  <si>
    <t>1718 | Capacity Building</t>
  </si>
  <si>
    <t>1716 | Capacity Building</t>
  </si>
  <si>
    <t>1713 | Capacity Building</t>
  </si>
  <si>
    <t>1461 | Capacity Building</t>
  </si>
  <si>
    <t>1246 | Capacity Building</t>
  </si>
  <si>
    <t>1241 | Capacity Building</t>
  </si>
  <si>
    <t>1102 | Capacity Building</t>
  </si>
  <si>
    <t>1079 | Capacity Building</t>
  </si>
  <si>
    <t>928 | Capacity Building</t>
  </si>
  <si>
    <t>924 | Capacity Building</t>
  </si>
  <si>
    <t>806 | Capacity Building</t>
  </si>
  <si>
    <t>804 | Capacity Building</t>
  </si>
  <si>
    <t>775 | Capacity Building</t>
  </si>
  <si>
    <t>772 | Capacity Building</t>
  </si>
  <si>
    <t>669 | Capacity Building</t>
  </si>
  <si>
    <t>630 | Capacity Building</t>
  </si>
  <si>
    <t>629 | Capacity Building</t>
  </si>
  <si>
    <t>623 | Capacity Building</t>
  </si>
  <si>
    <t>622 | Capacity Building</t>
  </si>
  <si>
    <t>428 | Capacity Building</t>
  </si>
  <si>
    <t>423 | Capacity Building</t>
  </si>
  <si>
    <t>421 | Capacity Building</t>
  </si>
  <si>
    <t>267 | Capacity Building</t>
  </si>
  <si>
    <t>263 | Capacity Building</t>
  </si>
  <si>
    <t>261 | Capacity Building</t>
  </si>
  <si>
    <t>260 | Capacity Building</t>
  </si>
  <si>
    <t>240 | Capacity Building</t>
  </si>
  <si>
    <t>232 | Capacity Building</t>
  </si>
  <si>
    <t>225 | Capacity Building</t>
  </si>
  <si>
    <t>221 | Capacity Building</t>
  </si>
  <si>
    <t>152 | Capacity Building</t>
  </si>
  <si>
    <t>120 | Capacity Building</t>
  </si>
  <si>
    <t>117 | Capacity Building</t>
  </si>
  <si>
    <t>57 | Capacity Building</t>
  </si>
  <si>
    <t>2999 | Capacity Building</t>
  </si>
  <si>
    <t>Capacity Building - Junior</t>
  </si>
  <si>
    <t>Training Associate</t>
  </si>
  <si>
    <t>2953 | Capacity Building</t>
  </si>
  <si>
    <t>2911 | Capacity Building</t>
  </si>
  <si>
    <t>2797 | Capacity Building</t>
  </si>
  <si>
    <t>2741 | Capacity Building</t>
  </si>
  <si>
    <t>2707 | Capacity Building</t>
  </si>
  <si>
    <t>2701 | Capacity Building</t>
  </si>
  <si>
    <t>2640 | Capacity Building</t>
  </si>
  <si>
    <t>2638 | Capacity Building</t>
  </si>
  <si>
    <t>2627 | Capacity Building</t>
  </si>
  <si>
    <t>2595 | Capacity Building</t>
  </si>
  <si>
    <t>2578 | Capacity Building</t>
  </si>
  <si>
    <t>2425 | Capacity Building</t>
  </si>
  <si>
    <t>2395 | Capacity Building</t>
  </si>
  <si>
    <t>2038 | Capacity Building</t>
  </si>
  <si>
    <t>1871 | Capacity Building</t>
  </si>
  <si>
    <t>1487 | Capacity Building</t>
  </si>
  <si>
    <t>1247 | Capacity Building</t>
  </si>
  <si>
    <t>1244 | Capacity Building</t>
  </si>
  <si>
    <t>1238 | Capacity Building</t>
  </si>
  <si>
    <t>1226 | Capacity Building</t>
  </si>
  <si>
    <t>1174 | Capacity Building</t>
  </si>
  <si>
    <t>1107 | Capacity Building</t>
  </si>
  <si>
    <t>1072 | Capacity Building</t>
  </si>
  <si>
    <t>810 | Capacity Building</t>
  </si>
  <si>
    <t>779 | Capacity Building</t>
  </si>
  <si>
    <t>773 | Capacity Building</t>
  </si>
  <si>
    <t>664 | Capacity Building</t>
  </si>
  <si>
    <t>661 | Capacity Building</t>
  </si>
  <si>
    <t>626 | Capacity Building</t>
  </si>
  <si>
    <t>539 | Capacity Building</t>
  </si>
  <si>
    <t>532 | Capacity Building</t>
  </si>
  <si>
    <t>509 | Capacity Building</t>
  </si>
  <si>
    <t>507 | Capacity Building</t>
  </si>
  <si>
    <t>505 | Capacity Building</t>
  </si>
  <si>
    <t>504 | Capacity Building</t>
  </si>
  <si>
    <t>427 | Capacity Building</t>
  </si>
  <si>
    <t>415 | Capacity Building</t>
  </si>
  <si>
    <t>255 | Capacity Building</t>
  </si>
  <si>
    <t>252 | Capacity Building</t>
  </si>
  <si>
    <t>230 | Capacity Building</t>
  </si>
  <si>
    <t>228 | Capacity Building</t>
  </si>
  <si>
    <t>226 | Capacity Building</t>
  </si>
  <si>
    <t>154 | Capacity Building</t>
  </si>
  <si>
    <t>151 | Capacity Building</t>
  </si>
  <si>
    <t>150 | Capacity Building</t>
  </si>
  <si>
    <t>145 | Capacity Building</t>
  </si>
  <si>
    <t>141 | Capacity Building</t>
  </si>
  <si>
    <t>114 | Capacity Building</t>
  </si>
  <si>
    <t>58 | Capacity Building</t>
  </si>
  <si>
    <t>55 | Capacity Building</t>
  </si>
  <si>
    <t>2992 | Capacity Building</t>
  </si>
  <si>
    <t>Capacity Building - Executive</t>
  </si>
  <si>
    <t>2768 | Capacity Building</t>
  </si>
  <si>
    <t>2633 | Capacity Building</t>
  </si>
  <si>
    <t>2576 | Capacity Building</t>
  </si>
  <si>
    <t>2529 | Capacity Building</t>
  </si>
  <si>
    <t>2092 | Capacity Building</t>
  </si>
  <si>
    <t>1939 | Capacity Building</t>
  </si>
  <si>
    <t>1192 | Capacity Building</t>
  </si>
  <si>
    <t>929 | Capacity Building</t>
  </si>
  <si>
    <t>927 | Capacity Building</t>
  </si>
  <si>
    <t>809 | Capacity Building</t>
  </si>
  <si>
    <t>805 | Capacity Building</t>
  </si>
  <si>
    <t>801 | Capacity Building</t>
  </si>
  <si>
    <t>777 | Capacity Building</t>
  </si>
  <si>
    <t>776 | Capacity Building</t>
  </si>
  <si>
    <t>670 | Capacity Building</t>
  </si>
  <si>
    <t>663 | Capacity Building</t>
  </si>
  <si>
    <t>662 | Capacity Building</t>
  </si>
  <si>
    <t>628 | Capacity Building</t>
  </si>
  <si>
    <t>538 | Capacity Building</t>
  </si>
  <si>
    <t>537 | Capacity Building</t>
  </si>
  <si>
    <t>426 | Capacity Building</t>
  </si>
  <si>
    <t>424 | Capacity Building</t>
  </si>
  <si>
    <t>420 | Capacity Building</t>
  </si>
  <si>
    <t>417 | Capacity Building</t>
  </si>
  <si>
    <t>414 | Capacity Building</t>
  </si>
  <si>
    <t>268 | Capacity Building</t>
  </si>
  <si>
    <t>262 | Capacity Building</t>
  </si>
  <si>
    <t>257 | Capacity Building</t>
  </si>
  <si>
    <t>239 | Capacity Building</t>
  </si>
  <si>
    <t>237 | Capacity Building</t>
  </si>
  <si>
    <t>229 | Capacity Building</t>
  </si>
  <si>
    <t>222 | Capacity Building</t>
  </si>
  <si>
    <t>159 | Capacity Building</t>
  </si>
  <si>
    <t>156 | Capacity Building</t>
  </si>
  <si>
    <t>155 | Capacity Building</t>
  </si>
  <si>
    <t>149 | Capacity Building</t>
  </si>
  <si>
    <t>148 | Capacity Building</t>
  </si>
  <si>
    <t>146 | Capacity Building</t>
  </si>
  <si>
    <t>111 | Capacity Building</t>
  </si>
  <si>
    <t>52 | Capacity Building</t>
  </si>
  <si>
    <t>2997 | Capacity Building</t>
  </si>
  <si>
    <t>Capacity Building - Associate</t>
  </si>
  <si>
    <t>2930 | Capacity Building</t>
  </si>
  <si>
    <t>2919 | Capacity Building</t>
  </si>
  <si>
    <t>2824 | Capacity Building</t>
  </si>
  <si>
    <t>2770 | Capacity Building</t>
  </si>
  <si>
    <t>2628 | Capacity Building</t>
  </si>
  <si>
    <t>2530 | Capacity Building</t>
  </si>
  <si>
    <t>2528 | Capacity Building</t>
  </si>
  <si>
    <t>2430 | Capacity Building</t>
  </si>
  <si>
    <t>2427 | Capacity Building</t>
  </si>
  <si>
    <t>2137 | Capacity Building</t>
  </si>
  <si>
    <t>2103 | Capacity Building</t>
  </si>
  <si>
    <t>2099 | Capacity Building</t>
  </si>
  <si>
    <t>2097 | Capacity Building</t>
  </si>
  <si>
    <t>2034 | Capacity Building</t>
  </si>
  <si>
    <t>1931 | Capacity Building</t>
  </si>
  <si>
    <t>1691 | Capacity Building</t>
  </si>
  <si>
    <t>1556 | Capacity Building</t>
  </si>
  <si>
    <t>1233 | Capacity Building</t>
  </si>
  <si>
    <t>1230 | Capacity Building</t>
  </si>
  <si>
    <t>1206 | Capacity Building</t>
  </si>
  <si>
    <t>1193 | Capacity Building</t>
  </si>
  <si>
    <t>1175 | Capacity Building</t>
  </si>
  <si>
    <t>1172 | Capacity Building</t>
  </si>
  <si>
    <t>925 | Capacity Building</t>
  </si>
  <si>
    <t>807 | Capacity Building</t>
  </si>
  <si>
    <t>780 | Capacity Building</t>
  </si>
  <si>
    <t>667 | Capacity Building</t>
  </si>
  <si>
    <t>627 | Capacity Building</t>
  </si>
  <si>
    <t>621 | Capacity Building</t>
  </si>
  <si>
    <t>531 | Capacity Building</t>
  </si>
  <si>
    <t>510 | Capacity Building</t>
  </si>
  <si>
    <t>430 | Capacity Building</t>
  </si>
  <si>
    <t>425 | Capacity Building</t>
  </si>
  <si>
    <t>419 | Capacity Building</t>
  </si>
  <si>
    <t>418 | Capacity Building</t>
  </si>
  <si>
    <t>270 | Capacity Building</t>
  </si>
  <si>
    <t>259 | Capacity Building</t>
  </si>
  <si>
    <t>253 | Capacity Building</t>
  </si>
  <si>
    <t>238 | Capacity Building</t>
  </si>
  <si>
    <t>234 | Capacity Building</t>
  </si>
  <si>
    <t>227 | Capacity Building</t>
  </si>
  <si>
    <t>147 | Capacity Building</t>
  </si>
  <si>
    <t>143 | Capacity Building</t>
  </si>
  <si>
    <t>118 | Capacity Building</t>
  </si>
  <si>
    <t>116 | Capacity Building</t>
  </si>
  <si>
    <t>56 | Capacity Building</t>
  </si>
  <si>
    <t>54 | Capacity Building</t>
  </si>
  <si>
    <t>448 | Administation</t>
  </si>
  <si>
    <t>Administation</t>
  </si>
  <si>
    <t>Administation - Senior Management</t>
  </si>
  <si>
    <t>441 | Administation</t>
  </si>
  <si>
    <t>337 | Administation</t>
  </si>
  <si>
    <t>336 | Administation</t>
  </si>
  <si>
    <t>333 | Administation</t>
  </si>
  <si>
    <t>310 | Administation</t>
  </si>
  <si>
    <t>40 | Administation</t>
  </si>
  <si>
    <t>38 | Administation</t>
  </si>
  <si>
    <t>523 | Administation</t>
  </si>
  <si>
    <t>Administation - Senior</t>
  </si>
  <si>
    <t>520 | Administation</t>
  </si>
  <si>
    <t>514 | Administation</t>
  </si>
  <si>
    <t>468 | Administation</t>
  </si>
  <si>
    <t>464 | Administation</t>
  </si>
  <si>
    <t>463 | Administation</t>
  </si>
  <si>
    <t>447 | Administation</t>
  </si>
  <si>
    <t>443 | Administation</t>
  </si>
  <si>
    <t>402 | Administation</t>
  </si>
  <si>
    <t>332 | Administation</t>
  </si>
  <si>
    <t>331 | Administation</t>
  </si>
  <si>
    <t>308 | Administation</t>
  </si>
  <si>
    <t>307 | Administation</t>
  </si>
  <si>
    <t>302 | Administation</t>
  </si>
  <si>
    <t>301 | Administation</t>
  </si>
  <si>
    <t>217 | Administation</t>
  </si>
  <si>
    <t>39 | Administation</t>
  </si>
  <si>
    <t>31 | Administation</t>
  </si>
  <si>
    <t>521 | Administation</t>
  </si>
  <si>
    <t>Administation - Manager Level</t>
  </si>
  <si>
    <t>516 | Administation</t>
  </si>
  <si>
    <t>513 | Administation</t>
  </si>
  <si>
    <t>465 | Administation</t>
  </si>
  <si>
    <t>450 | Administation</t>
  </si>
  <si>
    <t>446 | Administation</t>
  </si>
  <si>
    <t>445 | Administation</t>
  </si>
  <si>
    <t>406 | Administation</t>
  </si>
  <si>
    <t>340 | Administation</t>
  </si>
  <si>
    <t>334 | Administation</t>
  </si>
  <si>
    <t>309 | Administation</t>
  </si>
  <si>
    <t>303 | Administation</t>
  </si>
  <si>
    <t>218 | Administation</t>
  </si>
  <si>
    <t>214 | Administation</t>
  </si>
  <si>
    <t>213 | Administation</t>
  </si>
  <si>
    <t>212 | Administation</t>
  </si>
  <si>
    <t>36 | Administation</t>
  </si>
  <si>
    <t>Administation - Junior</t>
  </si>
  <si>
    <t>Field</t>
  </si>
  <si>
    <t>Can take Values</t>
  </si>
  <si>
    <t>Applicant ID</t>
  </si>
  <si>
    <t>Auto Generated by System</t>
  </si>
  <si>
    <t>Requistion ID</t>
  </si>
  <si>
    <t>Departments in the Organization</t>
  </si>
  <si>
    <t>Analyst, Business Partner, Supervisor, Manager ETC</t>
  </si>
  <si>
    <t>Junior, Senior, Manager, Executive</t>
  </si>
  <si>
    <t>No, Yes</t>
  </si>
  <si>
    <t>Company, Candidate</t>
  </si>
  <si>
    <t>Accepted, Rejected</t>
  </si>
  <si>
    <t>Other Comments</t>
  </si>
  <si>
    <t>Calculated by Analyst</t>
  </si>
  <si>
    <t>Days from From Application to Interview</t>
  </si>
  <si>
    <t>Time to hire</t>
  </si>
  <si>
    <t>Time between interview and candidate reporting</t>
  </si>
  <si>
    <t>Date between onboarding and opening of physical file</t>
  </si>
  <si>
    <t>Date between onboarding and efile opening</t>
  </si>
  <si>
    <t>Time to approve requisition</t>
  </si>
  <si>
    <t>OPEN DAYS</t>
  </si>
  <si>
    <t>Publish time</t>
  </si>
  <si>
    <t>Column1</t>
  </si>
  <si>
    <t>Column2</t>
  </si>
  <si>
    <t>Applicants</t>
  </si>
  <si>
    <t>shortlisted</t>
  </si>
  <si>
    <t>interviewed</t>
  </si>
  <si>
    <t>hired</t>
  </si>
  <si>
    <t>Stage</t>
  </si>
  <si>
    <t>Reqruits</t>
  </si>
  <si>
    <t>ASSOCIATE</t>
  </si>
  <si>
    <t>EXECUTIVE</t>
  </si>
  <si>
    <t>JUNIOR</t>
  </si>
  <si>
    <t>MANAGER</t>
  </si>
  <si>
    <t>SENIOR</t>
  </si>
  <si>
    <t>SENIOR MGT</t>
  </si>
  <si>
    <t>Admin</t>
  </si>
  <si>
    <t>Comm &amp; Advocacy</t>
  </si>
  <si>
    <t>M &amp; E</t>
  </si>
  <si>
    <t>RECRUITMENT ANALYSIS</t>
  </si>
  <si>
    <t>RECRUITMENT METRICS</t>
  </si>
  <si>
    <t>NEEDLE</t>
  </si>
  <si>
    <t>AVERAGE TIME</t>
  </si>
  <si>
    <t>SCORE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</si>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</sst>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9"/>
      <color rgb="FF222222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0"/>
      <color rgb="FF222222"/>
      <name val="Aptos Display"/>
      <family val="2"/>
      <scheme val="major"/>
    </font>
    <font>
      <sz val="10"/>
      <color theme="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14" fontId="1" fillId="2" borderId="0" xfId="0" applyNumberFormat="1" applyFont="1" applyFill="1" applyAlignment="1">
      <alignment horizontal="left" vertical="center" indent="1"/>
    </xf>
    <xf numFmtId="1" fontId="1" fillId="2" borderId="0" xfId="0" applyNumberFormat="1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22" fontId="2" fillId="0" borderId="0" xfId="0" applyNumberFormat="1" applyFont="1"/>
    <xf numFmtId="1" fontId="2" fillId="0" borderId="0" xfId="0" applyNumberFormat="1" applyFon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4" fillId="4" borderId="1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indent="1"/>
    </xf>
    <xf numFmtId="1" fontId="3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6" borderId="2" xfId="0" applyFont="1" applyFill="1" applyBorder="1"/>
    <xf numFmtId="0" fontId="0" fillId="6" borderId="3" xfId="0" applyFont="1" applyFill="1" applyBorder="1"/>
    <xf numFmtId="0" fontId="8" fillId="0" borderId="0" xfId="0" applyFont="1" applyAlignment="1">
      <alignment horizontal="center"/>
    </xf>
    <xf numFmtId="0" fontId="0" fillId="0" borderId="0" xfId="0" applyAlignment="1"/>
    <xf numFmtId="0" fontId="8" fillId="0" borderId="0" xfId="0" applyFont="1" applyAlignment="1"/>
    <xf numFmtId="0" fontId="7" fillId="7" borderId="4" xfId="0" applyFont="1" applyFill="1" applyBorder="1"/>
    <xf numFmtId="0" fontId="7" fillId="7" borderId="5" xfId="0" applyFont="1" applyFill="1" applyBorder="1"/>
    <xf numFmtId="0" fontId="0" fillId="6" borderId="4" xfId="0" applyFont="1" applyFill="1" applyBorder="1"/>
    <xf numFmtId="0" fontId="0" fillId="6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9" fontId="0" fillId="0" borderId="0" xfId="0" applyNumberFormat="1"/>
    <xf numFmtId="0" fontId="1" fillId="5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hire different levels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1943744531933507"/>
          <c:y val="8.333333333333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958442694663169E-2"/>
          <c:y val="0.31458333333333338"/>
          <c:w val="0.90004155730533686"/>
          <c:h val="0.50401246719160109"/>
        </c:manualLayout>
      </c:layout>
      <c:lineChart>
        <c:grouping val="standard"/>
        <c:varyColors val="0"/>
        <c:ser>
          <c:idx val="0"/>
          <c:order val="0"/>
          <c:tx>
            <c:strRef>
              <c:f>TABLES!$B$8</c:f>
              <c:strCache>
                <c:ptCount val="1"/>
                <c:pt idx="0">
                  <c:v>Column2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TABLES!$A$9:$A$14</c:f>
              <c:strCache>
                <c:ptCount val="6"/>
                <c:pt idx="0">
                  <c:v>SENIOR MGT</c:v>
                </c:pt>
                <c:pt idx="1">
                  <c:v>EXECUTIVE</c:v>
                </c:pt>
                <c:pt idx="2">
                  <c:v>MANAGER</c:v>
                </c:pt>
                <c:pt idx="3">
                  <c:v>ASSOCIATE</c:v>
                </c:pt>
                <c:pt idx="4">
                  <c:v>SENIOR</c:v>
                </c:pt>
                <c:pt idx="5">
                  <c:v>JUNIOR</c:v>
                </c:pt>
              </c:strCache>
            </c:strRef>
          </c:cat>
          <c:val>
            <c:numRef>
              <c:f>TABLES!$B$9:$B$14</c:f>
              <c:numCache>
                <c:formatCode>General</c:formatCode>
                <c:ptCount val="6"/>
                <c:pt idx="0">
                  <c:v>17.760000000000002</c:v>
                </c:pt>
                <c:pt idx="1">
                  <c:v>17.63</c:v>
                </c:pt>
                <c:pt idx="2">
                  <c:v>17.07</c:v>
                </c:pt>
                <c:pt idx="3">
                  <c:v>17.059999999999999</c:v>
                </c:pt>
                <c:pt idx="4">
                  <c:v>17.04</c:v>
                </c:pt>
                <c:pt idx="5">
                  <c:v>17.03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B-4327-9F5B-7E886B959B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9526032"/>
        <c:axId val="679521040"/>
      </c:lineChart>
      <c:catAx>
        <c:axId val="67952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21040"/>
        <c:crosses val="autoZero"/>
        <c:auto val="1"/>
        <c:lblAlgn val="ctr"/>
        <c:lblOffset val="100"/>
        <c:noMultiLvlLbl val="0"/>
      </c:catAx>
      <c:valAx>
        <c:axId val="679521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7952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to hire across depts.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212751531058616"/>
          <c:y val="0.17736111111111111"/>
          <c:w val="0.60909470691163603"/>
          <c:h val="0.62271617089530473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TABLES!$A$18:$A$25</c:f>
              <c:strCache>
                <c:ptCount val="8"/>
                <c:pt idx="0">
                  <c:v>Admin</c:v>
                </c:pt>
                <c:pt idx="1">
                  <c:v>Capacity Building</c:v>
                </c:pt>
                <c:pt idx="2">
                  <c:v>Comm &amp; Advocacy</c:v>
                </c:pt>
                <c:pt idx="3">
                  <c:v>Finance</c:v>
                </c:pt>
                <c:pt idx="4">
                  <c:v>Fundraising</c:v>
                </c:pt>
                <c:pt idx="5">
                  <c:v>HR</c:v>
                </c:pt>
                <c:pt idx="6">
                  <c:v>IT</c:v>
                </c:pt>
                <c:pt idx="7">
                  <c:v>M &amp; E</c:v>
                </c:pt>
              </c:strCache>
            </c:strRef>
          </c:cat>
          <c:val>
            <c:numRef>
              <c:f>TABLES!$B$18:$B$25</c:f>
              <c:numCache>
                <c:formatCode>General</c:formatCode>
                <c:ptCount val="8"/>
                <c:pt idx="0">
                  <c:v>17.87</c:v>
                </c:pt>
                <c:pt idx="1">
                  <c:v>17.05</c:v>
                </c:pt>
                <c:pt idx="2">
                  <c:v>17.149999999999999</c:v>
                </c:pt>
                <c:pt idx="3">
                  <c:v>17.07</c:v>
                </c:pt>
                <c:pt idx="4">
                  <c:v>16.75</c:v>
                </c:pt>
                <c:pt idx="5">
                  <c:v>16.690000000000001</c:v>
                </c:pt>
                <c:pt idx="6">
                  <c:v>16.88</c:v>
                </c:pt>
                <c:pt idx="7">
                  <c:v>16.84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7-4FCB-955F-2DA825247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80480192"/>
        <c:axId val="280480608"/>
      </c:barChart>
      <c:catAx>
        <c:axId val="280480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480608"/>
        <c:crosses val="autoZero"/>
        <c:auto val="1"/>
        <c:lblAlgn val="ctr"/>
        <c:lblOffset val="100"/>
        <c:noMultiLvlLbl val="0"/>
      </c:catAx>
      <c:valAx>
        <c:axId val="28048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48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6A0C5527-33C9-44DA-819D-3EF83C3B1395}" formatIdx="0">
          <cx:tx>
            <cx:txData>
              <cx:f>_xlchart.v2.1</cx:f>
              <cx:v>Reqruits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3</xdr:row>
      <xdr:rowOff>161925</xdr:rowOff>
    </xdr:from>
    <xdr:to>
      <xdr:col>6</xdr:col>
      <xdr:colOff>635000</xdr:colOff>
      <xdr:row>19</xdr:row>
      <xdr:rowOff>60325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F8E6EB-EA82-4440-94F9-AEF8A06188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00" y="6953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361950</xdr:colOff>
      <xdr:row>3</xdr:row>
      <xdr:rowOff>168275</xdr:rowOff>
    </xdr:from>
    <xdr:to>
      <xdr:col>13</xdr:col>
      <xdr:colOff>660400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D810B4-7613-4D6F-BE1C-B1D8D0AC5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20</xdr:row>
      <xdr:rowOff>165100</xdr:rowOff>
    </xdr:from>
    <xdr:to>
      <xdr:col>6</xdr:col>
      <xdr:colOff>622300</xdr:colOff>
      <xdr:row>36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1BF602-6F18-4B90-8371-454AE47E4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863E5-50EC-47C8-BDCD-12A55438FA34}" name="Table1" displayName="Table1" ref="A1:B5" totalsRowShown="0">
  <autoFilter ref="A1:B5" xr:uid="{470863E5-50EC-47C8-BDCD-12A55438FA34}"/>
  <tableColumns count="2">
    <tableColumn id="1" xr3:uid="{81159DBD-D953-4F7A-87C3-EE5E29BC8ADD}" name="Stage"/>
    <tableColumn id="2" xr3:uid="{3DF7CC3D-8012-4D8D-B66C-757D0F1D6C79}" name="Reqru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913261-CE35-4A1B-8E99-A7D98BF9E524}" name="Table2" displayName="Table2" ref="A8:B14" totalsRowShown="0">
  <autoFilter ref="A8:B14" xr:uid="{A1913261-CE35-4A1B-8E99-A7D98BF9E524}"/>
  <sortState xmlns:xlrd2="http://schemas.microsoft.com/office/spreadsheetml/2017/richdata2" ref="A9:B14">
    <sortCondition descending="1" ref="B8:B14"/>
  </sortState>
  <tableColumns count="2">
    <tableColumn id="1" xr3:uid="{631727A0-C991-46BE-A11F-55D5A1F9F6CB}" name="Column1"/>
    <tableColumn id="2" xr3:uid="{9D0F7399-5063-4CEE-812C-00844F129438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F028E1-959F-46DF-A6B2-6EC60268C651}" name="Table3" displayName="Table3" ref="A17:B25" totalsRowShown="0">
  <autoFilter ref="A17:B25" xr:uid="{70F028E1-959F-46DF-A6B2-6EC60268C651}"/>
  <tableColumns count="2">
    <tableColumn id="1" xr3:uid="{1E923CE6-EC11-424E-9F2D-192F723F18B0}" name="Column1"/>
    <tableColumn id="2" xr3:uid="{FFA2BBE8-F380-4641-817A-F3FB05C7577C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C11A99-CC0E-43C2-BBA1-FEE95CFF78B9}" name="Table7" displayName="Table7" ref="E72:F73" totalsRowShown="0">
  <autoFilter ref="E72:F73" xr:uid="{BEC11A99-CC0E-43C2-BBA1-FEE95CFF78B9}"/>
  <tableColumns count="2">
    <tableColumn id="1" xr3:uid="{6EF4F899-3452-4826-9F99-06E78D97D260}" name="Column1"/>
    <tableColumn id="2" xr3:uid="{ECF83BC4-5E05-4CFF-8A40-9D0781D576C8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66C8-21F8-47D6-8557-65F377FD5402}">
  <dimension ref="A1:AJ2403"/>
  <sheetViews>
    <sheetView topLeftCell="AD2383" zoomScale="74" zoomScaleNormal="74" workbookViewId="0">
      <selection activeCell="AH2400" sqref="AH2400"/>
    </sheetView>
  </sheetViews>
  <sheetFormatPr defaultRowHeight="14"/>
  <cols>
    <col min="1" max="1" width="13.25" bestFit="1" customWidth="1"/>
    <col min="2" max="2" width="32.1640625" bestFit="1" customWidth="1"/>
    <col min="3" max="3" width="26.25" style="15" bestFit="1" customWidth="1"/>
    <col min="4" max="6" width="26.25" style="15" customWidth="1"/>
    <col min="7" max="7" width="11" bestFit="1" customWidth="1"/>
    <col min="8" max="8" width="22.25" bestFit="1" customWidth="1"/>
    <col min="9" max="9" width="20.6640625" style="13" bestFit="1" customWidth="1"/>
    <col min="10" max="10" width="26.5" style="13" customWidth="1"/>
    <col min="11" max="11" width="20.9140625" bestFit="1" customWidth="1"/>
    <col min="12" max="12" width="15" style="15" customWidth="1"/>
    <col min="13" max="13" width="15.83203125" bestFit="1" customWidth="1"/>
    <col min="14" max="14" width="13.25" bestFit="1" customWidth="1"/>
    <col min="15" max="15" width="23.5" bestFit="1" customWidth="1"/>
    <col min="16" max="16" width="13.25" style="13" bestFit="1" customWidth="1"/>
    <col min="17" max="17" width="10.75" bestFit="1" customWidth="1"/>
    <col min="18" max="18" width="21.08203125" bestFit="1" customWidth="1"/>
    <col min="19" max="19" width="19.33203125" bestFit="1" customWidth="1"/>
    <col min="20" max="20" width="14.6640625" style="13" bestFit="1" customWidth="1"/>
    <col min="21" max="21" width="25.83203125" bestFit="1" customWidth="1"/>
    <col min="22" max="22" width="25.83203125" style="14" customWidth="1"/>
    <col min="23" max="23" width="17.08203125" bestFit="1" customWidth="1"/>
    <col min="24" max="24" width="20.9140625" bestFit="1" customWidth="1"/>
    <col min="25" max="25" width="25" bestFit="1" customWidth="1"/>
    <col min="26" max="26" width="10.75" bestFit="1" customWidth="1"/>
    <col min="27" max="27" width="10.33203125" bestFit="1" customWidth="1"/>
    <col min="28" max="28" width="16.4140625" bestFit="1" customWidth="1"/>
    <col min="29" max="29" width="28.4140625" customWidth="1"/>
    <col min="30" max="30" width="10.83203125" customWidth="1"/>
    <col min="31" max="32" width="35.9140625" customWidth="1"/>
    <col min="33" max="33" width="29.4140625" customWidth="1"/>
    <col min="34" max="34" width="19.75" customWidth="1"/>
    <col min="35" max="35" width="10.6640625" customWidth="1"/>
    <col min="36" max="36" width="9.75" customWidth="1"/>
  </cols>
  <sheetData>
    <row r="1" spans="1:3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5" t="s">
        <v>16</v>
      </c>
      <c r="R1" s="4" t="s">
        <v>17</v>
      </c>
      <c r="S1" s="4" t="s">
        <v>18</v>
      </c>
      <c r="T1" s="6" t="s">
        <v>19</v>
      </c>
      <c r="U1" s="4" t="s">
        <v>20</v>
      </c>
      <c r="V1" s="7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8" t="s">
        <v>27</v>
      </c>
      <c r="AC1" s="26" t="s">
        <v>2554</v>
      </c>
      <c r="AD1" s="26" t="s">
        <v>2555</v>
      </c>
      <c r="AE1" s="26" t="s">
        <v>2556</v>
      </c>
      <c r="AF1" s="26" t="s">
        <v>2557</v>
      </c>
      <c r="AG1" s="26" t="s">
        <v>2558</v>
      </c>
      <c r="AH1" s="26" t="s">
        <v>2559</v>
      </c>
      <c r="AI1" s="26" t="s">
        <v>2560</v>
      </c>
      <c r="AJ1" s="26" t="s">
        <v>2561</v>
      </c>
    </row>
    <row r="2" spans="1:36">
      <c r="A2" s="5">
        <v>1</v>
      </c>
      <c r="B2" s="5" t="s">
        <v>669</v>
      </c>
      <c r="C2" s="5" t="s">
        <v>100</v>
      </c>
      <c r="D2" s="5" t="s">
        <v>554</v>
      </c>
      <c r="E2" s="5" t="s">
        <v>597</v>
      </c>
      <c r="F2" s="5" t="str">
        <f t="shared" ref="F2:F65" si="0">_xlfn.CONCAT(C2,"-",E2)</f>
        <v>Program Office-Business Partner</v>
      </c>
      <c r="G2" s="5" t="s">
        <v>47</v>
      </c>
      <c r="H2" s="9">
        <v>45075.372060185182</v>
      </c>
      <c r="I2" s="9">
        <v>45077.372060185182</v>
      </c>
      <c r="J2" s="9" t="e">
        <f>I2+#REF!</f>
        <v>#REF!</v>
      </c>
      <c r="K2" s="9" t="e">
        <f>J2+#REF!</f>
        <v>#REF!</v>
      </c>
      <c r="L2" s="10" t="s">
        <v>41</v>
      </c>
      <c r="M2" s="11">
        <v>45088.372060185182</v>
      </c>
      <c r="N2" s="5" t="s">
        <v>42</v>
      </c>
      <c r="O2" s="5" t="s">
        <v>98</v>
      </c>
      <c r="P2" s="9"/>
      <c r="Q2" s="5"/>
      <c r="R2" s="5"/>
      <c r="S2" s="5"/>
      <c r="T2" s="9">
        <v>45091.372060185182</v>
      </c>
      <c r="U2" s="5"/>
      <c r="V2" s="5">
        <v>0</v>
      </c>
      <c r="W2" s="5"/>
      <c r="X2" s="5"/>
      <c r="Y2" s="5"/>
      <c r="Z2" s="5"/>
      <c r="AA2" s="5" t="s">
        <v>62</v>
      </c>
      <c r="AC2">
        <f t="shared" ref="AC2:AC65" si="1">IF(AND(ISNUMBER(M2), ISNUMBER(I2)), M2 - I2, "")</f>
        <v>11</v>
      </c>
      <c r="AD2" t="str">
        <f>IF(AND(ISNUMBER(S2), ISNUMBER(I2)), S2 - I2, "")</f>
        <v/>
      </c>
      <c r="AE2">
        <f>IF(AND(ISNUMBER(T2), ISNUMBER(M2)), T2-M2, "")</f>
        <v>3</v>
      </c>
      <c r="AF2" t="str">
        <f>IF(AND(ISNUMBER(X2), ISNUMBER(U2)), X2-U2,"")</f>
        <v/>
      </c>
      <c r="AG2" t="str">
        <f>IF(AND(ISNUMBER(W2), ISNUMBER(U2)), W2-U2, "")</f>
        <v/>
      </c>
      <c r="AH2">
        <f>IF(AND(ISNUMBER(I2), ISNUMBER(H2)), I2-H2,"")</f>
        <v>2</v>
      </c>
      <c r="AI2" t="str">
        <f>IF(AND(ISNUMBER(J2),ISNUMBER(K2)),K2-J2,"")</f>
        <v/>
      </c>
      <c r="AJ2" t="str">
        <f>IF(AND(ISNUMBER(J2),ISNUMBER(I2)), J2-I2,"")</f>
        <v/>
      </c>
    </row>
    <row r="3" spans="1:36">
      <c r="A3" s="5">
        <v>2</v>
      </c>
      <c r="B3" s="5" t="s">
        <v>266</v>
      </c>
      <c r="C3" s="5" t="s">
        <v>100</v>
      </c>
      <c r="D3" s="5" t="s">
        <v>146</v>
      </c>
      <c r="E3" s="5" t="s">
        <v>51</v>
      </c>
      <c r="F3" s="5" t="str">
        <f t="shared" si="0"/>
        <v>Program Office-Supervisor</v>
      </c>
      <c r="G3" s="5" t="s">
        <v>147</v>
      </c>
      <c r="H3" s="9">
        <v>45080.372060185182</v>
      </c>
      <c r="I3" s="9">
        <v>45082.372060185182</v>
      </c>
      <c r="J3" s="9" t="e">
        <f>I3+#REF!</f>
        <v>#REF!</v>
      </c>
      <c r="K3" s="9" t="e">
        <f>J3+#REF!</f>
        <v>#REF!</v>
      </c>
      <c r="L3" s="10" t="s">
        <v>41</v>
      </c>
      <c r="M3" s="11">
        <v>45093.372060185182</v>
      </c>
      <c r="N3" s="5" t="s">
        <v>64</v>
      </c>
      <c r="O3" s="5"/>
      <c r="P3" s="9">
        <v>45097.372060185182</v>
      </c>
      <c r="Q3" s="5" t="s">
        <v>64</v>
      </c>
      <c r="R3" s="9">
        <v>45095.372060185182</v>
      </c>
      <c r="S3" s="9">
        <v>45099.372060185182</v>
      </c>
      <c r="T3" s="9">
        <v>45096.372060185182</v>
      </c>
      <c r="U3" s="9">
        <v>45102.372060185182</v>
      </c>
      <c r="V3" s="12">
        <v>1</v>
      </c>
      <c r="W3" s="9">
        <v>45104.372060185182</v>
      </c>
      <c r="X3" s="9">
        <v>45106.372060185182</v>
      </c>
      <c r="Y3" s="9">
        <v>45108.372060185182</v>
      </c>
      <c r="Z3" s="5"/>
      <c r="AA3" s="5"/>
      <c r="AB3" s="13">
        <v>45122.372060185182</v>
      </c>
      <c r="AC3">
        <f t="shared" si="1"/>
        <v>11</v>
      </c>
      <c r="AD3">
        <f t="shared" ref="AD3:AD66" si="2">IF(AND(ISNUMBER(S3), ISNUMBER(I3)), S3 - I3, "")</f>
        <v>17</v>
      </c>
      <c r="AE3">
        <f t="shared" ref="AE3:AE66" si="3">IF(AND(ISNUMBER(T3), ISNUMBER(M3)), T3-M3, "")</f>
        <v>3</v>
      </c>
      <c r="AF3">
        <f t="shared" ref="AF3:AF66" si="4">IF(AND(ISNUMBER(X3), ISNUMBER(U3)), X3-U3,"")</f>
        <v>4</v>
      </c>
      <c r="AG3">
        <f t="shared" ref="AG3:AG66" si="5">IF(AND(ISNUMBER(W3), ISNUMBER(U3)), W3-U3, "")</f>
        <v>2</v>
      </c>
      <c r="AH3">
        <f t="shared" ref="AH3:AH66" si="6">IF(AND(ISNUMBER(I3), ISNUMBER(H3)), I3-H3,"")</f>
        <v>2</v>
      </c>
      <c r="AI3" t="str">
        <f t="shared" ref="AI3:AI66" si="7">IF(AND(ISNUMBER(J3),ISNUMBER(K3)),K3-J3,"")</f>
        <v/>
      </c>
      <c r="AJ3" t="str">
        <f t="shared" ref="AJ3:AJ66" si="8">IF(AND(ISNUMBER(J3),ISNUMBER(I3)), J3-I3,"")</f>
        <v/>
      </c>
    </row>
    <row r="4" spans="1:36">
      <c r="A4" s="5">
        <v>3</v>
      </c>
      <c r="B4" s="5" t="s">
        <v>385</v>
      </c>
      <c r="C4" s="5" t="s">
        <v>100</v>
      </c>
      <c r="D4" s="5" t="s">
        <v>268</v>
      </c>
      <c r="E4" s="5" t="s">
        <v>291</v>
      </c>
      <c r="F4" s="5" t="str">
        <f t="shared" si="0"/>
        <v>Program Office-Cordination Manager</v>
      </c>
      <c r="G4" s="5" t="s">
        <v>270</v>
      </c>
      <c r="H4" s="9">
        <v>45073.372060185182</v>
      </c>
      <c r="I4" s="9">
        <v>45077.372060185182</v>
      </c>
      <c r="J4" s="9" t="e">
        <f>I4+#REF!</f>
        <v>#REF!</v>
      </c>
      <c r="K4" s="9" t="e">
        <f>J4+#REF!</f>
        <v>#REF!</v>
      </c>
      <c r="L4" s="10" t="s">
        <v>41</v>
      </c>
      <c r="M4" s="11">
        <v>45098.372060185182</v>
      </c>
      <c r="N4" s="5" t="s">
        <v>42</v>
      </c>
      <c r="O4" s="5" t="s">
        <v>98</v>
      </c>
      <c r="P4" s="9"/>
      <c r="Q4" s="5"/>
      <c r="R4" s="5"/>
      <c r="S4" s="5"/>
      <c r="T4" s="9"/>
      <c r="U4" s="5"/>
      <c r="V4" s="5">
        <v>0</v>
      </c>
      <c r="W4" s="5"/>
      <c r="X4" s="5"/>
      <c r="Y4" s="5"/>
      <c r="Z4" s="5"/>
      <c r="AA4" s="5" t="s">
        <v>44</v>
      </c>
      <c r="AC4">
        <f t="shared" si="1"/>
        <v>21</v>
      </c>
      <c r="AD4" t="str">
        <f t="shared" si="2"/>
        <v/>
      </c>
      <c r="AE4" t="str">
        <f t="shared" si="3"/>
        <v/>
      </c>
      <c r="AF4" t="str">
        <f t="shared" si="4"/>
        <v/>
      </c>
      <c r="AG4" t="str">
        <f t="shared" si="5"/>
        <v/>
      </c>
      <c r="AH4">
        <f t="shared" si="6"/>
        <v>4</v>
      </c>
      <c r="AI4" t="str">
        <f t="shared" si="7"/>
        <v/>
      </c>
      <c r="AJ4" t="str">
        <f t="shared" si="8"/>
        <v/>
      </c>
    </row>
    <row r="5" spans="1:36">
      <c r="A5" s="5">
        <v>4</v>
      </c>
      <c r="B5" s="5" t="s">
        <v>265</v>
      </c>
      <c r="C5" s="5" t="s">
        <v>100</v>
      </c>
      <c r="D5" s="5" t="s">
        <v>146</v>
      </c>
      <c r="E5" s="5" t="s">
        <v>51</v>
      </c>
      <c r="F5" s="5" t="str">
        <f t="shared" si="0"/>
        <v>Program Office-Supervisor</v>
      </c>
      <c r="G5" s="5" t="s">
        <v>147</v>
      </c>
      <c r="H5" s="9">
        <v>45075.372060185182</v>
      </c>
      <c r="I5" s="9">
        <v>45078.372060185182</v>
      </c>
      <c r="J5" s="9" t="e">
        <f>I5+#REF!</f>
        <v>#REF!</v>
      </c>
      <c r="K5" s="9" t="e">
        <f>J5+#REF!</f>
        <v>#REF!</v>
      </c>
      <c r="L5" s="10" t="s">
        <v>41</v>
      </c>
      <c r="M5" s="11">
        <v>45092.372060185182</v>
      </c>
      <c r="N5" s="5" t="s">
        <v>64</v>
      </c>
      <c r="O5" s="5"/>
      <c r="P5" s="9">
        <v>45097.372060185182</v>
      </c>
      <c r="Q5" s="5" t="s">
        <v>64</v>
      </c>
      <c r="R5" s="9">
        <v>45094.372060185182</v>
      </c>
      <c r="S5" s="9">
        <v>45095.372060185182</v>
      </c>
      <c r="T5" s="9">
        <v>45095.372060185182</v>
      </c>
      <c r="U5" s="9">
        <v>45102.372060185182</v>
      </c>
      <c r="V5" s="12">
        <v>1</v>
      </c>
      <c r="W5" s="9">
        <v>45103.372060185182</v>
      </c>
      <c r="X5" s="9">
        <v>45104.372060185182</v>
      </c>
      <c r="Y5" s="9">
        <v>45105.372060185182</v>
      </c>
      <c r="Z5" s="5"/>
      <c r="AA5" s="5"/>
      <c r="AB5" s="13">
        <v>45118.372060185182</v>
      </c>
      <c r="AC5">
        <f t="shared" si="1"/>
        <v>14</v>
      </c>
      <c r="AD5">
        <f t="shared" si="2"/>
        <v>17</v>
      </c>
      <c r="AE5">
        <f t="shared" si="3"/>
        <v>3</v>
      </c>
      <c r="AF5">
        <f t="shared" si="4"/>
        <v>2</v>
      </c>
      <c r="AG5">
        <f t="shared" si="5"/>
        <v>1</v>
      </c>
      <c r="AH5">
        <f t="shared" si="6"/>
        <v>3</v>
      </c>
      <c r="AI5" t="str">
        <f t="shared" si="7"/>
        <v/>
      </c>
      <c r="AJ5" t="str">
        <f t="shared" si="8"/>
        <v/>
      </c>
    </row>
    <row r="6" spans="1:36">
      <c r="A6" s="5">
        <v>5</v>
      </c>
      <c r="B6" s="5" t="s">
        <v>264</v>
      </c>
      <c r="C6" s="5" t="s">
        <v>100</v>
      </c>
      <c r="D6" s="5" t="s">
        <v>146</v>
      </c>
      <c r="E6" s="5" t="s">
        <v>51</v>
      </c>
      <c r="F6" s="5" t="str">
        <f t="shared" si="0"/>
        <v>Program Office-Supervisor</v>
      </c>
      <c r="G6" s="5" t="s">
        <v>147</v>
      </c>
      <c r="H6" s="9">
        <v>45075.372060185182</v>
      </c>
      <c r="I6" s="9">
        <v>45078.372060185182</v>
      </c>
      <c r="J6" s="9" t="e">
        <f>I6+#REF!</f>
        <v>#REF!</v>
      </c>
      <c r="K6" s="9" t="e">
        <f>J6+#REF!</f>
        <v>#REF!</v>
      </c>
      <c r="L6" s="10" t="s">
        <v>41</v>
      </c>
      <c r="M6" s="11">
        <v>45095.372060185182</v>
      </c>
      <c r="N6" s="5" t="s">
        <v>48</v>
      </c>
      <c r="O6" s="5"/>
      <c r="P6" s="9">
        <v>45100.372060185182</v>
      </c>
      <c r="Q6" s="5" t="s">
        <v>48</v>
      </c>
      <c r="R6" s="5"/>
      <c r="S6" s="5"/>
      <c r="T6" s="9">
        <v>45099.372060185182</v>
      </c>
      <c r="U6" s="5"/>
      <c r="V6" s="5">
        <v>0</v>
      </c>
      <c r="W6" s="5"/>
      <c r="X6" s="5"/>
      <c r="Y6" s="5"/>
      <c r="Z6" s="5"/>
      <c r="AA6" s="5"/>
      <c r="AC6">
        <f t="shared" si="1"/>
        <v>17</v>
      </c>
      <c r="AD6" t="str">
        <f t="shared" si="2"/>
        <v/>
      </c>
      <c r="AE6">
        <f t="shared" si="3"/>
        <v>4</v>
      </c>
      <c r="AF6" t="str">
        <f t="shared" si="4"/>
        <v/>
      </c>
      <c r="AG6" t="str">
        <f t="shared" si="5"/>
        <v/>
      </c>
      <c r="AH6">
        <f t="shared" si="6"/>
        <v>3</v>
      </c>
      <c r="AI6" t="str">
        <f t="shared" si="7"/>
        <v/>
      </c>
      <c r="AJ6" t="str">
        <f t="shared" si="8"/>
        <v/>
      </c>
    </row>
    <row r="7" spans="1:36">
      <c r="A7" s="5">
        <v>6</v>
      </c>
      <c r="B7" s="5" t="s">
        <v>668</v>
      </c>
      <c r="C7" s="5" t="s">
        <v>100</v>
      </c>
      <c r="D7" s="5" t="s">
        <v>554</v>
      </c>
      <c r="E7" s="5" t="s">
        <v>597</v>
      </c>
      <c r="F7" s="5" t="str">
        <f t="shared" si="0"/>
        <v>Program Office-Business Partner</v>
      </c>
      <c r="G7" s="5" t="s">
        <v>47</v>
      </c>
      <c r="H7" s="9">
        <v>45076.372060185182</v>
      </c>
      <c r="I7" s="9">
        <v>45078.372060185182</v>
      </c>
      <c r="J7" s="9" t="e">
        <f>I7+#REF!</f>
        <v>#REF!</v>
      </c>
      <c r="K7" s="9" t="e">
        <f>J7+#REF!</f>
        <v>#REF!</v>
      </c>
      <c r="L7" s="10" t="s">
        <v>41</v>
      </c>
      <c r="M7" s="11">
        <v>45092.372060185182</v>
      </c>
      <c r="N7" s="5" t="s">
        <v>64</v>
      </c>
      <c r="O7" s="5"/>
      <c r="P7" s="9">
        <v>45099.372060185182</v>
      </c>
      <c r="Q7" s="5" t="s">
        <v>64</v>
      </c>
      <c r="R7" s="9">
        <v>45094.372060185182</v>
      </c>
      <c r="S7" s="9">
        <v>45096.372060185182</v>
      </c>
      <c r="T7" s="9">
        <v>45095.372060185182</v>
      </c>
      <c r="U7" s="9">
        <v>45103.372060185182</v>
      </c>
      <c r="V7" s="12">
        <v>1</v>
      </c>
      <c r="W7" s="9">
        <v>45104.372060185182</v>
      </c>
      <c r="X7" s="9">
        <v>45105.372060185182</v>
      </c>
      <c r="Y7" s="9">
        <v>45107.372060185182</v>
      </c>
      <c r="Z7" s="5"/>
      <c r="AA7" s="5"/>
      <c r="AB7" s="13">
        <v>45121.372060185182</v>
      </c>
      <c r="AC7">
        <f t="shared" si="1"/>
        <v>14</v>
      </c>
      <c r="AD7">
        <f t="shared" si="2"/>
        <v>18</v>
      </c>
      <c r="AE7">
        <f t="shared" si="3"/>
        <v>3</v>
      </c>
      <c r="AF7">
        <f t="shared" si="4"/>
        <v>2</v>
      </c>
      <c r="AG7">
        <f t="shared" si="5"/>
        <v>1</v>
      </c>
      <c r="AH7">
        <f t="shared" si="6"/>
        <v>2</v>
      </c>
      <c r="AI7" t="str">
        <f t="shared" si="7"/>
        <v/>
      </c>
      <c r="AJ7" t="str">
        <f t="shared" si="8"/>
        <v/>
      </c>
    </row>
    <row r="8" spans="1:36">
      <c r="A8" s="5">
        <v>7</v>
      </c>
      <c r="B8" s="5" t="s">
        <v>144</v>
      </c>
      <c r="C8" s="5" t="s">
        <v>100</v>
      </c>
      <c r="D8" s="5" t="s">
        <v>101</v>
      </c>
      <c r="E8" s="5" t="s">
        <v>132</v>
      </c>
      <c r="F8" s="5" t="str">
        <f t="shared" si="0"/>
        <v>Program Office-Senior Supervisory Manager</v>
      </c>
      <c r="G8" s="5" t="s">
        <v>103</v>
      </c>
      <c r="H8" s="9">
        <v>45074.372060185182</v>
      </c>
      <c r="I8" s="9">
        <v>45077.372060185182</v>
      </c>
      <c r="J8" s="9" t="e">
        <f>I8+#REF!</f>
        <v>#REF!</v>
      </c>
      <c r="K8" s="9" t="e">
        <f>J8+#REF!</f>
        <v>#REF!</v>
      </c>
      <c r="L8" s="10" t="s">
        <v>41</v>
      </c>
      <c r="M8" s="11">
        <v>45092.372060185182</v>
      </c>
      <c r="N8" s="5" t="s">
        <v>42</v>
      </c>
      <c r="O8" s="5" t="s">
        <v>73</v>
      </c>
      <c r="P8" s="9"/>
      <c r="Q8" s="5"/>
      <c r="R8" s="5"/>
      <c r="S8" s="5"/>
      <c r="T8" s="9">
        <v>45093.372060185182</v>
      </c>
      <c r="U8" s="5"/>
      <c r="V8" s="5">
        <v>0</v>
      </c>
      <c r="W8" s="5"/>
      <c r="X8" s="5"/>
      <c r="Y8" s="5"/>
      <c r="Z8" s="5"/>
      <c r="AA8" s="5" t="s">
        <v>62</v>
      </c>
      <c r="AC8">
        <f t="shared" si="1"/>
        <v>15</v>
      </c>
      <c r="AD8" t="str">
        <f t="shared" si="2"/>
        <v/>
      </c>
      <c r="AE8">
        <f t="shared" si="3"/>
        <v>1</v>
      </c>
      <c r="AF8" t="str">
        <f t="shared" si="4"/>
        <v/>
      </c>
      <c r="AG8" t="str">
        <f t="shared" si="5"/>
        <v/>
      </c>
      <c r="AH8">
        <f t="shared" si="6"/>
        <v>3</v>
      </c>
      <c r="AI8" t="str">
        <f t="shared" si="7"/>
        <v/>
      </c>
      <c r="AJ8" t="str">
        <f t="shared" si="8"/>
        <v/>
      </c>
    </row>
    <row r="9" spans="1:36">
      <c r="A9" s="5">
        <v>8</v>
      </c>
      <c r="B9" s="5" t="s">
        <v>552</v>
      </c>
      <c r="C9" s="5" t="s">
        <v>100</v>
      </c>
      <c r="D9" s="5" t="s">
        <v>506</v>
      </c>
      <c r="E9" s="5" t="s">
        <v>55</v>
      </c>
      <c r="F9" s="5" t="str">
        <f t="shared" si="0"/>
        <v>Program Office-Director</v>
      </c>
      <c r="G9" s="5" t="s">
        <v>56</v>
      </c>
      <c r="H9" s="9">
        <v>45079.372060185182</v>
      </c>
      <c r="I9" s="9">
        <v>45082.372060185182</v>
      </c>
      <c r="J9" s="9" t="e">
        <f>I9+#REF!</f>
        <v>#REF!</v>
      </c>
      <c r="K9" s="9" t="e">
        <f>J9+#REF!</f>
        <v>#REF!</v>
      </c>
      <c r="L9" s="10" t="s">
        <v>41</v>
      </c>
      <c r="M9" s="11">
        <v>45089.372060185182</v>
      </c>
      <c r="N9" s="5" t="s">
        <v>42</v>
      </c>
      <c r="O9" s="5" t="s">
        <v>43</v>
      </c>
      <c r="P9" s="9"/>
      <c r="Q9" s="5"/>
      <c r="R9" s="5"/>
      <c r="S9" s="5"/>
      <c r="T9" s="9"/>
      <c r="U9" s="5"/>
      <c r="V9" s="5">
        <v>0</v>
      </c>
      <c r="W9" s="5"/>
      <c r="X9" s="5"/>
      <c r="Y9" s="5"/>
      <c r="Z9" s="5"/>
      <c r="AA9" s="5" t="s">
        <v>44</v>
      </c>
      <c r="AC9">
        <f t="shared" si="1"/>
        <v>7</v>
      </c>
      <c r="AD9" t="str">
        <f t="shared" si="2"/>
        <v/>
      </c>
      <c r="AE9" t="str">
        <f t="shared" si="3"/>
        <v/>
      </c>
      <c r="AF9" t="str">
        <f t="shared" si="4"/>
        <v/>
      </c>
      <c r="AG9" t="str">
        <f t="shared" si="5"/>
        <v/>
      </c>
      <c r="AH9">
        <f t="shared" si="6"/>
        <v>3</v>
      </c>
      <c r="AI9" t="str">
        <f t="shared" si="7"/>
        <v/>
      </c>
      <c r="AJ9" t="str">
        <f t="shared" si="8"/>
        <v/>
      </c>
    </row>
    <row r="10" spans="1:36">
      <c r="A10" s="5">
        <v>9</v>
      </c>
      <c r="B10" s="5" t="s">
        <v>143</v>
      </c>
      <c r="C10" s="5" t="s">
        <v>100</v>
      </c>
      <c r="D10" s="5" t="s">
        <v>101</v>
      </c>
      <c r="E10" s="5" t="s">
        <v>132</v>
      </c>
      <c r="F10" s="5" t="str">
        <f t="shared" si="0"/>
        <v>Program Office-Senior Supervisory Manager</v>
      </c>
      <c r="G10" s="5" t="s">
        <v>103</v>
      </c>
      <c r="H10" s="9">
        <v>45079.372060185182</v>
      </c>
      <c r="I10" s="9">
        <v>45081.372060185182</v>
      </c>
      <c r="J10" s="9" t="e">
        <f>I10+#REF!</f>
        <v>#REF!</v>
      </c>
      <c r="K10" s="9" t="e">
        <f>J10+#REF!</f>
        <v>#REF!</v>
      </c>
      <c r="L10" s="10" t="s">
        <v>41</v>
      </c>
      <c r="M10" s="11">
        <v>45089.372060185182</v>
      </c>
      <c r="N10" s="5" t="s">
        <v>42</v>
      </c>
      <c r="O10" s="5" t="s">
        <v>98</v>
      </c>
      <c r="P10" s="9"/>
      <c r="Q10" s="5"/>
      <c r="R10" s="5"/>
      <c r="S10" s="5"/>
      <c r="T10" s="9"/>
      <c r="U10" s="5"/>
      <c r="V10" s="5">
        <v>0</v>
      </c>
      <c r="W10" s="5"/>
      <c r="X10" s="5"/>
      <c r="Y10" s="5"/>
      <c r="Z10" s="5"/>
      <c r="AA10" s="5" t="s">
        <v>62</v>
      </c>
      <c r="AC10">
        <f t="shared" si="1"/>
        <v>8</v>
      </c>
      <c r="AD10" t="str">
        <f t="shared" si="2"/>
        <v/>
      </c>
      <c r="AE10" t="str">
        <f t="shared" si="3"/>
        <v/>
      </c>
      <c r="AF10" t="str">
        <f t="shared" si="4"/>
        <v/>
      </c>
      <c r="AG10" t="str">
        <f t="shared" si="5"/>
        <v/>
      </c>
      <c r="AH10">
        <f t="shared" si="6"/>
        <v>2</v>
      </c>
      <c r="AI10" t="str">
        <f t="shared" si="7"/>
        <v/>
      </c>
      <c r="AJ10" t="str">
        <f t="shared" si="8"/>
        <v/>
      </c>
    </row>
    <row r="11" spans="1:36">
      <c r="A11" s="5">
        <v>10</v>
      </c>
      <c r="B11" s="5" t="s">
        <v>551</v>
      </c>
      <c r="C11" s="5" t="s">
        <v>100</v>
      </c>
      <c r="D11" s="5" t="s">
        <v>506</v>
      </c>
      <c r="E11" s="5" t="s">
        <v>55</v>
      </c>
      <c r="F11" s="5" t="str">
        <f t="shared" si="0"/>
        <v>Program Office-Director</v>
      </c>
      <c r="G11" s="5" t="s">
        <v>56</v>
      </c>
      <c r="H11" s="9">
        <v>45081.372060185182</v>
      </c>
      <c r="I11" s="9">
        <v>45082.372060185182</v>
      </c>
      <c r="J11" s="9" t="e">
        <f>I11+#REF!</f>
        <v>#REF!</v>
      </c>
      <c r="K11" s="9" t="e">
        <f>J11+#REF!</f>
        <v>#REF!</v>
      </c>
      <c r="L11" s="10" t="s">
        <v>41</v>
      </c>
      <c r="M11" s="11">
        <v>45092.372060185182</v>
      </c>
      <c r="N11" s="5" t="s">
        <v>42</v>
      </c>
      <c r="O11" s="5" t="s">
        <v>113</v>
      </c>
      <c r="P11" s="9"/>
      <c r="Q11" s="5"/>
      <c r="R11" s="5"/>
      <c r="S11" s="5"/>
      <c r="T11" s="9">
        <v>45095.372060185182</v>
      </c>
      <c r="U11" s="5"/>
      <c r="V11" s="5">
        <v>0</v>
      </c>
      <c r="W11" s="5"/>
      <c r="X11" s="5"/>
      <c r="Y11" s="5"/>
      <c r="Z11" s="5"/>
      <c r="AA11" s="5" t="s">
        <v>62</v>
      </c>
      <c r="AC11">
        <f t="shared" si="1"/>
        <v>10</v>
      </c>
      <c r="AD11" t="str">
        <f t="shared" si="2"/>
        <v/>
      </c>
      <c r="AE11">
        <f t="shared" si="3"/>
        <v>3</v>
      </c>
      <c r="AF11" t="str">
        <f t="shared" si="4"/>
        <v/>
      </c>
      <c r="AG11" t="str">
        <f t="shared" si="5"/>
        <v/>
      </c>
      <c r="AH11">
        <f t="shared" si="6"/>
        <v>1</v>
      </c>
      <c r="AI11" t="str">
        <f t="shared" si="7"/>
        <v/>
      </c>
      <c r="AJ11" t="str">
        <f t="shared" si="8"/>
        <v/>
      </c>
    </row>
    <row r="12" spans="1:36">
      <c r="A12" s="5">
        <v>11</v>
      </c>
      <c r="B12" s="5" t="s">
        <v>1983</v>
      </c>
      <c r="C12" s="5" t="s">
        <v>1540</v>
      </c>
      <c r="D12" s="5" t="s">
        <v>1925</v>
      </c>
      <c r="E12" s="5" t="s">
        <v>55</v>
      </c>
      <c r="F12" s="5" t="str">
        <f t="shared" si="0"/>
        <v>Finance-Director</v>
      </c>
      <c r="G12" s="5" t="s">
        <v>56</v>
      </c>
      <c r="H12" s="9">
        <v>44634.901284722226</v>
      </c>
      <c r="I12" s="9">
        <v>44636.901284722226</v>
      </c>
      <c r="J12" s="9" t="e">
        <f>I12+#REF!</f>
        <v>#REF!</v>
      </c>
      <c r="K12" s="9" t="e">
        <f>J12+#REF!</f>
        <v>#REF!</v>
      </c>
      <c r="L12" s="10" t="s">
        <v>41</v>
      </c>
      <c r="M12" s="11">
        <v>44655.901284722226</v>
      </c>
      <c r="N12" s="5" t="s">
        <v>42</v>
      </c>
      <c r="O12" s="5" t="s">
        <v>73</v>
      </c>
      <c r="P12" s="9"/>
      <c r="Q12" s="5"/>
      <c r="R12" s="5"/>
      <c r="S12" s="5"/>
      <c r="T12" s="9">
        <v>44658.901284722226</v>
      </c>
      <c r="U12" s="5"/>
      <c r="V12" s="5">
        <v>0</v>
      </c>
      <c r="W12" s="5"/>
      <c r="X12" s="5"/>
      <c r="Y12" s="5"/>
      <c r="Z12" s="5"/>
      <c r="AA12" s="5" t="s">
        <v>44</v>
      </c>
      <c r="AC12">
        <f t="shared" si="1"/>
        <v>19</v>
      </c>
      <c r="AD12" t="str">
        <f t="shared" si="2"/>
        <v/>
      </c>
      <c r="AE12">
        <f t="shared" si="3"/>
        <v>3</v>
      </c>
      <c r="AF12" t="str">
        <f t="shared" si="4"/>
        <v/>
      </c>
      <c r="AG12" t="str">
        <f t="shared" si="5"/>
        <v/>
      </c>
      <c r="AH12">
        <f t="shared" si="6"/>
        <v>2</v>
      </c>
      <c r="AI12" t="str">
        <f t="shared" si="7"/>
        <v/>
      </c>
      <c r="AJ12" t="str">
        <f t="shared" si="8"/>
        <v/>
      </c>
    </row>
    <row r="13" spans="1:36">
      <c r="A13" s="5">
        <v>12</v>
      </c>
      <c r="B13" s="5" t="s">
        <v>2087</v>
      </c>
      <c r="C13" s="5" t="s">
        <v>1540</v>
      </c>
      <c r="D13" s="5" t="s">
        <v>1985</v>
      </c>
      <c r="E13" s="5" t="s">
        <v>2072</v>
      </c>
      <c r="F13" s="5" t="str">
        <f t="shared" si="0"/>
        <v>Finance-Collections Officer</v>
      </c>
      <c r="G13" s="5" t="s">
        <v>47</v>
      </c>
      <c r="H13" s="9">
        <v>44636.901284722226</v>
      </c>
      <c r="I13" s="9">
        <v>44638.901284722226</v>
      </c>
      <c r="J13" s="9" t="e">
        <f>I13+#REF!</f>
        <v>#REF!</v>
      </c>
      <c r="K13" s="9" t="e">
        <f>J13+#REF!</f>
        <v>#REF!</v>
      </c>
      <c r="L13" s="10" t="s">
        <v>52</v>
      </c>
      <c r="M13" s="11"/>
      <c r="N13" s="5"/>
      <c r="O13" s="5"/>
      <c r="P13" s="9"/>
      <c r="Q13" s="5"/>
      <c r="R13" s="5"/>
      <c r="S13" s="5"/>
      <c r="T13" s="9"/>
      <c r="U13" s="5"/>
      <c r="V13" s="5">
        <v>0</v>
      </c>
      <c r="W13" s="5"/>
      <c r="X13" s="5"/>
      <c r="Y13" s="5"/>
      <c r="Z13" s="5"/>
      <c r="AA13" s="5"/>
      <c r="AC13" t="str">
        <f t="shared" si="1"/>
        <v/>
      </c>
      <c r="AD13" t="str">
        <f t="shared" si="2"/>
        <v/>
      </c>
      <c r="AE13" t="str">
        <f t="shared" si="3"/>
        <v/>
      </c>
      <c r="AF13" t="str">
        <f t="shared" si="4"/>
        <v/>
      </c>
      <c r="AG13" t="str">
        <f t="shared" si="5"/>
        <v/>
      </c>
      <c r="AH13">
        <f t="shared" si="6"/>
        <v>2</v>
      </c>
      <c r="AI13" t="str">
        <f t="shared" si="7"/>
        <v/>
      </c>
      <c r="AJ13" t="str">
        <f t="shared" si="8"/>
        <v/>
      </c>
    </row>
    <row r="14" spans="1:36">
      <c r="A14" s="5">
        <v>13</v>
      </c>
      <c r="B14" s="5" t="s">
        <v>1982</v>
      </c>
      <c r="C14" s="5" t="s">
        <v>1540</v>
      </c>
      <c r="D14" s="5" t="s">
        <v>1925</v>
      </c>
      <c r="E14" s="5" t="s">
        <v>55</v>
      </c>
      <c r="F14" s="5" t="str">
        <f t="shared" si="0"/>
        <v>Finance-Director</v>
      </c>
      <c r="G14" s="5" t="s">
        <v>56</v>
      </c>
      <c r="H14" s="9">
        <v>44632.901284722226</v>
      </c>
      <c r="I14" s="9">
        <v>44636.901284722226</v>
      </c>
      <c r="J14" s="9" t="e">
        <f>I14+#REF!</f>
        <v>#REF!</v>
      </c>
      <c r="K14" s="9" t="e">
        <f>J14+#REF!</f>
        <v>#REF!</v>
      </c>
      <c r="L14" s="10" t="s">
        <v>41</v>
      </c>
      <c r="M14" s="11">
        <v>44648.901284722226</v>
      </c>
      <c r="N14" s="5" t="s">
        <v>42</v>
      </c>
      <c r="O14" s="5" t="s">
        <v>98</v>
      </c>
      <c r="P14" s="9"/>
      <c r="Q14" s="5"/>
      <c r="R14" s="5"/>
      <c r="S14" s="5"/>
      <c r="T14" s="9"/>
      <c r="U14" s="5"/>
      <c r="V14" s="5">
        <v>0</v>
      </c>
      <c r="W14" s="5"/>
      <c r="X14" s="5"/>
      <c r="Y14" s="5"/>
      <c r="Z14" s="5"/>
      <c r="AA14" s="5" t="s">
        <v>62</v>
      </c>
      <c r="AC14">
        <f t="shared" si="1"/>
        <v>12</v>
      </c>
      <c r="AD14" t="str">
        <f t="shared" si="2"/>
        <v/>
      </c>
      <c r="AE14" t="str">
        <f t="shared" si="3"/>
        <v/>
      </c>
      <c r="AF14" t="str">
        <f t="shared" si="4"/>
        <v/>
      </c>
      <c r="AG14" t="str">
        <f t="shared" si="5"/>
        <v/>
      </c>
      <c r="AH14">
        <f t="shared" si="6"/>
        <v>4</v>
      </c>
      <c r="AI14" t="str">
        <f t="shared" si="7"/>
        <v/>
      </c>
      <c r="AJ14" t="str">
        <f t="shared" si="8"/>
        <v/>
      </c>
    </row>
    <row r="15" spans="1:36">
      <c r="A15" s="5">
        <v>14</v>
      </c>
      <c r="B15" s="5" t="s">
        <v>1586</v>
      </c>
      <c r="C15" s="5" t="s">
        <v>1540</v>
      </c>
      <c r="D15" s="5" t="s">
        <v>1541</v>
      </c>
      <c r="E15" s="5" t="s">
        <v>102</v>
      </c>
      <c r="F15" s="5" t="str">
        <f t="shared" si="0"/>
        <v>Finance-Senior Manager</v>
      </c>
      <c r="G15" s="5" t="s">
        <v>103</v>
      </c>
      <c r="H15" s="9">
        <v>44638.901284722226</v>
      </c>
      <c r="I15" s="9">
        <v>44641.901284722226</v>
      </c>
      <c r="J15" s="9" t="e">
        <f>I15+#REF!</f>
        <v>#REF!</v>
      </c>
      <c r="K15" s="9" t="e">
        <f>J15+#REF!</f>
        <v>#REF!</v>
      </c>
      <c r="L15" s="10" t="s">
        <v>41</v>
      </c>
      <c r="M15" s="11">
        <v>44649.901284722226</v>
      </c>
      <c r="N15" s="5" t="s">
        <v>42</v>
      </c>
      <c r="O15" s="5" t="s">
        <v>98</v>
      </c>
      <c r="P15" s="9"/>
      <c r="Q15" s="5"/>
      <c r="R15" s="5"/>
      <c r="S15" s="5"/>
      <c r="T15" s="9"/>
      <c r="U15" s="5"/>
      <c r="V15" s="5">
        <v>0</v>
      </c>
      <c r="W15" s="5"/>
      <c r="X15" s="5"/>
      <c r="Y15" s="5"/>
      <c r="Z15" s="5"/>
      <c r="AA15" s="5" t="s">
        <v>44</v>
      </c>
      <c r="AC15">
        <f t="shared" si="1"/>
        <v>8</v>
      </c>
      <c r="AD15" t="str">
        <f t="shared" si="2"/>
        <v/>
      </c>
      <c r="AE15" t="str">
        <f t="shared" si="3"/>
        <v/>
      </c>
      <c r="AF15" t="str">
        <f t="shared" si="4"/>
        <v/>
      </c>
      <c r="AG15" t="str">
        <f t="shared" si="5"/>
        <v/>
      </c>
      <c r="AH15">
        <f t="shared" si="6"/>
        <v>3</v>
      </c>
      <c r="AI15" t="str">
        <f t="shared" si="7"/>
        <v/>
      </c>
      <c r="AJ15" t="str">
        <f t="shared" si="8"/>
        <v/>
      </c>
    </row>
    <row r="16" spans="1:36">
      <c r="A16" s="5">
        <v>15</v>
      </c>
      <c r="B16" s="5" t="s">
        <v>1923</v>
      </c>
      <c r="C16" s="5" t="s">
        <v>1540</v>
      </c>
      <c r="D16" s="5" t="s">
        <v>1820</v>
      </c>
      <c r="E16" s="5" t="s">
        <v>1862</v>
      </c>
      <c r="F16" s="5" t="str">
        <f t="shared" si="0"/>
        <v>Finance-Billing Officer</v>
      </c>
      <c r="G16" s="5" t="s">
        <v>40</v>
      </c>
      <c r="H16" s="9">
        <v>44637.901284722226</v>
      </c>
      <c r="I16" s="9">
        <v>44638.901284722226</v>
      </c>
      <c r="J16" s="9" t="e">
        <f>I16+#REF!</f>
        <v>#REF!</v>
      </c>
      <c r="K16" s="9" t="e">
        <f>J16+#REF!</f>
        <v>#REF!</v>
      </c>
      <c r="L16" s="10" t="s">
        <v>41</v>
      </c>
      <c r="M16" s="11">
        <v>44644.901284722226</v>
      </c>
      <c r="N16" s="5" t="s">
        <v>64</v>
      </c>
      <c r="O16" s="5"/>
      <c r="P16" s="9">
        <v>44646.901284722226</v>
      </c>
      <c r="Q16" s="5" t="s">
        <v>64</v>
      </c>
      <c r="R16" s="9">
        <v>44645.901284722226</v>
      </c>
      <c r="S16" s="9">
        <v>44646.901284722226</v>
      </c>
      <c r="T16" s="9">
        <v>44645.901284722226</v>
      </c>
      <c r="U16" s="9">
        <v>44654.901284722226</v>
      </c>
      <c r="V16" s="12">
        <v>1</v>
      </c>
      <c r="W16" s="9">
        <v>44656.901284722226</v>
      </c>
      <c r="X16" s="9">
        <v>44657.901284722226</v>
      </c>
      <c r="Y16" s="9">
        <v>44658.901284722226</v>
      </c>
      <c r="Z16" s="5"/>
      <c r="AA16" s="5"/>
      <c r="AB16" s="13">
        <v>44679.901284722226</v>
      </c>
      <c r="AC16">
        <f t="shared" si="1"/>
        <v>6</v>
      </c>
      <c r="AD16">
        <f t="shared" si="2"/>
        <v>8</v>
      </c>
      <c r="AE16">
        <f t="shared" si="3"/>
        <v>1</v>
      </c>
      <c r="AF16">
        <f t="shared" si="4"/>
        <v>3</v>
      </c>
      <c r="AG16">
        <f t="shared" si="5"/>
        <v>2</v>
      </c>
      <c r="AH16">
        <f t="shared" si="6"/>
        <v>1</v>
      </c>
      <c r="AI16" t="str">
        <f t="shared" si="7"/>
        <v/>
      </c>
      <c r="AJ16" t="str">
        <f t="shared" si="8"/>
        <v/>
      </c>
    </row>
    <row r="17" spans="1:36">
      <c r="A17" s="5">
        <v>16</v>
      </c>
      <c r="B17" s="5" t="s">
        <v>1585</v>
      </c>
      <c r="C17" s="5" t="s">
        <v>1540</v>
      </c>
      <c r="D17" s="5" t="s">
        <v>1541</v>
      </c>
      <c r="E17" s="5" t="s">
        <v>102</v>
      </c>
      <c r="F17" s="5" t="str">
        <f t="shared" si="0"/>
        <v>Finance-Senior Manager</v>
      </c>
      <c r="G17" s="5" t="s">
        <v>103</v>
      </c>
      <c r="H17" s="9">
        <v>44635.901284722226</v>
      </c>
      <c r="I17" s="9">
        <v>44638.901284722226</v>
      </c>
      <c r="J17" s="9" t="e">
        <f>I17+#REF!</f>
        <v>#REF!</v>
      </c>
      <c r="K17" s="9" t="e">
        <f>J17+#REF!</f>
        <v>#REF!</v>
      </c>
      <c r="L17" s="10" t="s">
        <v>41</v>
      </c>
      <c r="M17" s="11">
        <v>44644.901284722226</v>
      </c>
      <c r="N17" s="5" t="s">
        <v>64</v>
      </c>
      <c r="O17" s="5"/>
      <c r="P17" s="9">
        <v>44649.901284722226</v>
      </c>
      <c r="Q17" s="5" t="s">
        <v>64</v>
      </c>
      <c r="R17" s="9">
        <v>44645.901284722226</v>
      </c>
      <c r="S17" s="9">
        <v>44647.901284722226</v>
      </c>
      <c r="T17" s="9">
        <v>44647.901284722226</v>
      </c>
      <c r="U17" s="9">
        <v>44657.901284722226</v>
      </c>
      <c r="V17" s="12">
        <v>1</v>
      </c>
      <c r="W17" s="9">
        <v>44659.901284722226</v>
      </c>
      <c r="X17" s="9">
        <v>44660.901284722226</v>
      </c>
      <c r="Y17" s="9">
        <v>44663.901284722226</v>
      </c>
      <c r="Z17" s="5"/>
      <c r="AA17" s="5"/>
      <c r="AB17" s="13">
        <v>44680.901284722226</v>
      </c>
      <c r="AC17">
        <f t="shared" si="1"/>
        <v>6</v>
      </c>
      <c r="AD17">
        <f t="shared" si="2"/>
        <v>9</v>
      </c>
      <c r="AE17">
        <f t="shared" si="3"/>
        <v>3</v>
      </c>
      <c r="AF17">
        <f t="shared" si="4"/>
        <v>3</v>
      </c>
      <c r="AG17">
        <f t="shared" si="5"/>
        <v>2</v>
      </c>
      <c r="AH17">
        <f t="shared" si="6"/>
        <v>3</v>
      </c>
      <c r="AI17" t="str">
        <f t="shared" si="7"/>
        <v/>
      </c>
      <c r="AJ17" t="str">
        <f t="shared" si="8"/>
        <v/>
      </c>
    </row>
    <row r="18" spans="1:36">
      <c r="A18" s="5">
        <v>17</v>
      </c>
      <c r="B18" s="5" t="s">
        <v>1818</v>
      </c>
      <c r="C18" s="5" t="s">
        <v>1540</v>
      </c>
      <c r="D18" s="5" t="s">
        <v>1706</v>
      </c>
      <c r="E18" s="5" t="s">
        <v>1804</v>
      </c>
      <c r="F18" s="5" t="str">
        <f t="shared" si="0"/>
        <v>Finance-Contoller</v>
      </c>
      <c r="G18" s="5" t="s">
        <v>270</v>
      </c>
      <c r="H18" s="9">
        <v>44633.901284722226</v>
      </c>
      <c r="I18" s="9">
        <v>44636.901284722226</v>
      </c>
      <c r="J18" s="9" t="e">
        <f>I18+#REF!</f>
        <v>#REF!</v>
      </c>
      <c r="K18" s="9" t="e">
        <f>J18+#REF!</f>
        <v>#REF!</v>
      </c>
      <c r="L18" s="10" t="s">
        <v>41</v>
      </c>
      <c r="M18" s="11">
        <v>44652.901284722226</v>
      </c>
      <c r="N18" s="5" t="s">
        <v>48</v>
      </c>
      <c r="O18" s="5"/>
      <c r="P18" s="9">
        <v>44656.901284722226</v>
      </c>
      <c r="Q18" s="5" t="s">
        <v>48</v>
      </c>
      <c r="R18" s="5"/>
      <c r="S18" s="5"/>
      <c r="T18" s="9">
        <v>44655.901284722226</v>
      </c>
      <c r="U18" s="5"/>
      <c r="V18" s="5">
        <v>0</v>
      </c>
      <c r="W18" s="5"/>
      <c r="X18" s="5"/>
      <c r="Y18" s="5"/>
      <c r="Z18" s="5"/>
      <c r="AA18" s="5"/>
      <c r="AC18">
        <f t="shared" si="1"/>
        <v>16</v>
      </c>
      <c r="AD18" t="str">
        <f t="shared" si="2"/>
        <v/>
      </c>
      <c r="AE18">
        <f t="shared" si="3"/>
        <v>3</v>
      </c>
      <c r="AF18" t="str">
        <f t="shared" si="4"/>
        <v/>
      </c>
      <c r="AG18" t="str">
        <f t="shared" si="5"/>
        <v/>
      </c>
      <c r="AH18">
        <f t="shared" si="6"/>
        <v>3</v>
      </c>
      <c r="AI18" t="str">
        <f t="shared" si="7"/>
        <v/>
      </c>
      <c r="AJ18" t="str">
        <f t="shared" si="8"/>
        <v/>
      </c>
    </row>
    <row r="19" spans="1:36">
      <c r="A19" s="5">
        <v>18</v>
      </c>
      <c r="B19" s="5" t="s">
        <v>1704</v>
      </c>
      <c r="C19" s="5" t="s">
        <v>1540</v>
      </c>
      <c r="D19" s="5" t="s">
        <v>1588</v>
      </c>
      <c r="E19" s="5" t="s">
        <v>597</v>
      </c>
      <c r="F19" s="5" t="str">
        <f t="shared" si="0"/>
        <v>Finance-Business Partner</v>
      </c>
      <c r="G19" s="5" t="s">
        <v>147</v>
      </c>
      <c r="H19" s="9">
        <v>44636.901284722226</v>
      </c>
      <c r="I19" s="9">
        <v>44639.901284722226</v>
      </c>
      <c r="J19" s="9" t="e">
        <f>I19+#REF!</f>
        <v>#REF!</v>
      </c>
      <c r="K19" s="9" t="e">
        <f>J19+#REF!</f>
        <v>#REF!</v>
      </c>
      <c r="L19" s="10" t="s">
        <v>41</v>
      </c>
      <c r="M19" s="11">
        <v>44648.901284722226</v>
      </c>
      <c r="N19" s="5" t="s">
        <v>42</v>
      </c>
      <c r="O19" s="5" t="s">
        <v>98</v>
      </c>
      <c r="P19" s="9"/>
      <c r="Q19" s="5"/>
      <c r="R19" s="5"/>
      <c r="S19" s="5"/>
      <c r="T19" s="9">
        <v>44650.901284722226</v>
      </c>
      <c r="U19" s="5"/>
      <c r="V19" s="5">
        <v>0</v>
      </c>
      <c r="W19" s="5"/>
      <c r="X19" s="5"/>
      <c r="Y19" s="5"/>
      <c r="Z19" s="5"/>
      <c r="AA19" s="5" t="s">
        <v>62</v>
      </c>
      <c r="AC19">
        <f t="shared" si="1"/>
        <v>9</v>
      </c>
      <c r="AD19" t="str">
        <f t="shared" si="2"/>
        <v/>
      </c>
      <c r="AE19">
        <f t="shared" si="3"/>
        <v>2</v>
      </c>
      <c r="AF19" t="str">
        <f t="shared" si="4"/>
        <v/>
      </c>
      <c r="AG19" t="str">
        <f t="shared" si="5"/>
        <v/>
      </c>
      <c r="AH19">
        <f t="shared" si="6"/>
        <v>3</v>
      </c>
      <c r="AI19" t="str">
        <f t="shared" si="7"/>
        <v/>
      </c>
      <c r="AJ19" t="str">
        <f t="shared" si="8"/>
        <v/>
      </c>
    </row>
    <row r="20" spans="1:36">
      <c r="A20" s="5">
        <v>19</v>
      </c>
      <c r="B20" s="5" t="s">
        <v>1981</v>
      </c>
      <c r="C20" s="5" t="s">
        <v>1540</v>
      </c>
      <c r="D20" s="5" t="s">
        <v>1925</v>
      </c>
      <c r="E20" s="5" t="s">
        <v>55</v>
      </c>
      <c r="F20" s="5" t="str">
        <f t="shared" si="0"/>
        <v>Finance-Director</v>
      </c>
      <c r="G20" s="5" t="s">
        <v>56</v>
      </c>
      <c r="H20" s="9">
        <v>44637.901284722226</v>
      </c>
      <c r="I20" s="9">
        <v>44639.901284722226</v>
      </c>
      <c r="J20" s="9" t="e">
        <f>I20+#REF!</f>
        <v>#REF!</v>
      </c>
      <c r="K20" s="9" t="e">
        <f>J20+#REF!</f>
        <v>#REF!</v>
      </c>
      <c r="L20" s="10" t="s">
        <v>41</v>
      </c>
      <c r="M20" s="11">
        <v>44649.901284722226</v>
      </c>
      <c r="N20" s="5" t="s">
        <v>42</v>
      </c>
      <c r="O20" s="5" t="s">
        <v>43</v>
      </c>
      <c r="P20" s="9"/>
      <c r="Q20" s="5"/>
      <c r="R20" s="5"/>
      <c r="S20" s="5"/>
      <c r="T20" s="9"/>
      <c r="U20" s="5"/>
      <c r="V20" s="5">
        <v>0</v>
      </c>
      <c r="W20" s="5"/>
      <c r="X20" s="5"/>
      <c r="Y20" s="5"/>
      <c r="Z20" s="5"/>
      <c r="AA20" s="5" t="s">
        <v>62</v>
      </c>
      <c r="AC20">
        <f t="shared" si="1"/>
        <v>10</v>
      </c>
      <c r="AD20" t="str">
        <f t="shared" si="2"/>
        <v/>
      </c>
      <c r="AE20" t="str">
        <f t="shared" si="3"/>
        <v/>
      </c>
      <c r="AF20" t="str">
        <f t="shared" si="4"/>
        <v/>
      </c>
      <c r="AG20" t="str">
        <f t="shared" si="5"/>
        <v/>
      </c>
      <c r="AH20">
        <f t="shared" si="6"/>
        <v>2</v>
      </c>
      <c r="AI20" t="str">
        <f t="shared" si="7"/>
        <v/>
      </c>
      <c r="AJ20" t="str">
        <f t="shared" si="8"/>
        <v/>
      </c>
    </row>
    <row r="21" spans="1:36">
      <c r="A21" s="5">
        <v>20</v>
      </c>
      <c r="B21" s="5" t="s">
        <v>2086</v>
      </c>
      <c r="C21" s="5" t="s">
        <v>1540</v>
      </c>
      <c r="D21" s="5" t="s">
        <v>1985</v>
      </c>
      <c r="E21" s="5" t="s">
        <v>2072</v>
      </c>
      <c r="F21" s="5" t="str">
        <f t="shared" si="0"/>
        <v>Finance-Collections Officer</v>
      </c>
      <c r="G21" s="5" t="s">
        <v>47</v>
      </c>
      <c r="H21" s="9">
        <v>44634.901284722226</v>
      </c>
      <c r="I21" s="9">
        <v>44637.901284722226</v>
      </c>
      <c r="J21" s="9" t="e">
        <f>I21+#REF!</f>
        <v>#REF!</v>
      </c>
      <c r="K21" s="9" t="e">
        <f>J21+#REF!</f>
        <v>#REF!</v>
      </c>
      <c r="L21" s="10" t="s">
        <v>41</v>
      </c>
      <c r="M21" s="11">
        <v>44652.901284722226</v>
      </c>
      <c r="N21" s="5" t="s">
        <v>48</v>
      </c>
      <c r="O21" s="5"/>
      <c r="P21" s="9">
        <v>44657.901284722226</v>
      </c>
      <c r="Q21" s="5" t="s">
        <v>48</v>
      </c>
      <c r="R21" s="5"/>
      <c r="S21" s="5"/>
      <c r="T21" s="9">
        <v>44656.901284722226</v>
      </c>
      <c r="U21" s="5"/>
      <c r="V21" s="5">
        <v>0</v>
      </c>
      <c r="W21" s="5"/>
      <c r="X21" s="5"/>
      <c r="Y21" s="5"/>
      <c r="Z21" s="5"/>
      <c r="AA21" s="5"/>
      <c r="AC21">
        <f t="shared" si="1"/>
        <v>15</v>
      </c>
      <c r="AD21" t="str">
        <f t="shared" si="2"/>
        <v/>
      </c>
      <c r="AE21">
        <f t="shared" si="3"/>
        <v>4</v>
      </c>
      <c r="AF21" t="str">
        <f t="shared" si="4"/>
        <v/>
      </c>
      <c r="AG21" t="str">
        <f t="shared" si="5"/>
        <v/>
      </c>
      <c r="AH21">
        <f t="shared" si="6"/>
        <v>3</v>
      </c>
      <c r="AI21" t="str">
        <f t="shared" si="7"/>
        <v/>
      </c>
      <c r="AJ21" t="str">
        <f t="shared" si="8"/>
        <v/>
      </c>
    </row>
    <row r="22" spans="1:36">
      <c r="A22" s="5">
        <v>21</v>
      </c>
      <c r="B22" s="5" t="s">
        <v>2085</v>
      </c>
      <c r="C22" s="5" t="s">
        <v>1540</v>
      </c>
      <c r="D22" s="5" t="s">
        <v>1985</v>
      </c>
      <c r="E22" s="5" t="s">
        <v>2072</v>
      </c>
      <c r="F22" s="5" t="str">
        <f t="shared" si="0"/>
        <v>Finance-Collections Officer</v>
      </c>
      <c r="G22" s="5" t="s">
        <v>47</v>
      </c>
      <c r="H22" s="9">
        <v>44920.453449074077</v>
      </c>
      <c r="I22" s="9">
        <v>44921.453449074077</v>
      </c>
      <c r="J22" s="9" t="e">
        <f>I22+#REF!</f>
        <v>#REF!</v>
      </c>
      <c r="K22" s="9" t="e">
        <f>J22+#REF!</f>
        <v>#REF!</v>
      </c>
      <c r="L22" s="10" t="s">
        <v>41</v>
      </c>
      <c r="M22" s="11">
        <v>44941.453449074077</v>
      </c>
      <c r="N22" s="5" t="s">
        <v>64</v>
      </c>
      <c r="O22" s="5"/>
      <c r="P22" s="9">
        <v>44947.453449074077</v>
      </c>
      <c r="Q22" s="5" t="s">
        <v>64</v>
      </c>
      <c r="R22" s="9">
        <v>44943.453449074077</v>
      </c>
      <c r="S22" s="9">
        <v>44944.453449074077</v>
      </c>
      <c r="T22" s="9">
        <v>44944.453449074077</v>
      </c>
      <c r="U22" s="9">
        <v>44949.453449074077</v>
      </c>
      <c r="V22" s="12">
        <v>1</v>
      </c>
      <c r="W22" s="9">
        <v>44950.453449074077</v>
      </c>
      <c r="X22" s="9">
        <v>44953.453449074077</v>
      </c>
      <c r="Y22" s="9">
        <v>44956.453449074077</v>
      </c>
      <c r="Z22" s="5"/>
      <c r="AA22" s="5"/>
      <c r="AB22" s="13">
        <v>44976.453449074077</v>
      </c>
      <c r="AC22">
        <f t="shared" si="1"/>
        <v>20</v>
      </c>
      <c r="AD22">
        <f t="shared" si="2"/>
        <v>23</v>
      </c>
      <c r="AE22">
        <f t="shared" si="3"/>
        <v>3</v>
      </c>
      <c r="AF22">
        <f t="shared" si="4"/>
        <v>4</v>
      </c>
      <c r="AG22">
        <f t="shared" si="5"/>
        <v>1</v>
      </c>
      <c r="AH22">
        <f t="shared" si="6"/>
        <v>1</v>
      </c>
      <c r="AI22" t="str">
        <f t="shared" si="7"/>
        <v/>
      </c>
      <c r="AJ22" t="str">
        <f t="shared" si="8"/>
        <v/>
      </c>
    </row>
    <row r="23" spans="1:36">
      <c r="A23" s="5">
        <v>22</v>
      </c>
      <c r="B23" s="5" t="s">
        <v>1584</v>
      </c>
      <c r="C23" s="5" t="s">
        <v>1540</v>
      </c>
      <c r="D23" s="5" t="s">
        <v>1541</v>
      </c>
      <c r="E23" s="5" t="s">
        <v>102</v>
      </c>
      <c r="F23" s="5" t="str">
        <f t="shared" si="0"/>
        <v>Finance-Senior Manager</v>
      </c>
      <c r="G23" s="5" t="s">
        <v>103</v>
      </c>
      <c r="H23" s="9">
        <v>44922.453449074077</v>
      </c>
      <c r="I23" s="9">
        <v>44924.453449074077</v>
      </c>
      <c r="J23" s="9" t="e">
        <f>I23+#REF!</f>
        <v>#REF!</v>
      </c>
      <c r="K23" s="9" t="e">
        <f>J23+#REF!</f>
        <v>#REF!</v>
      </c>
      <c r="L23" s="10" t="s">
        <v>41</v>
      </c>
      <c r="M23" s="11">
        <v>44938.453449074077</v>
      </c>
      <c r="N23" s="5" t="s">
        <v>42</v>
      </c>
      <c r="O23" s="5" t="s">
        <v>113</v>
      </c>
      <c r="P23" s="9"/>
      <c r="Q23" s="5"/>
      <c r="R23" s="5"/>
      <c r="S23" s="5"/>
      <c r="T23" s="9">
        <v>44939.453449074077</v>
      </c>
      <c r="U23" s="5"/>
      <c r="V23" s="5">
        <v>0</v>
      </c>
      <c r="W23" s="5"/>
      <c r="X23" s="5"/>
      <c r="Y23" s="5"/>
      <c r="Z23" s="5"/>
      <c r="AA23" s="5" t="s">
        <v>62</v>
      </c>
      <c r="AC23">
        <f t="shared" si="1"/>
        <v>14</v>
      </c>
      <c r="AD23" t="str">
        <f t="shared" si="2"/>
        <v/>
      </c>
      <c r="AE23">
        <f t="shared" si="3"/>
        <v>1</v>
      </c>
      <c r="AF23" t="str">
        <f t="shared" si="4"/>
        <v/>
      </c>
      <c r="AG23" t="str">
        <f t="shared" si="5"/>
        <v/>
      </c>
      <c r="AH23">
        <f t="shared" si="6"/>
        <v>2</v>
      </c>
      <c r="AI23" t="str">
        <f t="shared" si="7"/>
        <v/>
      </c>
      <c r="AJ23" t="str">
        <f t="shared" si="8"/>
        <v/>
      </c>
    </row>
    <row r="24" spans="1:36">
      <c r="A24" s="5">
        <v>23</v>
      </c>
      <c r="B24" s="5" t="s">
        <v>2084</v>
      </c>
      <c r="C24" s="5" t="s">
        <v>1540</v>
      </c>
      <c r="D24" s="5" t="s">
        <v>1985</v>
      </c>
      <c r="E24" s="5" t="s">
        <v>2072</v>
      </c>
      <c r="F24" s="5" t="str">
        <f t="shared" si="0"/>
        <v>Finance-Collections Officer</v>
      </c>
      <c r="G24" s="5" t="s">
        <v>47</v>
      </c>
      <c r="H24" s="9">
        <v>44919.453449074077</v>
      </c>
      <c r="I24" s="9">
        <v>44923.453449074077</v>
      </c>
      <c r="J24" s="9" t="e">
        <f>I24+#REF!</f>
        <v>#REF!</v>
      </c>
      <c r="K24" s="9" t="e">
        <f>J24+#REF!</f>
        <v>#REF!</v>
      </c>
      <c r="L24" s="10" t="s">
        <v>52</v>
      </c>
      <c r="M24" s="11"/>
      <c r="N24" s="5"/>
      <c r="O24" s="5"/>
      <c r="P24" s="9"/>
      <c r="Q24" s="5"/>
      <c r="R24" s="5"/>
      <c r="S24" s="5"/>
      <c r="T24" s="9"/>
      <c r="U24" s="5"/>
      <c r="V24" s="5">
        <v>0</v>
      </c>
      <c r="W24" s="5"/>
      <c r="X24" s="5"/>
      <c r="Y24" s="5"/>
      <c r="Z24" s="5"/>
      <c r="AA24" s="5"/>
      <c r="AC24" t="str">
        <f t="shared" si="1"/>
        <v/>
      </c>
      <c r="AD24" t="str">
        <f t="shared" si="2"/>
        <v/>
      </c>
      <c r="AE24" t="str">
        <f t="shared" si="3"/>
        <v/>
      </c>
      <c r="AF24" t="str">
        <f t="shared" si="4"/>
        <v/>
      </c>
      <c r="AG24" t="str">
        <f t="shared" si="5"/>
        <v/>
      </c>
      <c r="AH24">
        <f t="shared" si="6"/>
        <v>4</v>
      </c>
      <c r="AI24" t="str">
        <f t="shared" si="7"/>
        <v/>
      </c>
      <c r="AJ24" t="str">
        <f t="shared" si="8"/>
        <v/>
      </c>
    </row>
    <row r="25" spans="1:36">
      <c r="A25" s="5">
        <v>24</v>
      </c>
      <c r="B25" s="5" t="s">
        <v>1817</v>
      </c>
      <c r="C25" s="5" t="s">
        <v>1540</v>
      </c>
      <c r="D25" s="5" t="s">
        <v>1706</v>
      </c>
      <c r="E25" s="5" t="s">
        <v>1804</v>
      </c>
      <c r="F25" s="5" t="str">
        <f t="shared" si="0"/>
        <v>Finance-Contoller</v>
      </c>
      <c r="G25" s="5" t="s">
        <v>270</v>
      </c>
      <c r="H25" s="9">
        <v>44919.453449074077</v>
      </c>
      <c r="I25" s="9">
        <v>44921.453449074077</v>
      </c>
      <c r="J25" s="9" t="e">
        <f>I25+#REF!</f>
        <v>#REF!</v>
      </c>
      <c r="K25" s="9" t="e">
        <f>J25+#REF!</f>
        <v>#REF!</v>
      </c>
      <c r="L25" s="10" t="s">
        <v>41</v>
      </c>
      <c r="M25" s="11">
        <v>44938.453449074077</v>
      </c>
      <c r="N25" s="5" t="s">
        <v>42</v>
      </c>
      <c r="O25" s="5" t="s">
        <v>113</v>
      </c>
      <c r="P25" s="9"/>
      <c r="Q25" s="5"/>
      <c r="R25" s="5"/>
      <c r="S25" s="5"/>
      <c r="T25" s="9">
        <v>44941.453449074077</v>
      </c>
      <c r="U25" s="5"/>
      <c r="V25" s="5">
        <v>0</v>
      </c>
      <c r="W25" s="5"/>
      <c r="X25" s="5"/>
      <c r="Y25" s="5"/>
      <c r="Z25" s="5"/>
      <c r="AA25" s="5" t="s">
        <v>44</v>
      </c>
      <c r="AC25">
        <f t="shared" si="1"/>
        <v>17</v>
      </c>
      <c r="AD25" t="str">
        <f t="shared" si="2"/>
        <v/>
      </c>
      <c r="AE25">
        <f t="shared" si="3"/>
        <v>3</v>
      </c>
      <c r="AF25" t="str">
        <f t="shared" si="4"/>
        <v/>
      </c>
      <c r="AG25" t="str">
        <f t="shared" si="5"/>
        <v/>
      </c>
      <c r="AH25">
        <f t="shared" si="6"/>
        <v>2</v>
      </c>
      <c r="AI25" t="str">
        <f t="shared" si="7"/>
        <v/>
      </c>
      <c r="AJ25" t="str">
        <f t="shared" si="8"/>
        <v/>
      </c>
    </row>
    <row r="26" spans="1:36">
      <c r="A26" s="5">
        <v>25</v>
      </c>
      <c r="B26" s="5" t="s">
        <v>1980</v>
      </c>
      <c r="C26" s="5" t="s">
        <v>1540</v>
      </c>
      <c r="D26" s="5" t="s">
        <v>1925</v>
      </c>
      <c r="E26" s="5" t="s">
        <v>55</v>
      </c>
      <c r="F26" s="5" t="str">
        <f t="shared" si="0"/>
        <v>Finance-Director</v>
      </c>
      <c r="G26" s="5" t="s">
        <v>56</v>
      </c>
      <c r="H26" s="9">
        <v>44917.453449074077</v>
      </c>
      <c r="I26" s="9">
        <v>44921.453449074077</v>
      </c>
      <c r="J26" s="9" t="e">
        <f>I26+#REF!</f>
        <v>#REF!</v>
      </c>
      <c r="K26" s="9" t="e">
        <f>J26+#REF!</f>
        <v>#REF!</v>
      </c>
      <c r="L26" s="10" t="s">
        <v>41</v>
      </c>
      <c r="M26" s="11">
        <v>44938.453449074077</v>
      </c>
      <c r="N26" s="5" t="s">
        <v>42</v>
      </c>
      <c r="O26" s="5" t="s">
        <v>98</v>
      </c>
      <c r="P26" s="9"/>
      <c r="Q26" s="5"/>
      <c r="R26" s="5"/>
      <c r="S26" s="5"/>
      <c r="T26" s="9">
        <v>44939.453449074077</v>
      </c>
      <c r="U26" s="5"/>
      <c r="V26" s="5">
        <v>0</v>
      </c>
      <c r="W26" s="5"/>
      <c r="X26" s="5"/>
      <c r="Y26" s="5"/>
      <c r="Z26" s="5"/>
      <c r="AA26" s="5" t="s">
        <v>44</v>
      </c>
      <c r="AC26">
        <f t="shared" si="1"/>
        <v>17</v>
      </c>
      <c r="AD26" t="str">
        <f t="shared" si="2"/>
        <v/>
      </c>
      <c r="AE26">
        <f t="shared" si="3"/>
        <v>1</v>
      </c>
      <c r="AF26" t="str">
        <f t="shared" si="4"/>
        <v/>
      </c>
      <c r="AG26" t="str">
        <f t="shared" si="5"/>
        <v/>
      </c>
      <c r="AH26">
        <f t="shared" si="6"/>
        <v>4</v>
      </c>
      <c r="AI26" t="str">
        <f t="shared" si="7"/>
        <v/>
      </c>
      <c r="AJ26" t="str">
        <f t="shared" si="8"/>
        <v/>
      </c>
    </row>
    <row r="27" spans="1:36">
      <c r="A27" s="5">
        <v>26</v>
      </c>
      <c r="B27" s="5" t="s">
        <v>1979</v>
      </c>
      <c r="C27" s="5" t="s">
        <v>1540</v>
      </c>
      <c r="D27" s="5" t="s">
        <v>1925</v>
      </c>
      <c r="E27" s="5" t="s">
        <v>55</v>
      </c>
      <c r="F27" s="5" t="str">
        <f t="shared" si="0"/>
        <v>Finance-Director</v>
      </c>
      <c r="G27" s="5" t="s">
        <v>56</v>
      </c>
      <c r="H27" s="9">
        <v>44922.453449074077</v>
      </c>
      <c r="I27" s="9">
        <v>44926.453449074077</v>
      </c>
      <c r="J27" s="9" t="e">
        <f>I27+#REF!</f>
        <v>#REF!</v>
      </c>
      <c r="K27" s="9" t="e">
        <f>J27+#REF!</f>
        <v>#REF!</v>
      </c>
      <c r="L27" s="10" t="s">
        <v>41</v>
      </c>
      <c r="M27" s="11">
        <v>44945.453449074077</v>
      </c>
      <c r="N27" s="5" t="s">
        <v>64</v>
      </c>
      <c r="O27" s="5"/>
      <c r="P27" s="9">
        <v>44952.453449074077</v>
      </c>
      <c r="Q27" s="5" t="s">
        <v>64</v>
      </c>
      <c r="R27" s="9">
        <v>44946.453449074077</v>
      </c>
      <c r="S27" s="9">
        <v>44948.453449074077</v>
      </c>
      <c r="T27" s="9">
        <v>44948.453449074077</v>
      </c>
      <c r="U27" s="9">
        <v>44953.453449074077</v>
      </c>
      <c r="V27" s="12">
        <v>1</v>
      </c>
      <c r="W27" s="9">
        <v>44954.453449074077</v>
      </c>
      <c r="X27" s="9">
        <v>44955.453449074077</v>
      </c>
      <c r="Y27" s="9">
        <v>44958.453449074077</v>
      </c>
      <c r="Z27" s="5"/>
      <c r="AA27" s="5"/>
      <c r="AB27" s="13">
        <v>44970.453449074077</v>
      </c>
      <c r="AC27">
        <f t="shared" si="1"/>
        <v>19</v>
      </c>
      <c r="AD27">
        <f t="shared" si="2"/>
        <v>22</v>
      </c>
      <c r="AE27">
        <f t="shared" si="3"/>
        <v>3</v>
      </c>
      <c r="AF27">
        <f t="shared" si="4"/>
        <v>2</v>
      </c>
      <c r="AG27">
        <f t="shared" si="5"/>
        <v>1</v>
      </c>
      <c r="AH27">
        <f t="shared" si="6"/>
        <v>4</v>
      </c>
      <c r="AI27" t="str">
        <f t="shared" si="7"/>
        <v/>
      </c>
      <c r="AJ27" t="str">
        <f t="shared" si="8"/>
        <v/>
      </c>
    </row>
    <row r="28" spans="1:36">
      <c r="A28" s="5">
        <v>27</v>
      </c>
      <c r="B28" s="5" t="s">
        <v>1978</v>
      </c>
      <c r="C28" s="5" t="s">
        <v>1540</v>
      </c>
      <c r="D28" s="5" t="s">
        <v>1925</v>
      </c>
      <c r="E28" s="5" t="s">
        <v>55</v>
      </c>
      <c r="F28" s="5" t="str">
        <f t="shared" si="0"/>
        <v>Finance-Director</v>
      </c>
      <c r="G28" s="5" t="s">
        <v>56</v>
      </c>
      <c r="H28" s="9">
        <v>44918.453449074077</v>
      </c>
      <c r="I28" s="9">
        <v>44921.453449074077</v>
      </c>
      <c r="J28" s="9" t="e">
        <f>I28+#REF!</f>
        <v>#REF!</v>
      </c>
      <c r="K28" s="9" t="e">
        <f>J28+#REF!</f>
        <v>#REF!</v>
      </c>
      <c r="L28" s="10" t="s">
        <v>41</v>
      </c>
      <c r="M28" s="11">
        <v>44933.453449074077</v>
      </c>
      <c r="N28" s="5" t="s">
        <v>167</v>
      </c>
      <c r="O28" s="5"/>
      <c r="P28" s="9">
        <v>44938.453449074077</v>
      </c>
      <c r="Q28" s="5" t="s">
        <v>167</v>
      </c>
      <c r="R28" s="5"/>
      <c r="S28" s="5"/>
      <c r="T28" s="9">
        <v>44934.453449074077</v>
      </c>
      <c r="U28" s="5"/>
      <c r="V28" s="5">
        <v>0</v>
      </c>
      <c r="W28" s="5"/>
      <c r="X28" s="5"/>
      <c r="Y28" s="5"/>
      <c r="Z28" s="5"/>
      <c r="AA28" s="5"/>
      <c r="AC28">
        <f t="shared" si="1"/>
        <v>12</v>
      </c>
      <c r="AD28" t="str">
        <f t="shared" si="2"/>
        <v/>
      </c>
      <c r="AE28">
        <f t="shared" si="3"/>
        <v>1</v>
      </c>
      <c r="AF28" t="str">
        <f t="shared" si="4"/>
        <v/>
      </c>
      <c r="AG28" t="str">
        <f t="shared" si="5"/>
        <v/>
      </c>
      <c r="AH28">
        <f t="shared" si="6"/>
        <v>3</v>
      </c>
      <c r="AI28" t="str">
        <f t="shared" si="7"/>
        <v/>
      </c>
      <c r="AJ28" t="str">
        <f t="shared" si="8"/>
        <v/>
      </c>
    </row>
    <row r="29" spans="1:36">
      <c r="A29" s="5">
        <v>28</v>
      </c>
      <c r="B29" s="5" t="s">
        <v>1583</v>
      </c>
      <c r="C29" s="5" t="s">
        <v>1540</v>
      </c>
      <c r="D29" s="5" t="s">
        <v>1541</v>
      </c>
      <c r="E29" s="5" t="s">
        <v>102</v>
      </c>
      <c r="F29" s="5" t="str">
        <f t="shared" si="0"/>
        <v>Finance-Senior Manager</v>
      </c>
      <c r="G29" s="5" t="s">
        <v>103</v>
      </c>
      <c r="H29" s="9">
        <v>44922.453449074077</v>
      </c>
      <c r="I29" s="9">
        <v>44926.453449074077</v>
      </c>
      <c r="J29" s="9" t="e">
        <f>I29+#REF!</f>
        <v>#REF!</v>
      </c>
      <c r="K29" s="9" t="e">
        <f>J29+#REF!</f>
        <v>#REF!</v>
      </c>
      <c r="L29" s="10" t="s">
        <v>41</v>
      </c>
      <c r="M29" s="11">
        <v>44943.453449074077</v>
      </c>
      <c r="N29" s="5" t="s">
        <v>42</v>
      </c>
      <c r="O29" s="5" t="s">
        <v>73</v>
      </c>
      <c r="P29" s="9"/>
      <c r="Q29" s="5"/>
      <c r="R29" s="5"/>
      <c r="S29" s="5"/>
      <c r="T29" s="9">
        <v>44944.453449074077</v>
      </c>
      <c r="U29" s="5"/>
      <c r="V29" s="5">
        <v>0</v>
      </c>
      <c r="W29" s="5"/>
      <c r="X29" s="5"/>
      <c r="Y29" s="5"/>
      <c r="Z29" s="5"/>
      <c r="AA29" s="5" t="s">
        <v>44</v>
      </c>
      <c r="AC29">
        <f t="shared" si="1"/>
        <v>17</v>
      </c>
      <c r="AD29" t="str">
        <f t="shared" si="2"/>
        <v/>
      </c>
      <c r="AE29">
        <f t="shared" si="3"/>
        <v>1</v>
      </c>
      <c r="AF29" t="str">
        <f t="shared" si="4"/>
        <v/>
      </c>
      <c r="AG29" t="str">
        <f t="shared" si="5"/>
        <v/>
      </c>
      <c r="AH29">
        <f t="shared" si="6"/>
        <v>4</v>
      </c>
      <c r="AI29" t="str">
        <f t="shared" si="7"/>
        <v/>
      </c>
      <c r="AJ29" t="str">
        <f t="shared" si="8"/>
        <v/>
      </c>
    </row>
    <row r="30" spans="1:36">
      <c r="A30" s="5">
        <v>29</v>
      </c>
      <c r="B30" s="5" t="s">
        <v>1703</v>
      </c>
      <c r="C30" s="5" t="s">
        <v>1540</v>
      </c>
      <c r="D30" s="5" t="s">
        <v>1588</v>
      </c>
      <c r="E30" s="5" t="s">
        <v>597</v>
      </c>
      <c r="F30" s="5" t="str">
        <f t="shared" si="0"/>
        <v>Finance-Business Partner</v>
      </c>
      <c r="G30" s="5" t="s">
        <v>147</v>
      </c>
      <c r="H30" s="9">
        <v>44922.453449074077</v>
      </c>
      <c r="I30" s="9">
        <v>44926.453449074077</v>
      </c>
      <c r="J30" s="9" t="e">
        <f>I30+#REF!</f>
        <v>#REF!</v>
      </c>
      <c r="K30" s="9" t="e">
        <f>J30+#REF!</f>
        <v>#REF!</v>
      </c>
      <c r="L30" s="10" t="s">
        <v>52</v>
      </c>
      <c r="M30" s="11"/>
      <c r="N30" s="5"/>
      <c r="O30" s="5"/>
      <c r="P30" s="9"/>
      <c r="Q30" s="5"/>
      <c r="R30" s="5"/>
      <c r="S30" s="5"/>
      <c r="T30" s="9"/>
      <c r="U30" s="5"/>
      <c r="V30" s="5">
        <v>0</v>
      </c>
      <c r="W30" s="5"/>
      <c r="X30" s="5"/>
      <c r="Y30" s="5"/>
      <c r="Z30" s="5"/>
      <c r="AA30" s="5"/>
      <c r="AC30" t="str">
        <f t="shared" si="1"/>
        <v/>
      </c>
      <c r="AD30" t="str">
        <f t="shared" si="2"/>
        <v/>
      </c>
      <c r="AE30" t="str">
        <f t="shared" si="3"/>
        <v/>
      </c>
      <c r="AF30" t="str">
        <f t="shared" si="4"/>
        <v/>
      </c>
      <c r="AG30" t="str">
        <f t="shared" si="5"/>
        <v/>
      </c>
      <c r="AH30">
        <f t="shared" si="6"/>
        <v>4</v>
      </c>
      <c r="AI30" t="str">
        <f t="shared" si="7"/>
        <v/>
      </c>
      <c r="AJ30" t="str">
        <f t="shared" si="8"/>
        <v/>
      </c>
    </row>
    <row r="31" spans="1:36">
      <c r="A31" s="5">
        <v>30</v>
      </c>
      <c r="B31" s="5" t="s">
        <v>2083</v>
      </c>
      <c r="C31" s="5" t="s">
        <v>1540</v>
      </c>
      <c r="D31" s="5" t="s">
        <v>1985</v>
      </c>
      <c r="E31" s="5" t="s">
        <v>2072</v>
      </c>
      <c r="F31" s="5" t="str">
        <f t="shared" si="0"/>
        <v>Finance-Collections Officer</v>
      </c>
      <c r="G31" s="5" t="s">
        <v>47</v>
      </c>
      <c r="H31" s="9">
        <v>44920.453449074077</v>
      </c>
      <c r="I31" s="9">
        <v>44924.453449074077</v>
      </c>
      <c r="J31" s="9" t="e">
        <f>I31+#REF!</f>
        <v>#REF!</v>
      </c>
      <c r="K31" s="9" t="e">
        <f>J31+#REF!</f>
        <v>#REF!</v>
      </c>
      <c r="L31" s="10" t="s">
        <v>52</v>
      </c>
      <c r="M31" s="11"/>
      <c r="N31" s="5"/>
      <c r="O31" s="5"/>
      <c r="P31" s="9"/>
      <c r="Q31" s="5"/>
      <c r="R31" s="5"/>
      <c r="S31" s="5"/>
      <c r="T31" s="9"/>
      <c r="U31" s="5"/>
      <c r="V31" s="5">
        <v>0</v>
      </c>
      <c r="W31" s="5"/>
      <c r="X31" s="5"/>
      <c r="Y31" s="5"/>
      <c r="Z31" s="5"/>
      <c r="AA31" s="5"/>
      <c r="AC31" t="str">
        <f t="shared" si="1"/>
        <v/>
      </c>
      <c r="AD31" t="str">
        <f t="shared" si="2"/>
        <v/>
      </c>
      <c r="AE31" t="str">
        <f t="shared" si="3"/>
        <v/>
      </c>
      <c r="AF31" t="str">
        <f t="shared" si="4"/>
        <v/>
      </c>
      <c r="AG31" t="str">
        <f t="shared" si="5"/>
        <v/>
      </c>
      <c r="AH31">
        <f t="shared" si="6"/>
        <v>4</v>
      </c>
      <c r="AI31" t="str">
        <f t="shared" si="7"/>
        <v/>
      </c>
      <c r="AJ31" t="str">
        <f t="shared" si="8"/>
        <v/>
      </c>
    </row>
    <row r="32" spans="1:36">
      <c r="A32" s="5">
        <v>31</v>
      </c>
      <c r="B32" s="5" t="s">
        <v>2521</v>
      </c>
      <c r="C32" s="5" t="s">
        <v>2494</v>
      </c>
      <c r="D32" s="5" t="s">
        <v>2504</v>
      </c>
      <c r="E32" s="5" t="s">
        <v>51</v>
      </c>
      <c r="F32" s="5" t="str">
        <f t="shared" si="0"/>
        <v>Administation-Supervisor</v>
      </c>
      <c r="G32" s="5" t="s">
        <v>147</v>
      </c>
      <c r="H32" s="9">
        <v>44772.52820601852</v>
      </c>
      <c r="I32" s="9">
        <v>44775.52820601852</v>
      </c>
      <c r="J32" s="9" t="e">
        <f>I32+#REF!</f>
        <v>#REF!</v>
      </c>
      <c r="K32" s="9" t="e">
        <f>J32+#REF!</f>
        <v>#REF!</v>
      </c>
      <c r="L32" s="10" t="s">
        <v>41</v>
      </c>
      <c r="M32" s="11">
        <v>44781.52820601852</v>
      </c>
      <c r="N32" s="5" t="s">
        <v>42</v>
      </c>
      <c r="O32" s="5" t="s">
        <v>98</v>
      </c>
      <c r="P32" s="9"/>
      <c r="Q32" s="5"/>
      <c r="R32" s="5"/>
      <c r="S32" s="5"/>
      <c r="T32" s="9"/>
      <c r="U32" s="5"/>
      <c r="V32" s="5">
        <v>0</v>
      </c>
      <c r="W32" s="5"/>
      <c r="X32" s="5"/>
      <c r="Y32" s="5"/>
      <c r="Z32" s="5"/>
      <c r="AA32" s="5" t="s">
        <v>62</v>
      </c>
      <c r="AC32">
        <f t="shared" si="1"/>
        <v>6</v>
      </c>
      <c r="AD32" t="str">
        <f t="shared" si="2"/>
        <v/>
      </c>
      <c r="AE32" t="str">
        <f t="shared" si="3"/>
        <v/>
      </c>
      <c r="AF32" t="str">
        <f t="shared" si="4"/>
        <v/>
      </c>
      <c r="AG32" t="str">
        <f t="shared" si="5"/>
        <v/>
      </c>
      <c r="AH32">
        <f t="shared" si="6"/>
        <v>3</v>
      </c>
      <c r="AI32" t="str">
        <f t="shared" si="7"/>
        <v/>
      </c>
      <c r="AJ32" t="str">
        <f t="shared" si="8"/>
        <v/>
      </c>
    </row>
    <row r="33" spans="1:36">
      <c r="A33" s="5">
        <v>32</v>
      </c>
      <c r="B33" s="5" t="s">
        <v>79</v>
      </c>
      <c r="C33" s="5" t="s">
        <v>37</v>
      </c>
      <c r="D33" s="5" t="s">
        <v>54</v>
      </c>
      <c r="E33" s="5" t="s">
        <v>69</v>
      </c>
      <c r="F33" s="5" t="str">
        <f t="shared" si="0"/>
        <v>Risk Management-Head of Department</v>
      </c>
      <c r="G33" s="5" t="s">
        <v>56</v>
      </c>
      <c r="H33" s="9">
        <v>44774.52820601852</v>
      </c>
      <c r="I33" s="9">
        <v>44777.52820601852</v>
      </c>
      <c r="J33" s="9" t="e">
        <f>I33+#REF!</f>
        <v>#REF!</v>
      </c>
      <c r="K33" s="9" t="e">
        <f>J33+#REF!</f>
        <v>#REF!</v>
      </c>
      <c r="L33" s="10" t="s">
        <v>41</v>
      </c>
      <c r="M33" s="11">
        <v>44787.52820601852</v>
      </c>
      <c r="N33" s="5" t="s">
        <v>64</v>
      </c>
      <c r="O33" s="5"/>
      <c r="P33" s="9">
        <v>44795.52820601852</v>
      </c>
      <c r="Q33" s="5" t="s">
        <v>64</v>
      </c>
      <c r="R33" s="9">
        <v>44789.52820601852</v>
      </c>
      <c r="S33" s="9">
        <v>44793.52820601852</v>
      </c>
      <c r="T33" s="9">
        <v>44791.52820601852</v>
      </c>
      <c r="U33" s="9">
        <v>44800.52820601852</v>
      </c>
      <c r="V33" s="12">
        <v>1</v>
      </c>
      <c r="W33" s="9">
        <v>44803.52820601852</v>
      </c>
      <c r="X33" s="9">
        <v>44806.52820601852</v>
      </c>
      <c r="Y33" s="9">
        <v>44807.52820601852</v>
      </c>
      <c r="Z33" s="5"/>
      <c r="AA33" s="5"/>
      <c r="AB33" s="13">
        <v>44825.52820601852</v>
      </c>
      <c r="AC33">
        <f t="shared" si="1"/>
        <v>10</v>
      </c>
      <c r="AD33">
        <f t="shared" si="2"/>
        <v>16</v>
      </c>
      <c r="AE33">
        <f t="shared" si="3"/>
        <v>4</v>
      </c>
      <c r="AF33">
        <f t="shared" si="4"/>
        <v>6</v>
      </c>
      <c r="AG33">
        <f t="shared" si="5"/>
        <v>3</v>
      </c>
      <c r="AH33">
        <f t="shared" si="6"/>
        <v>3</v>
      </c>
      <c r="AI33" t="str">
        <f t="shared" si="7"/>
        <v/>
      </c>
      <c r="AJ33" t="str">
        <f t="shared" si="8"/>
        <v/>
      </c>
    </row>
    <row r="34" spans="1:36">
      <c r="A34" s="5">
        <v>33</v>
      </c>
      <c r="B34" s="5" t="s">
        <v>77</v>
      </c>
      <c r="C34" s="5" t="s">
        <v>37</v>
      </c>
      <c r="D34" s="5" t="s">
        <v>54</v>
      </c>
      <c r="E34" s="5" t="s">
        <v>69</v>
      </c>
      <c r="F34" s="5" t="str">
        <f t="shared" si="0"/>
        <v>Risk Management-Head of Department</v>
      </c>
      <c r="G34" s="5" t="s">
        <v>56</v>
      </c>
      <c r="H34" s="9">
        <v>44773.52820601852</v>
      </c>
      <c r="I34" s="9">
        <v>44776.52820601852</v>
      </c>
      <c r="J34" s="9" t="e">
        <f>I34+#REF!</f>
        <v>#REF!</v>
      </c>
      <c r="K34" s="9" t="e">
        <f>J34+#REF!</f>
        <v>#REF!</v>
      </c>
      <c r="L34" s="10" t="s">
        <v>41</v>
      </c>
      <c r="M34" s="11">
        <v>44788.52820601852</v>
      </c>
      <c r="N34" s="5" t="s">
        <v>48</v>
      </c>
      <c r="O34" s="5"/>
      <c r="P34" s="9">
        <v>44795.52820601852</v>
      </c>
      <c r="Q34" s="5" t="s">
        <v>48</v>
      </c>
      <c r="R34" s="5"/>
      <c r="S34" s="5"/>
      <c r="T34" s="9">
        <v>44791.52820601852</v>
      </c>
      <c r="U34" s="5"/>
      <c r="V34" s="5">
        <v>0</v>
      </c>
      <c r="W34" s="5"/>
      <c r="X34" s="5"/>
      <c r="Y34" s="5"/>
      <c r="Z34" s="5"/>
      <c r="AA34" s="5"/>
      <c r="AC34">
        <f t="shared" si="1"/>
        <v>12</v>
      </c>
      <c r="AD34" t="str">
        <f t="shared" si="2"/>
        <v/>
      </c>
      <c r="AE34">
        <f t="shared" si="3"/>
        <v>3</v>
      </c>
      <c r="AF34" t="str">
        <f t="shared" si="4"/>
        <v/>
      </c>
      <c r="AG34" t="str">
        <f t="shared" si="5"/>
        <v/>
      </c>
      <c r="AH34">
        <f t="shared" si="6"/>
        <v>3</v>
      </c>
      <c r="AI34" t="str">
        <f t="shared" si="7"/>
        <v/>
      </c>
      <c r="AJ34" t="str">
        <f t="shared" si="8"/>
        <v/>
      </c>
    </row>
    <row r="35" spans="1:36">
      <c r="A35" s="5">
        <v>34</v>
      </c>
      <c r="B35" s="5" t="s">
        <v>78</v>
      </c>
      <c r="C35" s="5" t="s">
        <v>37</v>
      </c>
      <c r="D35" s="5" t="s">
        <v>54</v>
      </c>
      <c r="E35" s="5" t="s">
        <v>69</v>
      </c>
      <c r="F35" s="5" t="str">
        <f t="shared" si="0"/>
        <v>Risk Management-Head of Department</v>
      </c>
      <c r="G35" s="5" t="s">
        <v>56</v>
      </c>
      <c r="H35" s="9">
        <v>44774.52820601852</v>
      </c>
      <c r="I35" s="9">
        <v>44777.52820601852</v>
      </c>
      <c r="J35" s="9" t="e">
        <f>I35+#REF!</f>
        <v>#REF!</v>
      </c>
      <c r="K35" s="9" t="e">
        <f>J35+#REF!</f>
        <v>#REF!</v>
      </c>
      <c r="L35" s="10" t="s">
        <v>41</v>
      </c>
      <c r="M35" s="11">
        <v>44792.52820601852</v>
      </c>
      <c r="N35" s="5" t="s">
        <v>48</v>
      </c>
      <c r="O35" s="5"/>
      <c r="P35" s="9">
        <v>44797.52820601852</v>
      </c>
      <c r="Q35" s="5" t="s">
        <v>48</v>
      </c>
      <c r="R35" s="5"/>
      <c r="S35" s="5"/>
      <c r="T35" s="9">
        <v>44793.52820601852</v>
      </c>
      <c r="U35" s="5"/>
      <c r="V35" s="5">
        <v>0</v>
      </c>
      <c r="W35" s="5"/>
      <c r="X35" s="5"/>
      <c r="Y35" s="5"/>
      <c r="Z35" s="5"/>
      <c r="AA35" s="5"/>
      <c r="AC35">
        <f t="shared" si="1"/>
        <v>15</v>
      </c>
      <c r="AD35" t="str">
        <f t="shared" si="2"/>
        <v/>
      </c>
      <c r="AE35">
        <f t="shared" si="3"/>
        <v>1</v>
      </c>
      <c r="AF35" t="str">
        <f t="shared" si="4"/>
        <v/>
      </c>
      <c r="AG35" t="str">
        <f t="shared" si="5"/>
        <v/>
      </c>
      <c r="AH35">
        <f t="shared" si="6"/>
        <v>3</v>
      </c>
      <c r="AI35" t="str">
        <f t="shared" si="7"/>
        <v/>
      </c>
      <c r="AJ35" t="str">
        <f t="shared" si="8"/>
        <v/>
      </c>
    </row>
    <row r="36" spans="1:36">
      <c r="A36" s="5">
        <v>35</v>
      </c>
      <c r="B36" s="5" t="s">
        <v>76</v>
      </c>
      <c r="C36" s="5" t="s">
        <v>37</v>
      </c>
      <c r="D36" s="5" t="s">
        <v>54</v>
      </c>
      <c r="E36" s="5" t="s">
        <v>69</v>
      </c>
      <c r="F36" s="5" t="str">
        <f t="shared" si="0"/>
        <v>Risk Management-Head of Department</v>
      </c>
      <c r="G36" s="5" t="s">
        <v>56</v>
      </c>
      <c r="H36" s="9">
        <v>44769.52820601852</v>
      </c>
      <c r="I36" s="9">
        <v>44773.52820601852</v>
      </c>
      <c r="J36" s="9" t="e">
        <f>I36+#REF!</f>
        <v>#REF!</v>
      </c>
      <c r="K36" s="9" t="e">
        <f>J36+#REF!</f>
        <v>#REF!</v>
      </c>
      <c r="L36" s="10" t="s">
        <v>41</v>
      </c>
      <c r="M36" s="11">
        <v>44792.52820601852</v>
      </c>
      <c r="N36" s="5" t="s">
        <v>42</v>
      </c>
      <c r="O36" s="5" t="s">
        <v>58</v>
      </c>
      <c r="P36" s="9"/>
      <c r="Q36" s="5"/>
      <c r="R36" s="5"/>
      <c r="S36" s="5"/>
      <c r="T36" s="9">
        <v>44794.52820601852</v>
      </c>
      <c r="U36" s="5"/>
      <c r="V36" s="5">
        <v>0</v>
      </c>
      <c r="W36" s="5"/>
      <c r="X36" s="5"/>
      <c r="Y36" s="5"/>
      <c r="Z36" s="5"/>
      <c r="AA36" s="5" t="s">
        <v>62</v>
      </c>
      <c r="AC36">
        <f t="shared" si="1"/>
        <v>19</v>
      </c>
      <c r="AD36" t="str">
        <f t="shared" si="2"/>
        <v/>
      </c>
      <c r="AE36">
        <f t="shared" si="3"/>
        <v>2</v>
      </c>
      <c r="AF36" t="str">
        <f t="shared" si="4"/>
        <v/>
      </c>
      <c r="AG36" t="str">
        <f t="shared" si="5"/>
        <v/>
      </c>
      <c r="AH36">
        <f t="shared" si="6"/>
        <v>4</v>
      </c>
      <c r="AI36" t="str">
        <f t="shared" si="7"/>
        <v/>
      </c>
      <c r="AJ36" t="str">
        <f t="shared" si="8"/>
        <v/>
      </c>
    </row>
    <row r="37" spans="1:36">
      <c r="A37" s="5">
        <v>36</v>
      </c>
      <c r="B37" s="5" t="s">
        <v>2539</v>
      </c>
      <c r="C37" s="5" t="s">
        <v>2494</v>
      </c>
      <c r="D37" s="5" t="s">
        <v>2540</v>
      </c>
      <c r="E37" s="5" t="s">
        <v>39</v>
      </c>
      <c r="F37" s="5" t="str">
        <f t="shared" si="0"/>
        <v>Administation-Analyst</v>
      </c>
      <c r="G37" s="5" t="s">
        <v>40</v>
      </c>
      <c r="H37" s="9">
        <v>44773.52820601852</v>
      </c>
      <c r="I37" s="9">
        <v>44777.52820601852</v>
      </c>
      <c r="J37" s="9" t="e">
        <f>I37+#REF!</f>
        <v>#REF!</v>
      </c>
      <c r="K37" s="9" t="e">
        <f>J37+#REF!</f>
        <v>#REF!</v>
      </c>
      <c r="L37" s="10" t="s">
        <v>41</v>
      </c>
      <c r="M37" s="11">
        <v>44784.52820601852</v>
      </c>
      <c r="N37" s="5" t="s">
        <v>64</v>
      </c>
      <c r="O37" s="5"/>
      <c r="P37" s="9">
        <v>44787.52820601852</v>
      </c>
      <c r="Q37" s="5" t="s">
        <v>64</v>
      </c>
      <c r="R37" s="9">
        <v>44786.52820601852</v>
      </c>
      <c r="S37" s="9">
        <v>44790.52820601852</v>
      </c>
      <c r="T37" s="9">
        <v>44786.52820601852</v>
      </c>
      <c r="U37" s="9">
        <v>44789.52820601852</v>
      </c>
      <c r="V37" s="12">
        <v>1</v>
      </c>
      <c r="W37" s="9">
        <v>44791.52820601852</v>
      </c>
      <c r="X37" s="9">
        <v>44793.52820601852</v>
      </c>
      <c r="Y37" s="9">
        <v>44796.52820601852</v>
      </c>
      <c r="Z37" s="5"/>
      <c r="AA37" s="5"/>
      <c r="AB37" s="13">
        <v>44817.52820601852</v>
      </c>
      <c r="AC37">
        <f t="shared" si="1"/>
        <v>7</v>
      </c>
      <c r="AD37">
        <f t="shared" si="2"/>
        <v>13</v>
      </c>
      <c r="AE37">
        <f t="shared" si="3"/>
        <v>2</v>
      </c>
      <c r="AF37">
        <f t="shared" si="4"/>
        <v>4</v>
      </c>
      <c r="AG37">
        <f t="shared" si="5"/>
        <v>2</v>
      </c>
      <c r="AH37">
        <f t="shared" si="6"/>
        <v>4</v>
      </c>
      <c r="AI37" t="str">
        <f t="shared" si="7"/>
        <v/>
      </c>
      <c r="AJ37" t="str">
        <f t="shared" si="8"/>
        <v/>
      </c>
    </row>
    <row r="38" spans="1:36">
      <c r="A38" s="5">
        <v>37</v>
      </c>
      <c r="B38" s="5" t="s">
        <v>80</v>
      </c>
      <c r="C38" s="5" t="s">
        <v>37</v>
      </c>
      <c r="D38" s="5" t="s">
        <v>46</v>
      </c>
      <c r="E38" s="5" t="s">
        <v>51</v>
      </c>
      <c r="F38" s="5" t="str">
        <f t="shared" si="0"/>
        <v>Risk Management-Supervisor</v>
      </c>
      <c r="G38" s="5" t="s">
        <v>47</v>
      </c>
      <c r="H38" s="9">
        <v>44774.52820601852</v>
      </c>
      <c r="I38" s="9">
        <v>44777.52820601852</v>
      </c>
      <c r="J38" s="9" t="e">
        <f>I38+#REF!</f>
        <v>#REF!</v>
      </c>
      <c r="K38" s="9" t="e">
        <f>J38+#REF!</f>
        <v>#REF!</v>
      </c>
      <c r="L38" s="10" t="s">
        <v>41</v>
      </c>
      <c r="M38" s="11">
        <v>44784.52820601852</v>
      </c>
      <c r="N38" s="5" t="s">
        <v>42</v>
      </c>
      <c r="O38" s="5" t="s">
        <v>73</v>
      </c>
      <c r="P38" s="9"/>
      <c r="Q38" s="5"/>
      <c r="R38" s="5"/>
      <c r="S38" s="5"/>
      <c r="T38" s="9"/>
      <c r="U38" s="5"/>
      <c r="V38" s="5">
        <v>0</v>
      </c>
      <c r="W38" s="5"/>
      <c r="X38" s="5"/>
      <c r="Y38" s="5"/>
      <c r="Z38" s="5"/>
      <c r="AA38" s="5" t="s">
        <v>44</v>
      </c>
      <c r="AC38">
        <f t="shared" si="1"/>
        <v>7</v>
      </c>
      <c r="AD38" t="str">
        <f t="shared" si="2"/>
        <v/>
      </c>
      <c r="AE38" t="str">
        <f t="shared" si="3"/>
        <v/>
      </c>
      <c r="AF38" t="str">
        <f t="shared" si="4"/>
        <v/>
      </c>
      <c r="AG38" t="str">
        <f t="shared" si="5"/>
        <v/>
      </c>
      <c r="AH38">
        <f t="shared" si="6"/>
        <v>3</v>
      </c>
      <c r="AI38" t="str">
        <f t="shared" si="7"/>
        <v/>
      </c>
      <c r="AJ38" t="str">
        <f t="shared" si="8"/>
        <v/>
      </c>
    </row>
    <row r="39" spans="1:36">
      <c r="A39" s="5">
        <v>38</v>
      </c>
      <c r="B39" s="5" t="s">
        <v>2502</v>
      </c>
      <c r="C39" s="5" t="s">
        <v>2494</v>
      </c>
      <c r="D39" s="5" t="s">
        <v>2495</v>
      </c>
      <c r="E39" s="5" t="s">
        <v>102</v>
      </c>
      <c r="F39" s="5" t="str">
        <f t="shared" si="0"/>
        <v>Administation-Senior Manager</v>
      </c>
      <c r="G39" s="5" t="s">
        <v>103</v>
      </c>
      <c r="H39" s="9">
        <v>44768.52820601852</v>
      </c>
      <c r="I39" s="9">
        <v>44772.52820601852</v>
      </c>
      <c r="J39" s="9" t="e">
        <f>I39+#REF!</f>
        <v>#REF!</v>
      </c>
      <c r="K39" s="9" t="e">
        <f>J39+#REF!</f>
        <v>#REF!</v>
      </c>
      <c r="L39" s="10" t="s">
        <v>41</v>
      </c>
      <c r="M39" s="11">
        <v>44783.52820601852</v>
      </c>
      <c r="N39" s="5" t="s">
        <v>42</v>
      </c>
      <c r="O39" s="5" t="s">
        <v>73</v>
      </c>
      <c r="P39" s="9"/>
      <c r="Q39" s="5"/>
      <c r="R39" s="5"/>
      <c r="S39" s="5"/>
      <c r="T39" s="9">
        <v>44785.52820601852</v>
      </c>
      <c r="U39" s="5"/>
      <c r="V39" s="5">
        <v>0</v>
      </c>
      <c r="W39" s="5"/>
      <c r="X39" s="5"/>
      <c r="Y39" s="5"/>
      <c r="Z39" s="5"/>
      <c r="AA39" s="5" t="s">
        <v>62</v>
      </c>
      <c r="AC39">
        <f t="shared" si="1"/>
        <v>11</v>
      </c>
      <c r="AD39" t="str">
        <f t="shared" si="2"/>
        <v/>
      </c>
      <c r="AE39">
        <f t="shared" si="3"/>
        <v>2</v>
      </c>
      <c r="AF39" t="str">
        <f t="shared" si="4"/>
        <v/>
      </c>
      <c r="AG39" t="str">
        <f t="shared" si="5"/>
        <v/>
      </c>
      <c r="AH39">
        <f t="shared" si="6"/>
        <v>4</v>
      </c>
      <c r="AI39" t="str">
        <f t="shared" si="7"/>
        <v/>
      </c>
      <c r="AJ39" t="str">
        <f t="shared" si="8"/>
        <v/>
      </c>
    </row>
    <row r="40" spans="1:36">
      <c r="A40" s="5">
        <v>39</v>
      </c>
      <c r="B40" s="5" t="s">
        <v>2520</v>
      </c>
      <c r="C40" s="5" t="s">
        <v>2494</v>
      </c>
      <c r="D40" s="5" t="s">
        <v>2504</v>
      </c>
      <c r="E40" s="5" t="s">
        <v>51</v>
      </c>
      <c r="F40" s="5" t="str">
        <f t="shared" si="0"/>
        <v>Administation-Supervisor</v>
      </c>
      <c r="G40" s="5" t="s">
        <v>147</v>
      </c>
      <c r="H40" s="9">
        <v>44771.52820601852</v>
      </c>
      <c r="I40" s="9">
        <v>44773.52820601852</v>
      </c>
      <c r="J40" s="9" t="e">
        <f>I40+#REF!</f>
        <v>#REF!</v>
      </c>
      <c r="K40" s="9" t="e">
        <f>J40+#REF!</f>
        <v>#REF!</v>
      </c>
      <c r="L40" s="10" t="s">
        <v>52</v>
      </c>
      <c r="M40" s="11"/>
      <c r="N40" s="5"/>
      <c r="O40" s="5"/>
      <c r="P40" s="9"/>
      <c r="Q40" s="5"/>
      <c r="R40" s="5"/>
      <c r="S40" s="5"/>
      <c r="T40" s="9"/>
      <c r="U40" s="5"/>
      <c r="V40" s="5">
        <v>0</v>
      </c>
      <c r="W40" s="5"/>
      <c r="X40" s="5"/>
      <c r="Y40" s="5"/>
      <c r="Z40" s="5"/>
      <c r="AA40" s="5"/>
      <c r="AC40" t="str">
        <f t="shared" si="1"/>
        <v/>
      </c>
      <c r="AD40" t="str">
        <f t="shared" si="2"/>
        <v/>
      </c>
      <c r="AE40" t="str">
        <f t="shared" si="3"/>
        <v/>
      </c>
      <c r="AF40" t="str">
        <f t="shared" si="4"/>
        <v/>
      </c>
      <c r="AG40" t="str">
        <f t="shared" si="5"/>
        <v/>
      </c>
      <c r="AH40">
        <f t="shared" si="6"/>
        <v>2</v>
      </c>
      <c r="AI40" t="str">
        <f t="shared" si="7"/>
        <v/>
      </c>
      <c r="AJ40" t="str">
        <f t="shared" si="8"/>
        <v/>
      </c>
    </row>
    <row r="41" spans="1:36">
      <c r="A41" s="5">
        <v>40</v>
      </c>
      <c r="B41" s="5" t="s">
        <v>2501</v>
      </c>
      <c r="C41" s="5" t="s">
        <v>2494</v>
      </c>
      <c r="D41" s="5" t="s">
        <v>2495</v>
      </c>
      <c r="E41" s="5" t="s">
        <v>102</v>
      </c>
      <c r="F41" s="5" t="str">
        <f t="shared" si="0"/>
        <v>Administation-Senior Manager</v>
      </c>
      <c r="G41" s="5" t="s">
        <v>103</v>
      </c>
      <c r="H41" s="9">
        <v>44774.52820601852</v>
      </c>
      <c r="I41" s="9">
        <v>44775.52820601852</v>
      </c>
      <c r="J41" s="9" t="e">
        <f>I41+#REF!</f>
        <v>#REF!</v>
      </c>
      <c r="K41" s="9" t="e">
        <f>J41+#REF!</f>
        <v>#REF!</v>
      </c>
      <c r="L41" s="10" t="s">
        <v>52</v>
      </c>
      <c r="M41" s="11"/>
      <c r="N41" s="5"/>
      <c r="O41" s="5"/>
      <c r="P41" s="9"/>
      <c r="Q41" s="5"/>
      <c r="R41" s="5"/>
      <c r="S41" s="5"/>
      <c r="T41" s="9"/>
      <c r="U41" s="5"/>
      <c r="V41" s="5">
        <v>0</v>
      </c>
      <c r="W41" s="5"/>
      <c r="X41" s="5"/>
      <c r="Y41" s="5"/>
      <c r="Z41" s="5"/>
      <c r="AA41" s="5"/>
      <c r="AC41" t="str">
        <f t="shared" si="1"/>
        <v/>
      </c>
      <c r="AD41" t="str">
        <f t="shared" si="2"/>
        <v/>
      </c>
      <c r="AE41" t="str">
        <f t="shared" si="3"/>
        <v/>
      </c>
      <c r="AF41" t="str">
        <f t="shared" si="4"/>
        <v/>
      </c>
      <c r="AG41" t="str">
        <f t="shared" si="5"/>
        <v/>
      </c>
      <c r="AH41">
        <f t="shared" si="6"/>
        <v>1</v>
      </c>
      <c r="AI41" t="str">
        <f t="shared" si="7"/>
        <v/>
      </c>
      <c r="AJ41" t="str">
        <f t="shared" si="8"/>
        <v/>
      </c>
    </row>
    <row r="42" spans="1:36">
      <c r="A42" s="5">
        <v>41</v>
      </c>
      <c r="B42" s="5" t="s">
        <v>2112</v>
      </c>
      <c r="C42" s="10" t="s">
        <v>2089</v>
      </c>
      <c r="D42" s="5" t="s">
        <v>2090</v>
      </c>
      <c r="E42" s="5" t="s">
        <v>102</v>
      </c>
      <c r="F42" s="5" t="str">
        <f t="shared" si="0"/>
        <v>Communication and Advocacy-Senior Manager</v>
      </c>
      <c r="G42" s="5" t="s">
        <v>103</v>
      </c>
      <c r="H42" s="9">
        <v>44624.885358796295</v>
      </c>
      <c r="I42" s="9">
        <v>44625.885358796295</v>
      </c>
      <c r="J42" s="9" t="e">
        <f>I42+#REF!</f>
        <v>#REF!</v>
      </c>
      <c r="K42" s="9" t="e">
        <f>J42+#REF!</f>
        <v>#REF!</v>
      </c>
      <c r="L42" s="10" t="s">
        <v>41</v>
      </c>
      <c r="M42" s="11">
        <v>44641.885358796295</v>
      </c>
      <c r="N42" s="5" t="s">
        <v>42</v>
      </c>
      <c r="O42" s="5" t="s">
        <v>113</v>
      </c>
      <c r="P42" s="9"/>
      <c r="Q42" s="5"/>
      <c r="R42" s="5"/>
      <c r="S42" s="5"/>
      <c r="T42" s="9"/>
      <c r="U42" s="5"/>
      <c r="V42" s="5">
        <v>0</v>
      </c>
      <c r="W42" s="5"/>
      <c r="X42" s="5"/>
      <c r="Y42" s="5"/>
      <c r="Z42" s="5"/>
      <c r="AA42" s="5" t="s">
        <v>62</v>
      </c>
      <c r="AC42">
        <f t="shared" si="1"/>
        <v>16</v>
      </c>
      <c r="AD42" t="str">
        <f t="shared" si="2"/>
        <v/>
      </c>
      <c r="AE42" t="str">
        <f t="shared" si="3"/>
        <v/>
      </c>
      <c r="AF42" t="str">
        <f t="shared" si="4"/>
        <v/>
      </c>
      <c r="AG42" t="str">
        <f t="shared" si="5"/>
        <v/>
      </c>
      <c r="AH42">
        <f t="shared" si="6"/>
        <v>1</v>
      </c>
      <c r="AI42" t="str">
        <f t="shared" si="7"/>
        <v/>
      </c>
      <c r="AJ42" t="str">
        <f t="shared" si="8"/>
        <v/>
      </c>
    </row>
    <row r="43" spans="1:36">
      <c r="A43" s="5">
        <v>42</v>
      </c>
      <c r="B43" s="5" t="s">
        <v>2165</v>
      </c>
      <c r="C43" s="10" t="s">
        <v>2089</v>
      </c>
      <c r="D43" s="5" t="s">
        <v>2114</v>
      </c>
      <c r="E43" s="5" t="s">
        <v>1146</v>
      </c>
      <c r="F43" s="5" t="str">
        <f t="shared" si="0"/>
        <v>Communication and Advocacy-Quality Assurance</v>
      </c>
      <c r="G43" s="5" t="s">
        <v>147</v>
      </c>
      <c r="H43" s="9">
        <v>44623.885358796295</v>
      </c>
      <c r="I43" s="9">
        <v>44624.885358796295</v>
      </c>
      <c r="J43" s="9" t="e">
        <f>I43+#REF!</f>
        <v>#REF!</v>
      </c>
      <c r="K43" s="9" t="e">
        <f>J43+#REF!</f>
        <v>#REF!</v>
      </c>
      <c r="L43" s="10" t="s">
        <v>41</v>
      </c>
      <c r="M43" s="11">
        <v>44633.885358796295</v>
      </c>
      <c r="N43" s="5" t="s">
        <v>42</v>
      </c>
      <c r="O43" s="5" t="s">
        <v>98</v>
      </c>
      <c r="P43" s="9"/>
      <c r="Q43" s="5"/>
      <c r="R43" s="5"/>
      <c r="S43" s="5"/>
      <c r="T43" s="9">
        <v>44635.885358796295</v>
      </c>
      <c r="U43" s="5"/>
      <c r="V43" s="5">
        <v>0</v>
      </c>
      <c r="W43" s="5"/>
      <c r="X43" s="5"/>
      <c r="Y43" s="5"/>
      <c r="Z43" s="5"/>
      <c r="AA43" s="5" t="s">
        <v>44</v>
      </c>
      <c r="AC43">
        <f t="shared" si="1"/>
        <v>9</v>
      </c>
      <c r="AD43" t="str">
        <f t="shared" si="2"/>
        <v/>
      </c>
      <c r="AE43">
        <f t="shared" si="3"/>
        <v>2</v>
      </c>
      <c r="AF43" t="str">
        <f t="shared" si="4"/>
        <v/>
      </c>
      <c r="AG43" t="str">
        <f t="shared" si="5"/>
        <v/>
      </c>
      <c r="AH43">
        <f t="shared" si="6"/>
        <v>1</v>
      </c>
      <c r="AI43" t="str">
        <f t="shared" si="7"/>
        <v/>
      </c>
      <c r="AJ43" t="str">
        <f t="shared" si="8"/>
        <v/>
      </c>
    </row>
    <row r="44" spans="1:36">
      <c r="A44" s="5">
        <v>43</v>
      </c>
      <c r="B44" s="5" t="s">
        <v>2111</v>
      </c>
      <c r="C44" s="10" t="s">
        <v>2089</v>
      </c>
      <c r="D44" s="5" t="s">
        <v>2090</v>
      </c>
      <c r="E44" s="5" t="s">
        <v>102</v>
      </c>
      <c r="F44" s="5" t="str">
        <f t="shared" si="0"/>
        <v>Communication and Advocacy-Senior Manager</v>
      </c>
      <c r="G44" s="5" t="s">
        <v>103</v>
      </c>
      <c r="H44" s="9">
        <v>44625.885358796295</v>
      </c>
      <c r="I44" s="9">
        <v>44626.885358796295</v>
      </c>
      <c r="J44" s="9" t="e">
        <f>I44+#REF!</f>
        <v>#REF!</v>
      </c>
      <c r="K44" s="9" t="e">
        <f>J44+#REF!</f>
        <v>#REF!</v>
      </c>
      <c r="L44" s="10" t="s">
        <v>52</v>
      </c>
      <c r="M44" s="11"/>
      <c r="N44" s="5"/>
      <c r="O44" s="5"/>
      <c r="P44" s="9"/>
      <c r="Q44" s="5"/>
      <c r="R44" s="5"/>
      <c r="S44" s="5"/>
      <c r="T44" s="9"/>
      <c r="U44" s="5"/>
      <c r="V44" s="5">
        <v>0</v>
      </c>
      <c r="W44" s="5"/>
      <c r="X44" s="5"/>
      <c r="Y44" s="5"/>
      <c r="Z44" s="5"/>
      <c r="AA44" s="5"/>
      <c r="AC44" t="str">
        <f t="shared" si="1"/>
        <v/>
      </c>
      <c r="AD44" t="str">
        <f t="shared" si="2"/>
        <v/>
      </c>
      <c r="AE44" t="str">
        <f t="shared" si="3"/>
        <v/>
      </c>
      <c r="AF44" t="str">
        <f t="shared" si="4"/>
        <v/>
      </c>
      <c r="AG44" t="str">
        <f t="shared" si="5"/>
        <v/>
      </c>
      <c r="AH44">
        <f t="shared" si="6"/>
        <v>1</v>
      </c>
      <c r="AI44" t="str">
        <f t="shared" si="7"/>
        <v/>
      </c>
      <c r="AJ44" t="str">
        <f t="shared" si="8"/>
        <v/>
      </c>
    </row>
    <row r="45" spans="1:36">
      <c r="A45" s="5">
        <v>44</v>
      </c>
      <c r="B45" s="5" t="s">
        <v>2209</v>
      </c>
      <c r="C45" s="10" t="s">
        <v>2089</v>
      </c>
      <c r="D45" s="5" t="s">
        <v>2167</v>
      </c>
      <c r="E45" s="5" t="s">
        <v>269</v>
      </c>
      <c r="F45" s="5" t="str">
        <f t="shared" si="0"/>
        <v>Communication and Advocacy-Manager</v>
      </c>
      <c r="G45" s="5" t="s">
        <v>270</v>
      </c>
      <c r="H45" s="9">
        <v>44624.885358796295</v>
      </c>
      <c r="I45" s="9">
        <v>44625.885358796295</v>
      </c>
      <c r="J45" s="9" t="e">
        <f>I45+#REF!</f>
        <v>#REF!</v>
      </c>
      <c r="K45" s="9" t="e">
        <f>J45+#REF!</f>
        <v>#REF!</v>
      </c>
      <c r="L45" s="10" t="s">
        <v>41</v>
      </c>
      <c r="M45" s="11">
        <v>44637.885358796295</v>
      </c>
      <c r="N45" s="5" t="s">
        <v>42</v>
      </c>
      <c r="O45" s="5" t="s">
        <v>113</v>
      </c>
      <c r="P45" s="9"/>
      <c r="Q45" s="5"/>
      <c r="R45" s="5"/>
      <c r="S45" s="5"/>
      <c r="T45" s="9"/>
      <c r="U45" s="5"/>
      <c r="V45" s="5">
        <v>0</v>
      </c>
      <c r="W45" s="5"/>
      <c r="X45" s="5"/>
      <c r="Y45" s="5"/>
      <c r="Z45" s="5"/>
      <c r="AA45" s="5" t="s">
        <v>62</v>
      </c>
      <c r="AC45">
        <f t="shared" si="1"/>
        <v>12</v>
      </c>
      <c r="AD45" t="str">
        <f t="shared" si="2"/>
        <v/>
      </c>
      <c r="AE45" t="str">
        <f t="shared" si="3"/>
        <v/>
      </c>
      <c r="AF45" t="str">
        <f t="shared" si="4"/>
        <v/>
      </c>
      <c r="AG45" t="str">
        <f t="shared" si="5"/>
        <v/>
      </c>
      <c r="AH45">
        <f t="shared" si="6"/>
        <v>1</v>
      </c>
      <c r="AI45" t="str">
        <f t="shared" si="7"/>
        <v/>
      </c>
      <c r="AJ45" t="str">
        <f t="shared" si="8"/>
        <v/>
      </c>
    </row>
    <row r="46" spans="1:36">
      <c r="A46" s="5">
        <v>45</v>
      </c>
      <c r="B46" s="5" t="s">
        <v>794</v>
      </c>
      <c r="C46" s="10" t="s">
        <v>671</v>
      </c>
      <c r="D46" s="5" t="s">
        <v>747</v>
      </c>
      <c r="E46" s="5" t="s">
        <v>709</v>
      </c>
      <c r="F46" s="5" t="str">
        <f t="shared" si="0"/>
        <v>Operations-Lead</v>
      </c>
      <c r="G46" s="5" t="s">
        <v>47</v>
      </c>
      <c r="H46" s="9">
        <v>44622.885358796295</v>
      </c>
      <c r="I46" s="9">
        <v>44623.885358796295</v>
      </c>
      <c r="J46" s="9" t="e">
        <f>I46+#REF!</f>
        <v>#REF!</v>
      </c>
      <c r="K46" s="9" t="e">
        <f>J46+#REF!</f>
        <v>#REF!</v>
      </c>
      <c r="L46" s="10" t="s">
        <v>52</v>
      </c>
      <c r="M46" s="11"/>
      <c r="N46" s="5"/>
      <c r="O46" s="5"/>
      <c r="P46" s="9"/>
      <c r="Q46" s="5"/>
      <c r="R46" s="5"/>
      <c r="S46" s="5"/>
      <c r="T46" s="9"/>
      <c r="U46" s="5"/>
      <c r="V46" s="5">
        <v>0</v>
      </c>
      <c r="W46" s="5"/>
      <c r="X46" s="5"/>
      <c r="Y46" s="5"/>
      <c r="Z46" s="5"/>
      <c r="AA46" s="5"/>
      <c r="AC46" t="str">
        <f t="shared" si="1"/>
        <v/>
      </c>
      <c r="AD46" t="str">
        <f t="shared" si="2"/>
        <v/>
      </c>
      <c r="AE46" t="str">
        <f t="shared" si="3"/>
        <v/>
      </c>
      <c r="AF46" t="str">
        <f t="shared" si="4"/>
        <v/>
      </c>
      <c r="AG46" t="str">
        <f t="shared" si="5"/>
        <v/>
      </c>
      <c r="AH46">
        <f t="shared" si="6"/>
        <v>1</v>
      </c>
      <c r="AI46" t="str">
        <f t="shared" si="7"/>
        <v/>
      </c>
      <c r="AJ46" t="str">
        <f t="shared" si="8"/>
        <v/>
      </c>
    </row>
    <row r="47" spans="1:36">
      <c r="A47" s="5">
        <v>46</v>
      </c>
      <c r="B47" s="5" t="s">
        <v>745</v>
      </c>
      <c r="C47" s="10" t="s">
        <v>671</v>
      </c>
      <c r="D47" s="5" t="s">
        <v>708</v>
      </c>
      <c r="E47" s="5" t="s">
        <v>55</v>
      </c>
      <c r="F47" s="5" t="str">
        <f t="shared" si="0"/>
        <v>Operations-Director</v>
      </c>
      <c r="G47" s="5" t="s">
        <v>56</v>
      </c>
      <c r="H47" s="9">
        <v>44621.885358796295</v>
      </c>
      <c r="I47" s="9">
        <v>44623.885358796295</v>
      </c>
      <c r="J47" s="9" t="e">
        <f>I47+#REF!</f>
        <v>#REF!</v>
      </c>
      <c r="K47" s="9" t="e">
        <f>J47+#REF!</f>
        <v>#REF!</v>
      </c>
      <c r="L47" s="10" t="s">
        <v>41</v>
      </c>
      <c r="M47" s="11">
        <v>44645.885358796295</v>
      </c>
      <c r="N47" s="5" t="s">
        <v>48</v>
      </c>
      <c r="O47" s="5"/>
      <c r="P47" s="9">
        <v>44653.885358796295</v>
      </c>
      <c r="Q47" s="5" t="s">
        <v>48</v>
      </c>
      <c r="R47" s="5"/>
      <c r="S47" s="5"/>
      <c r="T47" s="9">
        <v>44649.885358796295</v>
      </c>
      <c r="U47" s="5"/>
      <c r="V47" s="5">
        <v>0</v>
      </c>
      <c r="W47" s="5"/>
      <c r="X47" s="5"/>
      <c r="Y47" s="5"/>
      <c r="Z47" s="5"/>
      <c r="AA47" s="5"/>
      <c r="AC47">
        <f t="shared" si="1"/>
        <v>22</v>
      </c>
      <c r="AD47" t="str">
        <f t="shared" si="2"/>
        <v/>
      </c>
      <c r="AE47">
        <f t="shared" si="3"/>
        <v>4</v>
      </c>
      <c r="AF47" t="str">
        <f t="shared" si="4"/>
        <v/>
      </c>
      <c r="AG47" t="str">
        <f t="shared" si="5"/>
        <v/>
      </c>
      <c r="AH47">
        <f t="shared" si="6"/>
        <v>2</v>
      </c>
      <c r="AI47" t="str">
        <f t="shared" si="7"/>
        <v/>
      </c>
      <c r="AJ47" t="str">
        <f t="shared" si="8"/>
        <v/>
      </c>
    </row>
    <row r="48" spans="1:36">
      <c r="A48" s="5">
        <v>47</v>
      </c>
      <c r="B48" s="5" t="s">
        <v>2227</v>
      </c>
      <c r="C48" s="10" t="s">
        <v>2089</v>
      </c>
      <c r="D48" s="5" t="s">
        <v>2211</v>
      </c>
      <c r="E48" s="5" t="s">
        <v>39</v>
      </c>
      <c r="F48" s="5" t="str">
        <f t="shared" si="0"/>
        <v>Communication and Advocacy-Analyst</v>
      </c>
      <c r="G48" s="5" t="s">
        <v>40</v>
      </c>
      <c r="H48" s="9">
        <v>44621.885358796295</v>
      </c>
      <c r="I48" s="9">
        <v>44625.885358796295</v>
      </c>
      <c r="J48" s="9" t="e">
        <f>I48+#REF!</f>
        <v>#REF!</v>
      </c>
      <c r="K48" s="9" t="e">
        <f>J48+#REF!</f>
        <v>#REF!</v>
      </c>
      <c r="L48" s="10" t="s">
        <v>52</v>
      </c>
      <c r="M48" s="11"/>
      <c r="N48" s="5"/>
      <c r="O48" s="5"/>
      <c r="P48" s="9"/>
      <c r="Q48" s="5"/>
      <c r="R48" s="5"/>
      <c r="S48" s="5"/>
      <c r="T48" s="9"/>
      <c r="U48" s="5"/>
      <c r="V48" s="5">
        <v>0</v>
      </c>
      <c r="W48" s="5"/>
      <c r="X48" s="5"/>
      <c r="Y48" s="5"/>
      <c r="Z48" s="5"/>
      <c r="AA48" s="5"/>
      <c r="AC48" t="str">
        <f t="shared" si="1"/>
        <v/>
      </c>
      <c r="AD48" t="str">
        <f t="shared" si="2"/>
        <v/>
      </c>
      <c r="AE48" t="str">
        <f t="shared" si="3"/>
        <v/>
      </c>
      <c r="AF48" t="str">
        <f t="shared" si="4"/>
        <v/>
      </c>
      <c r="AG48" t="str">
        <f t="shared" si="5"/>
        <v/>
      </c>
      <c r="AH48">
        <f t="shared" si="6"/>
        <v>4</v>
      </c>
      <c r="AI48" t="str">
        <f t="shared" si="7"/>
        <v/>
      </c>
      <c r="AJ48" t="str">
        <f t="shared" si="8"/>
        <v/>
      </c>
    </row>
    <row r="49" spans="1:36">
      <c r="A49" s="5">
        <v>48</v>
      </c>
      <c r="B49" s="5" t="s">
        <v>2164</v>
      </c>
      <c r="C49" s="10" t="s">
        <v>2089</v>
      </c>
      <c r="D49" s="5" t="s">
        <v>2114</v>
      </c>
      <c r="E49" s="5" t="s">
        <v>1146</v>
      </c>
      <c r="F49" s="5" t="str">
        <f t="shared" si="0"/>
        <v>Communication and Advocacy-Quality Assurance</v>
      </c>
      <c r="G49" s="5" t="s">
        <v>147</v>
      </c>
      <c r="H49" s="9">
        <v>44620.885358796295</v>
      </c>
      <c r="I49" s="9">
        <v>44624.885358796295</v>
      </c>
      <c r="J49" s="9" t="e">
        <f>I49+#REF!</f>
        <v>#REF!</v>
      </c>
      <c r="K49" s="9" t="e">
        <f>J49+#REF!</f>
        <v>#REF!</v>
      </c>
      <c r="L49" s="10" t="s">
        <v>41</v>
      </c>
      <c r="M49" s="11">
        <v>44633.885358796295</v>
      </c>
      <c r="N49" s="5" t="s">
        <v>42</v>
      </c>
      <c r="O49" s="5" t="s">
        <v>43</v>
      </c>
      <c r="P49" s="9"/>
      <c r="Q49" s="5"/>
      <c r="R49" s="5"/>
      <c r="S49" s="5"/>
      <c r="T49" s="9">
        <v>44635.885358796295</v>
      </c>
      <c r="U49" s="5"/>
      <c r="V49" s="5">
        <v>0</v>
      </c>
      <c r="W49" s="5"/>
      <c r="X49" s="5"/>
      <c r="Y49" s="5"/>
      <c r="Z49" s="5"/>
      <c r="AA49" s="5" t="s">
        <v>44</v>
      </c>
      <c r="AC49">
        <f t="shared" si="1"/>
        <v>9</v>
      </c>
      <c r="AD49" t="str">
        <f t="shared" si="2"/>
        <v/>
      </c>
      <c r="AE49">
        <f t="shared" si="3"/>
        <v>2</v>
      </c>
      <c r="AF49" t="str">
        <f t="shared" si="4"/>
        <v/>
      </c>
      <c r="AG49" t="str">
        <f t="shared" si="5"/>
        <v/>
      </c>
      <c r="AH49">
        <f t="shared" si="6"/>
        <v>4</v>
      </c>
      <c r="AI49" t="str">
        <f t="shared" si="7"/>
        <v/>
      </c>
      <c r="AJ49" t="str">
        <f t="shared" si="8"/>
        <v/>
      </c>
    </row>
    <row r="50" spans="1:36">
      <c r="A50" s="5">
        <v>49</v>
      </c>
      <c r="B50" s="5" t="s">
        <v>2163</v>
      </c>
      <c r="C50" s="10" t="s">
        <v>2089</v>
      </c>
      <c r="D50" s="5" t="s">
        <v>2114</v>
      </c>
      <c r="E50" s="5" t="s">
        <v>1146</v>
      </c>
      <c r="F50" s="5" t="str">
        <f t="shared" si="0"/>
        <v>Communication and Advocacy-Quality Assurance</v>
      </c>
      <c r="G50" s="5" t="s">
        <v>147</v>
      </c>
      <c r="H50" s="9">
        <v>44624.885358796295</v>
      </c>
      <c r="I50" s="9">
        <v>44627.885358796295</v>
      </c>
      <c r="J50" s="9" t="e">
        <f>I50+#REF!</f>
        <v>#REF!</v>
      </c>
      <c r="K50" s="9" t="e">
        <f>J50+#REF!</f>
        <v>#REF!</v>
      </c>
      <c r="L50" s="10" t="s">
        <v>41</v>
      </c>
      <c r="M50" s="11">
        <v>44646.885358796295</v>
      </c>
      <c r="N50" s="5" t="s">
        <v>42</v>
      </c>
      <c r="O50" s="5" t="s">
        <v>43</v>
      </c>
      <c r="P50" s="9"/>
      <c r="Q50" s="5"/>
      <c r="R50" s="5"/>
      <c r="S50" s="5"/>
      <c r="T50" s="9"/>
      <c r="U50" s="5"/>
      <c r="V50" s="5">
        <v>0</v>
      </c>
      <c r="W50" s="5"/>
      <c r="X50" s="5"/>
      <c r="Y50" s="5"/>
      <c r="Z50" s="5"/>
      <c r="AA50" s="5" t="s">
        <v>62</v>
      </c>
      <c r="AC50">
        <f t="shared" si="1"/>
        <v>19</v>
      </c>
      <c r="AD50" t="str">
        <f t="shared" si="2"/>
        <v/>
      </c>
      <c r="AE50" t="str">
        <f t="shared" si="3"/>
        <v/>
      </c>
      <c r="AF50" t="str">
        <f t="shared" si="4"/>
        <v/>
      </c>
      <c r="AG50" t="str">
        <f t="shared" si="5"/>
        <v/>
      </c>
      <c r="AH50">
        <f t="shared" si="6"/>
        <v>3</v>
      </c>
      <c r="AI50" t="str">
        <f t="shared" si="7"/>
        <v/>
      </c>
      <c r="AJ50" t="str">
        <f t="shared" si="8"/>
        <v/>
      </c>
    </row>
    <row r="51" spans="1:36">
      <c r="A51" s="5">
        <v>50</v>
      </c>
      <c r="B51" s="5" t="s">
        <v>2208</v>
      </c>
      <c r="C51" s="10" t="s">
        <v>2089</v>
      </c>
      <c r="D51" s="5" t="s">
        <v>2167</v>
      </c>
      <c r="E51" s="5" t="s">
        <v>269</v>
      </c>
      <c r="F51" s="5" t="str">
        <f t="shared" si="0"/>
        <v>Communication and Advocacy-Manager</v>
      </c>
      <c r="G51" s="5" t="s">
        <v>270</v>
      </c>
      <c r="H51" s="9">
        <v>44625.885358796295</v>
      </c>
      <c r="I51" s="9">
        <v>44627.885358796295</v>
      </c>
      <c r="J51" s="9" t="e">
        <f>I51+#REF!</f>
        <v>#REF!</v>
      </c>
      <c r="K51" s="9" t="e">
        <f>J51+#REF!</f>
        <v>#REF!</v>
      </c>
      <c r="L51" s="10" t="s">
        <v>52</v>
      </c>
      <c r="M51" s="11"/>
      <c r="N51" s="5"/>
      <c r="O51" s="5"/>
      <c r="P51" s="9"/>
      <c r="Q51" s="5"/>
      <c r="R51" s="5"/>
      <c r="S51" s="5"/>
      <c r="T51" s="9"/>
      <c r="U51" s="5"/>
      <c r="V51" s="5">
        <v>0</v>
      </c>
      <c r="W51" s="5"/>
      <c r="X51" s="5"/>
      <c r="Y51" s="5"/>
      <c r="Z51" s="5"/>
      <c r="AA51" s="5"/>
      <c r="AC51" t="str">
        <f t="shared" si="1"/>
        <v/>
      </c>
      <c r="AD51" t="str">
        <f t="shared" si="2"/>
        <v/>
      </c>
      <c r="AE51" t="str">
        <f t="shared" si="3"/>
        <v/>
      </c>
      <c r="AF51" t="str">
        <f t="shared" si="4"/>
        <v/>
      </c>
      <c r="AG51" t="str">
        <f t="shared" si="5"/>
        <v/>
      </c>
      <c r="AH51">
        <f t="shared" si="6"/>
        <v>2</v>
      </c>
      <c r="AI51" t="str">
        <f t="shared" si="7"/>
        <v/>
      </c>
      <c r="AJ51" t="str">
        <f t="shared" si="8"/>
        <v/>
      </c>
    </row>
    <row r="52" spans="1:36">
      <c r="A52" s="5">
        <v>51</v>
      </c>
      <c r="B52" s="5" t="s">
        <v>2300</v>
      </c>
      <c r="C52" s="5" t="s">
        <v>2229</v>
      </c>
      <c r="D52" s="5" t="s">
        <v>2250</v>
      </c>
      <c r="E52" s="5" t="s">
        <v>815</v>
      </c>
      <c r="F52" s="5" t="str">
        <f t="shared" si="0"/>
        <v>Capacity Building-Auditor</v>
      </c>
      <c r="G52" s="5" t="s">
        <v>147</v>
      </c>
      <c r="H52" s="9">
        <v>44771.01295138889</v>
      </c>
      <c r="I52" s="9">
        <v>44773.01295138889</v>
      </c>
      <c r="J52" s="9" t="e">
        <f>I52+#REF!</f>
        <v>#REF!</v>
      </c>
      <c r="K52" s="9" t="e">
        <f>J52+#REF!</f>
        <v>#REF!</v>
      </c>
      <c r="L52" s="10" t="s">
        <v>52</v>
      </c>
      <c r="M52" s="11"/>
      <c r="N52" s="5"/>
      <c r="O52" s="5"/>
      <c r="P52" s="9"/>
      <c r="Q52" s="5"/>
      <c r="R52" s="5"/>
      <c r="S52" s="5"/>
      <c r="T52" s="9"/>
      <c r="U52" s="5"/>
      <c r="V52" s="5">
        <v>0</v>
      </c>
      <c r="W52" s="5"/>
      <c r="X52" s="5"/>
      <c r="Y52" s="5"/>
      <c r="Z52" s="5"/>
      <c r="AA52" s="5"/>
      <c r="AC52" t="str">
        <f t="shared" si="1"/>
        <v/>
      </c>
      <c r="AD52" t="str">
        <f t="shared" si="2"/>
        <v/>
      </c>
      <c r="AE52" t="str">
        <f t="shared" si="3"/>
        <v/>
      </c>
      <c r="AF52" t="str">
        <f t="shared" si="4"/>
        <v/>
      </c>
      <c r="AG52" t="str">
        <f t="shared" si="5"/>
        <v/>
      </c>
      <c r="AH52">
        <f t="shared" si="6"/>
        <v>2</v>
      </c>
      <c r="AI52" t="str">
        <f t="shared" si="7"/>
        <v/>
      </c>
      <c r="AJ52" t="str">
        <f t="shared" si="8"/>
        <v/>
      </c>
    </row>
    <row r="53" spans="1:36">
      <c r="A53" s="5">
        <v>52</v>
      </c>
      <c r="B53" s="5" t="s">
        <v>2443</v>
      </c>
      <c r="C53" s="5" t="s">
        <v>2229</v>
      </c>
      <c r="D53" s="5" t="s">
        <v>2403</v>
      </c>
      <c r="E53" s="5" t="s">
        <v>55</v>
      </c>
      <c r="F53" s="5" t="str">
        <f t="shared" si="0"/>
        <v>Capacity Building-Director</v>
      </c>
      <c r="G53" s="5" t="s">
        <v>56</v>
      </c>
      <c r="H53" s="9">
        <v>44770.01295138889</v>
      </c>
      <c r="I53" s="9">
        <v>44771.01295138889</v>
      </c>
      <c r="J53" s="9" t="e">
        <f>I53+#REF!</f>
        <v>#REF!</v>
      </c>
      <c r="K53" s="9" t="e">
        <f>J53+#REF!</f>
        <v>#REF!</v>
      </c>
      <c r="L53" s="10" t="s">
        <v>41</v>
      </c>
      <c r="M53" s="11">
        <v>44781.01295138889</v>
      </c>
      <c r="N53" s="5" t="s">
        <v>64</v>
      </c>
      <c r="O53" s="5"/>
      <c r="P53" s="9">
        <v>44789.01295138889</v>
      </c>
      <c r="Q53" s="5" t="s">
        <v>64</v>
      </c>
      <c r="R53" s="9">
        <v>44783.01295138889</v>
      </c>
      <c r="S53" s="9">
        <v>44786.01295138889</v>
      </c>
      <c r="T53" s="9">
        <v>44785.01295138889</v>
      </c>
      <c r="U53" s="9">
        <v>44793.01295138889</v>
      </c>
      <c r="V53" s="12">
        <v>1</v>
      </c>
      <c r="W53" s="9">
        <v>44797.01295138889</v>
      </c>
      <c r="X53" s="9">
        <v>44798.01295138889</v>
      </c>
      <c r="Y53" s="9">
        <v>44799.01295138889</v>
      </c>
      <c r="Z53" s="5"/>
      <c r="AA53" s="5"/>
      <c r="AB53" s="13">
        <v>44814.01295138889</v>
      </c>
      <c r="AC53">
        <f t="shared" si="1"/>
        <v>10</v>
      </c>
      <c r="AD53">
        <f t="shared" si="2"/>
        <v>15</v>
      </c>
      <c r="AE53">
        <f t="shared" si="3"/>
        <v>4</v>
      </c>
      <c r="AF53">
        <f t="shared" si="4"/>
        <v>5</v>
      </c>
      <c r="AG53">
        <f t="shared" si="5"/>
        <v>4</v>
      </c>
      <c r="AH53">
        <f t="shared" si="6"/>
        <v>1</v>
      </c>
      <c r="AI53" t="str">
        <f t="shared" si="7"/>
        <v/>
      </c>
      <c r="AJ53" t="str">
        <f t="shared" si="8"/>
        <v/>
      </c>
    </row>
    <row r="54" spans="1:36">
      <c r="A54" s="5">
        <v>53</v>
      </c>
      <c r="B54" s="5" t="s">
        <v>2248</v>
      </c>
      <c r="C54" s="5" t="s">
        <v>2229</v>
      </c>
      <c r="D54" s="5" t="s">
        <v>2230</v>
      </c>
      <c r="E54" s="5" t="s">
        <v>102</v>
      </c>
      <c r="F54" s="5" t="str">
        <f t="shared" si="0"/>
        <v>Capacity Building-Senior Manager</v>
      </c>
      <c r="G54" s="5" t="s">
        <v>103</v>
      </c>
      <c r="H54" s="9">
        <v>44770.01295138889</v>
      </c>
      <c r="I54" s="9">
        <v>44772.01295138889</v>
      </c>
      <c r="J54" s="9" t="e">
        <f>I54+#REF!</f>
        <v>#REF!</v>
      </c>
      <c r="K54" s="9" t="e">
        <f>J54+#REF!</f>
        <v>#REF!</v>
      </c>
      <c r="L54" s="10" t="s">
        <v>41</v>
      </c>
      <c r="M54" s="11">
        <v>44779.01295138889</v>
      </c>
      <c r="N54" s="5" t="s">
        <v>42</v>
      </c>
      <c r="O54" s="5" t="s">
        <v>73</v>
      </c>
      <c r="P54" s="9"/>
      <c r="Q54" s="5"/>
      <c r="R54" s="5"/>
      <c r="S54" s="5"/>
      <c r="T54" s="9"/>
      <c r="U54" s="5"/>
      <c r="V54" s="5">
        <v>0</v>
      </c>
      <c r="W54" s="5"/>
      <c r="X54" s="5"/>
      <c r="Y54" s="5"/>
      <c r="Z54" s="5"/>
      <c r="AA54" s="5" t="s">
        <v>44</v>
      </c>
      <c r="AC54">
        <f t="shared" si="1"/>
        <v>7</v>
      </c>
      <c r="AD54" t="str">
        <f t="shared" si="2"/>
        <v/>
      </c>
      <c r="AE54" t="str">
        <f t="shared" si="3"/>
        <v/>
      </c>
      <c r="AF54" t="str">
        <f t="shared" si="4"/>
        <v/>
      </c>
      <c r="AG54" t="str">
        <f t="shared" si="5"/>
        <v/>
      </c>
      <c r="AH54">
        <f t="shared" si="6"/>
        <v>2</v>
      </c>
      <c r="AI54" t="str">
        <f t="shared" si="7"/>
        <v/>
      </c>
      <c r="AJ54" t="str">
        <f t="shared" si="8"/>
        <v/>
      </c>
    </row>
    <row r="55" spans="1:36">
      <c r="A55" s="5">
        <v>54</v>
      </c>
      <c r="B55" s="5" t="s">
        <v>2492</v>
      </c>
      <c r="C55" s="5" t="s">
        <v>2229</v>
      </c>
      <c r="D55" s="5" t="s">
        <v>2445</v>
      </c>
      <c r="E55" s="5" t="s">
        <v>39</v>
      </c>
      <c r="F55" s="5" t="str">
        <f t="shared" si="0"/>
        <v>Capacity Building-Analyst</v>
      </c>
      <c r="G55" s="5" t="s">
        <v>47</v>
      </c>
      <c r="H55" s="9">
        <v>44769.01295138889</v>
      </c>
      <c r="I55" s="9">
        <v>44771.01295138889</v>
      </c>
      <c r="J55" s="9" t="e">
        <f>I55+#REF!</f>
        <v>#REF!</v>
      </c>
      <c r="K55" s="9" t="e">
        <f>J55+#REF!</f>
        <v>#REF!</v>
      </c>
      <c r="L55" s="10" t="s">
        <v>41</v>
      </c>
      <c r="M55" s="11">
        <v>44790.01295138889</v>
      </c>
      <c r="N55" s="5" t="s">
        <v>42</v>
      </c>
      <c r="O55" s="5" t="s">
        <v>58</v>
      </c>
      <c r="P55" s="9"/>
      <c r="Q55" s="5"/>
      <c r="R55" s="5"/>
      <c r="S55" s="5"/>
      <c r="T55" s="9">
        <v>44792.01295138889</v>
      </c>
      <c r="U55" s="5"/>
      <c r="V55" s="5">
        <v>0</v>
      </c>
      <c r="W55" s="5"/>
      <c r="X55" s="5"/>
      <c r="Y55" s="5"/>
      <c r="Z55" s="5"/>
      <c r="AA55" s="5" t="s">
        <v>62</v>
      </c>
      <c r="AC55">
        <f t="shared" si="1"/>
        <v>19</v>
      </c>
      <c r="AD55" t="str">
        <f t="shared" si="2"/>
        <v/>
      </c>
      <c r="AE55">
        <f t="shared" si="3"/>
        <v>2</v>
      </c>
      <c r="AF55" t="str">
        <f t="shared" si="4"/>
        <v/>
      </c>
      <c r="AG55" t="str">
        <f t="shared" si="5"/>
        <v/>
      </c>
      <c r="AH55">
        <f t="shared" si="6"/>
        <v>2</v>
      </c>
      <c r="AI55" t="str">
        <f t="shared" si="7"/>
        <v/>
      </c>
      <c r="AJ55" t="str">
        <f t="shared" si="8"/>
        <v/>
      </c>
    </row>
    <row r="56" spans="1:36">
      <c r="A56" s="5">
        <v>55</v>
      </c>
      <c r="B56" s="5" t="s">
        <v>2401</v>
      </c>
      <c r="C56" s="5" t="s">
        <v>2229</v>
      </c>
      <c r="D56" s="5" t="s">
        <v>2350</v>
      </c>
      <c r="E56" s="5" t="s">
        <v>39</v>
      </c>
      <c r="F56" s="5" t="str">
        <f t="shared" si="0"/>
        <v>Capacity Building-Analyst</v>
      </c>
      <c r="G56" s="5" t="s">
        <v>40</v>
      </c>
      <c r="H56" s="9">
        <v>44769.01295138889</v>
      </c>
      <c r="I56" s="9">
        <v>44771.01295138889</v>
      </c>
      <c r="J56" s="9" t="e">
        <f>I56+#REF!</f>
        <v>#REF!</v>
      </c>
      <c r="K56" s="9" t="e">
        <f>J56+#REF!</f>
        <v>#REF!</v>
      </c>
      <c r="L56" s="10" t="s">
        <v>41</v>
      </c>
      <c r="M56" s="11">
        <v>44784.01295138889</v>
      </c>
      <c r="N56" s="5" t="s">
        <v>64</v>
      </c>
      <c r="O56" s="5"/>
      <c r="P56" s="9">
        <v>44788.01295138889</v>
      </c>
      <c r="Q56" s="5" t="s">
        <v>64</v>
      </c>
      <c r="R56" s="9">
        <v>44786.01295138889</v>
      </c>
      <c r="S56" s="9">
        <v>44789.01295138889</v>
      </c>
      <c r="T56" s="9">
        <v>44786.01295138889</v>
      </c>
      <c r="U56" s="9">
        <v>44787.01295138889</v>
      </c>
      <c r="V56" s="12">
        <v>1</v>
      </c>
      <c r="W56" s="9">
        <v>44790.01295138889</v>
      </c>
      <c r="X56" s="9">
        <v>44792.01295138889</v>
      </c>
      <c r="Y56" s="9">
        <v>44793.01295138889</v>
      </c>
      <c r="Z56" s="5"/>
      <c r="AA56" s="5"/>
      <c r="AB56" s="13">
        <v>44816.01295138889</v>
      </c>
      <c r="AC56">
        <f t="shared" si="1"/>
        <v>13</v>
      </c>
      <c r="AD56">
        <f t="shared" si="2"/>
        <v>18</v>
      </c>
      <c r="AE56">
        <f t="shared" si="3"/>
        <v>2</v>
      </c>
      <c r="AF56">
        <f t="shared" si="4"/>
        <v>5</v>
      </c>
      <c r="AG56">
        <f t="shared" si="5"/>
        <v>3</v>
      </c>
      <c r="AH56">
        <f t="shared" si="6"/>
        <v>2</v>
      </c>
      <c r="AI56" t="str">
        <f t="shared" si="7"/>
        <v/>
      </c>
      <c r="AJ56" t="str">
        <f t="shared" si="8"/>
        <v/>
      </c>
    </row>
    <row r="57" spans="1:36">
      <c r="A57" s="5">
        <v>56</v>
      </c>
      <c r="B57" s="5" t="s">
        <v>2491</v>
      </c>
      <c r="C57" s="5" t="s">
        <v>2229</v>
      </c>
      <c r="D57" s="5" t="s">
        <v>2445</v>
      </c>
      <c r="E57" s="5" t="s">
        <v>39</v>
      </c>
      <c r="F57" s="5" t="str">
        <f t="shared" si="0"/>
        <v>Capacity Building-Analyst</v>
      </c>
      <c r="G57" s="5" t="s">
        <v>47</v>
      </c>
      <c r="H57" s="9">
        <v>44767.01295138889</v>
      </c>
      <c r="I57" s="9">
        <v>44771.01295138889</v>
      </c>
      <c r="J57" s="9" t="e">
        <f>I57+#REF!</f>
        <v>#REF!</v>
      </c>
      <c r="K57" s="9" t="e">
        <f>J57+#REF!</f>
        <v>#REF!</v>
      </c>
      <c r="L57" s="10" t="s">
        <v>41</v>
      </c>
      <c r="M57" s="11">
        <v>44782.01295138889</v>
      </c>
      <c r="N57" s="5" t="s">
        <v>48</v>
      </c>
      <c r="O57" s="5"/>
      <c r="P57" s="9">
        <v>44786.01295138889</v>
      </c>
      <c r="Q57" s="5" t="s">
        <v>48</v>
      </c>
      <c r="R57" s="5"/>
      <c r="S57" s="5"/>
      <c r="T57" s="9">
        <v>44785.01295138889</v>
      </c>
      <c r="U57" s="5"/>
      <c r="V57" s="5">
        <v>0</v>
      </c>
      <c r="W57" s="5"/>
      <c r="X57" s="5"/>
      <c r="Y57" s="5"/>
      <c r="Z57" s="5"/>
      <c r="AA57" s="5"/>
      <c r="AC57">
        <f t="shared" si="1"/>
        <v>11</v>
      </c>
      <c r="AD57" t="str">
        <f t="shared" si="2"/>
        <v/>
      </c>
      <c r="AE57">
        <f t="shared" si="3"/>
        <v>3</v>
      </c>
      <c r="AF57" t="str">
        <f t="shared" si="4"/>
        <v/>
      </c>
      <c r="AG57" t="str">
        <f t="shared" si="5"/>
        <v/>
      </c>
      <c r="AH57">
        <f t="shared" si="6"/>
        <v>4</v>
      </c>
      <c r="AI57" t="str">
        <f t="shared" si="7"/>
        <v/>
      </c>
      <c r="AJ57" t="str">
        <f t="shared" si="8"/>
        <v/>
      </c>
    </row>
    <row r="58" spans="1:36">
      <c r="A58" s="5">
        <v>57</v>
      </c>
      <c r="B58" s="5" t="s">
        <v>2348</v>
      </c>
      <c r="C58" s="5" t="s">
        <v>2229</v>
      </c>
      <c r="D58" s="5" t="s">
        <v>2302</v>
      </c>
      <c r="E58" s="5" t="s">
        <v>269</v>
      </c>
      <c r="F58" s="5" t="str">
        <f t="shared" si="0"/>
        <v>Capacity Building-Manager</v>
      </c>
      <c r="G58" s="5" t="s">
        <v>270</v>
      </c>
      <c r="H58" s="9">
        <v>44772.01295138889</v>
      </c>
      <c r="I58" s="9">
        <v>44776.01295138889</v>
      </c>
      <c r="J58" s="9" t="e">
        <f>I58+#REF!</f>
        <v>#REF!</v>
      </c>
      <c r="K58" s="9" t="e">
        <f>J58+#REF!</f>
        <v>#REF!</v>
      </c>
      <c r="L58" s="10" t="s">
        <v>41</v>
      </c>
      <c r="M58" s="11">
        <v>44792.01295138889</v>
      </c>
      <c r="N58" s="5" t="s">
        <v>64</v>
      </c>
      <c r="O58" s="5"/>
      <c r="P58" s="9">
        <v>44798.01295138889</v>
      </c>
      <c r="Q58" s="5" t="s">
        <v>64</v>
      </c>
      <c r="R58" s="9">
        <v>44793.01295138889</v>
      </c>
      <c r="S58" s="9">
        <v>44794.01295138889</v>
      </c>
      <c r="T58" s="9">
        <v>44795.01295138889</v>
      </c>
      <c r="U58" s="9">
        <v>44800.01295138889</v>
      </c>
      <c r="V58" s="12">
        <v>1</v>
      </c>
      <c r="W58" s="9">
        <v>44801.01295138889</v>
      </c>
      <c r="X58" s="9">
        <v>44803.01295138889</v>
      </c>
      <c r="Y58" s="9">
        <v>44806.01295138889</v>
      </c>
      <c r="Z58" s="5"/>
      <c r="AA58" s="5"/>
      <c r="AB58" s="13">
        <v>44824.01295138889</v>
      </c>
      <c r="AC58">
        <f t="shared" si="1"/>
        <v>16</v>
      </c>
      <c r="AD58">
        <f t="shared" si="2"/>
        <v>18</v>
      </c>
      <c r="AE58">
        <f t="shared" si="3"/>
        <v>3</v>
      </c>
      <c r="AF58">
        <f t="shared" si="4"/>
        <v>3</v>
      </c>
      <c r="AG58">
        <f t="shared" si="5"/>
        <v>1</v>
      </c>
      <c r="AH58">
        <f t="shared" si="6"/>
        <v>4</v>
      </c>
      <c r="AI58" t="str">
        <f t="shared" si="7"/>
        <v/>
      </c>
      <c r="AJ58" t="str">
        <f t="shared" si="8"/>
        <v/>
      </c>
    </row>
    <row r="59" spans="1:36">
      <c r="A59" s="5">
        <v>58</v>
      </c>
      <c r="B59" s="5" t="s">
        <v>2400</v>
      </c>
      <c r="C59" s="5" t="s">
        <v>2229</v>
      </c>
      <c r="D59" s="5" t="s">
        <v>2350</v>
      </c>
      <c r="E59" s="5" t="s">
        <v>39</v>
      </c>
      <c r="F59" s="5" t="str">
        <f t="shared" si="0"/>
        <v>Capacity Building-Analyst</v>
      </c>
      <c r="G59" s="5" t="s">
        <v>40</v>
      </c>
      <c r="H59" s="9">
        <v>44773.01295138889</v>
      </c>
      <c r="I59" s="9">
        <v>44774.01295138889</v>
      </c>
      <c r="J59" s="9" t="e">
        <f>I59+#REF!</f>
        <v>#REF!</v>
      </c>
      <c r="K59" s="9" t="e">
        <f>J59+#REF!</f>
        <v>#REF!</v>
      </c>
      <c r="L59" s="10" t="s">
        <v>41</v>
      </c>
      <c r="M59" s="11">
        <v>44795.01295138889</v>
      </c>
      <c r="N59" s="5" t="s">
        <v>42</v>
      </c>
      <c r="O59" s="5" t="s">
        <v>58</v>
      </c>
      <c r="P59" s="9"/>
      <c r="Q59" s="5"/>
      <c r="R59" s="5"/>
      <c r="S59" s="5"/>
      <c r="T59" s="9"/>
      <c r="U59" s="5"/>
      <c r="V59" s="5">
        <v>0</v>
      </c>
      <c r="W59" s="5"/>
      <c r="X59" s="5"/>
      <c r="Y59" s="5"/>
      <c r="Z59" s="5"/>
      <c r="AA59" s="5" t="s">
        <v>44</v>
      </c>
      <c r="AC59">
        <f t="shared" si="1"/>
        <v>21</v>
      </c>
      <c r="AD59" t="str">
        <f t="shared" si="2"/>
        <v/>
      </c>
      <c r="AE59" t="str">
        <f t="shared" si="3"/>
        <v/>
      </c>
      <c r="AF59" t="str">
        <f t="shared" si="4"/>
        <v/>
      </c>
      <c r="AG59" t="str">
        <f t="shared" si="5"/>
        <v/>
      </c>
      <c r="AH59">
        <f t="shared" si="6"/>
        <v>1</v>
      </c>
      <c r="AI59" t="str">
        <f t="shared" si="7"/>
        <v/>
      </c>
      <c r="AJ59" t="str">
        <f t="shared" si="8"/>
        <v/>
      </c>
    </row>
    <row r="60" spans="1:36">
      <c r="A60" s="5">
        <v>59</v>
      </c>
      <c r="B60" s="5" t="s">
        <v>2299</v>
      </c>
      <c r="C60" s="5" t="s">
        <v>2229</v>
      </c>
      <c r="D60" s="5" t="s">
        <v>2250</v>
      </c>
      <c r="E60" s="5" t="s">
        <v>815</v>
      </c>
      <c r="F60" s="5" t="str">
        <f t="shared" si="0"/>
        <v>Capacity Building-Auditor</v>
      </c>
      <c r="G60" s="5" t="s">
        <v>147</v>
      </c>
      <c r="H60" s="9">
        <v>44771.01295138889</v>
      </c>
      <c r="I60" s="9">
        <v>44772.01295138889</v>
      </c>
      <c r="J60" s="9" t="e">
        <f>I60+#REF!</f>
        <v>#REF!</v>
      </c>
      <c r="K60" s="9" t="e">
        <f>J60+#REF!</f>
        <v>#REF!</v>
      </c>
      <c r="L60" s="10" t="s">
        <v>41</v>
      </c>
      <c r="M60" s="11">
        <v>44790.01295138889</v>
      </c>
      <c r="N60" s="5" t="s">
        <v>42</v>
      </c>
      <c r="O60" s="5" t="s">
        <v>43</v>
      </c>
      <c r="P60" s="9"/>
      <c r="Q60" s="5"/>
      <c r="R60" s="5"/>
      <c r="S60" s="5"/>
      <c r="T60" s="9">
        <v>44793.01295138889</v>
      </c>
      <c r="U60" s="5"/>
      <c r="V60" s="5">
        <v>0</v>
      </c>
      <c r="W60" s="5"/>
      <c r="X60" s="5"/>
      <c r="Y60" s="5"/>
      <c r="Z60" s="5"/>
      <c r="AA60" s="5" t="s">
        <v>62</v>
      </c>
      <c r="AC60">
        <f t="shared" si="1"/>
        <v>18</v>
      </c>
      <c r="AD60" t="str">
        <f t="shared" si="2"/>
        <v/>
      </c>
      <c r="AE60">
        <f t="shared" si="3"/>
        <v>3</v>
      </c>
      <c r="AF60" t="str">
        <f t="shared" si="4"/>
        <v/>
      </c>
      <c r="AG60" t="str">
        <f t="shared" si="5"/>
        <v/>
      </c>
      <c r="AH60">
        <f t="shared" si="6"/>
        <v>1</v>
      </c>
      <c r="AI60" t="str">
        <f t="shared" si="7"/>
        <v/>
      </c>
      <c r="AJ60" t="str">
        <f t="shared" si="8"/>
        <v/>
      </c>
    </row>
    <row r="61" spans="1:36">
      <c r="A61" s="5">
        <v>60</v>
      </c>
      <c r="B61" s="5" t="s">
        <v>2298</v>
      </c>
      <c r="C61" s="5" t="s">
        <v>2229</v>
      </c>
      <c r="D61" s="5" t="s">
        <v>2250</v>
      </c>
      <c r="E61" s="5" t="s">
        <v>815</v>
      </c>
      <c r="F61" s="5" t="str">
        <f t="shared" si="0"/>
        <v>Capacity Building-Auditor</v>
      </c>
      <c r="G61" s="5" t="s">
        <v>147</v>
      </c>
      <c r="H61" s="9">
        <v>44773.01295138889</v>
      </c>
      <c r="I61" s="9">
        <v>44776.01295138889</v>
      </c>
      <c r="J61" s="9" t="e">
        <f>I61+#REF!</f>
        <v>#REF!</v>
      </c>
      <c r="K61" s="9" t="e">
        <f>J61+#REF!</f>
        <v>#REF!</v>
      </c>
      <c r="L61" s="10" t="s">
        <v>52</v>
      </c>
      <c r="M61" s="11"/>
      <c r="N61" s="5"/>
      <c r="O61" s="5"/>
      <c r="P61" s="9"/>
      <c r="Q61" s="5"/>
      <c r="R61" s="5"/>
      <c r="S61" s="5"/>
      <c r="T61" s="9"/>
      <c r="U61" s="5"/>
      <c r="V61" s="5">
        <v>0</v>
      </c>
      <c r="W61" s="5"/>
      <c r="X61" s="5"/>
      <c r="Y61" s="5"/>
      <c r="Z61" s="5"/>
      <c r="AA61" s="5"/>
      <c r="AC61" t="str">
        <f t="shared" si="1"/>
        <v/>
      </c>
      <c r="AD61" t="str">
        <f t="shared" si="2"/>
        <v/>
      </c>
      <c r="AE61" t="str">
        <f t="shared" si="3"/>
        <v/>
      </c>
      <c r="AF61" t="str">
        <f t="shared" si="4"/>
        <v/>
      </c>
      <c r="AG61" t="str">
        <f t="shared" si="5"/>
        <v/>
      </c>
      <c r="AH61">
        <f t="shared" si="6"/>
        <v>3</v>
      </c>
      <c r="AI61" t="str">
        <f t="shared" si="7"/>
        <v/>
      </c>
      <c r="AJ61" t="str">
        <f t="shared" si="8"/>
        <v/>
      </c>
    </row>
    <row r="62" spans="1:36">
      <c r="A62" s="5">
        <v>61</v>
      </c>
      <c r="B62" s="5" t="s">
        <v>263</v>
      </c>
      <c r="C62" s="5" t="s">
        <v>100</v>
      </c>
      <c r="D62" s="5" t="s">
        <v>146</v>
      </c>
      <c r="E62" s="5" t="s">
        <v>51</v>
      </c>
      <c r="F62" s="5" t="str">
        <f t="shared" si="0"/>
        <v>Program Office-Supervisor</v>
      </c>
      <c r="G62" s="5" t="s">
        <v>147</v>
      </c>
      <c r="H62" s="9">
        <v>45162.755949074075</v>
      </c>
      <c r="I62" s="9">
        <v>45165.755949074075</v>
      </c>
      <c r="J62" s="9" t="e">
        <f>I62+#REF!</f>
        <v>#REF!</v>
      </c>
      <c r="K62" s="9" t="e">
        <f>J62+#REF!</f>
        <v>#REF!</v>
      </c>
      <c r="L62" s="10" t="s">
        <v>41</v>
      </c>
      <c r="M62" s="11">
        <v>45181.755949074075</v>
      </c>
      <c r="N62" s="5" t="s">
        <v>42</v>
      </c>
      <c r="O62" s="5" t="s">
        <v>73</v>
      </c>
      <c r="P62" s="9"/>
      <c r="Q62" s="5"/>
      <c r="R62" s="5"/>
      <c r="S62" s="5"/>
      <c r="T62" s="9"/>
      <c r="U62" s="5"/>
      <c r="V62" s="5">
        <v>0</v>
      </c>
      <c r="W62" s="5"/>
      <c r="X62" s="5"/>
      <c r="Y62" s="5"/>
      <c r="Z62" s="5"/>
      <c r="AA62" s="5" t="s">
        <v>44</v>
      </c>
      <c r="AC62">
        <f t="shared" si="1"/>
        <v>16</v>
      </c>
      <c r="AD62" t="str">
        <f t="shared" si="2"/>
        <v/>
      </c>
      <c r="AE62" t="str">
        <f t="shared" si="3"/>
        <v/>
      </c>
      <c r="AF62" t="str">
        <f t="shared" si="4"/>
        <v/>
      </c>
      <c r="AG62" t="str">
        <f t="shared" si="5"/>
        <v/>
      </c>
      <c r="AH62">
        <f t="shared" si="6"/>
        <v>3</v>
      </c>
      <c r="AI62" t="str">
        <f t="shared" si="7"/>
        <v/>
      </c>
      <c r="AJ62" t="str">
        <f t="shared" si="8"/>
        <v/>
      </c>
    </row>
    <row r="63" spans="1:36">
      <c r="A63" s="5">
        <v>62</v>
      </c>
      <c r="B63" s="5" t="s">
        <v>550</v>
      </c>
      <c r="C63" s="5" t="s">
        <v>100</v>
      </c>
      <c r="D63" s="5" t="s">
        <v>506</v>
      </c>
      <c r="E63" s="5" t="s">
        <v>55</v>
      </c>
      <c r="F63" s="5" t="str">
        <f t="shared" si="0"/>
        <v>Program Office-Director</v>
      </c>
      <c r="G63" s="5" t="s">
        <v>56</v>
      </c>
      <c r="H63" s="9">
        <v>45165.755949074075</v>
      </c>
      <c r="I63" s="9">
        <v>45168.755949074075</v>
      </c>
      <c r="J63" s="9" t="e">
        <f>I63+#REF!</f>
        <v>#REF!</v>
      </c>
      <c r="K63" s="9" t="e">
        <f>J63+#REF!</f>
        <v>#REF!</v>
      </c>
      <c r="L63" s="10" t="s">
        <v>41</v>
      </c>
      <c r="M63" s="11">
        <v>45180.755949074075</v>
      </c>
      <c r="N63" s="5" t="s">
        <v>42</v>
      </c>
      <c r="O63" s="5" t="s">
        <v>73</v>
      </c>
      <c r="P63" s="9"/>
      <c r="Q63" s="5"/>
      <c r="R63" s="5"/>
      <c r="S63" s="5"/>
      <c r="T63" s="9"/>
      <c r="U63" s="5"/>
      <c r="V63" s="5">
        <v>0</v>
      </c>
      <c r="W63" s="5"/>
      <c r="X63" s="5"/>
      <c r="Y63" s="5"/>
      <c r="Z63" s="5"/>
      <c r="AA63" s="5" t="s">
        <v>62</v>
      </c>
      <c r="AC63">
        <f t="shared" si="1"/>
        <v>12</v>
      </c>
      <c r="AD63" t="str">
        <f t="shared" si="2"/>
        <v/>
      </c>
      <c r="AE63" t="str">
        <f t="shared" si="3"/>
        <v/>
      </c>
      <c r="AF63" t="str">
        <f t="shared" si="4"/>
        <v/>
      </c>
      <c r="AG63" t="str">
        <f t="shared" si="5"/>
        <v/>
      </c>
      <c r="AH63">
        <f t="shared" si="6"/>
        <v>3</v>
      </c>
      <c r="AI63" t="str">
        <f t="shared" si="7"/>
        <v/>
      </c>
      <c r="AJ63" t="str">
        <f t="shared" si="8"/>
        <v/>
      </c>
    </row>
    <row r="64" spans="1:36">
      <c r="A64" s="5">
        <v>63</v>
      </c>
      <c r="B64" s="5" t="s">
        <v>549</v>
      </c>
      <c r="C64" s="5" t="s">
        <v>100</v>
      </c>
      <c r="D64" s="5" t="s">
        <v>506</v>
      </c>
      <c r="E64" s="5" t="s">
        <v>55</v>
      </c>
      <c r="F64" s="5" t="str">
        <f t="shared" si="0"/>
        <v>Program Office-Director</v>
      </c>
      <c r="G64" s="5" t="s">
        <v>56</v>
      </c>
      <c r="H64" s="9">
        <v>45164.755949074075</v>
      </c>
      <c r="I64" s="9">
        <v>45165.755949074075</v>
      </c>
      <c r="J64" s="9" t="e">
        <f>I64+#REF!</f>
        <v>#REF!</v>
      </c>
      <c r="K64" s="9" t="e">
        <f>J64+#REF!</f>
        <v>#REF!</v>
      </c>
      <c r="L64" s="10" t="s">
        <v>41</v>
      </c>
      <c r="M64" s="11">
        <v>45179.755949074075</v>
      </c>
      <c r="N64" s="5" t="s">
        <v>42</v>
      </c>
      <c r="O64" s="5" t="s">
        <v>73</v>
      </c>
      <c r="P64" s="9"/>
      <c r="Q64" s="5"/>
      <c r="R64" s="5"/>
      <c r="S64" s="5"/>
      <c r="T64" s="9">
        <v>45180.755949074075</v>
      </c>
      <c r="U64" s="5"/>
      <c r="V64" s="5">
        <v>0</v>
      </c>
      <c r="W64" s="5"/>
      <c r="X64" s="5"/>
      <c r="Y64" s="5"/>
      <c r="Z64" s="5"/>
      <c r="AA64" s="5" t="s">
        <v>62</v>
      </c>
      <c r="AC64">
        <f t="shared" si="1"/>
        <v>14</v>
      </c>
      <c r="AD64" t="str">
        <f t="shared" si="2"/>
        <v/>
      </c>
      <c r="AE64">
        <f t="shared" si="3"/>
        <v>1</v>
      </c>
      <c r="AF64" t="str">
        <f t="shared" si="4"/>
        <v/>
      </c>
      <c r="AG64" t="str">
        <f t="shared" si="5"/>
        <v/>
      </c>
      <c r="AH64">
        <f t="shared" si="6"/>
        <v>1</v>
      </c>
      <c r="AI64" t="str">
        <f t="shared" si="7"/>
        <v/>
      </c>
      <c r="AJ64" t="str">
        <f t="shared" si="8"/>
        <v/>
      </c>
    </row>
    <row r="65" spans="1:36">
      <c r="A65" s="5">
        <v>64</v>
      </c>
      <c r="B65" s="5" t="s">
        <v>262</v>
      </c>
      <c r="C65" s="5" t="s">
        <v>100</v>
      </c>
      <c r="D65" s="5" t="s">
        <v>146</v>
      </c>
      <c r="E65" s="5" t="s">
        <v>51</v>
      </c>
      <c r="F65" s="5" t="str">
        <f t="shared" si="0"/>
        <v>Program Office-Supervisor</v>
      </c>
      <c r="G65" s="5" t="s">
        <v>147</v>
      </c>
      <c r="H65" s="9">
        <v>45163.755949074075</v>
      </c>
      <c r="I65" s="9">
        <v>45164.755949074075</v>
      </c>
      <c r="J65" s="9" t="e">
        <f>I65+#REF!</f>
        <v>#REF!</v>
      </c>
      <c r="K65" s="9" t="e">
        <f>J65+#REF!</f>
        <v>#REF!</v>
      </c>
      <c r="L65" s="10" t="s">
        <v>52</v>
      </c>
      <c r="M65" s="11"/>
      <c r="N65" s="5"/>
      <c r="O65" s="5"/>
      <c r="P65" s="9"/>
      <c r="Q65" s="5"/>
      <c r="R65" s="5"/>
      <c r="S65" s="5"/>
      <c r="T65" s="9"/>
      <c r="U65" s="5"/>
      <c r="V65" s="5">
        <v>0</v>
      </c>
      <c r="W65" s="5"/>
      <c r="X65" s="5"/>
      <c r="Y65" s="5"/>
      <c r="Z65" s="5"/>
      <c r="AA65" s="5"/>
      <c r="AC65" t="str">
        <f t="shared" si="1"/>
        <v/>
      </c>
      <c r="AD65" t="str">
        <f t="shared" si="2"/>
        <v/>
      </c>
      <c r="AE65" t="str">
        <f t="shared" si="3"/>
        <v/>
      </c>
      <c r="AF65" t="str">
        <f t="shared" si="4"/>
        <v/>
      </c>
      <c r="AG65" t="str">
        <f t="shared" si="5"/>
        <v/>
      </c>
      <c r="AH65">
        <f t="shared" si="6"/>
        <v>1</v>
      </c>
      <c r="AI65" t="str">
        <f t="shared" si="7"/>
        <v/>
      </c>
      <c r="AJ65" t="str">
        <f t="shared" si="8"/>
        <v/>
      </c>
    </row>
    <row r="66" spans="1:36">
      <c r="A66" s="5">
        <v>65</v>
      </c>
      <c r="B66" s="5" t="s">
        <v>261</v>
      </c>
      <c r="C66" s="5" t="s">
        <v>100</v>
      </c>
      <c r="D66" s="5" t="s">
        <v>146</v>
      </c>
      <c r="E66" s="5" t="s">
        <v>51</v>
      </c>
      <c r="F66" s="5" t="str">
        <f t="shared" ref="F66:F129" si="9">_xlfn.CONCAT(C66,"-",E66)</f>
        <v>Program Office-Supervisor</v>
      </c>
      <c r="G66" s="5" t="s">
        <v>147</v>
      </c>
      <c r="H66" s="9">
        <v>45167.755949074075</v>
      </c>
      <c r="I66" s="9">
        <v>45168.755949074075</v>
      </c>
      <c r="J66" s="9" t="e">
        <f>I66+#REF!</f>
        <v>#REF!</v>
      </c>
      <c r="K66" s="9" t="e">
        <f>J66+#REF!</f>
        <v>#REF!</v>
      </c>
      <c r="L66" s="10" t="s">
        <v>41</v>
      </c>
      <c r="M66" s="11">
        <v>45175.755949074075</v>
      </c>
      <c r="N66" s="5" t="s">
        <v>167</v>
      </c>
      <c r="O66" s="5"/>
      <c r="P66" s="9">
        <v>45182.755949074075</v>
      </c>
      <c r="Q66" s="5" t="s">
        <v>167</v>
      </c>
      <c r="R66" s="5"/>
      <c r="S66" s="5"/>
      <c r="T66" s="9">
        <v>45179.755949074075</v>
      </c>
      <c r="U66" s="5"/>
      <c r="V66" s="5">
        <v>0</v>
      </c>
      <c r="W66" s="5"/>
      <c r="X66" s="5"/>
      <c r="Y66" s="5"/>
      <c r="Z66" s="5"/>
      <c r="AA66" s="5"/>
      <c r="AC66">
        <f t="shared" ref="AC66:AC129" si="10">IF(AND(ISNUMBER(M66), ISNUMBER(I66)), M66 - I66, "")</f>
        <v>7</v>
      </c>
      <c r="AD66" t="str">
        <f t="shared" si="2"/>
        <v/>
      </c>
      <c r="AE66">
        <f t="shared" si="3"/>
        <v>4</v>
      </c>
      <c r="AF66" t="str">
        <f t="shared" si="4"/>
        <v/>
      </c>
      <c r="AG66" t="str">
        <f t="shared" si="5"/>
        <v/>
      </c>
      <c r="AH66">
        <f t="shared" si="6"/>
        <v>1</v>
      </c>
      <c r="AI66" t="str">
        <f t="shared" si="7"/>
        <v/>
      </c>
      <c r="AJ66" t="str">
        <f t="shared" si="8"/>
        <v/>
      </c>
    </row>
    <row r="67" spans="1:36">
      <c r="A67" s="5">
        <v>66</v>
      </c>
      <c r="B67" s="5" t="s">
        <v>504</v>
      </c>
      <c r="C67" s="5" t="s">
        <v>100</v>
      </c>
      <c r="D67" s="5" t="s">
        <v>387</v>
      </c>
      <c r="E67" s="5" t="s">
        <v>473</v>
      </c>
      <c r="F67" s="5" t="str">
        <f t="shared" si="9"/>
        <v>Program Office-Officer</v>
      </c>
      <c r="G67" s="5" t="s">
        <v>40</v>
      </c>
      <c r="H67" s="9">
        <v>45167.755949074075</v>
      </c>
      <c r="I67" s="9">
        <v>45168.755949074075</v>
      </c>
      <c r="J67" s="9" t="e">
        <f>I67+#REF!</f>
        <v>#REF!</v>
      </c>
      <c r="K67" s="9" t="e">
        <f>J67+#REF!</f>
        <v>#REF!</v>
      </c>
      <c r="L67" s="10" t="s">
        <v>41</v>
      </c>
      <c r="M67" s="11">
        <v>45184.755949074075</v>
      </c>
      <c r="N67" s="5" t="s">
        <v>167</v>
      </c>
      <c r="O67" s="5"/>
      <c r="P67" s="9">
        <v>45189.755949074075</v>
      </c>
      <c r="Q67" s="5" t="s">
        <v>167</v>
      </c>
      <c r="R67" s="5"/>
      <c r="S67" s="5"/>
      <c r="T67" s="9">
        <v>45188.755949074075</v>
      </c>
      <c r="U67" s="5"/>
      <c r="V67" s="5">
        <v>0</v>
      </c>
      <c r="W67" s="5"/>
      <c r="X67" s="5"/>
      <c r="Y67" s="5"/>
      <c r="Z67" s="5"/>
      <c r="AA67" s="5"/>
      <c r="AC67">
        <f t="shared" si="10"/>
        <v>16</v>
      </c>
      <c r="AD67" t="str">
        <f t="shared" ref="AD67:AD130" si="11">IF(AND(ISNUMBER(S67), ISNUMBER(I67)), S67 - I67, "")</f>
        <v/>
      </c>
      <c r="AE67">
        <f t="shared" ref="AE67:AE130" si="12">IF(AND(ISNUMBER(T67), ISNUMBER(M67)), T67-M67, "")</f>
        <v>4</v>
      </c>
      <c r="AF67" t="str">
        <f t="shared" ref="AF67:AF130" si="13">IF(AND(ISNUMBER(X67), ISNUMBER(U67)), X67-U67,"")</f>
        <v/>
      </c>
      <c r="AG67" t="str">
        <f t="shared" ref="AG67:AG130" si="14">IF(AND(ISNUMBER(W67), ISNUMBER(U67)), W67-U67, "")</f>
        <v/>
      </c>
      <c r="AH67">
        <f t="shared" ref="AH67:AH130" si="15">IF(AND(ISNUMBER(I67), ISNUMBER(H67)), I67-H67,"")</f>
        <v>1</v>
      </c>
      <c r="AI67" t="str">
        <f t="shared" ref="AI67:AI130" si="16">IF(AND(ISNUMBER(J67),ISNUMBER(K67)),K67-J67,"")</f>
        <v/>
      </c>
      <c r="AJ67" t="str">
        <f t="shared" ref="AJ67:AJ130" si="17">IF(AND(ISNUMBER(J67),ISNUMBER(I67)), J67-I67,"")</f>
        <v/>
      </c>
    </row>
    <row r="68" spans="1:36">
      <c r="A68" s="5">
        <v>67</v>
      </c>
      <c r="B68" s="5" t="s">
        <v>384</v>
      </c>
      <c r="C68" s="5" t="s">
        <v>100</v>
      </c>
      <c r="D68" s="5" t="s">
        <v>268</v>
      </c>
      <c r="E68" s="5" t="s">
        <v>291</v>
      </c>
      <c r="F68" s="5" t="str">
        <f t="shared" si="9"/>
        <v>Program Office-Cordination Manager</v>
      </c>
      <c r="G68" s="5" t="s">
        <v>270</v>
      </c>
      <c r="H68" s="9">
        <v>45168.755949074075</v>
      </c>
      <c r="I68" s="9">
        <v>45169.755949074075</v>
      </c>
      <c r="J68" s="9" t="e">
        <f>I68+#REF!</f>
        <v>#REF!</v>
      </c>
      <c r="K68" s="9" t="e">
        <f>J68+#REF!</f>
        <v>#REF!</v>
      </c>
      <c r="L68" s="10" t="s">
        <v>41</v>
      </c>
      <c r="M68" s="11">
        <v>45187.755949074075</v>
      </c>
      <c r="N68" s="5" t="s">
        <v>48</v>
      </c>
      <c r="O68" s="5"/>
      <c r="P68" s="9">
        <v>45195.755949074075</v>
      </c>
      <c r="Q68" s="5" t="s">
        <v>48</v>
      </c>
      <c r="R68" s="5"/>
      <c r="S68" s="5"/>
      <c r="T68" s="9">
        <v>45191.755949074075</v>
      </c>
      <c r="U68" s="5"/>
      <c r="V68" s="5">
        <v>0</v>
      </c>
      <c r="W68" s="5"/>
      <c r="X68" s="5"/>
      <c r="Y68" s="5"/>
      <c r="Z68" s="5"/>
      <c r="AA68" s="5"/>
      <c r="AC68">
        <f t="shared" si="10"/>
        <v>18</v>
      </c>
      <c r="AD68" t="str">
        <f t="shared" si="11"/>
        <v/>
      </c>
      <c r="AE68">
        <f t="shared" si="12"/>
        <v>4</v>
      </c>
      <c r="AF68" t="str">
        <f t="shared" si="13"/>
        <v/>
      </c>
      <c r="AG68" t="str">
        <f t="shared" si="14"/>
        <v/>
      </c>
      <c r="AH68">
        <f t="shared" si="15"/>
        <v>1</v>
      </c>
      <c r="AI68" t="str">
        <f t="shared" si="16"/>
        <v/>
      </c>
      <c r="AJ68" t="str">
        <f t="shared" si="17"/>
        <v/>
      </c>
    </row>
    <row r="69" spans="1:36">
      <c r="A69" s="5">
        <v>68</v>
      </c>
      <c r="B69" s="5" t="s">
        <v>383</v>
      </c>
      <c r="C69" s="5" t="s">
        <v>100</v>
      </c>
      <c r="D69" s="5" t="s">
        <v>268</v>
      </c>
      <c r="E69" s="5" t="s">
        <v>291</v>
      </c>
      <c r="F69" s="5" t="str">
        <f t="shared" si="9"/>
        <v>Program Office-Cordination Manager</v>
      </c>
      <c r="G69" s="5" t="s">
        <v>270</v>
      </c>
      <c r="H69" s="9">
        <v>45165.755949074075</v>
      </c>
      <c r="I69" s="9">
        <v>45169.755949074075</v>
      </c>
      <c r="J69" s="9" t="e">
        <f>I69+#REF!</f>
        <v>#REF!</v>
      </c>
      <c r="K69" s="9" t="e">
        <f>J69+#REF!</f>
        <v>#REF!</v>
      </c>
      <c r="L69" s="10" t="s">
        <v>41</v>
      </c>
      <c r="M69" s="11">
        <v>45177.755949074075</v>
      </c>
      <c r="N69" s="5" t="s">
        <v>64</v>
      </c>
      <c r="O69" s="5"/>
      <c r="P69" s="9">
        <v>45180.755949074075</v>
      </c>
      <c r="Q69" s="5" t="s">
        <v>64</v>
      </c>
      <c r="R69" s="9">
        <v>45178.755949074075</v>
      </c>
      <c r="S69" s="9">
        <v>45182.755949074075</v>
      </c>
      <c r="T69" s="9">
        <v>45179.755949074075</v>
      </c>
      <c r="U69" s="9">
        <v>45180.755949074075</v>
      </c>
      <c r="V69" s="12">
        <v>1</v>
      </c>
      <c r="W69" s="9">
        <v>45181.755949074075</v>
      </c>
      <c r="X69" s="9">
        <v>45182.755949074075</v>
      </c>
      <c r="Y69" s="9">
        <v>45183.755949074075</v>
      </c>
      <c r="Z69" s="5"/>
      <c r="AA69" s="5"/>
      <c r="AB69" s="13">
        <v>45199.755949074075</v>
      </c>
      <c r="AC69">
        <f t="shared" si="10"/>
        <v>8</v>
      </c>
      <c r="AD69">
        <f t="shared" si="11"/>
        <v>13</v>
      </c>
      <c r="AE69">
        <f t="shared" si="12"/>
        <v>2</v>
      </c>
      <c r="AF69">
        <f t="shared" si="13"/>
        <v>2</v>
      </c>
      <c r="AG69">
        <f t="shared" si="14"/>
        <v>1</v>
      </c>
      <c r="AH69">
        <f t="shared" si="15"/>
        <v>4</v>
      </c>
      <c r="AI69" t="str">
        <f t="shared" si="16"/>
        <v/>
      </c>
      <c r="AJ69" t="str">
        <f t="shared" si="17"/>
        <v/>
      </c>
    </row>
    <row r="70" spans="1:36">
      <c r="A70" s="5">
        <v>69</v>
      </c>
      <c r="B70" s="5" t="s">
        <v>667</v>
      </c>
      <c r="C70" s="5" t="s">
        <v>100</v>
      </c>
      <c r="D70" s="5" t="s">
        <v>554</v>
      </c>
      <c r="E70" s="5" t="s">
        <v>597</v>
      </c>
      <c r="F70" s="5" t="str">
        <f t="shared" si="9"/>
        <v>Program Office-Business Partner</v>
      </c>
      <c r="G70" s="5" t="s">
        <v>47</v>
      </c>
      <c r="H70" s="9">
        <v>45163.755949074075</v>
      </c>
      <c r="I70" s="9">
        <v>45164.755949074075</v>
      </c>
      <c r="J70" s="9" t="e">
        <f>I70+#REF!</f>
        <v>#REF!</v>
      </c>
      <c r="K70" s="9" t="e">
        <f>J70+#REF!</f>
        <v>#REF!</v>
      </c>
      <c r="L70" s="10" t="s">
        <v>41</v>
      </c>
      <c r="M70" s="11">
        <v>45178.755949074075</v>
      </c>
      <c r="N70" s="5" t="s">
        <v>42</v>
      </c>
      <c r="O70" s="5" t="s">
        <v>58</v>
      </c>
      <c r="P70" s="9"/>
      <c r="Q70" s="5"/>
      <c r="R70" s="5"/>
      <c r="S70" s="5"/>
      <c r="T70" s="9">
        <v>45181.755949074075</v>
      </c>
      <c r="U70" s="5"/>
      <c r="V70" s="5">
        <v>0</v>
      </c>
      <c r="W70" s="5"/>
      <c r="X70" s="5"/>
      <c r="Y70" s="5"/>
      <c r="Z70" s="5"/>
      <c r="AA70" s="5" t="s">
        <v>44</v>
      </c>
      <c r="AC70">
        <f t="shared" si="10"/>
        <v>14</v>
      </c>
      <c r="AD70" t="str">
        <f t="shared" si="11"/>
        <v/>
      </c>
      <c r="AE70">
        <f t="shared" si="12"/>
        <v>3</v>
      </c>
      <c r="AF70" t="str">
        <f t="shared" si="13"/>
        <v/>
      </c>
      <c r="AG70" t="str">
        <f t="shared" si="14"/>
        <v/>
      </c>
      <c r="AH70">
        <f t="shared" si="15"/>
        <v>1</v>
      </c>
      <c r="AI70" t="str">
        <f t="shared" si="16"/>
        <v/>
      </c>
      <c r="AJ70" t="str">
        <f t="shared" si="17"/>
        <v/>
      </c>
    </row>
    <row r="71" spans="1:36">
      <c r="A71" s="5">
        <v>70</v>
      </c>
      <c r="B71" s="5" t="s">
        <v>548</v>
      </c>
      <c r="C71" s="5" t="s">
        <v>100</v>
      </c>
      <c r="D71" s="5" t="s">
        <v>506</v>
      </c>
      <c r="E71" s="5" t="s">
        <v>55</v>
      </c>
      <c r="F71" s="5" t="str">
        <f t="shared" si="9"/>
        <v>Program Office-Director</v>
      </c>
      <c r="G71" s="5" t="s">
        <v>56</v>
      </c>
      <c r="H71" s="9">
        <v>45161.755949074075</v>
      </c>
      <c r="I71" s="9">
        <v>45164.755949074075</v>
      </c>
      <c r="J71" s="9" t="e">
        <f>I71+#REF!</f>
        <v>#REF!</v>
      </c>
      <c r="K71" s="9" t="e">
        <f>J71+#REF!</f>
        <v>#REF!</v>
      </c>
      <c r="L71" s="10" t="s">
        <v>52</v>
      </c>
      <c r="M71" s="11"/>
      <c r="N71" s="5"/>
      <c r="O71" s="5"/>
      <c r="P71" s="9"/>
      <c r="Q71" s="5"/>
      <c r="R71" s="5"/>
      <c r="S71" s="5"/>
      <c r="T71" s="9"/>
      <c r="U71" s="5"/>
      <c r="V71" s="5">
        <v>0</v>
      </c>
      <c r="W71" s="5"/>
      <c r="X71" s="5"/>
      <c r="Y71" s="5"/>
      <c r="Z71" s="5"/>
      <c r="AA71" s="5"/>
      <c r="AC71" t="str">
        <f t="shared" si="10"/>
        <v/>
      </c>
      <c r="AD71" t="str">
        <f t="shared" si="11"/>
        <v/>
      </c>
      <c r="AE71" t="str">
        <f t="shared" si="12"/>
        <v/>
      </c>
      <c r="AF71" t="str">
        <f t="shared" si="13"/>
        <v/>
      </c>
      <c r="AG71" t="str">
        <f t="shared" si="14"/>
        <v/>
      </c>
      <c r="AH71">
        <f t="shared" si="15"/>
        <v>3</v>
      </c>
      <c r="AI71" t="str">
        <f t="shared" si="16"/>
        <v/>
      </c>
      <c r="AJ71" t="str">
        <f t="shared" si="17"/>
        <v/>
      </c>
    </row>
    <row r="72" spans="1:36">
      <c r="A72" s="5">
        <v>71</v>
      </c>
      <c r="B72" s="5" t="s">
        <v>1977</v>
      </c>
      <c r="C72" s="5" t="s">
        <v>1540</v>
      </c>
      <c r="D72" s="5" t="s">
        <v>1925</v>
      </c>
      <c r="E72" s="5" t="s">
        <v>55</v>
      </c>
      <c r="F72" s="5" t="str">
        <f t="shared" si="9"/>
        <v>Finance-Director</v>
      </c>
      <c r="G72" s="5" t="s">
        <v>56</v>
      </c>
      <c r="H72" s="9">
        <v>44752.410798611112</v>
      </c>
      <c r="I72" s="9">
        <v>44753.410798611112</v>
      </c>
      <c r="J72" s="9" t="e">
        <f>I72+#REF!</f>
        <v>#REF!</v>
      </c>
      <c r="K72" s="9" t="e">
        <f>J72+#REF!</f>
        <v>#REF!</v>
      </c>
      <c r="L72" s="10" t="s">
        <v>41</v>
      </c>
      <c r="M72" s="11">
        <v>44762.410798611112</v>
      </c>
      <c r="N72" s="5" t="s">
        <v>167</v>
      </c>
      <c r="O72" s="5"/>
      <c r="P72" s="9">
        <v>44768.410798611112</v>
      </c>
      <c r="Q72" s="5" t="s">
        <v>167</v>
      </c>
      <c r="R72" s="5"/>
      <c r="S72" s="5"/>
      <c r="T72" s="9">
        <v>44766.410798611112</v>
      </c>
      <c r="U72" s="5"/>
      <c r="V72" s="5">
        <v>0</v>
      </c>
      <c r="W72" s="5"/>
      <c r="X72" s="5"/>
      <c r="Y72" s="5"/>
      <c r="Z72" s="5"/>
      <c r="AA72" s="5"/>
      <c r="AC72">
        <f t="shared" si="10"/>
        <v>9</v>
      </c>
      <c r="AD72" t="str">
        <f t="shared" si="11"/>
        <v/>
      </c>
      <c r="AE72">
        <f t="shared" si="12"/>
        <v>4</v>
      </c>
      <c r="AF72" t="str">
        <f t="shared" si="13"/>
        <v/>
      </c>
      <c r="AG72" t="str">
        <f t="shared" si="14"/>
        <v/>
      </c>
      <c r="AH72">
        <f t="shared" si="15"/>
        <v>1</v>
      </c>
      <c r="AI72" t="str">
        <f t="shared" si="16"/>
        <v/>
      </c>
      <c r="AJ72" t="str">
        <f t="shared" si="17"/>
        <v/>
      </c>
    </row>
    <row r="73" spans="1:36">
      <c r="A73" s="5">
        <v>72</v>
      </c>
      <c r="B73" s="5" t="s">
        <v>1922</v>
      </c>
      <c r="C73" s="5" t="s">
        <v>1540</v>
      </c>
      <c r="D73" s="5" t="s">
        <v>1820</v>
      </c>
      <c r="E73" s="5" t="s">
        <v>1862</v>
      </c>
      <c r="F73" s="5" t="str">
        <f t="shared" si="9"/>
        <v>Finance-Billing Officer</v>
      </c>
      <c r="G73" s="5" t="s">
        <v>40</v>
      </c>
      <c r="H73" s="9">
        <v>44750.410798611112</v>
      </c>
      <c r="I73" s="9">
        <v>44753.410798611112</v>
      </c>
      <c r="J73" s="9" t="e">
        <f>I73+#REF!</f>
        <v>#REF!</v>
      </c>
      <c r="K73" s="9" t="e">
        <f>J73+#REF!</f>
        <v>#REF!</v>
      </c>
      <c r="L73" s="10" t="s">
        <v>41</v>
      </c>
      <c r="M73" s="11">
        <v>44756.410798611112</v>
      </c>
      <c r="N73" s="5" t="s">
        <v>48</v>
      </c>
      <c r="O73" s="5"/>
      <c r="P73" s="9">
        <v>44761.410798611112</v>
      </c>
      <c r="Q73" s="5" t="s">
        <v>48</v>
      </c>
      <c r="R73" s="5"/>
      <c r="S73" s="5"/>
      <c r="T73" s="9">
        <v>44758.410798611112</v>
      </c>
      <c r="U73" s="5"/>
      <c r="V73" s="5">
        <v>0</v>
      </c>
      <c r="W73" s="5"/>
      <c r="X73" s="5"/>
      <c r="Y73" s="5"/>
      <c r="Z73" s="5"/>
      <c r="AA73" s="5"/>
      <c r="AC73">
        <f t="shared" si="10"/>
        <v>3</v>
      </c>
      <c r="AD73" t="str">
        <f t="shared" si="11"/>
        <v/>
      </c>
      <c r="AE73">
        <f t="shared" si="12"/>
        <v>2</v>
      </c>
      <c r="AF73" t="str">
        <f t="shared" si="13"/>
        <v/>
      </c>
      <c r="AG73" t="str">
        <f t="shared" si="14"/>
        <v/>
      </c>
      <c r="AH73">
        <f t="shared" si="15"/>
        <v>3</v>
      </c>
      <c r="AI73" t="str">
        <f t="shared" si="16"/>
        <v/>
      </c>
      <c r="AJ73" t="str">
        <f t="shared" si="17"/>
        <v/>
      </c>
    </row>
    <row r="74" spans="1:36">
      <c r="A74" s="5">
        <v>73</v>
      </c>
      <c r="B74" s="5" t="s">
        <v>1976</v>
      </c>
      <c r="C74" s="5" t="s">
        <v>1540</v>
      </c>
      <c r="D74" s="5" t="s">
        <v>1925</v>
      </c>
      <c r="E74" s="5" t="s">
        <v>55</v>
      </c>
      <c r="F74" s="5" t="str">
        <f t="shared" si="9"/>
        <v>Finance-Director</v>
      </c>
      <c r="G74" s="5" t="s">
        <v>56</v>
      </c>
      <c r="H74" s="9">
        <v>44748.410798611112</v>
      </c>
      <c r="I74" s="9">
        <v>44749.410798611112</v>
      </c>
      <c r="J74" s="9" t="e">
        <f>I74+#REF!</f>
        <v>#REF!</v>
      </c>
      <c r="K74" s="9" t="e">
        <f>J74+#REF!</f>
        <v>#REF!</v>
      </c>
      <c r="L74" s="10" t="s">
        <v>41</v>
      </c>
      <c r="M74" s="11">
        <v>44759.410798611112</v>
      </c>
      <c r="N74" s="5" t="s">
        <v>64</v>
      </c>
      <c r="O74" s="5"/>
      <c r="P74" s="9">
        <v>44764.410798611112</v>
      </c>
      <c r="Q74" s="5" t="s">
        <v>64</v>
      </c>
      <c r="R74" s="9">
        <v>44760.410798611112</v>
      </c>
      <c r="S74" s="9">
        <v>44764.410798611112</v>
      </c>
      <c r="T74" s="9">
        <v>44763.410798611112</v>
      </c>
      <c r="U74" s="9">
        <v>44772.410798611112</v>
      </c>
      <c r="V74" s="12">
        <v>1</v>
      </c>
      <c r="W74" s="9">
        <v>44776.410798611112</v>
      </c>
      <c r="X74" s="9">
        <v>44777.410798611112</v>
      </c>
      <c r="Y74" s="9">
        <v>44779.410798611112</v>
      </c>
      <c r="Z74" s="5"/>
      <c r="AA74" s="5"/>
      <c r="AB74" s="13">
        <v>44796.410798611112</v>
      </c>
      <c r="AC74">
        <f t="shared" si="10"/>
        <v>10</v>
      </c>
      <c r="AD74">
        <f t="shared" si="11"/>
        <v>15</v>
      </c>
      <c r="AE74">
        <f t="shared" si="12"/>
        <v>4</v>
      </c>
      <c r="AF74">
        <f t="shared" si="13"/>
        <v>5</v>
      </c>
      <c r="AG74">
        <f t="shared" si="14"/>
        <v>4</v>
      </c>
      <c r="AH74">
        <f t="shared" si="15"/>
        <v>1</v>
      </c>
      <c r="AI74" t="str">
        <f t="shared" si="16"/>
        <v/>
      </c>
      <c r="AJ74" t="str">
        <f t="shared" si="17"/>
        <v/>
      </c>
    </row>
    <row r="75" spans="1:36">
      <c r="A75" s="5">
        <v>74</v>
      </c>
      <c r="B75" s="5" t="s">
        <v>1921</v>
      </c>
      <c r="C75" s="5" t="s">
        <v>1540</v>
      </c>
      <c r="D75" s="5" t="s">
        <v>1820</v>
      </c>
      <c r="E75" s="5" t="s">
        <v>1862</v>
      </c>
      <c r="F75" s="5" t="str">
        <f t="shared" si="9"/>
        <v>Finance-Billing Officer</v>
      </c>
      <c r="G75" s="5" t="s">
        <v>40</v>
      </c>
      <c r="H75" s="9">
        <v>44745.410798611112</v>
      </c>
      <c r="I75" s="9">
        <v>44749.410798611112</v>
      </c>
      <c r="J75" s="9" t="e">
        <f>I75+#REF!</f>
        <v>#REF!</v>
      </c>
      <c r="K75" s="9" t="e">
        <f>J75+#REF!</f>
        <v>#REF!</v>
      </c>
      <c r="L75" s="10" t="s">
        <v>41</v>
      </c>
      <c r="M75" s="11">
        <v>44770.410798611112</v>
      </c>
      <c r="N75" s="5" t="s">
        <v>48</v>
      </c>
      <c r="O75" s="5"/>
      <c r="P75" s="9">
        <v>44777.410798611112</v>
      </c>
      <c r="Q75" s="5" t="s">
        <v>48</v>
      </c>
      <c r="R75" s="5"/>
      <c r="S75" s="5"/>
      <c r="T75" s="9">
        <v>44774.410798611112</v>
      </c>
      <c r="U75" s="5"/>
      <c r="V75" s="5">
        <v>0</v>
      </c>
      <c r="W75" s="5"/>
      <c r="X75" s="5"/>
      <c r="Y75" s="5"/>
      <c r="Z75" s="5"/>
      <c r="AA75" s="5"/>
      <c r="AC75">
        <f t="shared" si="10"/>
        <v>21</v>
      </c>
      <c r="AD75" t="str">
        <f t="shared" si="11"/>
        <v/>
      </c>
      <c r="AE75">
        <f t="shared" si="12"/>
        <v>4</v>
      </c>
      <c r="AF75" t="str">
        <f t="shared" si="13"/>
        <v/>
      </c>
      <c r="AG75" t="str">
        <f t="shared" si="14"/>
        <v/>
      </c>
      <c r="AH75">
        <f t="shared" si="15"/>
        <v>4</v>
      </c>
      <c r="AI75" t="str">
        <f t="shared" si="16"/>
        <v/>
      </c>
      <c r="AJ75" t="str">
        <f t="shared" si="17"/>
        <v/>
      </c>
    </row>
    <row r="76" spans="1:36">
      <c r="A76" s="5">
        <v>75</v>
      </c>
      <c r="B76" s="5" t="s">
        <v>1975</v>
      </c>
      <c r="C76" s="5" t="s">
        <v>1540</v>
      </c>
      <c r="D76" s="5" t="s">
        <v>1925</v>
      </c>
      <c r="E76" s="5" t="s">
        <v>55</v>
      </c>
      <c r="F76" s="5" t="str">
        <f t="shared" si="9"/>
        <v>Finance-Director</v>
      </c>
      <c r="G76" s="5" t="s">
        <v>56</v>
      </c>
      <c r="H76" s="9">
        <v>44747.410798611112</v>
      </c>
      <c r="I76" s="9">
        <v>44748.410798611112</v>
      </c>
      <c r="J76" s="9" t="e">
        <f>I76+#REF!</f>
        <v>#REF!</v>
      </c>
      <c r="K76" s="9" t="e">
        <f>J76+#REF!</f>
        <v>#REF!</v>
      </c>
      <c r="L76" s="10" t="s">
        <v>41</v>
      </c>
      <c r="M76" s="11">
        <v>44769.410798611112</v>
      </c>
      <c r="N76" s="5" t="s">
        <v>42</v>
      </c>
      <c r="O76" s="5" t="s">
        <v>98</v>
      </c>
      <c r="P76" s="9"/>
      <c r="Q76" s="5"/>
      <c r="R76" s="5"/>
      <c r="S76" s="5"/>
      <c r="T76" s="9"/>
      <c r="U76" s="5"/>
      <c r="V76" s="5">
        <v>0</v>
      </c>
      <c r="W76" s="5"/>
      <c r="X76" s="5"/>
      <c r="Y76" s="5"/>
      <c r="Z76" s="5"/>
      <c r="AA76" s="5" t="s">
        <v>62</v>
      </c>
      <c r="AC76">
        <f t="shared" si="10"/>
        <v>21</v>
      </c>
      <c r="AD76" t="str">
        <f t="shared" si="11"/>
        <v/>
      </c>
      <c r="AE76" t="str">
        <f t="shared" si="12"/>
        <v/>
      </c>
      <c r="AF76" t="str">
        <f t="shared" si="13"/>
        <v/>
      </c>
      <c r="AG76" t="str">
        <f t="shared" si="14"/>
        <v/>
      </c>
      <c r="AH76">
        <f t="shared" si="15"/>
        <v>1</v>
      </c>
      <c r="AI76" t="str">
        <f t="shared" si="16"/>
        <v/>
      </c>
      <c r="AJ76" t="str">
        <f t="shared" si="17"/>
        <v/>
      </c>
    </row>
    <row r="77" spans="1:36">
      <c r="A77" s="5">
        <v>76</v>
      </c>
      <c r="B77" s="5" t="s">
        <v>1816</v>
      </c>
      <c r="C77" s="5" t="s">
        <v>1540</v>
      </c>
      <c r="D77" s="5" t="s">
        <v>1706</v>
      </c>
      <c r="E77" s="5" t="s">
        <v>1804</v>
      </c>
      <c r="F77" s="5" t="str">
        <f t="shared" si="9"/>
        <v>Finance-Contoller</v>
      </c>
      <c r="G77" s="5" t="s">
        <v>270</v>
      </c>
      <c r="H77" s="9">
        <v>44752.410798611112</v>
      </c>
      <c r="I77" s="9">
        <v>44753.410798611112</v>
      </c>
      <c r="J77" s="9" t="e">
        <f>I77+#REF!</f>
        <v>#REF!</v>
      </c>
      <c r="K77" s="9" t="e">
        <f>J77+#REF!</f>
        <v>#REF!</v>
      </c>
      <c r="L77" s="10" t="s">
        <v>52</v>
      </c>
      <c r="M77" s="11"/>
      <c r="N77" s="5"/>
      <c r="O77" s="5"/>
      <c r="P77" s="9"/>
      <c r="Q77" s="5"/>
      <c r="R77" s="5"/>
      <c r="S77" s="5"/>
      <c r="T77" s="9"/>
      <c r="U77" s="5"/>
      <c r="V77" s="5">
        <v>0</v>
      </c>
      <c r="W77" s="5"/>
      <c r="X77" s="5"/>
      <c r="Y77" s="5"/>
      <c r="Z77" s="5"/>
      <c r="AA77" s="5"/>
      <c r="AC77" t="str">
        <f t="shared" si="10"/>
        <v/>
      </c>
      <c r="AD77" t="str">
        <f t="shared" si="11"/>
        <v/>
      </c>
      <c r="AE77" t="str">
        <f t="shared" si="12"/>
        <v/>
      </c>
      <c r="AF77" t="str">
        <f t="shared" si="13"/>
        <v/>
      </c>
      <c r="AG77" t="str">
        <f t="shared" si="14"/>
        <v/>
      </c>
      <c r="AH77">
        <f t="shared" si="15"/>
        <v>1</v>
      </c>
      <c r="AI77" t="str">
        <f t="shared" si="16"/>
        <v/>
      </c>
      <c r="AJ77" t="str">
        <f t="shared" si="17"/>
        <v/>
      </c>
    </row>
    <row r="78" spans="1:36">
      <c r="A78" s="5">
        <v>77</v>
      </c>
      <c r="B78" s="5" t="s">
        <v>1920</v>
      </c>
      <c r="C78" s="5" t="s">
        <v>1540</v>
      </c>
      <c r="D78" s="5" t="s">
        <v>1820</v>
      </c>
      <c r="E78" s="5" t="s">
        <v>1862</v>
      </c>
      <c r="F78" s="5" t="str">
        <f t="shared" si="9"/>
        <v>Finance-Billing Officer</v>
      </c>
      <c r="G78" s="5" t="s">
        <v>40</v>
      </c>
      <c r="H78" s="9">
        <v>44750.410798611112</v>
      </c>
      <c r="I78" s="9">
        <v>44752.410798611112</v>
      </c>
      <c r="J78" s="9" t="e">
        <f>I78+#REF!</f>
        <v>#REF!</v>
      </c>
      <c r="K78" s="9" t="e">
        <f>J78+#REF!</f>
        <v>#REF!</v>
      </c>
      <c r="L78" s="10" t="s">
        <v>41</v>
      </c>
      <c r="M78" s="11">
        <v>44764.410798611112</v>
      </c>
      <c r="N78" s="5" t="s">
        <v>48</v>
      </c>
      <c r="O78" s="5"/>
      <c r="P78" s="9">
        <v>44772.410798611112</v>
      </c>
      <c r="Q78" s="5" t="s">
        <v>48</v>
      </c>
      <c r="R78" s="5"/>
      <c r="S78" s="5"/>
      <c r="T78" s="9">
        <v>44768.410798611112</v>
      </c>
      <c r="U78" s="5"/>
      <c r="V78" s="5">
        <v>0</v>
      </c>
      <c r="W78" s="5"/>
      <c r="X78" s="5"/>
      <c r="Y78" s="5"/>
      <c r="Z78" s="5"/>
      <c r="AA78" s="5"/>
      <c r="AC78">
        <f t="shared" si="10"/>
        <v>12</v>
      </c>
      <c r="AD78" t="str">
        <f t="shared" si="11"/>
        <v/>
      </c>
      <c r="AE78">
        <f t="shared" si="12"/>
        <v>4</v>
      </c>
      <c r="AF78" t="str">
        <f t="shared" si="13"/>
        <v/>
      </c>
      <c r="AG78" t="str">
        <f t="shared" si="14"/>
        <v/>
      </c>
      <c r="AH78">
        <f t="shared" si="15"/>
        <v>2</v>
      </c>
      <c r="AI78" t="str">
        <f t="shared" si="16"/>
        <v/>
      </c>
      <c r="AJ78" t="str">
        <f t="shared" si="17"/>
        <v/>
      </c>
    </row>
    <row r="79" spans="1:36">
      <c r="A79" s="5">
        <v>78</v>
      </c>
      <c r="B79" s="5" t="s">
        <v>1919</v>
      </c>
      <c r="C79" s="5" t="s">
        <v>1540</v>
      </c>
      <c r="D79" s="5" t="s">
        <v>1820</v>
      </c>
      <c r="E79" s="5" t="s">
        <v>1862</v>
      </c>
      <c r="F79" s="5" t="str">
        <f t="shared" si="9"/>
        <v>Finance-Billing Officer</v>
      </c>
      <c r="G79" s="5" t="s">
        <v>40</v>
      </c>
      <c r="H79" s="9">
        <v>44750.410798611112</v>
      </c>
      <c r="I79" s="9">
        <v>44752.410798611112</v>
      </c>
      <c r="J79" s="9" t="e">
        <f>I79+#REF!</f>
        <v>#REF!</v>
      </c>
      <c r="K79" s="9" t="e">
        <f>J79+#REF!</f>
        <v>#REF!</v>
      </c>
      <c r="L79" s="10" t="s">
        <v>41</v>
      </c>
      <c r="M79" s="11">
        <v>44758.410798611112</v>
      </c>
      <c r="N79" s="5" t="s">
        <v>42</v>
      </c>
      <c r="O79" s="5" t="s">
        <v>113</v>
      </c>
      <c r="P79" s="9"/>
      <c r="Q79" s="5"/>
      <c r="R79" s="5"/>
      <c r="S79" s="5"/>
      <c r="T79" s="9">
        <v>44762.410798611112</v>
      </c>
      <c r="U79" s="5"/>
      <c r="V79" s="5">
        <v>0</v>
      </c>
      <c r="W79" s="5"/>
      <c r="X79" s="5"/>
      <c r="Y79" s="5"/>
      <c r="Z79" s="5"/>
      <c r="AA79" s="5" t="s">
        <v>62</v>
      </c>
      <c r="AC79">
        <f t="shared" si="10"/>
        <v>6</v>
      </c>
      <c r="AD79" t="str">
        <f t="shared" si="11"/>
        <v/>
      </c>
      <c r="AE79">
        <f t="shared" si="12"/>
        <v>4</v>
      </c>
      <c r="AF79" t="str">
        <f t="shared" si="13"/>
        <v/>
      </c>
      <c r="AG79" t="str">
        <f t="shared" si="14"/>
        <v/>
      </c>
      <c r="AH79">
        <f t="shared" si="15"/>
        <v>2</v>
      </c>
      <c r="AI79" t="str">
        <f t="shared" si="16"/>
        <v/>
      </c>
      <c r="AJ79" t="str">
        <f t="shared" si="17"/>
        <v/>
      </c>
    </row>
    <row r="80" spans="1:36">
      <c r="A80" s="5">
        <v>79</v>
      </c>
      <c r="B80" s="5" t="s">
        <v>1815</v>
      </c>
      <c r="C80" s="5" t="s">
        <v>1540</v>
      </c>
      <c r="D80" s="5" t="s">
        <v>1706</v>
      </c>
      <c r="E80" s="5" t="s">
        <v>1804</v>
      </c>
      <c r="F80" s="5" t="str">
        <f t="shared" si="9"/>
        <v>Finance-Contoller</v>
      </c>
      <c r="G80" s="5" t="s">
        <v>270</v>
      </c>
      <c r="H80" s="9">
        <v>44749.410798611112</v>
      </c>
      <c r="I80" s="9">
        <v>44752.410798611112</v>
      </c>
      <c r="J80" s="9" t="e">
        <f>I80+#REF!</f>
        <v>#REF!</v>
      </c>
      <c r="K80" s="9" t="e">
        <f>J80+#REF!</f>
        <v>#REF!</v>
      </c>
      <c r="L80" s="10" t="s">
        <v>41</v>
      </c>
      <c r="M80" s="11">
        <v>44764.410798611112</v>
      </c>
      <c r="N80" s="5" t="s">
        <v>42</v>
      </c>
      <c r="O80" s="5" t="s">
        <v>73</v>
      </c>
      <c r="P80" s="9"/>
      <c r="Q80" s="5"/>
      <c r="R80" s="5"/>
      <c r="S80" s="5"/>
      <c r="T80" s="9"/>
      <c r="U80" s="5"/>
      <c r="V80" s="5">
        <v>0</v>
      </c>
      <c r="W80" s="5"/>
      <c r="X80" s="5"/>
      <c r="Y80" s="5"/>
      <c r="Z80" s="5"/>
      <c r="AA80" s="5" t="s">
        <v>62</v>
      </c>
      <c r="AC80">
        <f t="shared" si="10"/>
        <v>12</v>
      </c>
      <c r="AD80" t="str">
        <f t="shared" si="11"/>
        <v/>
      </c>
      <c r="AE80" t="str">
        <f t="shared" si="12"/>
        <v/>
      </c>
      <c r="AF80" t="str">
        <f t="shared" si="13"/>
        <v/>
      </c>
      <c r="AG80" t="str">
        <f t="shared" si="14"/>
        <v/>
      </c>
      <c r="AH80">
        <f t="shared" si="15"/>
        <v>3</v>
      </c>
      <c r="AI80" t="str">
        <f t="shared" si="16"/>
        <v/>
      </c>
      <c r="AJ80" t="str">
        <f t="shared" si="17"/>
        <v/>
      </c>
    </row>
    <row r="81" spans="1:36">
      <c r="A81" s="5">
        <v>80</v>
      </c>
      <c r="B81" s="5" t="s">
        <v>1702</v>
      </c>
      <c r="C81" s="5" t="s">
        <v>1540</v>
      </c>
      <c r="D81" s="5" t="s">
        <v>1588</v>
      </c>
      <c r="E81" s="5" t="s">
        <v>597</v>
      </c>
      <c r="F81" s="5" t="str">
        <f t="shared" si="9"/>
        <v>Finance-Business Partner</v>
      </c>
      <c r="G81" s="5" t="s">
        <v>147</v>
      </c>
      <c r="H81" s="9">
        <v>44751.410798611112</v>
      </c>
      <c r="I81" s="9">
        <v>44752.410798611112</v>
      </c>
      <c r="J81" s="9" t="e">
        <f>I81+#REF!</f>
        <v>#REF!</v>
      </c>
      <c r="K81" s="9" t="e">
        <f>J81+#REF!</f>
        <v>#REF!</v>
      </c>
      <c r="L81" s="10" t="s">
        <v>41</v>
      </c>
      <c r="M81" s="11">
        <v>44767.410798611112</v>
      </c>
      <c r="N81" s="5" t="s">
        <v>64</v>
      </c>
      <c r="O81" s="5"/>
      <c r="P81" s="9">
        <v>44774.410798611112</v>
      </c>
      <c r="Q81" s="5" t="s">
        <v>64</v>
      </c>
      <c r="R81" s="9">
        <v>44768.410798611112</v>
      </c>
      <c r="S81" s="9">
        <v>44770.410798611112</v>
      </c>
      <c r="T81" s="9">
        <v>44770.410798611112</v>
      </c>
      <c r="U81" s="9">
        <v>44775.410798611112</v>
      </c>
      <c r="V81" s="12">
        <v>1</v>
      </c>
      <c r="W81" s="9">
        <v>44778.410798611112</v>
      </c>
      <c r="X81" s="9">
        <v>44780.410798611112</v>
      </c>
      <c r="Y81" s="9">
        <v>44782.410798611112</v>
      </c>
      <c r="Z81" s="5"/>
      <c r="AA81" s="5"/>
      <c r="AB81" s="13">
        <v>44794.410798611112</v>
      </c>
      <c r="AC81">
        <f t="shared" si="10"/>
        <v>15</v>
      </c>
      <c r="AD81">
        <f t="shared" si="11"/>
        <v>18</v>
      </c>
      <c r="AE81">
        <f t="shared" si="12"/>
        <v>3</v>
      </c>
      <c r="AF81">
        <f t="shared" si="13"/>
        <v>5</v>
      </c>
      <c r="AG81">
        <f t="shared" si="14"/>
        <v>3</v>
      </c>
      <c r="AH81">
        <f t="shared" si="15"/>
        <v>1</v>
      </c>
      <c r="AI81" t="str">
        <f t="shared" si="16"/>
        <v/>
      </c>
      <c r="AJ81" t="str">
        <f t="shared" si="17"/>
        <v/>
      </c>
    </row>
    <row r="82" spans="1:36">
      <c r="A82" s="5">
        <v>81</v>
      </c>
      <c r="B82" s="5" t="s">
        <v>2226</v>
      </c>
      <c r="C82" s="10" t="s">
        <v>2089</v>
      </c>
      <c r="D82" s="5" t="s">
        <v>2211</v>
      </c>
      <c r="E82" s="5" t="s">
        <v>39</v>
      </c>
      <c r="F82" s="5" t="str">
        <f t="shared" si="9"/>
        <v>Communication and Advocacy-Analyst</v>
      </c>
      <c r="G82" s="5" t="s">
        <v>40</v>
      </c>
      <c r="H82" s="9">
        <v>44727.092650462961</v>
      </c>
      <c r="I82" s="9">
        <v>44728.092650462961</v>
      </c>
      <c r="J82" s="9" t="e">
        <f>I82+#REF!</f>
        <v>#REF!</v>
      </c>
      <c r="K82" s="9" t="e">
        <f>J82+#REF!</f>
        <v>#REF!</v>
      </c>
      <c r="L82" s="10" t="s">
        <v>52</v>
      </c>
      <c r="M82" s="11"/>
      <c r="N82" s="5"/>
      <c r="O82" s="5"/>
      <c r="P82" s="9"/>
      <c r="Q82" s="5"/>
      <c r="R82" s="5"/>
      <c r="S82" s="5"/>
      <c r="T82" s="9"/>
      <c r="U82" s="5"/>
      <c r="V82" s="5">
        <v>0</v>
      </c>
      <c r="W82" s="5"/>
      <c r="X82" s="5"/>
      <c r="Y82" s="5"/>
      <c r="Z82" s="5"/>
      <c r="AA82" s="5"/>
      <c r="AC82" t="str">
        <f t="shared" si="10"/>
        <v/>
      </c>
      <c r="AD82" t="str">
        <f t="shared" si="11"/>
        <v/>
      </c>
      <c r="AE82" t="str">
        <f t="shared" si="12"/>
        <v/>
      </c>
      <c r="AF82" t="str">
        <f t="shared" si="13"/>
        <v/>
      </c>
      <c r="AG82" t="str">
        <f t="shared" si="14"/>
        <v/>
      </c>
      <c r="AH82">
        <f t="shared" si="15"/>
        <v>1</v>
      </c>
      <c r="AI82" t="str">
        <f t="shared" si="16"/>
        <v/>
      </c>
      <c r="AJ82" t="str">
        <f t="shared" si="17"/>
        <v/>
      </c>
    </row>
    <row r="83" spans="1:36">
      <c r="A83" s="5">
        <v>82</v>
      </c>
      <c r="B83" s="5" t="s">
        <v>793</v>
      </c>
      <c r="C83" s="10" t="s">
        <v>671</v>
      </c>
      <c r="D83" s="5" t="s">
        <v>747</v>
      </c>
      <c r="E83" s="5" t="s">
        <v>709</v>
      </c>
      <c r="F83" s="5" t="str">
        <f t="shared" si="9"/>
        <v>Operations-Lead</v>
      </c>
      <c r="G83" s="5" t="s">
        <v>47</v>
      </c>
      <c r="H83" s="9">
        <v>44729.092650462961</v>
      </c>
      <c r="I83" s="9">
        <v>44730.092650462961</v>
      </c>
      <c r="J83" s="9" t="e">
        <f>I83+#REF!</f>
        <v>#REF!</v>
      </c>
      <c r="K83" s="9" t="e">
        <f>J83+#REF!</f>
        <v>#REF!</v>
      </c>
      <c r="L83" s="10" t="s">
        <v>41</v>
      </c>
      <c r="M83" s="11">
        <v>44738.092650462961</v>
      </c>
      <c r="N83" s="5" t="s">
        <v>42</v>
      </c>
      <c r="O83" s="5" t="s">
        <v>73</v>
      </c>
      <c r="P83" s="9"/>
      <c r="Q83" s="5"/>
      <c r="R83" s="5"/>
      <c r="S83" s="5"/>
      <c r="T83" s="9"/>
      <c r="U83" s="5"/>
      <c r="V83" s="5">
        <v>0</v>
      </c>
      <c r="W83" s="5"/>
      <c r="X83" s="5"/>
      <c r="Y83" s="5"/>
      <c r="Z83" s="5"/>
      <c r="AA83" s="5" t="s">
        <v>62</v>
      </c>
      <c r="AC83">
        <f t="shared" si="10"/>
        <v>8</v>
      </c>
      <c r="AD83" t="str">
        <f t="shared" si="11"/>
        <v/>
      </c>
      <c r="AE83" t="str">
        <f t="shared" si="12"/>
        <v/>
      </c>
      <c r="AF83" t="str">
        <f t="shared" si="13"/>
        <v/>
      </c>
      <c r="AG83" t="str">
        <f t="shared" si="14"/>
        <v/>
      </c>
      <c r="AH83">
        <f t="shared" si="15"/>
        <v>1</v>
      </c>
      <c r="AI83" t="str">
        <f t="shared" si="16"/>
        <v/>
      </c>
      <c r="AJ83" t="str">
        <f t="shared" si="17"/>
        <v/>
      </c>
    </row>
    <row r="84" spans="1:36">
      <c r="A84" s="5">
        <v>83</v>
      </c>
      <c r="B84" s="5" t="s">
        <v>792</v>
      </c>
      <c r="C84" s="10" t="s">
        <v>671</v>
      </c>
      <c r="D84" s="5" t="s">
        <v>747</v>
      </c>
      <c r="E84" s="5" t="s">
        <v>709</v>
      </c>
      <c r="F84" s="5" t="str">
        <f t="shared" si="9"/>
        <v>Operations-Lead</v>
      </c>
      <c r="G84" s="5" t="s">
        <v>47</v>
      </c>
      <c r="H84" s="9">
        <v>44722.092650462961</v>
      </c>
      <c r="I84" s="9">
        <v>44725.092650462961</v>
      </c>
      <c r="J84" s="9" t="e">
        <f>I84+#REF!</f>
        <v>#REF!</v>
      </c>
      <c r="K84" s="9" t="e">
        <f>J84+#REF!</f>
        <v>#REF!</v>
      </c>
      <c r="L84" s="10" t="s">
        <v>41</v>
      </c>
      <c r="M84" s="11">
        <v>44744.092650462961</v>
      </c>
      <c r="N84" s="5" t="s">
        <v>48</v>
      </c>
      <c r="O84" s="5"/>
      <c r="P84" s="9">
        <v>44749.092650462961</v>
      </c>
      <c r="Q84" s="5" t="s">
        <v>48</v>
      </c>
      <c r="R84" s="5"/>
      <c r="S84" s="5"/>
      <c r="T84" s="9">
        <v>44746.092650462961</v>
      </c>
      <c r="U84" s="5"/>
      <c r="V84" s="5">
        <v>0</v>
      </c>
      <c r="W84" s="5"/>
      <c r="X84" s="5"/>
      <c r="Y84" s="5"/>
      <c r="Z84" s="5"/>
      <c r="AA84" s="5"/>
      <c r="AC84">
        <f t="shared" si="10"/>
        <v>19</v>
      </c>
      <c r="AD84" t="str">
        <f t="shared" si="11"/>
        <v/>
      </c>
      <c r="AE84">
        <f t="shared" si="12"/>
        <v>2</v>
      </c>
      <c r="AF84" t="str">
        <f t="shared" si="13"/>
        <v/>
      </c>
      <c r="AG84" t="str">
        <f t="shared" si="14"/>
        <v/>
      </c>
      <c r="AH84">
        <f t="shared" si="15"/>
        <v>3</v>
      </c>
      <c r="AI84" t="str">
        <f t="shared" si="16"/>
        <v/>
      </c>
      <c r="AJ84" t="str">
        <f t="shared" si="17"/>
        <v/>
      </c>
    </row>
    <row r="85" spans="1:36">
      <c r="A85" s="5">
        <v>84</v>
      </c>
      <c r="B85" s="5" t="s">
        <v>2162</v>
      </c>
      <c r="C85" s="10" t="s">
        <v>2089</v>
      </c>
      <c r="D85" s="5" t="s">
        <v>2114</v>
      </c>
      <c r="E85" s="5" t="s">
        <v>1146</v>
      </c>
      <c r="F85" s="5" t="str">
        <f t="shared" si="9"/>
        <v>Communication and Advocacy-Quality Assurance</v>
      </c>
      <c r="G85" s="5" t="s">
        <v>147</v>
      </c>
      <c r="H85" s="9">
        <v>44724.092650462961</v>
      </c>
      <c r="I85" s="9">
        <v>44728.092650462961</v>
      </c>
      <c r="J85" s="9" t="e">
        <f>I85+#REF!</f>
        <v>#REF!</v>
      </c>
      <c r="K85" s="9" t="e">
        <f>J85+#REF!</f>
        <v>#REF!</v>
      </c>
      <c r="L85" s="10" t="s">
        <v>52</v>
      </c>
      <c r="M85" s="11"/>
      <c r="N85" s="5"/>
      <c r="O85" s="5"/>
      <c r="P85" s="9"/>
      <c r="Q85" s="5"/>
      <c r="R85" s="5"/>
      <c r="S85" s="5"/>
      <c r="T85" s="9"/>
      <c r="U85" s="5"/>
      <c r="V85" s="5">
        <v>0</v>
      </c>
      <c r="W85" s="5"/>
      <c r="X85" s="5"/>
      <c r="Y85" s="5"/>
      <c r="Z85" s="5"/>
      <c r="AA85" s="5"/>
      <c r="AC85" t="str">
        <f t="shared" si="10"/>
        <v/>
      </c>
      <c r="AD85" t="str">
        <f t="shared" si="11"/>
        <v/>
      </c>
      <c r="AE85" t="str">
        <f t="shared" si="12"/>
        <v/>
      </c>
      <c r="AF85" t="str">
        <f t="shared" si="13"/>
        <v/>
      </c>
      <c r="AG85" t="str">
        <f t="shared" si="14"/>
        <v/>
      </c>
      <c r="AH85">
        <f t="shared" si="15"/>
        <v>4</v>
      </c>
      <c r="AI85" t="str">
        <f t="shared" si="16"/>
        <v/>
      </c>
      <c r="AJ85" t="str">
        <f t="shared" si="17"/>
        <v/>
      </c>
    </row>
    <row r="86" spans="1:36">
      <c r="A86" s="5">
        <v>85</v>
      </c>
      <c r="B86" s="5" t="s">
        <v>2161</v>
      </c>
      <c r="C86" s="10" t="s">
        <v>2089</v>
      </c>
      <c r="D86" s="5" t="s">
        <v>2114</v>
      </c>
      <c r="E86" s="5" t="s">
        <v>1146</v>
      </c>
      <c r="F86" s="5" t="str">
        <f t="shared" si="9"/>
        <v>Communication and Advocacy-Quality Assurance</v>
      </c>
      <c r="G86" s="5" t="s">
        <v>147</v>
      </c>
      <c r="H86" s="9">
        <v>44724.092650462961</v>
      </c>
      <c r="I86" s="9">
        <v>44728.092650462961</v>
      </c>
      <c r="J86" s="9" t="e">
        <f>I86+#REF!</f>
        <v>#REF!</v>
      </c>
      <c r="K86" s="9" t="e">
        <f>J86+#REF!</f>
        <v>#REF!</v>
      </c>
      <c r="L86" s="10" t="s">
        <v>41</v>
      </c>
      <c r="M86" s="11">
        <v>44742.092650462961</v>
      </c>
      <c r="N86" s="5" t="s">
        <v>48</v>
      </c>
      <c r="O86" s="5"/>
      <c r="P86" s="9">
        <v>44747.092650462961</v>
      </c>
      <c r="Q86" s="5" t="s">
        <v>48</v>
      </c>
      <c r="R86" s="5"/>
      <c r="S86" s="5"/>
      <c r="T86" s="9">
        <v>44745.092650462961</v>
      </c>
      <c r="U86" s="5"/>
      <c r="V86" s="5">
        <v>0</v>
      </c>
      <c r="W86" s="5"/>
      <c r="X86" s="5"/>
      <c r="Y86" s="5"/>
      <c r="Z86" s="5"/>
      <c r="AA86" s="5"/>
      <c r="AC86">
        <f t="shared" si="10"/>
        <v>14</v>
      </c>
      <c r="AD86" t="str">
        <f t="shared" si="11"/>
        <v/>
      </c>
      <c r="AE86">
        <f t="shared" si="12"/>
        <v>3</v>
      </c>
      <c r="AF86" t="str">
        <f t="shared" si="13"/>
        <v/>
      </c>
      <c r="AG86" t="str">
        <f t="shared" si="14"/>
        <v/>
      </c>
      <c r="AH86">
        <f t="shared" si="15"/>
        <v>4</v>
      </c>
      <c r="AI86" t="str">
        <f t="shared" si="16"/>
        <v/>
      </c>
      <c r="AJ86" t="str">
        <f t="shared" si="17"/>
        <v/>
      </c>
    </row>
    <row r="87" spans="1:36">
      <c r="A87" s="5">
        <v>86</v>
      </c>
      <c r="B87" s="5" t="s">
        <v>2110</v>
      </c>
      <c r="C87" s="10" t="s">
        <v>2089</v>
      </c>
      <c r="D87" s="5" t="s">
        <v>2090</v>
      </c>
      <c r="E87" s="5" t="s">
        <v>102</v>
      </c>
      <c r="F87" s="5" t="str">
        <f t="shared" si="9"/>
        <v>Communication and Advocacy-Senior Manager</v>
      </c>
      <c r="G87" s="5" t="s">
        <v>103</v>
      </c>
      <c r="H87" s="9">
        <v>44724.092650462961</v>
      </c>
      <c r="I87" s="9">
        <v>44726.092650462961</v>
      </c>
      <c r="J87" s="9" t="e">
        <f>I87+#REF!</f>
        <v>#REF!</v>
      </c>
      <c r="K87" s="9" t="e">
        <f>J87+#REF!</f>
        <v>#REF!</v>
      </c>
      <c r="L87" s="10" t="s">
        <v>41</v>
      </c>
      <c r="M87" s="11">
        <v>44737.092650462961</v>
      </c>
      <c r="N87" s="5" t="s">
        <v>64</v>
      </c>
      <c r="O87" s="5"/>
      <c r="P87" s="9">
        <v>44742.092650462961</v>
      </c>
      <c r="Q87" s="5" t="s">
        <v>64</v>
      </c>
      <c r="R87" s="9">
        <v>44739.092650462961</v>
      </c>
      <c r="S87" s="9">
        <v>44741.092650462961</v>
      </c>
      <c r="T87" s="9">
        <v>44741.092650462961</v>
      </c>
      <c r="U87" s="9">
        <v>44751.092650462961</v>
      </c>
      <c r="V87" s="12">
        <v>1</v>
      </c>
      <c r="W87" s="9">
        <v>44752.092650462961</v>
      </c>
      <c r="X87" s="9">
        <v>44753.092650462961</v>
      </c>
      <c r="Y87" s="9">
        <v>44755.092650462961</v>
      </c>
      <c r="Z87" s="5"/>
      <c r="AA87" s="5"/>
      <c r="AB87" s="13">
        <v>44776.092650462961</v>
      </c>
      <c r="AC87">
        <f t="shared" si="10"/>
        <v>11</v>
      </c>
      <c r="AD87">
        <f t="shared" si="11"/>
        <v>15</v>
      </c>
      <c r="AE87">
        <f t="shared" si="12"/>
        <v>4</v>
      </c>
      <c r="AF87">
        <f t="shared" si="13"/>
        <v>2</v>
      </c>
      <c r="AG87">
        <f t="shared" si="14"/>
        <v>1</v>
      </c>
      <c r="AH87">
        <f t="shared" si="15"/>
        <v>2</v>
      </c>
      <c r="AI87" t="str">
        <f t="shared" si="16"/>
        <v/>
      </c>
      <c r="AJ87" t="str">
        <f t="shared" si="17"/>
        <v/>
      </c>
    </row>
    <row r="88" spans="1:36">
      <c r="A88" s="5">
        <v>87</v>
      </c>
      <c r="B88" s="5" t="s">
        <v>2225</v>
      </c>
      <c r="C88" s="10" t="s">
        <v>2089</v>
      </c>
      <c r="D88" s="5" t="s">
        <v>2211</v>
      </c>
      <c r="E88" s="5" t="s">
        <v>39</v>
      </c>
      <c r="F88" s="5" t="str">
        <f t="shared" si="9"/>
        <v>Communication and Advocacy-Analyst</v>
      </c>
      <c r="G88" s="5" t="s">
        <v>40</v>
      </c>
      <c r="H88" s="9">
        <v>44726.092650462961</v>
      </c>
      <c r="I88" s="9">
        <v>44727.092650462961</v>
      </c>
      <c r="J88" s="9" t="e">
        <f>I88+#REF!</f>
        <v>#REF!</v>
      </c>
      <c r="K88" s="9" t="e">
        <f>J88+#REF!</f>
        <v>#REF!</v>
      </c>
      <c r="L88" s="10" t="s">
        <v>41</v>
      </c>
      <c r="M88" s="11">
        <v>44744.092650462961</v>
      </c>
      <c r="N88" s="5" t="s">
        <v>64</v>
      </c>
      <c r="O88" s="5"/>
      <c r="P88" s="9">
        <v>44747.092650462961</v>
      </c>
      <c r="Q88" s="5" t="s">
        <v>64</v>
      </c>
      <c r="R88" s="9">
        <v>44746.092650462961</v>
      </c>
      <c r="S88" s="9">
        <v>44747.092650462961</v>
      </c>
      <c r="T88" s="9">
        <v>44746.092650462961</v>
      </c>
      <c r="U88" s="9">
        <v>44755.092650462961</v>
      </c>
      <c r="V88" s="12">
        <v>1</v>
      </c>
      <c r="W88" s="9">
        <v>44756.092650462961</v>
      </c>
      <c r="X88" s="9">
        <v>44759.092650462961</v>
      </c>
      <c r="Y88" s="9">
        <v>44762.092650462961</v>
      </c>
      <c r="Z88" s="5"/>
      <c r="AA88" s="5"/>
      <c r="AB88" s="13">
        <v>44769.092650462961</v>
      </c>
      <c r="AC88">
        <f t="shared" si="10"/>
        <v>17</v>
      </c>
      <c r="AD88">
        <f t="shared" si="11"/>
        <v>20</v>
      </c>
      <c r="AE88">
        <f t="shared" si="12"/>
        <v>2</v>
      </c>
      <c r="AF88">
        <f t="shared" si="13"/>
        <v>4</v>
      </c>
      <c r="AG88">
        <f t="shared" si="14"/>
        <v>1</v>
      </c>
      <c r="AH88">
        <f t="shared" si="15"/>
        <v>1</v>
      </c>
      <c r="AI88" t="str">
        <f t="shared" si="16"/>
        <v/>
      </c>
      <c r="AJ88" t="str">
        <f t="shared" si="17"/>
        <v/>
      </c>
    </row>
    <row r="89" spans="1:36">
      <c r="A89" s="5">
        <v>88</v>
      </c>
      <c r="B89" s="5" t="s">
        <v>2109</v>
      </c>
      <c r="C89" s="10" t="s">
        <v>2089</v>
      </c>
      <c r="D89" s="5" t="s">
        <v>2090</v>
      </c>
      <c r="E89" s="5" t="s">
        <v>102</v>
      </c>
      <c r="F89" s="5" t="str">
        <f t="shared" si="9"/>
        <v>Communication and Advocacy-Senior Manager</v>
      </c>
      <c r="G89" s="5" t="s">
        <v>103</v>
      </c>
      <c r="H89" s="9">
        <v>44725.092650462961</v>
      </c>
      <c r="I89" s="9">
        <v>44728.092650462961</v>
      </c>
      <c r="J89" s="9" t="e">
        <f>I89+#REF!</f>
        <v>#REF!</v>
      </c>
      <c r="K89" s="9" t="e">
        <f>J89+#REF!</f>
        <v>#REF!</v>
      </c>
      <c r="L89" s="10" t="s">
        <v>52</v>
      </c>
      <c r="M89" s="11"/>
      <c r="N89" s="5"/>
      <c r="O89" s="5"/>
      <c r="P89" s="9"/>
      <c r="Q89" s="5"/>
      <c r="R89" s="5"/>
      <c r="S89" s="5"/>
      <c r="T89" s="9"/>
      <c r="U89" s="5"/>
      <c r="V89" s="5">
        <v>0</v>
      </c>
      <c r="W89" s="5"/>
      <c r="X89" s="5"/>
      <c r="Y89" s="5"/>
      <c r="Z89" s="5"/>
      <c r="AA89" s="5"/>
      <c r="AC89" t="str">
        <f t="shared" si="10"/>
        <v/>
      </c>
      <c r="AD89" t="str">
        <f t="shared" si="11"/>
        <v/>
      </c>
      <c r="AE89" t="str">
        <f t="shared" si="12"/>
        <v/>
      </c>
      <c r="AF89" t="str">
        <f t="shared" si="13"/>
        <v/>
      </c>
      <c r="AG89" t="str">
        <f t="shared" si="14"/>
        <v/>
      </c>
      <c r="AH89">
        <f t="shared" si="15"/>
        <v>3</v>
      </c>
      <c r="AI89" t="str">
        <f t="shared" si="16"/>
        <v/>
      </c>
      <c r="AJ89" t="str">
        <f t="shared" si="17"/>
        <v/>
      </c>
    </row>
    <row r="90" spans="1:36">
      <c r="A90" s="5">
        <v>89</v>
      </c>
      <c r="B90" s="5" t="s">
        <v>791</v>
      </c>
      <c r="C90" s="10" t="s">
        <v>671</v>
      </c>
      <c r="D90" s="5" t="s">
        <v>747</v>
      </c>
      <c r="E90" s="5" t="s">
        <v>709</v>
      </c>
      <c r="F90" s="5" t="str">
        <f t="shared" si="9"/>
        <v>Operations-Lead</v>
      </c>
      <c r="G90" s="5" t="s">
        <v>47</v>
      </c>
      <c r="H90" s="9">
        <v>44727.092650462961</v>
      </c>
      <c r="I90" s="9">
        <v>44730.092650462961</v>
      </c>
      <c r="J90" s="9" t="e">
        <f>I90+#REF!</f>
        <v>#REF!</v>
      </c>
      <c r="K90" s="9" t="e">
        <f>J90+#REF!</f>
        <v>#REF!</v>
      </c>
      <c r="L90" s="10" t="s">
        <v>41</v>
      </c>
      <c r="M90" s="11">
        <v>44736.092650462961</v>
      </c>
      <c r="N90" s="5" t="s">
        <v>42</v>
      </c>
      <c r="O90" s="5" t="s">
        <v>58</v>
      </c>
      <c r="P90" s="9"/>
      <c r="Q90" s="5"/>
      <c r="R90" s="5"/>
      <c r="S90" s="5"/>
      <c r="T90" s="9">
        <v>44737.092650462961</v>
      </c>
      <c r="U90" s="5"/>
      <c r="V90" s="5">
        <v>0</v>
      </c>
      <c r="W90" s="5"/>
      <c r="X90" s="5"/>
      <c r="Y90" s="5"/>
      <c r="Z90" s="5"/>
      <c r="AA90" s="5" t="s">
        <v>62</v>
      </c>
      <c r="AC90">
        <f t="shared" si="10"/>
        <v>6</v>
      </c>
      <c r="AD90" t="str">
        <f t="shared" si="11"/>
        <v/>
      </c>
      <c r="AE90">
        <f t="shared" si="12"/>
        <v>1</v>
      </c>
      <c r="AF90" t="str">
        <f t="shared" si="13"/>
        <v/>
      </c>
      <c r="AG90" t="str">
        <f t="shared" si="14"/>
        <v/>
      </c>
      <c r="AH90">
        <f t="shared" si="15"/>
        <v>3</v>
      </c>
      <c r="AI90" t="str">
        <f t="shared" si="16"/>
        <v/>
      </c>
      <c r="AJ90" t="str">
        <f t="shared" si="17"/>
        <v/>
      </c>
    </row>
    <row r="91" spans="1:36">
      <c r="A91" s="5">
        <v>90</v>
      </c>
      <c r="B91" s="5" t="s">
        <v>2224</v>
      </c>
      <c r="C91" s="10" t="s">
        <v>2089</v>
      </c>
      <c r="D91" s="5" t="s">
        <v>2211</v>
      </c>
      <c r="E91" s="5" t="s">
        <v>39</v>
      </c>
      <c r="F91" s="5" t="str">
        <f t="shared" si="9"/>
        <v>Communication and Advocacy-Analyst</v>
      </c>
      <c r="G91" s="5" t="s">
        <v>40</v>
      </c>
      <c r="H91" s="9">
        <v>44725.092650462961</v>
      </c>
      <c r="I91" s="9">
        <v>44728.092650462961</v>
      </c>
      <c r="J91" s="9" t="e">
        <f>I91+#REF!</f>
        <v>#REF!</v>
      </c>
      <c r="K91" s="9" t="e">
        <f>J91+#REF!</f>
        <v>#REF!</v>
      </c>
      <c r="L91" s="10" t="s">
        <v>52</v>
      </c>
      <c r="M91" s="11"/>
      <c r="N91" s="5"/>
      <c r="O91" s="5"/>
      <c r="P91" s="9"/>
      <c r="Q91" s="5"/>
      <c r="R91" s="5"/>
      <c r="S91" s="5"/>
      <c r="T91" s="9"/>
      <c r="U91" s="5"/>
      <c r="V91" s="5">
        <v>0</v>
      </c>
      <c r="W91" s="5"/>
      <c r="X91" s="5"/>
      <c r="Y91" s="5"/>
      <c r="Z91" s="5"/>
      <c r="AA91" s="5"/>
      <c r="AC91" t="str">
        <f t="shared" si="10"/>
        <v/>
      </c>
      <c r="AD91" t="str">
        <f t="shared" si="11"/>
        <v/>
      </c>
      <c r="AE91" t="str">
        <f t="shared" si="12"/>
        <v/>
      </c>
      <c r="AF91" t="str">
        <f t="shared" si="13"/>
        <v/>
      </c>
      <c r="AG91" t="str">
        <f t="shared" si="14"/>
        <v/>
      </c>
      <c r="AH91">
        <f t="shared" si="15"/>
        <v>3</v>
      </c>
      <c r="AI91" t="str">
        <f t="shared" si="16"/>
        <v/>
      </c>
      <c r="AJ91" t="str">
        <f t="shared" si="17"/>
        <v/>
      </c>
    </row>
    <row r="92" spans="1:36">
      <c r="A92" s="5">
        <v>91</v>
      </c>
      <c r="B92" s="5" t="s">
        <v>2082</v>
      </c>
      <c r="C92" s="5" t="s">
        <v>1540</v>
      </c>
      <c r="D92" s="5" t="s">
        <v>1985</v>
      </c>
      <c r="E92" s="5" t="s">
        <v>2072</v>
      </c>
      <c r="F92" s="5" t="str">
        <f t="shared" si="9"/>
        <v>Finance-Collections Officer</v>
      </c>
      <c r="G92" s="5" t="s">
        <v>47</v>
      </c>
      <c r="H92" s="9">
        <v>44842.587280092594</v>
      </c>
      <c r="I92" s="9">
        <v>44844.587280092594</v>
      </c>
      <c r="J92" s="9" t="e">
        <f>I92+#REF!</f>
        <v>#REF!</v>
      </c>
      <c r="K92" s="9" t="e">
        <f>J92+#REF!</f>
        <v>#REF!</v>
      </c>
      <c r="L92" s="10" t="s">
        <v>41</v>
      </c>
      <c r="M92" s="11">
        <v>44859.587280092594</v>
      </c>
      <c r="N92" s="5" t="s">
        <v>48</v>
      </c>
      <c r="O92" s="5"/>
      <c r="P92" s="9">
        <v>44864.587280092594</v>
      </c>
      <c r="Q92" s="5" t="s">
        <v>48</v>
      </c>
      <c r="R92" s="5"/>
      <c r="S92" s="5"/>
      <c r="T92" s="9">
        <v>44860.587280092594</v>
      </c>
      <c r="U92" s="5"/>
      <c r="V92" s="5">
        <v>0</v>
      </c>
      <c r="W92" s="5"/>
      <c r="X92" s="5"/>
      <c r="Y92" s="5"/>
      <c r="Z92" s="5"/>
      <c r="AA92" s="5"/>
      <c r="AC92">
        <f t="shared" si="10"/>
        <v>15</v>
      </c>
      <c r="AD92" t="str">
        <f t="shared" si="11"/>
        <v/>
      </c>
      <c r="AE92">
        <f t="shared" si="12"/>
        <v>1</v>
      </c>
      <c r="AF92" t="str">
        <f t="shared" si="13"/>
        <v/>
      </c>
      <c r="AG92" t="str">
        <f t="shared" si="14"/>
        <v/>
      </c>
      <c r="AH92">
        <f t="shared" si="15"/>
        <v>2</v>
      </c>
      <c r="AI92" t="str">
        <f t="shared" si="16"/>
        <v/>
      </c>
      <c r="AJ92" t="str">
        <f t="shared" si="17"/>
        <v/>
      </c>
    </row>
    <row r="93" spans="1:36">
      <c r="A93" s="5">
        <v>92</v>
      </c>
      <c r="B93" s="5" t="s">
        <v>1814</v>
      </c>
      <c r="C93" s="5" t="s">
        <v>1540</v>
      </c>
      <c r="D93" s="5" t="s">
        <v>1706</v>
      </c>
      <c r="E93" s="5" t="s">
        <v>1804</v>
      </c>
      <c r="F93" s="5" t="str">
        <f t="shared" si="9"/>
        <v>Finance-Contoller</v>
      </c>
      <c r="G93" s="5" t="s">
        <v>270</v>
      </c>
      <c r="H93" s="9">
        <v>44840.587280092594</v>
      </c>
      <c r="I93" s="9">
        <v>44841.587280092594</v>
      </c>
      <c r="J93" s="9" t="e">
        <f>I93+#REF!</f>
        <v>#REF!</v>
      </c>
      <c r="K93" s="9" t="e">
        <f>J93+#REF!</f>
        <v>#REF!</v>
      </c>
      <c r="L93" s="10" t="s">
        <v>41</v>
      </c>
      <c r="M93" s="11">
        <v>44860.587280092594</v>
      </c>
      <c r="N93" s="5" t="s">
        <v>64</v>
      </c>
      <c r="O93" s="5"/>
      <c r="P93" s="9">
        <v>44868.587280092594</v>
      </c>
      <c r="Q93" s="5" t="s">
        <v>64</v>
      </c>
      <c r="R93" s="9">
        <v>44861.587280092594</v>
      </c>
      <c r="S93" s="9">
        <v>44863.587280092594</v>
      </c>
      <c r="T93" s="9">
        <v>44864.587280092594</v>
      </c>
      <c r="U93" s="9">
        <v>44872.587280092594</v>
      </c>
      <c r="V93" s="12">
        <v>1</v>
      </c>
      <c r="W93" s="9">
        <v>44873.587280092594</v>
      </c>
      <c r="X93" s="9">
        <v>44876.587280092594</v>
      </c>
      <c r="Y93" s="9">
        <v>44879.587280092594</v>
      </c>
      <c r="Z93" s="5"/>
      <c r="AA93" s="5"/>
      <c r="AB93" s="13">
        <v>44900.587280092594</v>
      </c>
      <c r="AC93">
        <f t="shared" si="10"/>
        <v>19</v>
      </c>
      <c r="AD93">
        <f t="shared" si="11"/>
        <v>22</v>
      </c>
      <c r="AE93">
        <f t="shared" si="12"/>
        <v>4</v>
      </c>
      <c r="AF93">
        <f t="shared" si="13"/>
        <v>4</v>
      </c>
      <c r="AG93">
        <f t="shared" si="14"/>
        <v>1</v>
      </c>
      <c r="AH93">
        <f t="shared" si="15"/>
        <v>1</v>
      </c>
      <c r="AI93" t="str">
        <f t="shared" si="16"/>
        <v/>
      </c>
      <c r="AJ93" t="str">
        <f t="shared" si="17"/>
        <v/>
      </c>
    </row>
    <row r="94" spans="1:36">
      <c r="A94" s="5">
        <v>93</v>
      </c>
      <c r="B94" s="5" t="s">
        <v>1701</v>
      </c>
      <c r="C94" s="5" t="s">
        <v>1540</v>
      </c>
      <c r="D94" s="5" t="s">
        <v>1588</v>
      </c>
      <c r="E94" s="5" t="s">
        <v>597</v>
      </c>
      <c r="F94" s="5" t="str">
        <f t="shared" si="9"/>
        <v>Finance-Business Partner</v>
      </c>
      <c r="G94" s="5" t="s">
        <v>147</v>
      </c>
      <c r="H94" s="9">
        <v>44839.587280092594</v>
      </c>
      <c r="I94" s="9">
        <v>44842.587280092594</v>
      </c>
      <c r="J94" s="9" t="e">
        <f>I94+#REF!</f>
        <v>#REF!</v>
      </c>
      <c r="K94" s="9" t="e">
        <f>J94+#REF!</f>
        <v>#REF!</v>
      </c>
      <c r="L94" s="10" t="s">
        <v>41</v>
      </c>
      <c r="M94" s="11">
        <v>44849.587280092594</v>
      </c>
      <c r="N94" s="5" t="s">
        <v>48</v>
      </c>
      <c r="O94" s="5"/>
      <c r="P94" s="9">
        <v>44855.587280092594</v>
      </c>
      <c r="Q94" s="5" t="s">
        <v>48</v>
      </c>
      <c r="R94" s="5"/>
      <c r="S94" s="5"/>
      <c r="T94" s="9">
        <v>44852.587280092594</v>
      </c>
      <c r="U94" s="5"/>
      <c r="V94" s="5">
        <v>0</v>
      </c>
      <c r="W94" s="5"/>
      <c r="X94" s="5"/>
      <c r="Y94" s="5"/>
      <c r="Z94" s="5"/>
      <c r="AA94" s="5"/>
      <c r="AC94">
        <f t="shared" si="10"/>
        <v>7</v>
      </c>
      <c r="AD94" t="str">
        <f t="shared" si="11"/>
        <v/>
      </c>
      <c r="AE94">
        <f t="shared" si="12"/>
        <v>3</v>
      </c>
      <c r="AF94" t="str">
        <f t="shared" si="13"/>
        <v/>
      </c>
      <c r="AG94" t="str">
        <f t="shared" si="14"/>
        <v/>
      </c>
      <c r="AH94">
        <f t="shared" si="15"/>
        <v>3</v>
      </c>
      <c r="AI94" t="str">
        <f t="shared" si="16"/>
        <v/>
      </c>
      <c r="AJ94" t="str">
        <f t="shared" si="17"/>
        <v/>
      </c>
    </row>
    <row r="95" spans="1:36">
      <c r="A95" s="5">
        <v>94</v>
      </c>
      <c r="B95" s="5" t="s">
        <v>1582</v>
      </c>
      <c r="C95" s="5" t="s">
        <v>1540</v>
      </c>
      <c r="D95" s="5" t="s">
        <v>1541</v>
      </c>
      <c r="E95" s="5" t="s">
        <v>102</v>
      </c>
      <c r="F95" s="5" t="str">
        <f t="shared" si="9"/>
        <v>Finance-Senior Manager</v>
      </c>
      <c r="G95" s="5" t="s">
        <v>103</v>
      </c>
      <c r="H95" s="9">
        <v>44842.587280092594</v>
      </c>
      <c r="I95" s="9">
        <v>44843.587280092594</v>
      </c>
      <c r="J95" s="9" t="e">
        <f>I95+#REF!</f>
        <v>#REF!</v>
      </c>
      <c r="K95" s="9" t="e">
        <f>J95+#REF!</f>
        <v>#REF!</v>
      </c>
      <c r="L95" s="10" t="s">
        <v>41</v>
      </c>
      <c r="M95" s="11">
        <v>44850.587280092594</v>
      </c>
      <c r="N95" s="5" t="s">
        <v>167</v>
      </c>
      <c r="O95" s="5"/>
      <c r="P95" s="9">
        <v>44857.587280092594</v>
      </c>
      <c r="Q95" s="5" t="s">
        <v>167</v>
      </c>
      <c r="R95" s="5"/>
      <c r="S95" s="5"/>
      <c r="T95" s="9">
        <v>44853.587280092594</v>
      </c>
      <c r="U95" s="5"/>
      <c r="V95" s="5">
        <v>0</v>
      </c>
      <c r="W95" s="5"/>
      <c r="X95" s="5"/>
      <c r="Y95" s="5"/>
      <c r="Z95" s="5"/>
      <c r="AA95" s="5"/>
      <c r="AC95">
        <f t="shared" si="10"/>
        <v>7</v>
      </c>
      <c r="AD95" t="str">
        <f t="shared" si="11"/>
        <v/>
      </c>
      <c r="AE95">
        <f t="shared" si="12"/>
        <v>3</v>
      </c>
      <c r="AF95" t="str">
        <f t="shared" si="13"/>
        <v/>
      </c>
      <c r="AG95" t="str">
        <f t="shared" si="14"/>
        <v/>
      </c>
      <c r="AH95">
        <f t="shared" si="15"/>
        <v>1</v>
      </c>
      <c r="AI95" t="str">
        <f t="shared" si="16"/>
        <v/>
      </c>
      <c r="AJ95" t="str">
        <f t="shared" si="17"/>
        <v/>
      </c>
    </row>
    <row r="96" spans="1:36">
      <c r="A96" s="5">
        <v>95</v>
      </c>
      <c r="B96" s="5" t="s">
        <v>1700</v>
      </c>
      <c r="C96" s="5" t="s">
        <v>1540</v>
      </c>
      <c r="D96" s="5" t="s">
        <v>1588</v>
      </c>
      <c r="E96" s="5" t="s">
        <v>597</v>
      </c>
      <c r="F96" s="5" t="str">
        <f t="shared" si="9"/>
        <v>Finance-Business Partner</v>
      </c>
      <c r="G96" s="5" t="s">
        <v>147</v>
      </c>
      <c r="H96" s="9">
        <v>44839.587280092594</v>
      </c>
      <c r="I96" s="9">
        <v>44841.587280092594</v>
      </c>
      <c r="J96" s="9" t="e">
        <f>I96+#REF!</f>
        <v>#REF!</v>
      </c>
      <c r="K96" s="9" t="e">
        <f>J96+#REF!</f>
        <v>#REF!</v>
      </c>
      <c r="L96" s="10" t="s">
        <v>41</v>
      </c>
      <c r="M96" s="11">
        <v>44857.587280092594</v>
      </c>
      <c r="N96" s="5" t="s">
        <v>167</v>
      </c>
      <c r="O96" s="5"/>
      <c r="P96" s="9">
        <v>44862.587280092594</v>
      </c>
      <c r="Q96" s="5" t="s">
        <v>167</v>
      </c>
      <c r="R96" s="5"/>
      <c r="S96" s="5"/>
      <c r="T96" s="9">
        <v>44859.587280092594</v>
      </c>
      <c r="U96" s="5"/>
      <c r="V96" s="5">
        <v>0</v>
      </c>
      <c r="W96" s="5"/>
      <c r="X96" s="5"/>
      <c r="Y96" s="5"/>
      <c r="Z96" s="5"/>
      <c r="AA96" s="5"/>
      <c r="AC96">
        <f t="shared" si="10"/>
        <v>16</v>
      </c>
      <c r="AD96" t="str">
        <f t="shared" si="11"/>
        <v/>
      </c>
      <c r="AE96">
        <f t="shared" si="12"/>
        <v>2</v>
      </c>
      <c r="AF96" t="str">
        <f t="shared" si="13"/>
        <v/>
      </c>
      <c r="AG96" t="str">
        <f t="shared" si="14"/>
        <v/>
      </c>
      <c r="AH96">
        <f t="shared" si="15"/>
        <v>2</v>
      </c>
      <c r="AI96" t="str">
        <f t="shared" si="16"/>
        <v/>
      </c>
      <c r="AJ96" t="str">
        <f t="shared" si="17"/>
        <v/>
      </c>
    </row>
    <row r="97" spans="1:36">
      <c r="A97" s="5">
        <v>96</v>
      </c>
      <c r="B97" s="5" t="s">
        <v>1974</v>
      </c>
      <c r="C97" s="5" t="s">
        <v>1540</v>
      </c>
      <c r="D97" s="5" t="s">
        <v>1925</v>
      </c>
      <c r="E97" s="5" t="s">
        <v>55</v>
      </c>
      <c r="F97" s="5" t="str">
        <f t="shared" si="9"/>
        <v>Finance-Director</v>
      </c>
      <c r="G97" s="5" t="s">
        <v>56</v>
      </c>
      <c r="H97" s="9">
        <v>44840.587280092594</v>
      </c>
      <c r="I97" s="9">
        <v>44844.587280092594</v>
      </c>
      <c r="J97" s="9" t="e">
        <f>I97+#REF!</f>
        <v>#REF!</v>
      </c>
      <c r="K97" s="9" t="e">
        <f>J97+#REF!</f>
        <v>#REF!</v>
      </c>
      <c r="L97" s="10" t="s">
        <v>41</v>
      </c>
      <c r="M97" s="11">
        <v>44855.587280092594</v>
      </c>
      <c r="N97" s="5" t="s">
        <v>42</v>
      </c>
      <c r="O97" s="5" t="s">
        <v>73</v>
      </c>
      <c r="P97" s="9"/>
      <c r="Q97" s="5"/>
      <c r="R97" s="5"/>
      <c r="S97" s="5"/>
      <c r="T97" s="9">
        <v>44857.587280092594</v>
      </c>
      <c r="U97" s="5"/>
      <c r="V97" s="5">
        <v>0</v>
      </c>
      <c r="W97" s="5"/>
      <c r="X97" s="5"/>
      <c r="Y97" s="5"/>
      <c r="Z97" s="5"/>
      <c r="AA97" s="5" t="s">
        <v>62</v>
      </c>
      <c r="AC97">
        <f t="shared" si="10"/>
        <v>11</v>
      </c>
      <c r="AD97" t="str">
        <f t="shared" si="11"/>
        <v/>
      </c>
      <c r="AE97">
        <f t="shared" si="12"/>
        <v>2</v>
      </c>
      <c r="AF97" t="str">
        <f t="shared" si="13"/>
        <v/>
      </c>
      <c r="AG97" t="str">
        <f t="shared" si="14"/>
        <v/>
      </c>
      <c r="AH97">
        <f t="shared" si="15"/>
        <v>4</v>
      </c>
      <c r="AI97" t="str">
        <f t="shared" si="16"/>
        <v/>
      </c>
      <c r="AJ97" t="str">
        <f t="shared" si="17"/>
        <v/>
      </c>
    </row>
    <row r="98" spans="1:36">
      <c r="A98" s="5">
        <v>97</v>
      </c>
      <c r="B98" s="5" t="s">
        <v>1813</v>
      </c>
      <c r="C98" s="5" t="s">
        <v>1540</v>
      </c>
      <c r="D98" s="5" t="s">
        <v>1706</v>
      </c>
      <c r="E98" s="5" t="s">
        <v>1804</v>
      </c>
      <c r="F98" s="5" t="str">
        <f t="shared" si="9"/>
        <v>Finance-Contoller</v>
      </c>
      <c r="G98" s="5" t="s">
        <v>270</v>
      </c>
      <c r="H98" s="9">
        <v>44840.587280092594</v>
      </c>
      <c r="I98" s="9">
        <v>44841.587280092594</v>
      </c>
      <c r="J98" s="9" t="e">
        <f>I98+#REF!</f>
        <v>#REF!</v>
      </c>
      <c r="K98" s="9" t="e">
        <f>J98+#REF!</f>
        <v>#REF!</v>
      </c>
      <c r="L98" s="10" t="s">
        <v>41</v>
      </c>
      <c r="M98" s="11">
        <v>44851.587280092594</v>
      </c>
      <c r="N98" s="5" t="s">
        <v>64</v>
      </c>
      <c r="O98" s="5"/>
      <c r="P98" s="9">
        <v>44855.587280092594</v>
      </c>
      <c r="Q98" s="5" t="s">
        <v>64</v>
      </c>
      <c r="R98" s="9">
        <v>44853.587280092594</v>
      </c>
      <c r="S98" s="9">
        <v>44856.587280092594</v>
      </c>
      <c r="T98" s="9">
        <v>44852.587280092594</v>
      </c>
      <c r="U98" s="9">
        <v>44856.587280092594</v>
      </c>
      <c r="V98" s="12">
        <v>1</v>
      </c>
      <c r="W98" s="9">
        <v>44858.587280092594</v>
      </c>
      <c r="X98" s="9">
        <v>44861.587280092594</v>
      </c>
      <c r="Y98" s="9">
        <v>44863.587280092594</v>
      </c>
      <c r="Z98" s="5"/>
      <c r="AA98" s="5"/>
      <c r="AB98" s="13">
        <v>44881.587280092594</v>
      </c>
      <c r="AC98">
        <f t="shared" si="10"/>
        <v>10</v>
      </c>
      <c r="AD98">
        <f t="shared" si="11"/>
        <v>15</v>
      </c>
      <c r="AE98">
        <f t="shared" si="12"/>
        <v>1</v>
      </c>
      <c r="AF98">
        <f t="shared" si="13"/>
        <v>5</v>
      </c>
      <c r="AG98">
        <f t="shared" si="14"/>
        <v>2</v>
      </c>
      <c r="AH98">
        <f t="shared" si="15"/>
        <v>1</v>
      </c>
      <c r="AI98" t="str">
        <f t="shared" si="16"/>
        <v/>
      </c>
      <c r="AJ98" t="str">
        <f t="shared" si="17"/>
        <v/>
      </c>
    </row>
    <row r="99" spans="1:36">
      <c r="A99" s="5">
        <v>98</v>
      </c>
      <c r="B99" s="5" t="s">
        <v>1581</v>
      </c>
      <c r="C99" s="5" t="s">
        <v>1540</v>
      </c>
      <c r="D99" s="5" t="s">
        <v>1541</v>
      </c>
      <c r="E99" s="5" t="s">
        <v>102</v>
      </c>
      <c r="F99" s="5" t="str">
        <f t="shared" si="9"/>
        <v>Finance-Senior Manager</v>
      </c>
      <c r="G99" s="5" t="s">
        <v>103</v>
      </c>
      <c r="H99" s="9">
        <v>44840.587280092594</v>
      </c>
      <c r="I99" s="9">
        <v>44841.587280092594</v>
      </c>
      <c r="J99" s="9" t="e">
        <f>I99+#REF!</f>
        <v>#REF!</v>
      </c>
      <c r="K99" s="9" t="e">
        <f>J99+#REF!</f>
        <v>#REF!</v>
      </c>
      <c r="L99" s="10" t="s">
        <v>41</v>
      </c>
      <c r="M99" s="11">
        <v>44855.587280092594</v>
      </c>
      <c r="N99" s="5" t="s">
        <v>64</v>
      </c>
      <c r="O99" s="5"/>
      <c r="P99" s="9">
        <v>44860.587280092594</v>
      </c>
      <c r="Q99" s="5" t="s">
        <v>64</v>
      </c>
      <c r="R99" s="9">
        <v>44857.587280092594</v>
      </c>
      <c r="S99" s="9">
        <v>44861.587280092594</v>
      </c>
      <c r="T99" s="9">
        <v>44858.587280092594</v>
      </c>
      <c r="U99" s="9">
        <v>44864.587280092594</v>
      </c>
      <c r="V99" s="12">
        <v>1</v>
      </c>
      <c r="W99" s="9">
        <v>44866.587280092594</v>
      </c>
      <c r="X99" s="9">
        <v>44868.587280092594</v>
      </c>
      <c r="Y99" s="9">
        <v>44869.587280092594</v>
      </c>
      <c r="Z99" s="5"/>
      <c r="AA99" s="5"/>
      <c r="AB99" s="13">
        <v>44888.587280092594</v>
      </c>
      <c r="AC99">
        <f t="shared" si="10"/>
        <v>14</v>
      </c>
      <c r="AD99">
        <f t="shared" si="11"/>
        <v>20</v>
      </c>
      <c r="AE99">
        <f t="shared" si="12"/>
        <v>3</v>
      </c>
      <c r="AF99">
        <f t="shared" si="13"/>
        <v>4</v>
      </c>
      <c r="AG99">
        <f t="shared" si="14"/>
        <v>2</v>
      </c>
      <c r="AH99">
        <f t="shared" si="15"/>
        <v>1</v>
      </c>
      <c r="AI99" t="str">
        <f t="shared" si="16"/>
        <v/>
      </c>
      <c r="AJ99" t="str">
        <f t="shared" si="17"/>
        <v/>
      </c>
    </row>
    <row r="100" spans="1:36">
      <c r="A100" s="5">
        <v>99</v>
      </c>
      <c r="B100" s="5" t="s">
        <v>1812</v>
      </c>
      <c r="C100" s="5" t="s">
        <v>1540</v>
      </c>
      <c r="D100" s="5" t="s">
        <v>1706</v>
      </c>
      <c r="E100" s="5" t="s">
        <v>1804</v>
      </c>
      <c r="F100" s="5" t="str">
        <f t="shared" si="9"/>
        <v>Finance-Contoller</v>
      </c>
      <c r="G100" s="5" t="s">
        <v>270</v>
      </c>
      <c r="H100" s="9">
        <v>44839.587280092594</v>
      </c>
      <c r="I100" s="9">
        <v>44842.587280092594</v>
      </c>
      <c r="J100" s="9" t="e">
        <f>I100+#REF!</f>
        <v>#REF!</v>
      </c>
      <c r="K100" s="9" t="e">
        <f>J100+#REF!</f>
        <v>#REF!</v>
      </c>
      <c r="L100" s="10" t="s">
        <v>41</v>
      </c>
      <c r="M100" s="11">
        <v>44851.587280092594</v>
      </c>
      <c r="N100" s="5" t="s">
        <v>64</v>
      </c>
      <c r="O100" s="5"/>
      <c r="P100" s="9">
        <v>44856.587280092594</v>
      </c>
      <c r="Q100" s="5" t="s">
        <v>64</v>
      </c>
      <c r="R100" s="9">
        <v>44853.587280092594</v>
      </c>
      <c r="S100" s="9">
        <v>44854.587280092594</v>
      </c>
      <c r="T100" s="9">
        <v>44852.587280092594</v>
      </c>
      <c r="U100" s="9">
        <v>44855.587280092594</v>
      </c>
      <c r="V100" s="12">
        <v>1</v>
      </c>
      <c r="W100" s="9">
        <v>44859.587280092594</v>
      </c>
      <c r="X100" s="9">
        <v>44860.587280092594</v>
      </c>
      <c r="Y100" s="9">
        <v>44862.587280092594</v>
      </c>
      <c r="Z100" s="5"/>
      <c r="AA100" s="5"/>
      <c r="AB100" s="13">
        <v>44877.587280092594</v>
      </c>
      <c r="AC100">
        <f t="shared" si="10"/>
        <v>9</v>
      </c>
      <c r="AD100">
        <f t="shared" si="11"/>
        <v>12</v>
      </c>
      <c r="AE100">
        <f t="shared" si="12"/>
        <v>1</v>
      </c>
      <c r="AF100">
        <f t="shared" si="13"/>
        <v>5</v>
      </c>
      <c r="AG100">
        <f t="shared" si="14"/>
        <v>4</v>
      </c>
      <c r="AH100">
        <f t="shared" si="15"/>
        <v>3</v>
      </c>
      <c r="AI100" t="str">
        <f t="shared" si="16"/>
        <v/>
      </c>
      <c r="AJ100" t="str">
        <f t="shared" si="17"/>
        <v/>
      </c>
    </row>
    <row r="101" spans="1:36">
      <c r="A101" s="5">
        <v>100</v>
      </c>
      <c r="B101" s="5" t="s">
        <v>2081</v>
      </c>
      <c r="C101" s="5" t="s">
        <v>1540</v>
      </c>
      <c r="D101" s="5" t="s">
        <v>1985</v>
      </c>
      <c r="E101" s="5" t="s">
        <v>2072</v>
      </c>
      <c r="F101" s="5" t="str">
        <f t="shared" si="9"/>
        <v>Finance-Collections Officer</v>
      </c>
      <c r="G101" s="5" t="s">
        <v>47</v>
      </c>
      <c r="H101" s="9">
        <v>44837.587280092594</v>
      </c>
      <c r="I101" s="9">
        <v>44841.587280092594</v>
      </c>
      <c r="J101" s="9" t="e">
        <f>I101+#REF!</f>
        <v>#REF!</v>
      </c>
      <c r="K101" s="9" t="e">
        <f>J101+#REF!</f>
        <v>#REF!</v>
      </c>
      <c r="L101" s="10" t="s">
        <v>52</v>
      </c>
      <c r="M101" s="11"/>
      <c r="N101" s="5"/>
      <c r="O101" s="5"/>
      <c r="P101" s="9"/>
      <c r="Q101" s="5"/>
      <c r="R101" s="5"/>
      <c r="S101" s="5"/>
      <c r="T101" s="9"/>
      <c r="U101" s="5"/>
      <c r="V101" s="5">
        <v>0</v>
      </c>
      <c r="W101" s="5"/>
      <c r="X101" s="5"/>
      <c r="Y101" s="5"/>
      <c r="Z101" s="5"/>
      <c r="AA101" s="5"/>
      <c r="AC101" t="str">
        <f t="shared" si="10"/>
        <v/>
      </c>
      <c r="AD101" t="str">
        <f t="shared" si="11"/>
        <v/>
      </c>
      <c r="AE101" t="str">
        <f t="shared" si="12"/>
        <v/>
      </c>
      <c r="AF101" t="str">
        <f t="shared" si="13"/>
        <v/>
      </c>
      <c r="AG101" t="str">
        <f t="shared" si="14"/>
        <v/>
      </c>
      <c r="AH101">
        <f t="shared" si="15"/>
        <v>4</v>
      </c>
      <c r="AI101" t="str">
        <f t="shared" si="16"/>
        <v/>
      </c>
      <c r="AJ101" t="str">
        <f t="shared" si="17"/>
        <v/>
      </c>
    </row>
    <row r="102" spans="1:36">
      <c r="A102" s="5">
        <v>101</v>
      </c>
      <c r="B102" s="5" t="s">
        <v>2080</v>
      </c>
      <c r="C102" s="5" t="s">
        <v>1540</v>
      </c>
      <c r="D102" s="5" t="s">
        <v>1985</v>
      </c>
      <c r="E102" s="5" t="s">
        <v>2072</v>
      </c>
      <c r="F102" s="5" t="str">
        <f t="shared" si="9"/>
        <v>Finance-Collections Officer</v>
      </c>
      <c r="G102" s="5" t="s">
        <v>47</v>
      </c>
      <c r="H102" s="9">
        <v>45014.880046296297</v>
      </c>
      <c r="I102" s="9">
        <v>45016.880046296297</v>
      </c>
      <c r="J102" s="9" t="e">
        <f>I102+#REF!</f>
        <v>#REF!</v>
      </c>
      <c r="K102" s="9" t="e">
        <f>J102+#REF!</f>
        <v>#REF!</v>
      </c>
      <c r="L102" s="10" t="s">
        <v>41</v>
      </c>
      <c r="M102" s="11">
        <v>45034.880046296297</v>
      </c>
      <c r="N102" s="5" t="s">
        <v>42</v>
      </c>
      <c r="O102" s="5" t="s">
        <v>58</v>
      </c>
      <c r="P102" s="9"/>
      <c r="Q102" s="5"/>
      <c r="R102" s="5"/>
      <c r="S102" s="5"/>
      <c r="T102" s="9"/>
      <c r="U102" s="5"/>
      <c r="V102" s="5">
        <v>0</v>
      </c>
      <c r="W102" s="5"/>
      <c r="X102" s="5"/>
      <c r="Y102" s="5"/>
      <c r="Z102" s="5"/>
      <c r="AA102" s="5" t="s">
        <v>62</v>
      </c>
      <c r="AC102">
        <f t="shared" si="10"/>
        <v>18</v>
      </c>
      <c r="AD102" t="str">
        <f t="shared" si="11"/>
        <v/>
      </c>
      <c r="AE102" t="str">
        <f t="shared" si="12"/>
        <v/>
      </c>
      <c r="AF102" t="str">
        <f t="shared" si="13"/>
        <v/>
      </c>
      <c r="AG102" t="str">
        <f t="shared" si="14"/>
        <v/>
      </c>
      <c r="AH102">
        <f t="shared" si="15"/>
        <v>2</v>
      </c>
      <c r="AI102" t="str">
        <f t="shared" si="16"/>
        <v/>
      </c>
      <c r="AJ102" t="str">
        <f t="shared" si="17"/>
        <v/>
      </c>
    </row>
    <row r="103" spans="1:36">
      <c r="A103" s="5">
        <v>102</v>
      </c>
      <c r="B103" s="5" t="s">
        <v>1811</v>
      </c>
      <c r="C103" s="5" t="s">
        <v>1540</v>
      </c>
      <c r="D103" s="5" t="s">
        <v>1706</v>
      </c>
      <c r="E103" s="5" t="s">
        <v>1804</v>
      </c>
      <c r="F103" s="5" t="str">
        <f t="shared" si="9"/>
        <v>Finance-Contoller</v>
      </c>
      <c r="G103" s="5" t="s">
        <v>270</v>
      </c>
      <c r="H103" s="9">
        <v>45010.880046296297</v>
      </c>
      <c r="I103" s="9">
        <v>45014.880046296297</v>
      </c>
      <c r="J103" s="9" t="e">
        <f>I103+#REF!</f>
        <v>#REF!</v>
      </c>
      <c r="K103" s="9" t="e">
        <f>J103+#REF!</f>
        <v>#REF!</v>
      </c>
      <c r="L103" s="10" t="s">
        <v>41</v>
      </c>
      <c r="M103" s="11">
        <v>45024.880046296297</v>
      </c>
      <c r="N103" s="5" t="s">
        <v>64</v>
      </c>
      <c r="O103" s="5"/>
      <c r="P103" s="9">
        <v>45026.880046296297</v>
      </c>
      <c r="Q103" s="5" t="s">
        <v>64</v>
      </c>
      <c r="R103" s="9">
        <v>45025.880046296297</v>
      </c>
      <c r="S103" s="9">
        <v>45029.880046296297</v>
      </c>
      <c r="T103" s="9">
        <v>45025.880046296297</v>
      </c>
      <c r="U103" s="9">
        <v>45026.880046296297</v>
      </c>
      <c r="V103" s="12">
        <v>1</v>
      </c>
      <c r="W103" s="9">
        <v>45028.880046296297</v>
      </c>
      <c r="X103" s="9">
        <v>45031.880046296297</v>
      </c>
      <c r="Y103" s="9">
        <v>45032.880046296297</v>
      </c>
      <c r="Z103" s="5"/>
      <c r="AA103" s="5"/>
      <c r="AB103" s="13">
        <v>45046.880046296297</v>
      </c>
      <c r="AC103">
        <f t="shared" si="10"/>
        <v>10</v>
      </c>
      <c r="AD103">
        <f t="shared" si="11"/>
        <v>15</v>
      </c>
      <c r="AE103">
        <f t="shared" si="12"/>
        <v>1</v>
      </c>
      <c r="AF103">
        <f t="shared" si="13"/>
        <v>5</v>
      </c>
      <c r="AG103">
        <f t="shared" si="14"/>
        <v>2</v>
      </c>
      <c r="AH103">
        <f t="shared" si="15"/>
        <v>4</v>
      </c>
      <c r="AI103" t="str">
        <f t="shared" si="16"/>
        <v/>
      </c>
      <c r="AJ103" t="str">
        <f t="shared" si="17"/>
        <v/>
      </c>
    </row>
    <row r="104" spans="1:36">
      <c r="A104" s="5">
        <v>103</v>
      </c>
      <c r="B104" s="5" t="s">
        <v>1810</v>
      </c>
      <c r="C104" s="5" t="s">
        <v>1540</v>
      </c>
      <c r="D104" s="5" t="s">
        <v>1706</v>
      </c>
      <c r="E104" s="5" t="s">
        <v>1804</v>
      </c>
      <c r="F104" s="5" t="str">
        <f t="shared" si="9"/>
        <v>Finance-Contoller</v>
      </c>
      <c r="G104" s="5" t="s">
        <v>270</v>
      </c>
      <c r="H104" s="9">
        <v>45016.880046296297</v>
      </c>
      <c r="I104" s="9">
        <v>45017.880046296297</v>
      </c>
      <c r="J104" s="9" t="e">
        <f>I104+#REF!</f>
        <v>#REF!</v>
      </c>
      <c r="K104" s="9" t="e">
        <f>J104+#REF!</f>
        <v>#REF!</v>
      </c>
      <c r="L104" s="10" t="s">
        <v>41</v>
      </c>
      <c r="M104" s="11">
        <v>45031.880046296297</v>
      </c>
      <c r="N104" s="5" t="s">
        <v>64</v>
      </c>
      <c r="O104" s="5"/>
      <c r="P104" s="9">
        <v>45037.880046296297</v>
      </c>
      <c r="Q104" s="5" t="s">
        <v>64</v>
      </c>
      <c r="R104" s="9">
        <v>45033.880046296297</v>
      </c>
      <c r="S104" s="9">
        <v>45036.880046296297</v>
      </c>
      <c r="T104" s="9">
        <v>45033.880046296297</v>
      </c>
      <c r="U104" s="9">
        <v>45034.880046296297</v>
      </c>
      <c r="V104" s="12">
        <v>1</v>
      </c>
      <c r="W104" s="9">
        <v>45037.880046296297</v>
      </c>
      <c r="X104" s="9">
        <v>45039.880046296297</v>
      </c>
      <c r="Y104" s="9">
        <v>45042.880046296297</v>
      </c>
      <c r="Z104" s="5"/>
      <c r="AA104" s="5"/>
      <c r="AB104" s="13">
        <v>45050.880046296297</v>
      </c>
      <c r="AC104">
        <f t="shared" si="10"/>
        <v>14</v>
      </c>
      <c r="AD104">
        <f t="shared" si="11"/>
        <v>19</v>
      </c>
      <c r="AE104">
        <f t="shared" si="12"/>
        <v>2</v>
      </c>
      <c r="AF104">
        <f t="shared" si="13"/>
        <v>5</v>
      </c>
      <c r="AG104">
        <f t="shared" si="14"/>
        <v>3</v>
      </c>
      <c r="AH104">
        <f t="shared" si="15"/>
        <v>1</v>
      </c>
      <c r="AI104" t="str">
        <f t="shared" si="16"/>
        <v/>
      </c>
      <c r="AJ104" t="str">
        <f t="shared" si="17"/>
        <v/>
      </c>
    </row>
    <row r="105" spans="1:36">
      <c r="A105" s="5">
        <v>104</v>
      </c>
      <c r="B105" s="5" t="s">
        <v>1580</v>
      </c>
      <c r="C105" s="5" t="s">
        <v>1540</v>
      </c>
      <c r="D105" s="5" t="s">
        <v>1541</v>
      </c>
      <c r="E105" s="5" t="s">
        <v>102</v>
      </c>
      <c r="F105" s="5" t="str">
        <f t="shared" si="9"/>
        <v>Finance-Senior Manager</v>
      </c>
      <c r="G105" s="5" t="s">
        <v>103</v>
      </c>
      <c r="H105" s="9">
        <v>45014.880046296297</v>
      </c>
      <c r="I105" s="9">
        <v>45017.880046296297</v>
      </c>
      <c r="J105" s="9" t="e">
        <f>I105+#REF!</f>
        <v>#REF!</v>
      </c>
      <c r="K105" s="9" t="e">
        <f>J105+#REF!</f>
        <v>#REF!</v>
      </c>
      <c r="L105" s="10" t="s">
        <v>41</v>
      </c>
      <c r="M105" s="11">
        <v>45024.880046296297</v>
      </c>
      <c r="N105" s="5" t="s">
        <v>64</v>
      </c>
      <c r="O105" s="5"/>
      <c r="P105" s="9">
        <v>45030.880046296297</v>
      </c>
      <c r="Q105" s="5" t="s">
        <v>64</v>
      </c>
      <c r="R105" s="9">
        <v>45025.880046296297</v>
      </c>
      <c r="S105" s="9">
        <v>45029.880046296297</v>
      </c>
      <c r="T105" s="9">
        <v>45027.880046296297</v>
      </c>
      <c r="U105" s="9">
        <v>45028.880046296297</v>
      </c>
      <c r="V105" s="12">
        <v>1</v>
      </c>
      <c r="W105" s="9">
        <v>45029.880046296297</v>
      </c>
      <c r="X105" s="9">
        <v>45030.880046296297</v>
      </c>
      <c r="Y105" s="9">
        <v>45032.880046296297</v>
      </c>
      <c r="Z105" s="5"/>
      <c r="AA105" s="5"/>
      <c r="AB105" s="13">
        <v>45045.880046296297</v>
      </c>
      <c r="AC105">
        <f t="shared" si="10"/>
        <v>7</v>
      </c>
      <c r="AD105">
        <f t="shared" si="11"/>
        <v>12</v>
      </c>
      <c r="AE105">
        <f t="shared" si="12"/>
        <v>3</v>
      </c>
      <c r="AF105">
        <f t="shared" si="13"/>
        <v>2</v>
      </c>
      <c r="AG105">
        <f t="shared" si="14"/>
        <v>1</v>
      </c>
      <c r="AH105">
        <f t="shared" si="15"/>
        <v>3</v>
      </c>
      <c r="AI105" t="str">
        <f t="shared" si="16"/>
        <v/>
      </c>
      <c r="AJ105" t="str">
        <f t="shared" si="17"/>
        <v/>
      </c>
    </row>
    <row r="106" spans="1:36">
      <c r="A106" s="5">
        <v>105</v>
      </c>
      <c r="B106" s="5" t="s">
        <v>2079</v>
      </c>
      <c r="C106" s="5" t="s">
        <v>1540</v>
      </c>
      <c r="D106" s="5" t="s">
        <v>1985</v>
      </c>
      <c r="E106" s="5" t="s">
        <v>2072</v>
      </c>
      <c r="F106" s="5" t="str">
        <f t="shared" si="9"/>
        <v>Finance-Collections Officer</v>
      </c>
      <c r="G106" s="5" t="s">
        <v>47</v>
      </c>
      <c r="H106" s="9">
        <v>45010.880046296297</v>
      </c>
      <c r="I106" s="9">
        <v>45014.880046296297</v>
      </c>
      <c r="J106" s="9" t="e">
        <f>I106+#REF!</f>
        <v>#REF!</v>
      </c>
      <c r="K106" s="9" t="e">
        <f>J106+#REF!</f>
        <v>#REF!</v>
      </c>
      <c r="L106" s="10" t="s">
        <v>41</v>
      </c>
      <c r="M106" s="11">
        <v>45027.880046296297</v>
      </c>
      <c r="N106" s="5" t="s">
        <v>48</v>
      </c>
      <c r="O106" s="5"/>
      <c r="P106" s="9">
        <v>45032.880046296297</v>
      </c>
      <c r="Q106" s="5" t="s">
        <v>48</v>
      </c>
      <c r="R106" s="5"/>
      <c r="S106" s="5"/>
      <c r="T106" s="9">
        <v>45030.880046296297</v>
      </c>
      <c r="U106" s="5"/>
      <c r="V106" s="5">
        <v>0</v>
      </c>
      <c r="W106" s="5"/>
      <c r="X106" s="5"/>
      <c r="Y106" s="5"/>
      <c r="Z106" s="5"/>
      <c r="AA106" s="5"/>
      <c r="AC106">
        <f t="shared" si="10"/>
        <v>13</v>
      </c>
      <c r="AD106" t="str">
        <f t="shared" si="11"/>
        <v/>
      </c>
      <c r="AE106">
        <f t="shared" si="12"/>
        <v>3</v>
      </c>
      <c r="AF106" t="str">
        <f t="shared" si="13"/>
        <v/>
      </c>
      <c r="AG106" t="str">
        <f t="shared" si="14"/>
        <v/>
      </c>
      <c r="AH106">
        <f t="shared" si="15"/>
        <v>4</v>
      </c>
      <c r="AI106" t="str">
        <f t="shared" si="16"/>
        <v/>
      </c>
      <c r="AJ106" t="str">
        <f t="shared" si="17"/>
        <v/>
      </c>
    </row>
    <row r="107" spans="1:36">
      <c r="A107" s="5">
        <v>106</v>
      </c>
      <c r="B107" s="5" t="s">
        <v>2078</v>
      </c>
      <c r="C107" s="5" t="s">
        <v>1540</v>
      </c>
      <c r="D107" s="5" t="s">
        <v>1985</v>
      </c>
      <c r="E107" s="5" t="s">
        <v>2072</v>
      </c>
      <c r="F107" s="5" t="str">
        <f t="shared" si="9"/>
        <v>Finance-Collections Officer</v>
      </c>
      <c r="G107" s="5" t="s">
        <v>47</v>
      </c>
      <c r="H107" s="9">
        <v>45014.880046296297</v>
      </c>
      <c r="I107" s="9">
        <v>45015.880046296297</v>
      </c>
      <c r="J107" s="9" t="e">
        <f>I107+#REF!</f>
        <v>#REF!</v>
      </c>
      <c r="K107" s="9" t="e">
        <f>J107+#REF!</f>
        <v>#REF!</v>
      </c>
      <c r="L107" s="10" t="s">
        <v>41</v>
      </c>
      <c r="M107" s="11">
        <v>45032.880046296297</v>
      </c>
      <c r="N107" s="5" t="s">
        <v>42</v>
      </c>
      <c r="O107" s="5" t="s">
        <v>58</v>
      </c>
      <c r="P107" s="9"/>
      <c r="Q107" s="5"/>
      <c r="R107" s="5"/>
      <c r="S107" s="5"/>
      <c r="T107" s="9"/>
      <c r="U107" s="5"/>
      <c r="V107" s="5">
        <v>0</v>
      </c>
      <c r="W107" s="5"/>
      <c r="X107" s="5"/>
      <c r="Y107" s="5"/>
      <c r="Z107" s="5"/>
      <c r="AA107" s="5" t="s">
        <v>44</v>
      </c>
      <c r="AC107">
        <f t="shared" si="10"/>
        <v>17</v>
      </c>
      <c r="AD107" t="str">
        <f t="shared" si="11"/>
        <v/>
      </c>
      <c r="AE107" t="str">
        <f t="shared" si="12"/>
        <v/>
      </c>
      <c r="AF107" t="str">
        <f t="shared" si="13"/>
        <v/>
      </c>
      <c r="AG107" t="str">
        <f t="shared" si="14"/>
        <v/>
      </c>
      <c r="AH107">
        <f t="shared" si="15"/>
        <v>1</v>
      </c>
      <c r="AI107" t="str">
        <f t="shared" si="16"/>
        <v/>
      </c>
      <c r="AJ107" t="str">
        <f t="shared" si="17"/>
        <v/>
      </c>
    </row>
    <row r="108" spans="1:36">
      <c r="A108" s="5">
        <v>107</v>
      </c>
      <c r="B108" s="5" t="s">
        <v>1973</v>
      </c>
      <c r="C108" s="5" t="s">
        <v>1540</v>
      </c>
      <c r="D108" s="5" t="s">
        <v>1925</v>
      </c>
      <c r="E108" s="5" t="s">
        <v>55</v>
      </c>
      <c r="F108" s="5" t="str">
        <f t="shared" si="9"/>
        <v>Finance-Director</v>
      </c>
      <c r="G108" s="5" t="s">
        <v>56</v>
      </c>
      <c r="H108" s="9">
        <v>45013.880046296297</v>
      </c>
      <c r="I108" s="9">
        <v>45016.880046296297</v>
      </c>
      <c r="J108" s="9" t="e">
        <f>I108+#REF!</f>
        <v>#REF!</v>
      </c>
      <c r="K108" s="9" t="e">
        <f>J108+#REF!</f>
        <v>#REF!</v>
      </c>
      <c r="L108" s="10" t="s">
        <v>41</v>
      </c>
      <c r="M108" s="11">
        <v>45022.880046296297</v>
      </c>
      <c r="N108" s="5" t="s">
        <v>167</v>
      </c>
      <c r="O108" s="5"/>
      <c r="P108" s="9">
        <v>45030.880046296297</v>
      </c>
      <c r="Q108" s="5" t="s">
        <v>167</v>
      </c>
      <c r="R108" s="5"/>
      <c r="S108" s="5"/>
      <c r="T108" s="9">
        <v>45026.880046296297</v>
      </c>
      <c r="U108" s="5"/>
      <c r="V108" s="5">
        <v>0</v>
      </c>
      <c r="W108" s="5"/>
      <c r="X108" s="5"/>
      <c r="Y108" s="5"/>
      <c r="Z108" s="5"/>
      <c r="AA108" s="5"/>
      <c r="AC108">
        <f t="shared" si="10"/>
        <v>6</v>
      </c>
      <c r="AD108" t="str">
        <f t="shared" si="11"/>
        <v/>
      </c>
      <c r="AE108">
        <f t="shared" si="12"/>
        <v>4</v>
      </c>
      <c r="AF108" t="str">
        <f t="shared" si="13"/>
        <v/>
      </c>
      <c r="AG108" t="str">
        <f t="shared" si="14"/>
        <v/>
      </c>
      <c r="AH108">
        <f t="shared" si="15"/>
        <v>3</v>
      </c>
      <c r="AI108" t="str">
        <f t="shared" si="16"/>
        <v/>
      </c>
      <c r="AJ108" t="str">
        <f t="shared" si="17"/>
        <v/>
      </c>
    </row>
    <row r="109" spans="1:36">
      <c r="A109" s="5">
        <v>108</v>
      </c>
      <c r="B109" s="5" t="s">
        <v>1918</v>
      </c>
      <c r="C109" s="5" t="s">
        <v>1540</v>
      </c>
      <c r="D109" s="5" t="s">
        <v>1820</v>
      </c>
      <c r="E109" s="5" t="s">
        <v>1862</v>
      </c>
      <c r="F109" s="5" t="str">
        <f t="shared" si="9"/>
        <v>Finance-Billing Officer</v>
      </c>
      <c r="G109" s="5" t="s">
        <v>40</v>
      </c>
      <c r="H109" s="9">
        <v>45015.880046296297</v>
      </c>
      <c r="I109" s="9">
        <v>45016.880046296297</v>
      </c>
      <c r="J109" s="9" t="e">
        <f>I109+#REF!</f>
        <v>#REF!</v>
      </c>
      <c r="K109" s="9" t="e">
        <f>J109+#REF!</f>
        <v>#REF!</v>
      </c>
      <c r="L109" s="10" t="s">
        <v>52</v>
      </c>
      <c r="M109" s="11"/>
      <c r="N109" s="5"/>
      <c r="O109" s="5"/>
      <c r="P109" s="9"/>
      <c r="Q109" s="5"/>
      <c r="R109" s="5"/>
      <c r="S109" s="5"/>
      <c r="T109" s="9"/>
      <c r="U109" s="5"/>
      <c r="V109" s="5">
        <v>0</v>
      </c>
      <c r="W109" s="5"/>
      <c r="X109" s="5"/>
      <c r="Y109" s="5"/>
      <c r="Z109" s="5"/>
      <c r="AA109" s="5"/>
      <c r="AC109" t="str">
        <f t="shared" si="10"/>
        <v/>
      </c>
      <c r="AD109" t="str">
        <f t="shared" si="11"/>
        <v/>
      </c>
      <c r="AE109" t="str">
        <f t="shared" si="12"/>
        <v/>
      </c>
      <c r="AF109" t="str">
        <f t="shared" si="13"/>
        <v/>
      </c>
      <c r="AG109" t="str">
        <f t="shared" si="14"/>
        <v/>
      </c>
      <c r="AH109">
        <f t="shared" si="15"/>
        <v>1</v>
      </c>
      <c r="AI109" t="str">
        <f t="shared" si="16"/>
        <v/>
      </c>
      <c r="AJ109" t="str">
        <f t="shared" si="17"/>
        <v/>
      </c>
    </row>
    <row r="110" spans="1:36">
      <c r="A110" s="5">
        <v>109</v>
      </c>
      <c r="B110" s="5" t="s">
        <v>1579</v>
      </c>
      <c r="C110" s="5" t="s">
        <v>1540</v>
      </c>
      <c r="D110" s="5" t="s">
        <v>1541</v>
      </c>
      <c r="E110" s="5" t="s">
        <v>102</v>
      </c>
      <c r="F110" s="5" t="str">
        <f t="shared" si="9"/>
        <v>Finance-Senior Manager</v>
      </c>
      <c r="G110" s="5" t="s">
        <v>103</v>
      </c>
      <c r="H110" s="9">
        <v>45009.880046296297</v>
      </c>
      <c r="I110" s="9">
        <v>45013.880046296297</v>
      </c>
      <c r="J110" s="9" t="e">
        <f>I110+#REF!</f>
        <v>#REF!</v>
      </c>
      <c r="K110" s="9" t="e">
        <f>J110+#REF!</f>
        <v>#REF!</v>
      </c>
      <c r="L110" s="10" t="s">
        <v>41</v>
      </c>
      <c r="M110" s="11">
        <v>45025.880046296297</v>
      </c>
      <c r="N110" s="5" t="s">
        <v>48</v>
      </c>
      <c r="O110" s="5"/>
      <c r="P110" s="9">
        <v>45032.880046296297</v>
      </c>
      <c r="Q110" s="5" t="s">
        <v>48</v>
      </c>
      <c r="R110" s="5"/>
      <c r="S110" s="5"/>
      <c r="T110" s="9">
        <v>45028.880046296297</v>
      </c>
      <c r="U110" s="5"/>
      <c r="V110" s="5">
        <v>0</v>
      </c>
      <c r="W110" s="5"/>
      <c r="X110" s="5"/>
      <c r="Y110" s="5"/>
      <c r="Z110" s="5"/>
      <c r="AA110" s="5"/>
      <c r="AC110">
        <f t="shared" si="10"/>
        <v>12</v>
      </c>
      <c r="AD110" t="str">
        <f t="shared" si="11"/>
        <v/>
      </c>
      <c r="AE110">
        <f t="shared" si="12"/>
        <v>3</v>
      </c>
      <c r="AF110" t="str">
        <f t="shared" si="13"/>
        <v/>
      </c>
      <c r="AG110" t="str">
        <f t="shared" si="14"/>
        <v/>
      </c>
      <c r="AH110">
        <f t="shared" si="15"/>
        <v>4</v>
      </c>
      <c r="AI110" t="str">
        <f t="shared" si="16"/>
        <v/>
      </c>
      <c r="AJ110" t="str">
        <f t="shared" si="17"/>
        <v/>
      </c>
    </row>
    <row r="111" spans="1:36">
      <c r="A111" s="5">
        <v>110</v>
      </c>
      <c r="B111" s="5" t="s">
        <v>1578</v>
      </c>
      <c r="C111" s="5" t="s">
        <v>1540</v>
      </c>
      <c r="D111" s="5" t="s">
        <v>1541</v>
      </c>
      <c r="E111" s="5" t="s">
        <v>102</v>
      </c>
      <c r="F111" s="5" t="str">
        <f t="shared" si="9"/>
        <v>Finance-Senior Manager</v>
      </c>
      <c r="G111" s="5" t="s">
        <v>103</v>
      </c>
      <c r="H111" s="9">
        <v>45014.880046296297</v>
      </c>
      <c r="I111" s="9">
        <v>45018.880046296297</v>
      </c>
      <c r="J111" s="9" t="e">
        <f>I111+#REF!</f>
        <v>#REF!</v>
      </c>
      <c r="K111" s="9" t="e">
        <f>J111+#REF!</f>
        <v>#REF!</v>
      </c>
      <c r="L111" s="10" t="s">
        <v>41</v>
      </c>
      <c r="M111" s="11">
        <v>45026.880046296297</v>
      </c>
      <c r="N111" s="5" t="s">
        <v>48</v>
      </c>
      <c r="O111" s="5"/>
      <c r="P111" s="9">
        <v>45030.880046296297</v>
      </c>
      <c r="Q111" s="5" t="s">
        <v>48</v>
      </c>
      <c r="R111" s="5"/>
      <c r="S111" s="5"/>
      <c r="T111" s="9">
        <v>45029.880046296297</v>
      </c>
      <c r="U111" s="5"/>
      <c r="V111" s="5">
        <v>0</v>
      </c>
      <c r="W111" s="5"/>
      <c r="X111" s="5"/>
      <c r="Y111" s="5"/>
      <c r="Z111" s="5"/>
      <c r="AA111" s="5"/>
      <c r="AC111">
        <f t="shared" si="10"/>
        <v>8</v>
      </c>
      <c r="AD111" t="str">
        <f t="shared" si="11"/>
        <v/>
      </c>
      <c r="AE111">
        <f t="shared" si="12"/>
        <v>3</v>
      </c>
      <c r="AF111" t="str">
        <f t="shared" si="13"/>
        <v/>
      </c>
      <c r="AG111" t="str">
        <f t="shared" si="14"/>
        <v/>
      </c>
      <c r="AH111">
        <f t="shared" si="15"/>
        <v>4</v>
      </c>
      <c r="AI111" t="str">
        <f t="shared" si="16"/>
        <v/>
      </c>
      <c r="AJ111" t="str">
        <f t="shared" si="17"/>
        <v/>
      </c>
    </row>
    <row r="112" spans="1:36">
      <c r="A112" s="5">
        <v>111</v>
      </c>
      <c r="B112" s="5" t="s">
        <v>2442</v>
      </c>
      <c r="C112" s="5" t="s">
        <v>2229</v>
      </c>
      <c r="D112" s="5" t="s">
        <v>2403</v>
      </c>
      <c r="E112" s="5" t="s">
        <v>1939</v>
      </c>
      <c r="F112" s="5" t="str">
        <f t="shared" si="9"/>
        <v>Capacity Building-Principal Officer</v>
      </c>
      <c r="G112" s="5" t="s">
        <v>56</v>
      </c>
      <c r="H112" s="9">
        <v>44741.19809027778</v>
      </c>
      <c r="I112" s="9">
        <v>44742.19809027778</v>
      </c>
      <c r="J112" s="9" t="e">
        <f>I112+#REF!</f>
        <v>#REF!</v>
      </c>
      <c r="K112" s="9" t="e">
        <f>J112+#REF!</f>
        <v>#REF!</v>
      </c>
      <c r="L112" s="10" t="s">
        <v>41</v>
      </c>
      <c r="M112" s="11">
        <v>44752.19809027778</v>
      </c>
      <c r="N112" s="5" t="s">
        <v>42</v>
      </c>
      <c r="O112" s="5" t="s">
        <v>113</v>
      </c>
      <c r="P112" s="9"/>
      <c r="Q112" s="5"/>
      <c r="R112" s="5"/>
      <c r="S112" s="5"/>
      <c r="T112" s="9"/>
      <c r="U112" s="5"/>
      <c r="V112" s="5">
        <v>0</v>
      </c>
      <c r="W112" s="5"/>
      <c r="X112" s="5"/>
      <c r="Y112" s="5"/>
      <c r="Z112" s="5"/>
      <c r="AA112" s="5" t="s">
        <v>44</v>
      </c>
      <c r="AC112">
        <f t="shared" si="10"/>
        <v>10</v>
      </c>
      <c r="AD112" t="str">
        <f t="shared" si="11"/>
        <v/>
      </c>
      <c r="AE112" t="str">
        <f t="shared" si="12"/>
        <v/>
      </c>
      <c r="AF112" t="str">
        <f t="shared" si="13"/>
        <v/>
      </c>
      <c r="AG112" t="str">
        <f t="shared" si="14"/>
        <v/>
      </c>
      <c r="AH112">
        <f t="shared" si="15"/>
        <v>1</v>
      </c>
      <c r="AI112" t="str">
        <f t="shared" si="16"/>
        <v/>
      </c>
      <c r="AJ112" t="str">
        <f t="shared" si="17"/>
        <v/>
      </c>
    </row>
    <row r="113" spans="1:36">
      <c r="A113" s="5">
        <v>112</v>
      </c>
      <c r="B113" s="5" t="s">
        <v>2297</v>
      </c>
      <c r="C113" s="5" t="s">
        <v>2229</v>
      </c>
      <c r="D113" s="5" t="s">
        <v>2250</v>
      </c>
      <c r="E113" s="5" t="s">
        <v>815</v>
      </c>
      <c r="F113" s="5" t="str">
        <f t="shared" si="9"/>
        <v>Capacity Building-Auditor</v>
      </c>
      <c r="G113" s="5" t="s">
        <v>147</v>
      </c>
      <c r="H113" s="9">
        <v>44743.19809027778</v>
      </c>
      <c r="I113" s="9">
        <v>44744.19809027778</v>
      </c>
      <c r="J113" s="9" t="e">
        <f>I113+#REF!</f>
        <v>#REF!</v>
      </c>
      <c r="K113" s="9" t="e">
        <f>J113+#REF!</f>
        <v>#REF!</v>
      </c>
      <c r="L113" s="10" t="s">
        <v>41</v>
      </c>
      <c r="M113" s="11">
        <v>44752.19809027778</v>
      </c>
      <c r="N113" s="5" t="s">
        <v>64</v>
      </c>
      <c r="O113" s="5"/>
      <c r="P113" s="9">
        <v>44758.19809027778</v>
      </c>
      <c r="Q113" s="5" t="s">
        <v>64</v>
      </c>
      <c r="R113" s="9">
        <v>44753.19809027778</v>
      </c>
      <c r="S113" s="9">
        <v>44757.19809027778</v>
      </c>
      <c r="T113" s="9">
        <v>44754.19809027778</v>
      </c>
      <c r="U113" s="9">
        <v>44755.19809027778</v>
      </c>
      <c r="V113" s="12">
        <v>1</v>
      </c>
      <c r="W113" s="9">
        <v>44757.19809027778</v>
      </c>
      <c r="X113" s="9">
        <v>44758.19809027778</v>
      </c>
      <c r="Y113" s="9">
        <v>44761.19809027778</v>
      </c>
      <c r="Z113" s="5"/>
      <c r="AA113" s="5"/>
      <c r="AB113" s="13">
        <v>44782.19809027778</v>
      </c>
      <c r="AC113">
        <f t="shared" si="10"/>
        <v>8</v>
      </c>
      <c r="AD113">
        <f t="shared" si="11"/>
        <v>13</v>
      </c>
      <c r="AE113">
        <f t="shared" si="12"/>
        <v>2</v>
      </c>
      <c r="AF113">
        <f t="shared" si="13"/>
        <v>3</v>
      </c>
      <c r="AG113">
        <f t="shared" si="14"/>
        <v>2</v>
      </c>
      <c r="AH113">
        <f t="shared" si="15"/>
        <v>1</v>
      </c>
      <c r="AI113" t="str">
        <f t="shared" si="16"/>
        <v/>
      </c>
      <c r="AJ113" t="str">
        <f t="shared" si="17"/>
        <v/>
      </c>
    </row>
    <row r="114" spans="1:36">
      <c r="A114" s="5">
        <v>113</v>
      </c>
      <c r="B114" s="5" t="s">
        <v>2247</v>
      </c>
      <c r="C114" s="5" t="s">
        <v>2229</v>
      </c>
      <c r="D114" s="5" t="s">
        <v>2230</v>
      </c>
      <c r="E114" s="5" t="s">
        <v>102</v>
      </c>
      <c r="F114" s="5" t="str">
        <f t="shared" si="9"/>
        <v>Capacity Building-Senior Manager</v>
      </c>
      <c r="G114" s="5" t="s">
        <v>103</v>
      </c>
      <c r="H114" s="9">
        <v>44738.19809027778</v>
      </c>
      <c r="I114" s="9">
        <v>44742.19809027778</v>
      </c>
      <c r="J114" s="9" t="e">
        <f>I114+#REF!</f>
        <v>#REF!</v>
      </c>
      <c r="K114" s="9" t="e">
        <f>J114+#REF!</f>
        <v>#REF!</v>
      </c>
      <c r="L114" s="10" t="s">
        <v>41</v>
      </c>
      <c r="M114" s="11">
        <v>44761.19809027778</v>
      </c>
      <c r="N114" s="5" t="s">
        <v>48</v>
      </c>
      <c r="O114" s="5"/>
      <c r="P114" s="9">
        <v>44766.19809027778</v>
      </c>
      <c r="Q114" s="5" t="s">
        <v>48</v>
      </c>
      <c r="R114" s="5"/>
      <c r="S114" s="5"/>
      <c r="T114" s="9">
        <v>44762.19809027778</v>
      </c>
      <c r="U114" s="5"/>
      <c r="V114" s="5">
        <v>0</v>
      </c>
      <c r="W114" s="5"/>
      <c r="X114" s="5"/>
      <c r="Y114" s="5"/>
      <c r="Z114" s="5"/>
      <c r="AA114" s="5"/>
      <c r="AC114">
        <f t="shared" si="10"/>
        <v>19</v>
      </c>
      <c r="AD114" t="str">
        <f t="shared" si="11"/>
        <v/>
      </c>
      <c r="AE114">
        <f t="shared" si="12"/>
        <v>1</v>
      </c>
      <c r="AF114" t="str">
        <f t="shared" si="13"/>
        <v/>
      </c>
      <c r="AG114" t="str">
        <f t="shared" si="14"/>
        <v/>
      </c>
      <c r="AH114">
        <f t="shared" si="15"/>
        <v>4</v>
      </c>
      <c r="AI114" t="str">
        <f t="shared" si="16"/>
        <v/>
      </c>
      <c r="AJ114" t="str">
        <f t="shared" si="17"/>
        <v/>
      </c>
    </row>
    <row r="115" spans="1:36">
      <c r="A115" s="5">
        <v>114</v>
      </c>
      <c r="B115" s="5" t="s">
        <v>2399</v>
      </c>
      <c r="C115" s="5" t="s">
        <v>2229</v>
      </c>
      <c r="D115" s="5" t="s">
        <v>2350</v>
      </c>
      <c r="E115" s="5" t="s">
        <v>39</v>
      </c>
      <c r="F115" s="5" t="str">
        <f t="shared" si="9"/>
        <v>Capacity Building-Analyst</v>
      </c>
      <c r="G115" s="5" t="s">
        <v>40</v>
      </c>
      <c r="H115" s="9">
        <v>44738.19809027778</v>
      </c>
      <c r="I115" s="9">
        <v>44740.19809027778</v>
      </c>
      <c r="J115" s="9" t="e">
        <f>I115+#REF!</f>
        <v>#REF!</v>
      </c>
      <c r="K115" s="9" t="e">
        <f>J115+#REF!</f>
        <v>#REF!</v>
      </c>
      <c r="L115" s="10" t="s">
        <v>41</v>
      </c>
      <c r="M115" s="11">
        <v>44749.19809027778</v>
      </c>
      <c r="N115" s="5" t="s">
        <v>64</v>
      </c>
      <c r="O115" s="5"/>
      <c r="P115" s="9">
        <v>44752.19809027778</v>
      </c>
      <c r="Q115" s="5" t="s">
        <v>64</v>
      </c>
      <c r="R115" s="9">
        <v>44750.19809027778</v>
      </c>
      <c r="S115" s="9">
        <v>44754.19809027778</v>
      </c>
      <c r="T115" s="9">
        <v>44750.19809027778</v>
      </c>
      <c r="U115" s="9">
        <v>44753.19809027778</v>
      </c>
      <c r="V115" s="12">
        <v>1</v>
      </c>
      <c r="W115" s="9">
        <v>44754.19809027778</v>
      </c>
      <c r="X115" s="9">
        <v>44755.19809027778</v>
      </c>
      <c r="Y115" s="9">
        <v>44757.19809027778</v>
      </c>
      <c r="Z115" s="5"/>
      <c r="AA115" s="5"/>
      <c r="AB115" s="13">
        <v>44777.19809027778</v>
      </c>
      <c r="AC115">
        <f t="shared" si="10"/>
        <v>9</v>
      </c>
      <c r="AD115">
        <f t="shared" si="11"/>
        <v>14</v>
      </c>
      <c r="AE115">
        <f t="shared" si="12"/>
        <v>1</v>
      </c>
      <c r="AF115">
        <f t="shared" si="13"/>
        <v>2</v>
      </c>
      <c r="AG115">
        <f t="shared" si="14"/>
        <v>1</v>
      </c>
      <c r="AH115">
        <f t="shared" si="15"/>
        <v>2</v>
      </c>
      <c r="AI115" t="str">
        <f t="shared" si="16"/>
        <v/>
      </c>
      <c r="AJ115" t="str">
        <f t="shared" si="17"/>
        <v/>
      </c>
    </row>
    <row r="116" spans="1:36">
      <c r="A116" s="5">
        <v>115</v>
      </c>
      <c r="B116" s="5" t="s">
        <v>2296</v>
      </c>
      <c r="C116" s="5" t="s">
        <v>2229</v>
      </c>
      <c r="D116" s="5" t="s">
        <v>2250</v>
      </c>
      <c r="E116" s="5" t="s">
        <v>815</v>
      </c>
      <c r="F116" s="5" t="str">
        <f t="shared" si="9"/>
        <v>Capacity Building-Auditor</v>
      </c>
      <c r="G116" s="5" t="s">
        <v>147</v>
      </c>
      <c r="H116" s="9">
        <v>44738.19809027778</v>
      </c>
      <c r="I116" s="9">
        <v>44741.19809027778</v>
      </c>
      <c r="J116" s="9" t="e">
        <f>I116+#REF!</f>
        <v>#REF!</v>
      </c>
      <c r="K116" s="9" t="e">
        <f>J116+#REF!</f>
        <v>#REF!</v>
      </c>
      <c r="L116" s="10" t="s">
        <v>41</v>
      </c>
      <c r="M116" s="11">
        <v>44760.19809027778</v>
      </c>
      <c r="N116" s="5" t="s">
        <v>42</v>
      </c>
      <c r="O116" s="5" t="s">
        <v>113</v>
      </c>
      <c r="P116" s="9"/>
      <c r="Q116" s="5"/>
      <c r="R116" s="5"/>
      <c r="S116" s="5"/>
      <c r="T116" s="9"/>
      <c r="U116" s="5"/>
      <c r="V116" s="5">
        <v>0</v>
      </c>
      <c r="W116" s="5"/>
      <c r="X116" s="5"/>
      <c r="Y116" s="5"/>
      <c r="Z116" s="5"/>
      <c r="AA116" s="5" t="s">
        <v>62</v>
      </c>
      <c r="AC116">
        <f t="shared" si="10"/>
        <v>19</v>
      </c>
      <c r="AD116" t="str">
        <f t="shared" si="11"/>
        <v/>
      </c>
      <c r="AE116" t="str">
        <f t="shared" si="12"/>
        <v/>
      </c>
      <c r="AF116" t="str">
        <f t="shared" si="13"/>
        <v/>
      </c>
      <c r="AG116" t="str">
        <f t="shared" si="14"/>
        <v/>
      </c>
      <c r="AH116">
        <f t="shared" si="15"/>
        <v>3</v>
      </c>
      <c r="AI116" t="str">
        <f t="shared" si="16"/>
        <v/>
      </c>
      <c r="AJ116" t="str">
        <f t="shared" si="17"/>
        <v/>
      </c>
    </row>
    <row r="117" spans="1:36">
      <c r="A117" s="5">
        <v>116</v>
      </c>
      <c r="B117" s="5" t="s">
        <v>2490</v>
      </c>
      <c r="C117" s="5" t="s">
        <v>2229</v>
      </c>
      <c r="D117" s="5" t="s">
        <v>2445</v>
      </c>
      <c r="E117" s="5" t="s">
        <v>39</v>
      </c>
      <c r="F117" s="5" t="str">
        <f t="shared" si="9"/>
        <v>Capacity Building-Analyst</v>
      </c>
      <c r="G117" s="5" t="s">
        <v>47</v>
      </c>
      <c r="H117" s="9">
        <v>44737.19809027778</v>
      </c>
      <c r="I117" s="9">
        <v>44741.19809027778</v>
      </c>
      <c r="J117" s="9" t="e">
        <f>I117+#REF!</f>
        <v>#REF!</v>
      </c>
      <c r="K117" s="9" t="e">
        <f>J117+#REF!</f>
        <v>#REF!</v>
      </c>
      <c r="L117" s="10" t="s">
        <v>41</v>
      </c>
      <c r="M117" s="11">
        <v>44759.19809027778</v>
      </c>
      <c r="N117" s="5" t="s">
        <v>42</v>
      </c>
      <c r="O117" s="5" t="s">
        <v>98</v>
      </c>
      <c r="P117" s="9"/>
      <c r="Q117" s="5"/>
      <c r="R117" s="5"/>
      <c r="S117" s="5"/>
      <c r="T117" s="9">
        <v>44763.19809027778</v>
      </c>
      <c r="U117" s="5"/>
      <c r="V117" s="5">
        <v>0</v>
      </c>
      <c r="W117" s="5"/>
      <c r="X117" s="5"/>
      <c r="Y117" s="5"/>
      <c r="Z117" s="5"/>
      <c r="AA117" s="5" t="s">
        <v>44</v>
      </c>
      <c r="AC117">
        <f t="shared" si="10"/>
        <v>18</v>
      </c>
      <c r="AD117" t="str">
        <f t="shared" si="11"/>
        <v/>
      </c>
      <c r="AE117">
        <f t="shared" si="12"/>
        <v>4</v>
      </c>
      <c r="AF117" t="str">
        <f t="shared" si="13"/>
        <v/>
      </c>
      <c r="AG117" t="str">
        <f t="shared" si="14"/>
        <v/>
      </c>
      <c r="AH117">
        <f t="shared" si="15"/>
        <v>4</v>
      </c>
      <c r="AI117" t="str">
        <f t="shared" si="16"/>
        <v/>
      </c>
      <c r="AJ117" t="str">
        <f t="shared" si="17"/>
        <v/>
      </c>
    </row>
    <row r="118" spans="1:36">
      <c r="A118" s="5">
        <v>117</v>
      </c>
      <c r="B118" s="5" t="s">
        <v>2347</v>
      </c>
      <c r="C118" s="5" t="s">
        <v>2229</v>
      </c>
      <c r="D118" s="5" t="s">
        <v>2302</v>
      </c>
      <c r="E118" s="5" t="s">
        <v>269</v>
      </c>
      <c r="F118" s="5" t="str">
        <f t="shared" si="9"/>
        <v>Capacity Building-Manager</v>
      </c>
      <c r="G118" s="5" t="s">
        <v>270</v>
      </c>
      <c r="H118" s="9">
        <v>44737.19809027778</v>
      </c>
      <c r="I118" s="9">
        <v>44740.19809027778</v>
      </c>
      <c r="J118" s="9" t="e">
        <f>I118+#REF!</f>
        <v>#REF!</v>
      </c>
      <c r="K118" s="9" t="e">
        <f>J118+#REF!</f>
        <v>#REF!</v>
      </c>
      <c r="L118" s="10" t="s">
        <v>41</v>
      </c>
      <c r="M118" s="11">
        <v>44755.19809027778</v>
      </c>
      <c r="N118" s="5" t="s">
        <v>64</v>
      </c>
      <c r="O118" s="5"/>
      <c r="P118" s="9">
        <v>44759.19809027778</v>
      </c>
      <c r="Q118" s="5" t="s">
        <v>64</v>
      </c>
      <c r="R118" s="9">
        <v>44757.19809027778</v>
      </c>
      <c r="S118" s="9">
        <v>44759.19809027778</v>
      </c>
      <c r="T118" s="9">
        <v>44758.19809027778</v>
      </c>
      <c r="U118" s="9">
        <v>44759.19809027778</v>
      </c>
      <c r="V118" s="12">
        <v>1</v>
      </c>
      <c r="W118" s="9">
        <v>44763.19809027778</v>
      </c>
      <c r="X118" s="9">
        <v>44765.19809027778</v>
      </c>
      <c r="Y118" s="9">
        <v>44768.19809027778</v>
      </c>
      <c r="Z118" s="5"/>
      <c r="AA118" s="5"/>
      <c r="AB118" s="13">
        <v>44784.19809027778</v>
      </c>
      <c r="AC118">
        <f t="shared" si="10"/>
        <v>15</v>
      </c>
      <c r="AD118">
        <f t="shared" si="11"/>
        <v>19</v>
      </c>
      <c r="AE118">
        <f t="shared" si="12"/>
        <v>3</v>
      </c>
      <c r="AF118">
        <f t="shared" si="13"/>
        <v>6</v>
      </c>
      <c r="AG118">
        <f t="shared" si="14"/>
        <v>4</v>
      </c>
      <c r="AH118">
        <f t="shared" si="15"/>
        <v>3</v>
      </c>
      <c r="AI118" t="str">
        <f t="shared" si="16"/>
        <v/>
      </c>
      <c r="AJ118" t="str">
        <f t="shared" si="17"/>
        <v/>
      </c>
    </row>
    <row r="119" spans="1:36">
      <c r="A119" s="5">
        <v>118</v>
      </c>
      <c r="B119" s="5" t="s">
        <v>2489</v>
      </c>
      <c r="C119" s="5" t="s">
        <v>2229</v>
      </c>
      <c r="D119" s="5" t="s">
        <v>2445</v>
      </c>
      <c r="E119" s="5" t="s">
        <v>39</v>
      </c>
      <c r="F119" s="5" t="str">
        <f t="shared" si="9"/>
        <v>Capacity Building-Analyst</v>
      </c>
      <c r="G119" s="5" t="s">
        <v>47</v>
      </c>
      <c r="H119" s="9">
        <v>44736.19809027778</v>
      </c>
      <c r="I119" s="9">
        <v>44740.19809027778</v>
      </c>
      <c r="J119" s="9" t="e">
        <f>I119+#REF!</f>
        <v>#REF!</v>
      </c>
      <c r="K119" s="9" t="e">
        <f>J119+#REF!</f>
        <v>#REF!</v>
      </c>
      <c r="L119" s="10" t="s">
        <v>41</v>
      </c>
      <c r="M119" s="11">
        <v>44753.19809027778</v>
      </c>
      <c r="N119" s="5" t="s">
        <v>42</v>
      </c>
      <c r="O119" s="5" t="s">
        <v>113</v>
      </c>
      <c r="P119" s="9"/>
      <c r="Q119" s="5"/>
      <c r="R119" s="5"/>
      <c r="S119" s="5"/>
      <c r="T119" s="9"/>
      <c r="U119" s="5"/>
      <c r="V119" s="5">
        <v>0</v>
      </c>
      <c r="W119" s="5"/>
      <c r="X119" s="5"/>
      <c r="Y119" s="5"/>
      <c r="Z119" s="5"/>
      <c r="AA119" s="5" t="s">
        <v>62</v>
      </c>
      <c r="AC119">
        <f t="shared" si="10"/>
        <v>13</v>
      </c>
      <c r="AD119" t="str">
        <f t="shared" si="11"/>
        <v/>
      </c>
      <c r="AE119" t="str">
        <f t="shared" si="12"/>
        <v/>
      </c>
      <c r="AF119" t="str">
        <f t="shared" si="13"/>
        <v/>
      </c>
      <c r="AG119" t="str">
        <f t="shared" si="14"/>
        <v/>
      </c>
      <c r="AH119">
        <f t="shared" si="15"/>
        <v>4</v>
      </c>
      <c r="AI119" t="str">
        <f t="shared" si="16"/>
        <v/>
      </c>
      <c r="AJ119" t="str">
        <f t="shared" si="17"/>
        <v/>
      </c>
    </row>
    <row r="120" spans="1:36">
      <c r="A120" s="5">
        <v>119</v>
      </c>
      <c r="B120" s="5" t="s">
        <v>2246</v>
      </c>
      <c r="C120" s="5" t="s">
        <v>2229</v>
      </c>
      <c r="D120" s="5" t="s">
        <v>2230</v>
      </c>
      <c r="E120" s="5" t="s">
        <v>102</v>
      </c>
      <c r="F120" s="5" t="str">
        <f t="shared" si="9"/>
        <v>Capacity Building-Senior Manager</v>
      </c>
      <c r="G120" s="5" t="s">
        <v>103</v>
      </c>
      <c r="H120" s="9">
        <v>44739.19809027778</v>
      </c>
      <c r="I120" s="9">
        <v>44741.19809027778</v>
      </c>
      <c r="J120" s="9" t="e">
        <f>I120+#REF!</f>
        <v>#REF!</v>
      </c>
      <c r="K120" s="9" t="e">
        <f>J120+#REF!</f>
        <v>#REF!</v>
      </c>
      <c r="L120" s="10" t="s">
        <v>41</v>
      </c>
      <c r="M120" s="11">
        <v>44762.19809027778</v>
      </c>
      <c r="N120" s="5" t="s">
        <v>64</v>
      </c>
      <c r="O120" s="5"/>
      <c r="P120" s="9">
        <v>44766.19809027778</v>
      </c>
      <c r="Q120" s="5" t="s">
        <v>64</v>
      </c>
      <c r="R120" s="9">
        <v>44764.19809027778</v>
      </c>
      <c r="S120" s="9">
        <v>44766.19809027778</v>
      </c>
      <c r="T120" s="9">
        <v>44764.19809027778</v>
      </c>
      <c r="U120" s="9">
        <v>44771.19809027778</v>
      </c>
      <c r="V120" s="12">
        <v>1</v>
      </c>
      <c r="W120" s="9">
        <v>44773.19809027778</v>
      </c>
      <c r="X120" s="9">
        <v>44774.19809027778</v>
      </c>
      <c r="Y120" s="9">
        <v>44775.19809027778</v>
      </c>
      <c r="Z120" s="5"/>
      <c r="AA120" s="5"/>
      <c r="AB120" s="13">
        <v>44786.19809027778</v>
      </c>
      <c r="AC120">
        <f t="shared" si="10"/>
        <v>21</v>
      </c>
      <c r="AD120">
        <f t="shared" si="11"/>
        <v>25</v>
      </c>
      <c r="AE120">
        <f t="shared" si="12"/>
        <v>2</v>
      </c>
      <c r="AF120">
        <f t="shared" si="13"/>
        <v>3</v>
      </c>
      <c r="AG120">
        <f t="shared" si="14"/>
        <v>2</v>
      </c>
      <c r="AH120">
        <f t="shared" si="15"/>
        <v>2</v>
      </c>
      <c r="AI120" t="str">
        <f t="shared" si="16"/>
        <v/>
      </c>
      <c r="AJ120" t="str">
        <f t="shared" si="17"/>
        <v/>
      </c>
    </row>
    <row r="121" spans="1:36">
      <c r="A121" s="5">
        <v>120</v>
      </c>
      <c r="B121" s="5" t="s">
        <v>2346</v>
      </c>
      <c r="C121" s="5" t="s">
        <v>2229</v>
      </c>
      <c r="D121" s="5" t="s">
        <v>2302</v>
      </c>
      <c r="E121" s="5" t="s">
        <v>269</v>
      </c>
      <c r="F121" s="5" t="str">
        <f t="shared" si="9"/>
        <v>Capacity Building-Manager</v>
      </c>
      <c r="G121" s="5" t="s">
        <v>270</v>
      </c>
      <c r="H121" s="9">
        <v>44739.19809027778</v>
      </c>
      <c r="I121" s="9">
        <v>44743.19809027778</v>
      </c>
      <c r="J121" s="9" t="e">
        <f>I121+#REF!</f>
        <v>#REF!</v>
      </c>
      <c r="K121" s="9" t="e">
        <f>J121+#REF!</f>
        <v>#REF!</v>
      </c>
      <c r="L121" s="10" t="s">
        <v>52</v>
      </c>
      <c r="M121" s="11"/>
      <c r="N121" s="5"/>
      <c r="O121" s="5"/>
      <c r="P121" s="9"/>
      <c r="Q121" s="5"/>
      <c r="R121" s="5"/>
      <c r="S121" s="5"/>
      <c r="T121" s="9"/>
      <c r="U121" s="5"/>
      <c r="V121" s="5">
        <v>0</v>
      </c>
      <c r="W121" s="5"/>
      <c r="X121" s="5"/>
      <c r="Y121" s="5"/>
      <c r="Z121" s="5"/>
      <c r="AA121" s="5"/>
      <c r="AC121" t="str">
        <f t="shared" si="10"/>
        <v/>
      </c>
      <c r="AD121" t="str">
        <f t="shared" si="11"/>
        <v/>
      </c>
      <c r="AE121" t="str">
        <f t="shared" si="12"/>
        <v/>
      </c>
      <c r="AF121" t="str">
        <f t="shared" si="13"/>
        <v/>
      </c>
      <c r="AG121" t="str">
        <f t="shared" si="14"/>
        <v/>
      </c>
      <c r="AH121">
        <f t="shared" si="15"/>
        <v>4</v>
      </c>
      <c r="AI121" t="str">
        <f t="shared" si="16"/>
        <v/>
      </c>
      <c r="AJ121" t="str">
        <f t="shared" si="17"/>
        <v/>
      </c>
    </row>
    <row r="122" spans="1:36">
      <c r="A122" s="5">
        <v>121</v>
      </c>
      <c r="B122" s="5" t="s">
        <v>744</v>
      </c>
      <c r="C122" s="10" t="s">
        <v>671</v>
      </c>
      <c r="D122" s="5" t="s">
        <v>708</v>
      </c>
      <c r="E122" s="5" t="s">
        <v>55</v>
      </c>
      <c r="F122" s="5" t="str">
        <f t="shared" si="9"/>
        <v>Operations-Director</v>
      </c>
      <c r="G122" s="5" t="s">
        <v>56</v>
      </c>
      <c r="H122" s="9">
        <v>44828.472696759258</v>
      </c>
      <c r="I122" s="9">
        <v>44832.472696759258</v>
      </c>
      <c r="J122" s="9" t="e">
        <f>I122+#REF!</f>
        <v>#REF!</v>
      </c>
      <c r="K122" s="9" t="e">
        <f>J122+#REF!</f>
        <v>#REF!</v>
      </c>
      <c r="L122" s="10" t="s">
        <v>41</v>
      </c>
      <c r="M122" s="11">
        <v>44842.472696759258</v>
      </c>
      <c r="N122" s="5" t="s">
        <v>48</v>
      </c>
      <c r="O122" s="5"/>
      <c r="P122" s="9">
        <v>44848.472696759258</v>
      </c>
      <c r="Q122" s="5" t="s">
        <v>48</v>
      </c>
      <c r="R122" s="5"/>
      <c r="S122" s="5"/>
      <c r="T122" s="9">
        <v>44845.472696759258</v>
      </c>
      <c r="U122" s="5"/>
      <c r="V122" s="5">
        <v>0</v>
      </c>
      <c r="W122" s="5"/>
      <c r="X122" s="5"/>
      <c r="Y122" s="5"/>
      <c r="Z122" s="5"/>
      <c r="AA122" s="5"/>
      <c r="AC122">
        <f t="shared" si="10"/>
        <v>10</v>
      </c>
      <c r="AD122" t="str">
        <f t="shared" si="11"/>
        <v/>
      </c>
      <c r="AE122">
        <f t="shared" si="12"/>
        <v>3</v>
      </c>
      <c r="AF122" t="str">
        <f t="shared" si="13"/>
        <v/>
      </c>
      <c r="AG122" t="str">
        <f t="shared" si="14"/>
        <v/>
      </c>
      <c r="AH122">
        <f t="shared" si="15"/>
        <v>4</v>
      </c>
      <c r="AI122" t="str">
        <f t="shared" si="16"/>
        <v/>
      </c>
      <c r="AJ122" t="str">
        <f t="shared" si="17"/>
        <v/>
      </c>
    </row>
    <row r="123" spans="1:36">
      <c r="A123" s="5">
        <v>122</v>
      </c>
      <c r="B123" s="5" t="s">
        <v>2223</v>
      </c>
      <c r="C123" s="10" t="s">
        <v>2089</v>
      </c>
      <c r="D123" s="5" t="s">
        <v>2211</v>
      </c>
      <c r="E123" s="5" t="s">
        <v>39</v>
      </c>
      <c r="F123" s="5" t="str">
        <f t="shared" si="9"/>
        <v>Communication and Advocacy-Analyst</v>
      </c>
      <c r="G123" s="5" t="s">
        <v>40</v>
      </c>
      <c r="H123" s="9">
        <v>44828.472696759258</v>
      </c>
      <c r="I123" s="9">
        <v>44830.472696759258</v>
      </c>
      <c r="J123" s="9" t="e">
        <f>I123+#REF!</f>
        <v>#REF!</v>
      </c>
      <c r="K123" s="9" t="e">
        <f>J123+#REF!</f>
        <v>#REF!</v>
      </c>
      <c r="L123" s="10" t="s">
        <v>41</v>
      </c>
      <c r="M123" s="11">
        <v>44836.472696759258</v>
      </c>
      <c r="N123" s="5" t="s">
        <v>64</v>
      </c>
      <c r="O123" s="5"/>
      <c r="P123" s="9">
        <v>44843.472696759258</v>
      </c>
      <c r="Q123" s="5" t="s">
        <v>64</v>
      </c>
      <c r="R123" s="9">
        <v>44838.472696759258</v>
      </c>
      <c r="S123" s="9">
        <v>44842.472696759258</v>
      </c>
      <c r="T123" s="9">
        <v>44839.472696759258</v>
      </c>
      <c r="U123" s="9">
        <v>44846.472696759258</v>
      </c>
      <c r="V123" s="12">
        <v>1</v>
      </c>
      <c r="W123" s="9">
        <v>44849.472696759258</v>
      </c>
      <c r="X123" s="9">
        <v>44852.472696759258</v>
      </c>
      <c r="Y123" s="9">
        <v>44853.472696759258</v>
      </c>
      <c r="Z123" s="5"/>
      <c r="AA123" s="5"/>
      <c r="AB123" s="13">
        <v>44873.472696759258</v>
      </c>
      <c r="AC123">
        <f t="shared" si="10"/>
        <v>6</v>
      </c>
      <c r="AD123">
        <f t="shared" si="11"/>
        <v>12</v>
      </c>
      <c r="AE123">
        <f t="shared" si="12"/>
        <v>3</v>
      </c>
      <c r="AF123">
        <f t="shared" si="13"/>
        <v>6</v>
      </c>
      <c r="AG123">
        <f t="shared" si="14"/>
        <v>3</v>
      </c>
      <c r="AH123">
        <f t="shared" si="15"/>
        <v>2</v>
      </c>
      <c r="AI123" t="str">
        <f t="shared" si="16"/>
        <v/>
      </c>
      <c r="AJ123" t="str">
        <f t="shared" si="17"/>
        <v/>
      </c>
    </row>
    <row r="124" spans="1:36">
      <c r="A124" s="5">
        <v>123</v>
      </c>
      <c r="B124" s="5" t="s">
        <v>2108</v>
      </c>
      <c r="C124" s="10" t="s">
        <v>2089</v>
      </c>
      <c r="D124" s="5" t="s">
        <v>2090</v>
      </c>
      <c r="E124" s="5" t="s">
        <v>102</v>
      </c>
      <c r="F124" s="5" t="str">
        <f t="shared" si="9"/>
        <v>Communication and Advocacy-Senior Manager</v>
      </c>
      <c r="G124" s="5" t="s">
        <v>103</v>
      </c>
      <c r="H124" s="9">
        <v>44824.472696759258</v>
      </c>
      <c r="I124" s="9">
        <v>44827.472696759258</v>
      </c>
      <c r="J124" s="9" t="e">
        <f>I124+#REF!</f>
        <v>#REF!</v>
      </c>
      <c r="K124" s="9" t="e">
        <f>J124+#REF!</f>
        <v>#REF!</v>
      </c>
      <c r="L124" s="10" t="s">
        <v>52</v>
      </c>
      <c r="M124" s="11"/>
      <c r="N124" s="5"/>
      <c r="O124" s="5"/>
      <c r="P124" s="9"/>
      <c r="Q124" s="5"/>
      <c r="R124" s="5"/>
      <c r="S124" s="5"/>
      <c r="T124" s="9"/>
      <c r="U124" s="5"/>
      <c r="V124" s="5">
        <v>0</v>
      </c>
      <c r="W124" s="5"/>
      <c r="X124" s="5"/>
      <c r="Y124" s="5"/>
      <c r="Z124" s="5"/>
      <c r="AA124" s="5"/>
      <c r="AC124" t="str">
        <f t="shared" si="10"/>
        <v/>
      </c>
      <c r="AD124" t="str">
        <f t="shared" si="11"/>
        <v/>
      </c>
      <c r="AE124" t="str">
        <f t="shared" si="12"/>
        <v/>
      </c>
      <c r="AF124" t="str">
        <f t="shared" si="13"/>
        <v/>
      </c>
      <c r="AG124" t="str">
        <f t="shared" si="14"/>
        <v/>
      </c>
      <c r="AH124">
        <f t="shared" si="15"/>
        <v>3</v>
      </c>
      <c r="AI124" t="str">
        <f t="shared" si="16"/>
        <v/>
      </c>
      <c r="AJ124" t="str">
        <f t="shared" si="17"/>
        <v/>
      </c>
    </row>
    <row r="125" spans="1:36">
      <c r="A125" s="5">
        <v>124</v>
      </c>
      <c r="B125" s="5" t="s">
        <v>2207</v>
      </c>
      <c r="C125" s="10" t="s">
        <v>2089</v>
      </c>
      <c r="D125" s="5" t="s">
        <v>2167</v>
      </c>
      <c r="E125" s="5" t="s">
        <v>269</v>
      </c>
      <c r="F125" s="5" t="str">
        <f t="shared" si="9"/>
        <v>Communication and Advocacy-Manager</v>
      </c>
      <c r="G125" s="5" t="s">
        <v>270</v>
      </c>
      <c r="H125" s="9">
        <v>44829.472696759258</v>
      </c>
      <c r="I125" s="9">
        <v>44831.472696759258</v>
      </c>
      <c r="J125" s="9" t="e">
        <f>I125+#REF!</f>
        <v>#REF!</v>
      </c>
      <c r="K125" s="9" t="e">
        <f>J125+#REF!</f>
        <v>#REF!</v>
      </c>
      <c r="L125" s="10" t="s">
        <v>41</v>
      </c>
      <c r="M125" s="11">
        <v>44838.472696759258</v>
      </c>
      <c r="N125" s="5" t="s">
        <v>64</v>
      </c>
      <c r="O125" s="5"/>
      <c r="P125" s="9">
        <v>44844.472696759258</v>
      </c>
      <c r="Q125" s="5" t="s">
        <v>64</v>
      </c>
      <c r="R125" s="9">
        <v>44840.472696759258</v>
      </c>
      <c r="S125" s="9">
        <v>44843.472696759258</v>
      </c>
      <c r="T125" s="9">
        <v>44841.472696759258</v>
      </c>
      <c r="U125" s="9">
        <v>44846.472696759258</v>
      </c>
      <c r="V125" s="12">
        <v>1</v>
      </c>
      <c r="W125" s="9">
        <v>44849.472696759258</v>
      </c>
      <c r="X125" s="9">
        <v>44851.472696759258</v>
      </c>
      <c r="Y125" s="9">
        <v>44853.472696759258</v>
      </c>
      <c r="Z125" s="5"/>
      <c r="AA125" s="5"/>
      <c r="AB125" s="13">
        <v>44874.472696759258</v>
      </c>
      <c r="AC125">
        <f t="shared" si="10"/>
        <v>7</v>
      </c>
      <c r="AD125">
        <f t="shared" si="11"/>
        <v>12</v>
      </c>
      <c r="AE125">
        <f t="shared" si="12"/>
        <v>3</v>
      </c>
      <c r="AF125">
        <f t="shared" si="13"/>
        <v>5</v>
      </c>
      <c r="AG125">
        <f t="shared" si="14"/>
        <v>3</v>
      </c>
      <c r="AH125">
        <f t="shared" si="15"/>
        <v>2</v>
      </c>
      <c r="AI125" t="str">
        <f t="shared" si="16"/>
        <v/>
      </c>
      <c r="AJ125" t="str">
        <f t="shared" si="17"/>
        <v/>
      </c>
    </row>
    <row r="126" spans="1:36">
      <c r="A126" s="5">
        <v>125</v>
      </c>
      <c r="B126" s="5" t="s">
        <v>2160</v>
      </c>
      <c r="C126" s="10" t="s">
        <v>2089</v>
      </c>
      <c r="D126" s="5" t="s">
        <v>2114</v>
      </c>
      <c r="E126" s="5" t="s">
        <v>1146</v>
      </c>
      <c r="F126" s="5" t="str">
        <f t="shared" si="9"/>
        <v>Communication and Advocacy-Quality Assurance</v>
      </c>
      <c r="G126" s="5" t="s">
        <v>147</v>
      </c>
      <c r="H126" s="9">
        <v>44827.472696759258</v>
      </c>
      <c r="I126" s="9">
        <v>44830.472696759258</v>
      </c>
      <c r="J126" s="9" t="e">
        <f>I126+#REF!</f>
        <v>#REF!</v>
      </c>
      <c r="K126" s="9" t="e">
        <f>J126+#REF!</f>
        <v>#REF!</v>
      </c>
      <c r="L126" s="10" t="s">
        <v>52</v>
      </c>
      <c r="M126" s="11"/>
      <c r="N126" s="5"/>
      <c r="O126" s="5"/>
      <c r="P126" s="9"/>
      <c r="Q126" s="5"/>
      <c r="R126" s="5"/>
      <c r="S126" s="5"/>
      <c r="T126" s="9"/>
      <c r="U126" s="5"/>
      <c r="V126" s="5">
        <v>0</v>
      </c>
      <c r="W126" s="5"/>
      <c r="X126" s="5"/>
      <c r="Y126" s="5"/>
      <c r="Z126" s="5"/>
      <c r="AA126" s="5"/>
      <c r="AC126" t="str">
        <f t="shared" si="10"/>
        <v/>
      </c>
      <c r="AD126" t="str">
        <f t="shared" si="11"/>
        <v/>
      </c>
      <c r="AE126" t="str">
        <f t="shared" si="12"/>
        <v/>
      </c>
      <c r="AF126" t="str">
        <f t="shared" si="13"/>
        <v/>
      </c>
      <c r="AG126" t="str">
        <f t="shared" si="14"/>
        <v/>
      </c>
      <c r="AH126">
        <f t="shared" si="15"/>
        <v>3</v>
      </c>
      <c r="AI126" t="str">
        <f t="shared" si="16"/>
        <v/>
      </c>
      <c r="AJ126" t="str">
        <f t="shared" si="17"/>
        <v/>
      </c>
    </row>
    <row r="127" spans="1:36">
      <c r="A127" s="5">
        <v>126</v>
      </c>
      <c r="B127" s="5" t="s">
        <v>2107</v>
      </c>
      <c r="C127" s="10" t="s">
        <v>2089</v>
      </c>
      <c r="D127" s="5" t="s">
        <v>2090</v>
      </c>
      <c r="E127" s="5" t="s">
        <v>102</v>
      </c>
      <c r="F127" s="5" t="str">
        <f t="shared" si="9"/>
        <v>Communication and Advocacy-Senior Manager</v>
      </c>
      <c r="G127" s="5" t="s">
        <v>103</v>
      </c>
      <c r="H127" s="9">
        <v>44825.472696759258</v>
      </c>
      <c r="I127" s="9">
        <v>44827.472696759258</v>
      </c>
      <c r="J127" s="9" t="e">
        <f>I127+#REF!</f>
        <v>#REF!</v>
      </c>
      <c r="K127" s="9" t="e">
        <f>J127+#REF!</f>
        <v>#REF!</v>
      </c>
      <c r="L127" s="10" t="s">
        <v>41</v>
      </c>
      <c r="M127" s="11">
        <v>44848.472696759258</v>
      </c>
      <c r="N127" s="5" t="s">
        <v>64</v>
      </c>
      <c r="O127" s="5"/>
      <c r="P127" s="9">
        <v>44850.472696759258</v>
      </c>
      <c r="Q127" s="5" t="s">
        <v>64</v>
      </c>
      <c r="R127" s="9">
        <v>44849.472696759258</v>
      </c>
      <c r="S127" s="9">
        <v>44852.472696759258</v>
      </c>
      <c r="T127" s="9">
        <v>44849.472696759258</v>
      </c>
      <c r="U127" s="9">
        <v>44856.472696759258</v>
      </c>
      <c r="V127" s="12">
        <v>1</v>
      </c>
      <c r="W127" s="9">
        <v>44860.472696759258</v>
      </c>
      <c r="X127" s="9">
        <v>44863.472696759258</v>
      </c>
      <c r="Y127" s="9">
        <v>44864.472696759258</v>
      </c>
      <c r="Z127" s="5"/>
      <c r="AA127" s="5"/>
      <c r="AB127" s="13">
        <v>44879.472696759258</v>
      </c>
      <c r="AC127">
        <f t="shared" si="10"/>
        <v>21</v>
      </c>
      <c r="AD127">
        <f t="shared" si="11"/>
        <v>25</v>
      </c>
      <c r="AE127">
        <f t="shared" si="12"/>
        <v>1</v>
      </c>
      <c r="AF127">
        <f t="shared" si="13"/>
        <v>7</v>
      </c>
      <c r="AG127">
        <f t="shared" si="14"/>
        <v>4</v>
      </c>
      <c r="AH127">
        <f t="shared" si="15"/>
        <v>2</v>
      </c>
      <c r="AI127" t="str">
        <f t="shared" si="16"/>
        <v/>
      </c>
      <c r="AJ127" t="str">
        <f t="shared" si="17"/>
        <v/>
      </c>
    </row>
    <row r="128" spans="1:36">
      <c r="A128" s="5">
        <v>127</v>
      </c>
      <c r="B128" s="5" t="s">
        <v>2222</v>
      </c>
      <c r="C128" s="10" t="s">
        <v>2089</v>
      </c>
      <c r="D128" s="5" t="s">
        <v>2211</v>
      </c>
      <c r="E128" s="5" t="s">
        <v>39</v>
      </c>
      <c r="F128" s="5" t="str">
        <f t="shared" si="9"/>
        <v>Communication and Advocacy-Analyst</v>
      </c>
      <c r="G128" s="5" t="s">
        <v>40</v>
      </c>
      <c r="H128" s="9">
        <v>44826.472696759258</v>
      </c>
      <c r="I128" s="9">
        <v>44827.472696759258</v>
      </c>
      <c r="J128" s="9" t="e">
        <f>I128+#REF!</f>
        <v>#REF!</v>
      </c>
      <c r="K128" s="9" t="e">
        <f>J128+#REF!</f>
        <v>#REF!</v>
      </c>
      <c r="L128" s="10" t="s">
        <v>41</v>
      </c>
      <c r="M128" s="11">
        <v>44842.472696759258</v>
      </c>
      <c r="N128" s="5" t="s">
        <v>42</v>
      </c>
      <c r="O128" s="5" t="s">
        <v>43</v>
      </c>
      <c r="P128" s="9"/>
      <c r="Q128" s="5"/>
      <c r="R128" s="5"/>
      <c r="S128" s="5"/>
      <c r="T128" s="9">
        <v>44844.472696759258</v>
      </c>
      <c r="U128" s="5"/>
      <c r="V128" s="5">
        <v>0</v>
      </c>
      <c r="W128" s="5"/>
      <c r="X128" s="5"/>
      <c r="Y128" s="5"/>
      <c r="Z128" s="5"/>
      <c r="AA128" s="5" t="s">
        <v>44</v>
      </c>
      <c r="AC128">
        <f t="shared" si="10"/>
        <v>15</v>
      </c>
      <c r="AD128" t="str">
        <f t="shared" si="11"/>
        <v/>
      </c>
      <c r="AE128">
        <f t="shared" si="12"/>
        <v>2</v>
      </c>
      <c r="AF128" t="str">
        <f t="shared" si="13"/>
        <v/>
      </c>
      <c r="AG128" t="str">
        <f t="shared" si="14"/>
        <v/>
      </c>
      <c r="AH128">
        <f t="shared" si="15"/>
        <v>1</v>
      </c>
      <c r="AI128" t="str">
        <f t="shared" si="16"/>
        <v/>
      </c>
      <c r="AJ128" t="str">
        <f t="shared" si="17"/>
        <v/>
      </c>
    </row>
    <row r="129" spans="1:36">
      <c r="A129" s="5">
        <v>128</v>
      </c>
      <c r="B129" s="5" t="s">
        <v>2221</v>
      </c>
      <c r="C129" s="10" t="s">
        <v>2089</v>
      </c>
      <c r="D129" s="5" t="s">
        <v>2211</v>
      </c>
      <c r="E129" s="5" t="s">
        <v>39</v>
      </c>
      <c r="F129" s="5" t="str">
        <f t="shared" si="9"/>
        <v>Communication and Advocacy-Analyst</v>
      </c>
      <c r="G129" s="5" t="s">
        <v>40</v>
      </c>
      <c r="H129" s="9">
        <v>44827.472696759258</v>
      </c>
      <c r="I129" s="9">
        <v>44829.472696759258</v>
      </c>
      <c r="J129" s="9" t="e">
        <f>I129+#REF!</f>
        <v>#REF!</v>
      </c>
      <c r="K129" s="9" t="e">
        <f>J129+#REF!</f>
        <v>#REF!</v>
      </c>
      <c r="L129" s="10" t="s">
        <v>41</v>
      </c>
      <c r="M129" s="11">
        <v>44850.472696759258</v>
      </c>
      <c r="N129" s="5" t="s">
        <v>167</v>
      </c>
      <c r="O129" s="5"/>
      <c r="P129" s="9">
        <v>44856.472696759258</v>
      </c>
      <c r="Q129" s="5" t="s">
        <v>167</v>
      </c>
      <c r="R129" s="5"/>
      <c r="S129" s="5"/>
      <c r="T129" s="9">
        <v>44852.472696759258</v>
      </c>
      <c r="U129" s="5"/>
      <c r="V129" s="5">
        <v>0</v>
      </c>
      <c r="W129" s="5"/>
      <c r="X129" s="5"/>
      <c r="Y129" s="5"/>
      <c r="Z129" s="5"/>
      <c r="AA129" s="5"/>
      <c r="AC129">
        <f t="shared" si="10"/>
        <v>21</v>
      </c>
      <c r="AD129" t="str">
        <f t="shared" si="11"/>
        <v/>
      </c>
      <c r="AE129">
        <f t="shared" si="12"/>
        <v>2</v>
      </c>
      <c r="AF129" t="str">
        <f t="shared" si="13"/>
        <v/>
      </c>
      <c r="AG129" t="str">
        <f t="shared" si="14"/>
        <v/>
      </c>
      <c r="AH129">
        <f t="shared" si="15"/>
        <v>2</v>
      </c>
      <c r="AI129" t="str">
        <f t="shared" si="16"/>
        <v/>
      </c>
      <c r="AJ129" t="str">
        <f t="shared" si="17"/>
        <v/>
      </c>
    </row>
    <row r="130" spans="1:36">
      <c r="A130" s="5">
        <v>129</v>
      </c>
      <c r="B130" s="5" t="s">
        <v>2220</v>
      </c>
      <c r="C130" s="10" t="s">
        <v>2089</v>
      </c>
      <c r="D130" s="5" t="s">
        <v>2211</v>
      </c>
      <c r="E130" s="5" t="s">
        <v>39</v>
      </c>
      <c r="F130" s="5" t="str">
        <f t="shared" ref="F130:F193" si="18">_xlfn.CONCAT(C130,"-",E130)</f>
        <v>Communication and Advocacy-Analyst</v>
      </c>
      <c r="G130" s="5" t="s">
        <v>40</v>
      </c>
      <c r="H130" s="9">
        <v>44829.472696759258</v>
      </c>
      <c r="I130" s="9">
        <v>44830.472696759258</v>
      </c>
      <c r="J130" s="9" t="e">
        <f>I130+#REF!</f>
        <v>#REF!</v>
      </c>
      <c r="K130" s="9" t="e">
        <f>J130+#REF!</f>
        <v>#REF!</v>
      </c>
      <c r="L130" s="10" t="s">
        <v>41</v>
      </c>
      <c r="M130" s="11">
        <v>44843.472696759258</v>
      </c>
      <c r="N130" s="5" t="s">
        <v>64</v>
      </c>
      <c r="O130" s="5"/>
      <c r="P130" s="9">
        <v>44848.472696759258</v>
      </c>
      <c r="Q130" s="5" t="s">
        <v>64</v>
      </c>
      <c r="R130" s="9">
        <v>44844.472696759258</v>
      </c>
      <c r="S130" s="9">
        <v>44846.472696759258</v>
      </c>
      <c r="T130" s="9">
        <v>44847.472696759258</v>
      </c>
      <c r="U130" s="9">
        <v>44854.472696759258</v>
      </c>
      <c r="V130" s="12">
        <v>1</v>
      </c>
      <c r="W130" s="9">
        <v>44857.472696759258</v>
      </c>
      <c r="X130" s="9">
        <v>44860.472696759258</v>
      </c>
      <c r="Y130" s="9">
        <v>44863.472696759258</v>
      </c>
      <c r="Z130" s="5"/>
      <c r="AA130" s="5"/>
      <c r="AB130" s="13">
        <v>44873.472696759258</v>
      </c>
      <c r="AC130">
        <f t="shared" ref="AC130:AC193" si="19">IF(AND(ISNUMBER(M130), ISNUMBER(I130)), M130 - I130, "")</f>
        <v>13</v>
      </c>
      <c r="AD130">
        <f t="shared" si="11"/>
        <v>16</v>
      </c>
      <c r="AE130">
        <f t="shared" si="12"/>
        <v>4</v>
      </c>
      <c r="AF130">
        <f t="shared" si="13"/>
        <v>6</v>
      </c>
      <c r="AG130">
        <f t="shared" si="14"/>
        <v>3</v>
      </c>
      <c r="AH130">
        <f t="shared" si="15"/>
        <v>1</v>
      </c>
      <c r="AI130" t="str">
        <f t="shared" si="16"/>
        <v/>
      </c>
      <c r="AJ130" t="str">
        <f t="shared" si="17"/>
        <v/>
      </c>
    </row>
    <row r="131" spans="1:36">
      <c r="A131" s="5">
        <v>130</v>
      </c>
      <c r="B131" s="5" t="s">
        <v>2219</v>
      </c>
      <c r="C131" s="10" t="s">
        <v>2089</v>
      </c>
      <c r="D131" s="5" t="s">
        <v>2211</v>
      </c>
      <c r="E131" s="5" t="s">
        <v>39</v>
      </c>
      <c r="F131" s="5" t="str">
        <f t="shared" si="18"/>
        <v>Communication and Advocacy-Analyst</v>
      </c>
      <c r="G131" s="5" t="s">
        <v>40</v>
      </c>
      <c r="H131" s="9">
        <v>44828.472696759258</v>
      </c>
      <c r="I131" s="9">
        <v>44832.472696759258</v>
      </c>
      <c r="J131" s="9" t="e">
        <f>I131+#REF!</f>
        <v>#REF!</v>
      </c>
      <c r="K131" s="9" t="e">
        <f>J131+#REF!</f>
        <v>#REF!</v>
      </c>
      <c r="L131" s="10" t="s">
        <v>41</v>
      </c>
      <c r="M131" s="11">
        <v>44837.472696759258</v>
      </c>
      <c r="N131" s="5" t="s">
        <v>42</v>
      </c>
      <c r="O131" s="5" t="s">
        <v>113</v>
      </c>
      <c r="P131" s="9"/>
      <c r="Q131" s="5"/>
      <c r="R131" s="5"/>
      <c r="S131" s="5"/>
      <c r="T131" s="9"/>
      <c r="U131" s="5"/>
      <c r="V131" s="5">
        <v>0</v>
      </c>
      <c r="W131" s="5"/>
      <c r="X131" s="5"/>
      <c r="Y131" s="5"/>
      <c r="Z131" s="5"/>
      <c r="AA131" s="5" t="s">
        <v>62</v>
      </c>
      <c r="AC131">
        <f t="shared" si="19"/>
        <v>5</v>
      </c>
      <c r="AD131" t="str">
        <f t="shared" ref="AD131:AD194" si="20">IF(AND(ISNUMBER(S131), ISNUMBER(I131)), S131 - I131, "")</f>
        <v/>
      </c>
      <c r="AE131" t="str">
        <f t="shared" ref="AE131:AE194" si="21">IF(AND(ISNUMBER(T131), ISNUMBER(M131)), T131-M131, "")</f>
        <v/>
      </c>
      <c r="AF131" t="str">
        <f t="shared" ref="AF131:AF194" si="22">IF(AND(ISNUMBER(X131), ISNUMBER(U131)), X131-U131,"")</f>
        <v/>
      </c>
      <c r="AG131" t="str">
        <f t="shared" ref="AG131:AG194" si="23">IF(AND(ISNUMBER(W131), ISNUMBER(U131)), W131-U131, "")</f>
        <v/>
      </c>
      <c r="AH131">
        <f t="shared" ref="AH131:AH194" si="24">IF(AND(ISNUMBER(I131), ISNUMBER(H131)), I131-H131,"")</f>
        <v>4</v>
      </c>
      <c r="AI131" t="str">
        <f t="shared" ref="AI131:AI194" si="25">IF(AND(ISNUMBER(J131),ISNUMBER(K131)),K131-J131,"")</f>
        <v/>
      </c>
      <c r="AJ131" t="str">
        <f t="shared" ref="AJ131:AJ194" si="26">IF(AND(ISNUMBER(J131),ISNUMBER(I131)), J131-I131,"")</f>
        <v/>
      </c>
    </row>
    <row r="132" spans="1:36">
      <c r="A132" s="5">
        <v>131</v>
      </c>
      <c r="B132" s="5" t="s">
        <v>547</v>
      </c>
      <c r="C132" s="5" t="s">
        <v>100</v>
      </c>
      <c r="D132" s="5" t="s">
        <v>506</v>
      </c>
      <c r="E132" s="5" t="s">
        <v>69</v>
      </c>
      <c r="F132" s="5" t="str">
        <f t="shared" si="18"/>
        <v>Program Office-Head of Department</v>
      </c>
      <c r="G132" s="5" t="s">
        <v>56</v>
      </c>
      <c r="H132" s="9">
        <v>44760.802951388891</v>
      </c>
      <c r="I132" s="9">
        <v>44763.802951388891</v>
      </c>
      <c r="J132" s="9" t="e">
        <f>I132+#REF!</f>
        <v>#REF!</v>
      </c>
      <c r="K132" s="9" t="e">
        <f>J132+#REF!</f>
        <v>#REF!</v>
      </c>
      <c r="L132" s="10" t="s">
        <v>41</v>
      </c>
      <c r="M132" s="11">
        <v>44780.802951388891</v>
      </c>
      <c r="N132" s="5" t="s">
        <v>42</v>
      </c>
      <c r="O132" s="5" t="s">
        <v>113</v>
      </c>
      <c r="P132" s="9"/>
      <c r="Q132" s="5"/>
      <c r="R132" s="5"/>
      <c r="S132" s="5"/>
      <c r="T132" s="9"/>
      <c r="U132" s="5"/>
      <c r="V132" s="5">
        <v>0</v>
      </c>
      <c r="W132" s="5"/>
      <c r="X132" s="5"/>
      <c r="Y132" s="5"/>
      <c r="Z132" s="5"/>
      <c r="AA132" s="5" t="s">
        <v>62</v>
      </c>
      <c r="AC132">
        <f t="shared" si="19"/>
        <v>17</v>
      </c>
      <c r="AD132" t="str">
        <f t="shared" si="20"/>
        <v/>
      </c>
      <c r="AE132" t="str">
        <f t="shared" si="21"/>
        <v/>
      </c>
      <c r="AF132" t="str">
        <f t="shared" si="22"/>
        <v/>
      </c>
      <c r="AG132" t="str">
        <f t="shared" si="23"/>
        <v/>
      </c>
      <c r="AH132">
        <f t="shared" si="24"/>
        <v>3</v>
      </c>
      <c r="AI132" t="str">
        <f t="shared" si="25"/>
        <v/>
      </c>
      <c r="AJ132" t="str">
        <f t="shared" si="26"/>
        <v/>
      </c>
    </row>
    <row r="133" spans="1:36">
      <c r="A133" s="5">
        <v>132</v>
      </c>
      <c r="B133" s="5" t="s">
        <v>503</v>
      </c>
      <c r="C133" s="5" t="s">
        <v>100</v>
      </c>
      <c r="D133" s="5" t="s">
        <v>387</v>
      </c>
      <c r="E133" s="5" t="s">
        <v>473</v>
      </c>
      <c r="F133" s="5" t="str">
        <f t="shared" si="18"/>
        <v>Program Office-Officer</v>
      </c>
      <c r="G133" s="5" t="s">
        <v>40</v>
      </c>
      <c r="H133" s="9">
        <v>44764.802951388891</v>
      </c>
      <c r="I133" s="9">
        <v>44767.802951388891</v>
      </c>
      <c r="J133" s="9" t="e">
        <f>I133+#REF!</f>
        <v>#REF!</v>
      </c>
      <c r="K133" s="9" t="e">
        <f>J133+#REF!</f>
        <v>#REF!</v>
      </c>
      <c r="L133" s="10" t="s">
        <v>41</v>
      </c>
      <c r="M133" s="11">
        <v>44786.802951388891</v>
      </c>
      <c r="N133" s="5" t="s">
        <v>48</v>
      </c>
      <c r="O133" s="5"/>
      <c r="P133" s="9">
        <v>44792.802951388891</v>
      </c>
      <c r="Q133" s="5" t="s">
        <v>48</v>
      </c>
      <c r="R133" s="5"/>
      <c r="S133" s="5"/>
      <c r="T133" s="9">
        <v>44790.802951388891</v>
      </c>
      <c r="U133" s="5"/>
      <c r="V133" s="5">
        <v>0</v>
      </c>
      <c r="W133" s="5"/>
      <c r="X133" s="5"/>
      <c r="Y133" s="5"/>
      <c r="Z133" s="5"/>
      <c r="AA133" s="5"/>
      <c r="AC133">
        <f t="shared" si="19"/>
        <v>19</v>
      </c>
      <c r="AD133" t="str">
        <f t="shared" si="20"/>
        <v/>
      </c>
      <c r="AE133">
        <f t="shared" si="21"/>
        <v>4</v>
      </c>
      <c r="AF133" t="str">
        <f t="shared" si="22"/>
        <v/>
      </c>
      <c r="AG133" t="str">
        <f t="shared" si="23"/>
        <v/>
      </c>
      <c r="AH133">
        <f t="shared" si="24"/>
        <v>3</v>
      </c>
      <c r="AI133" t="str">
        <f t="shared" si="25"/>
        <v/>
      </c>
      <c r="AJ133" t="str">
        <f t="shared" si="26"/>
        <v/>
      </c>
    </row>
    <row r="134" spans="1:36">
      <c r="A134" s="5">
        <v>133</v>
      </c>
      <c r="B134" s="5" t="s">
        <v>382</v>
      </c>
      <c r="C134" s="5" t="s">
        <v>100</v>
      </c>
      <c r="D134" s="5" t="s">
        <v>268</v>
      </c>
      <c r="E134" s="5" t="s">
        <v>291</v>
      </c>
      <c r="F134" s="5" t="str">
        <f t="shared" si="18"/>
        <v>Program Office-Cordination Manager</v>
      </c>
      <c r="G134" s="5" t="s">
        <v>270</v>
      </c>
      <c r="H134" s="9">
        <v>44765.802951388891</v>
      </c>
      <c r="I134" s="9">
        <v>44767.802951388891</v>
      </c>
      <c r="J134" s="9" t="e">
        <f>I134+#REF!</f>
        <v>#REF!</v>
      </c>
      <c r="K134" s="9" t="e">
        <f>J134+#REF!</f>
        <v>#REF!</v>
      </c>
      <c r="L134" s="10" t="s">
        <v>41</v>
      </c>
      <c r="M134" s="11">
        <v>44774.802951388891</v>
      </c>
      <c r="N134" s="5" t="s">
        <v>42</v>
      </c>
      <c r="O134" s="5" t="s">
        <v>58</v>
      </c>
      <c r="P134" s="9"/>
      <c r="Q134" s="5"/>
      <c r="R134" s="5"/>
      <c r="S134" s="5"/>
      <c r="T134" s="9">
        <v>44777.802951388891</v>
      </c>
      <c r="U134" s="5"/>
      <c r="V134" s="5">
        <v>0</v>
      </c>
      <c r="W134" s="5"/>
      <c r="X134" s="5"/>
      <c r="Y134" s="5"/>
      <c r="Z134" s="5"/>
      <c r="AA134" s="5" t="s">
        <v>44</v>
      </c>
      <c r="AC134">
        <f t="shared" si="19"/>
        <v>7</v>
      </c>
      <c r="AD134" t="str">
        <f t="shared" si="20"/>
        <v/>
      </c>
      <c r="AE134">
        <f t="shared" si="21"/>
        <v>3</v>
      </c>
      <c r="AF134" t="str">
        <f t="shared" si="22"/>
        <v/>
      </c>
      <c r="AG134" t="str">
        <f t="shared" si="23"/>
        <v/>
      </c>
      <c r="AH134">
        <f t="shared" si="24"/>
        <v>2</v>
      </c>
      <c r="AI134" t="str">
        <f t="shared" si="25"/>
        <v/>
      </c>
      <c r="AJ134" t="str">
        <f t="shared" si="26"/>
        <v/>
      </c>
    </row>
    <row r="135" spans="1:36">
      <c r="A135" s="5">
        <v>134</v>
      </c>
      <c r="B135" s="5" t="s">
        <v>666</v>
      </c>
      <c r="C135" s="5" t="s">
        <v>100</v>
      </c>
      <c r="D135" s="5" t="s">
        <v>554</v>
      </c>
      <c r="E135" s="5" t="s">
        <v>597</v>
      </c>
      <c r="F135" s="5" t="str">
        <f t="shared" si="18"/>
        <v>Program Office-Business Partner</v>
      </c>
      <c r="G135" s="5" t="s">
        <v>47</v>
      </c>
      <c r="H135" s="9">
        <v>44761.802951388891</v>
      </c>
      <c r="I135" s="9">
        <v>44765.802951388891</v>
      </c>
      <c r="J135" s="9" t="e">
        <f>I135+#REF!</f>
        <v>#REF!</v>
      </c>
      <c r="K135" s="9" t="e">
        <f>J135+#REF!</f>
        <v>#REF!</v>
      </c>
      <c r="L135" s="10" t="s">
        <v>52</v>
      </c>
      <c r="M135" s="11"/>
      <c r="N135" s="5"/>
      <c r="O135" s="5"/>
      <c r="P135" s="9"/>
      <c r="Q135" s="5"/>
      <c r="R135" s="5"/>
      <c r="S135" s="5"/>
      <c r="T135" s="9"/>
      <c r="U135" s="5"/>
      <c r="V135" s="5">
        <v>0</v>
      </c>
      <c r="W135" s="5"/>
      <c r="X135" s="5"/>
      <c r="Y135" s="5"/>
      <c r="Z135" s="5"/>
      <c r="AA135" s="5"/>
      <c r="AC135" t="str">
        <f t="shared" si="19"/>
        <v/>
      </c>
      <c r="AD135" t="str">
        <f t="shared" si="20"/>
        <v/>
      </c>
      <c r="AE135" t="str">
        <f t="shared" si="21"/>
        <v/>
      </c>
      <c r="AF135" t="str">
        <f t="shared" si="22"/>
        <v/>
      </c>
      <c r="AG135" t="str">
        <f t="shared" si="23"/>
        <v/>
      </c>
      <c r="AH135">
        <f t="shared" si="24"/>
        <v>4</v>
      </c>
      <c r="AI135" t="str">
        <f t="shared" si="25"/>
        <v/>
      </c>
      <c r="AJ135" t="str">
        <f t="shared" si="26"/>
        <v/>
      </c>
    </row>
    <row r="136" spans="1:36">
      <c r="A136" s="5">
        <v>135</v>
      </c>
      <c r="B136" s="5" t="s">
        <v>260</v>
      </c>
      <c r="C136" s="5" t="s">
        <v>100</v>
      </c>
      <c r="D136" s="5" t="s">
        <v>146</v>
      </c>
      <c r="E136" s="5" t="s">
        <v>51</v>
      </c>
      <c r="F136" s="5" t="str">
        <f t="shared" si="18"/>
        <v>Program Office-Supervisor</v>
      </c>
      <c r="G136" s="5" t="s">
        <v>147</v>
      </c>
      <c r="H136" s="9">
        <v>44764.802951388891</v>
      </c>
      <c r="I136" s="9">
        <v>44765.802951388891</v>
      </c>
      <c r="J136" s="9" t="e">
        <f>I136+#REF!</f>
        <v>#REF!</v>
      </c>
      <c r="K136" s="9" t="e">
        <f>J136+#REF!</f>
        <v>#REF!</v>
      </c>
      <c r="L136" s="10" t="s">
        <v>41</v>
      </c>
      <c r="M136" s="11">
        <v>44775.802951388891</v>
      </c>
      <c r="N136" s="5" t="s">
        <v>42</v>
      </c>
      <c r="O136" s="5" t="s">
        <v>43</v>
      </c>
      <c r="P136" s="9"/>
      <c r="Q136" s="5"/>
      <c r="R136" s="5"/>
      <c r="S136" s="5"/>
      <c r="T136" s="9"/>
      <c r="U136" s="5"/>
      <c r="V136" s="5">
        <v>0</v>
      </c>
      <c r="W136" s="5"/>
      <c r="X136" s="5"/>
      <c r="Y136" s="5"/>
      <c r="Z136" s="5"/>
      <c r="AA136" s="5" t="s">
        <v>62</v>
      </c>
      <c r="AC136">
        <f t="shared" si="19"/>
        <v>10</v>
      </c>
      <c r="AD136" t="str">
        <f t="shared" si="20"/>
        <v/>
      </c>
      <c r="AE136" t="str">
        <f t="shared" si="21"/>
        <v/>
      </c>
      <c r="AF136" t="str">
        <f t="shared" si="22"/>
        <v/>
      </c>
      <c r="AG136" t="str">
        <f t="shared" si="23"/>
        <v/>
      </c>
      <c r="AH136">
        <f t="shared" si="24"/>
        <v>1</v>
      </c>
      <c r="AI136" t="str">
        <f t="shared" si="25"/>
        <v/>
      </c>
      <c r="AJ136" t="str">
        <f t="shared" si="26"/>
        <v/>
      </c>
    </row>
    <row r="137" spans="1:36">
      <c r="A137" s="5">
        <v>136</v>
      </c>
      <c r="B137" s="5" t="s">
        <v>502</v>
      </c>
      <c r="C137" s="5" t="s">
        <v>100</v>
      </c>
      <c r="D137" s="5" t="s">
        <v>387</v>
      </c>
      <c r="E137" s="5" t="s">
        <v>473</v>
      </c>
      <c r="F137" s="5" t="str">
        <f t="shared" si="18"/>
        <v>Program Office-Officer</v>
      </c>
      <c r="G137" s="5" t="s">
        <v>40</v>
      </c>
      <c r="H137" s="9">
        <v>44762.802951388891</v>
      </c>
      <c r="I137" s="9">
        <v>44765.802951388891</v>
      </c>
      <c r="J137" s="9" t="e">
        <f>I137+#REF!</f>
        <v>#REF!</v>
      </c>
      <c r="K137" s="9" t="e">
        <f>J137+#REF!</f>
        <v>#REF!</v>
      </c>
      <c r="L137" s="10" t="s">
        <v>41</v>
      </c>
      <c r="M137" s="11">
        <v>44781.802951388891</v>
      </c>
      <c r="N137" s="5" t="s">
        <v>48</v>
      </c>
      <c r="O137" s="5"/>
      <c r="P137" s="9">
        <v>44785.802951388891</v>
      </c>
      <c r="Q137" s="5" t="s">
        <v>48</v>
      </c>
      <c r="R137" s="5"/>
      <c r="S137" s="5"/>
      <c r="T137" s="9">
        <v>44783.802951388891</v>
      </c>
      <c r="U137" s="5"/>
      <c r="V137" s="5">
        <v>0</v>
      </c>
      <c r="W137" s="5"/>
      <c r="X137" s="5"/>
      <c r="Y137" s="5"/>
      <c r="Z137" s="5"/>
      <c r="AA137" s="5"/>
      <c r="AC137">
        <f t="shared" si="19"/>
        <v>16</v>
      </c>
      <c r="AD137" t="str">
        <f t="shared" si="20"/>
        <v/>
      </c>
      <c r="AE137">
        <f t="shared" si="21"/>
        <v>2</v>
      </c>
      <c r="AF137" t="str">
        <f t="shared" si="22"/>
        <v/>
      </c>
      <c r="AG137" t="str">
        <f t="shared" si="23"/>
        <v/>
      </c>
      <c r="AH137">
        <f t="shared" si="24"/>
        <v>3</v>
      </c>
      <c r="AI137" t="str">
        <f t="shared" si="25"/>
        <v/>
      </c>
      <c r="AJ137" t="str">
        <f t="shared" si="26"/>
        <v/>
      </c>
    </row>
    <row r="138" spans="1:36">
      <c r="A138" s="5">
        <v>137</v>
      </c>
      <c r="B138" s="5" t="s">
        <v>381</v>
      </c>
      <c r="C138" s="5" t="s">
        <v>100</v>
      </c>
      <c r="D138" s="5" t="s">
        <v>268</v>
      </c>
      <c r="E138" s="5" t="s">
        <v>291</v>
      </c>
      <c r="F138" s="5" t="str">
        <f t="shared" si="18"/>
        <v>Program Office-Cordination Manager</v>
      </c>
      <c r="G138" s="5" t="s">
        <v>270</v>
      </c>
      <c r="H138" s="9">
        <v>44764.802951388891</v>
      </c>
      <c r="I138" s="9">
        <v>44766.802951388891</v>
      </c>
      <c r="J138" s="9" t="e">
        <f>I138+#REF!</f>
        <v>#REF!</v>
      </c>
      <c r="K138" s="9" t="e">
        <f>J138+#REF!</f>
        <v>#REF!</v>
      </c>
      <c r="L138" s="10" t="s">
        <v>52</v>
      </c>
      <c r="M138" s="11"/>
      <c r="N138" s="5"/>
      <c r="O138" s="5"/>
      <c r="P138" s="9"/>
      <c r="Q138" s="5"/>
      <c r="R138" s="5"/>
      <c r="S138" s="5"/>
      <c r="T138" s="9"/>
      <c r="U138" s="5"/>
      <c r="V138" s="5">
        <v>0</v>
      </c>
      <c r="W138" s="5"/>
      <c r="X138" s="5"/>
      <c r="Y138" s="5"/>
      <c r="Z138" s="5"/>
      <c r="AA138" s="5"/>
      <c r="AC138" t="str">
        <f t="shared" si="19"/>
        <v/>
      </c>
      <c r="AD138" t="str">
        <f t="shared" si="20"/>
        <v/>
      </c>
      <c r="AE138" t="str">
        <f t="shared" si="21"/>
        <v/>
      </c>
      <c r="AF138" t="str">
        <f t="shared" si="22"/>
        <v/>
      </c>
      <c r="AG138" t="str">
        <f t="shared" si="23"/>
        <v/>
      </c>
      <c r="AH138">
        <f t="shared" si="24"/>
        <v>2</v>
      </c>
      <c r="AI138" t="str">
        <f t="shared" si="25"/>
        <v/>
      </c>
      <c r="AJ138" t="str">
        <f t="shared" si="26"/>
        <v/>
      </c>
    </row>
    <row r="139" spans="1:36">
      <c r="A139" s="5">
        <v>138</v>
      </c>
      <c r="B139" s="5" t="s">
        <v>142</v>
      </c>
      <c r="C139" s="5" t="s">
        <v>100</v>
      </c>
      <c r="D139" s="5" t="s">
        <v>101</v>
      </c>
      <c r="E139" s="5" t="s">
        <v>132</v>
      </c>
      <c r="F139" s="5" t="str">
        <f t="shared" si="18"/>
        <v>Program Office-Senior Supervisory Manager</v>
      </c>
      <c r="G139" s="5" t="s">
        <v>103</v>
      </c>
      <c r="H139" s="9">
        <v>44764.802951388891</v>
      </c>
      <c r="I139" s="9">
        <v>44768.802951388891</v>
      </c>
      <c r="J139" s="9" t="e">
        <f>I139+#REF!</f>
        <v>#REF!</v>
      </c>
      <c r="K139" s="9" t="e">
        <f>J139+#REF!</f>
        <v>#REF!</v>
      </c>
      <c r="L139" s="10" t="s">
        <v>41</v>
      </c>
      <c r="M139" s="11">
        <v>44774.802951388891</v>
      </c>
      <c r="N139" s="5" t="s">
        <v>64</v>
      </c>
      <c r="O139" s="5"/>
      <c r="P139" s="9">
        <v>44778.802951388891</v>
      </c>
      <c r="Q139" s="5" t="s">
        <v>64</v>
      </c>
      <c r="R139" s="9">
        <v>44775.802951388891</v>
      </c>
      <c r="S139" s="9">
        <v>44777.802951388891</v>
      </c>
      <c r="T139" s="9">
        <v>44775.802951388891</v>
      </c>
      <c r="U139" s="9">
        <v>44777.802951388891</v>
      </c>
      <c r="V139" s="12">
        <v>1</v>
      </c>
      <c r="W139" s="9">
        <v>44778.802951388891</v>
      </c>
      <c r="X139" s="9">
        <v>44781.802951388891</v>
      </c>
      <c r="Y139" s="9">
        <v>44782.802951388891</v>
      </c>
      <c r="Z139" s="5"/>
      <c r="AA139" s="5"/>
      <c r="AB139" s="13">
        <v>44801.802951388891</v>
      </c>
      <c r="AC139">
        <f t="shared" si="19"/>
        <v>6</v>
      </c>
      <c r="AD139">
        <f t="shared" si="20"/>
        <v>9</v>
      </c>
      <c r="AE139">
        <f t="shared" si="21"/>
        <v>1</v>
      </c>
      <c r="AF139">
        <f t="shared" si="22"/>
        <v>4</v>
      </c>
      <c r="AG139">
        <f t="shared" si="23"/>
        <v>1</v>
      </c>
      <c r="AH139">
        <f t="shared" si="24"/>
        <v>4</v>
      </c>
      <c r="AI139" t="str">
        <f t="shared" si="25"/>
        <v/>
      </c>
      <c r="AJ139" t="str">
        <f t="shared" si="26"/>
        <v/>
      </c>
    </row>
    <row r="140" spans="1:36">
      <c r="A140" s="5">
        <v>139</v>
      </c>
      <c r="B140" s="5" t="s">
        <v>501</v>
      </c>
      <c r="C140" s="5" t="s">
        <v>100</v>
      </c>
      <c r="D140" s="5" t="s">
        <v>387</v>
      </c>
      <c r="E140" s="5" t="s">
        <v>473</v>
      </c>
      <c r="F140" s="5" t="str">
        <f t="shared" si="18"/>
        <v>Program Office-Officer</v>
      </c>
      <c r="G140" s="5" t="s">
        <v>40</v>
      </c>
      <c r="H140" s="9">
        <v>44767.802951388891</v>
      </c>
      <c r="I140" s="9">
        <v>44768.802951388891</v>
      </c>
      <c r="J140" s="9" t="e">
        <f>I140+#REF!</f>
        <v>#REF!</v>
      </c>
      <c r="K140" s="9" t="e">
        <f>J140+#REF!</f>
        <v>#REF!</v>
      </c>
      <c r="L140" s="10" t="s">
        <v>52</v>
      </c>
      <c r="M140" s="11"/>
      <c r="N140" s="5"/>
      <c r="O140" s="5"/>
      <c r="P140" s="9"/>
      <c r="Q140" s="5"/>
      <c r="R140" s="5"/>
      <c r="S140" s="5"/>
      <c r="T140" s="9"/>
      <c r="U140" s="5"/>
      <c r="V140" s="5">
        <v>0</v>
      </c>
      <c r="W140" s="5"/>
      <c r="X140" s="5"/>
      <c r="Y140" s="5"/>
      <c r="Z140" s="5"/>
      <c r="AA140" s="5"/>
      <c r="AC140" t="str">
        <f t="shared" si="19"/>
        <v/>
      </c>
      <c r="AD140" t="str">
        <f t="shared" si="20"/>
        <v/>
      </c>
      <c r="AE140" t="str">
        <f t="shared" si="21"/>
        <v/>
      </c>
      <c r="AF140" t="str">
        <f t="shared" si="22"/>
        <v/>
      </c>
      <c r="AG140" t="str">
        <f t="shared" si="23"/>
        <v/>
      </c>
      <c r="AH140">
        <f t="shared" si="24"/>
        <v>1</v>
      </c>
      <c r="AI140" t="str">
        <f t="shared" si="25"/>
        <v/>
      </c>
      <c r="AJ140" t="str">
        <f t="shared" si="26"/>
        <v/>
      </c>
    </row>
    <row r="141" spans="1:36">
      <c r="A141" s="5">
        <v>140</v>
      </c>
      <c r="B141" s="5" t="s">
        <v>500</v>
      </c>
      <c r="C141" s="5" t="s">
        <v>100</v>
      </c>
      <c r="D141" s="5" t="s">
        <v>387</v>
      </c>
      <c r="E141" s="5" t="s">
        <v>473</v>
      </c>
      <c r="F141" s="5" t="str">
        <f t="shared" si="18"/>
        <v>Program Office-Officer</v>
      </c>
      <c r="G141" s="5" t="s">
        <v>40</v>
      </c>
      <c r="H141" s="9">
        <v>44761.802951388891</v>
      </c>
      <c r="I141" s="9">
        <v>44765.802951388891</v>
      </c>
      <c r="J141" s="9" t="e">
        <f>I141+#REF!</f>
        <v>#REF!</v>
      </c>
      <c r="K141" s="9" t="e">
        <f>J141+#REF!</f>
        <v>#REF!</v>
      </c>
      <c r="L141" s="10" t="s">
        <v>41</v>
      </c>
      <c r="M141" s="11">
        <v>44783.802951388891</v>
      </c>
      <c r="N141" s="5" t="s">
        <v>64</v>
      </c>
      <c r="O141" s="5"/>
      <c r="P141" s="9">
        <v>44789.802951388891</v>
      </c>
      <c r="Q141" s="5" t="s">
        <v>64</v>
      </c>
      <c r="R141" s="9">
        <v>44784.802951388891</v>
      </c>
      <c r="S141" s="9">
        <v>44785.802951388891</v>
      </c>
      <c r="T141" s="9">
        <v>44786.802951388891</v>
      </c>
      <c r="U141" s="9">
        <v>44791.802951388891</v>
      </c>
      <c r="V141" s="12">
        <v>1</v>
      </c>
      <c r="W141" s="9">
        <v>44793.802951388891</v>
      </c>
      <c r="X141" s="9">
        <v>44794.802951388891</v>
      </c>
      <c r="Y141" s="9">
        <v>44796.802951388891</v>
      </c>
      <c r="Z141" s="5"/>
      <c r="AA141" s="5"/>
      <c r="AB141" s="13">
        <v>44815.802951388891</v>
      </c>
      <c r="AC141">
        <f t="shared" si="19"/>
        <v>18</v>
      </c>
      <c r="AD141">
        <f t="shared" si="20"/>
        <v>20</v>
      </c>
      <c r="AE141">
        <f t="shared" si="21"/>
        <v>3</v>
      </c>
      <c r="AF141">
        <f t="shared" si="22"/>
        <v>3</v>
      </c>
      <c r="AG141">
        <f t="shared" si="23"/>
        <v>2</v>
      </c>
      <c r="AH141">
        <f t="shared" si="24"/>
        <v>4</v>
      </c>
      <c r="AI141" t="str">
        <f t="shared" si="25"/>
        <v/>
      </c>
      <c r="AJ141" t="str">
        <f t="shared" si="26"/>
        <v/>
      </c>
    </row>
    <row r="142" spans="1:36">
      <c r="A142" s="5">
        <v>141</v>
      </c>
      <c r="B142" s="5" t="s">
        <v>2398</v>
      </c>
      <c r="C142" s="5" t="s">
        <v>2229</v>
      </c>
      <c r="D142" s="5" t="s">
        <v>2350</v>
      </c>
      <c r="E142" s="5" t="s">
        <v>39</v>
      </c>
      <c r="F142" s="5" t="str">
        <f t="shared" si="18"/>
        <v>Capacity Building-Analyst</v>
      </c>
      <c r="G142" s="5" t="s">
        <v>40</v>
      </c>
      <c r="H142" s="9">
        <v>44629.982245370367</v>
      </c>
      <c r="I142" s="9">
        <v>44630.982245370367</v>
      </c>
      <c r="J142" s="9" t="e">
        <f>I142+#REF!</f>
        <v>#REF!</v>
      </c>
      <c r="K142" s="9" t="e">
        <f>J142+#REF!</f>
        <v>#REF!</v>
      </c>
      <c r="L142" s="10" t="s">
        <v>41</v>
      </c>
      <c r="M142" s="11">
        <v>44650.982245370367</v>
      </c>
      <c r="N142" s="5" t="s">
        <v>64</v>
      </c>
      <c r="O142" s="5"/>
      <c r="P142" s="9">
        <v>44658.982245370367</v>
      </c>
      <c r="Q142" s="5" t="s">
        <v>64</v>
      </c>
      <c r="R142" s="9">
        <v>44651.982245370367</v>
      </c>
      <c r="S142" s="9">
        <v>44655.982245370367</v>
      </c>
      <c r="T142" s="9">
        <v>44654.982245370367</v>
      </c>
      <c r="U142" s="9">
        <v>44660.982245370367</v>
      </c>
      <c r="V142" s="12">
        <v>1</v>
      </c>
      <c r="W142" s="9">
        <v>44661.982245370367</v>
      </c>
      <c r="X142" s="9">
        <v>44662.982245370367</v>
      </c>
      <c r="Y142" s="9">
        <v>44663.982245370367</v>
      </c>
      <c r="Z142" s="5"/>
      <c r="AA142" s="5"/>
      <c r="AB142" s="13">
        <v>44685.982245370367</v>
      </c>
      <c r="AC142">
        <f t="shared" si="19"/>
        <v>20</v>
      </c>
      <c r="AD142">
        <f t="shared" si="20"/>
        <v>25</v>
      </c>
      <c r="AE142">
        <f t="shared" si="21"/>
        <v>4</v>
      </c>
      <c r="AF142">
        <f t="shared" si="22"/>
        <v>2</v>
      </c>
      <c r="AG142">
        <f t="shared" si="23"/>
        <v>1</v>
      </c>
      <c r="AH142">
        <f t="shared" si="24"/>
        <v>1</v>
      </c>
      <c r="AI142" t="str">
        <f t="shared" si="25"/>
        <v/>
      </c>
      <c r="AJ142" t="str">
        <f t="shared" si="26"/>
        <v/>
      </c>
    </row>
    <row r="143" spans="1:36">
      <c r="A143" s="5">
        <v>142</v>
      </c>
      <c r="B143" s="5" t="s">
        <v>2295</v>
      </c>
      <c r="C143" s="5" t="s">
        <v>2229</v>
      </c>
      <c r="D143" s="5" t="s">
        <v>2250</v>
      </c>
      <c r="E143" s="5" t="s">
        <v>815</v>
      </c>
      <c r="F143" s="5" t="str">
        <f t="shared" si="18"/>
        <v>Capacity Building-Auditor</v>
      </c>
      <c r="G143" s="5" t="s">
        <v>147</v>
      </c>
      <c r="H143" s="9">
        <v>44628.982245370367</v>
      </c>
      <c r="I143" s="9">
        <v>44632.982245370367</v>
      </c>
      <c r="J143" s="9" t="e">
        <f>I143+#REF!</f>
        <v>#REF!</v>
      </c>
      <c r="K143" s="9" t="e">
        <f>J143+#REF!</f>
        <v>#REF!</v>
      </c>
      <c r="L143" s="10" t="s">
        <v>41</v>
      </c>
      <c r="M143" s="11">
        <v>44646.982245370367</v>
      </c>
      <c r="N143" s="5" t="s">
        <v>167</v>
      </c>
      <c r="O143" s="5"/>
      <c r="P143" s="9">
        <v>44651.982245370367</v>
      </c>
      <c r="Q143" s="5" t="s">
        <v>167</v>
      </c>
      <c r="R143" s="5"/>
      <c r="S143" s="5"/>
      <c r="T143" s="9">
        <v>44650.982245370367</v>
      </c>
      <c r="U143" s="5"/>
      <c r="V143" s="5">
        <v>0</v>
      </c>
      <c r="W143" s="5"/>
      <c r="X143" s="5"/>
      <c r="Y143" s="5"/>
      <c r="Z143" s="5"/>
      <c r="AA143" s="5"/>
      <c r="AC143">
        <f t="shared" si="19"/>
        <v>14</v>
      </c>
      <c r="AD143" t="str">
        <f t="shared" si="20"/>
        <v/>
      </c>
      <c r="AE143">
        <f t="shared" si="21"/>
        <v>4</v>
      </c>
      <c r="AF143" t="str">
        <f t="shared" si="22"/>
        <v/>
      </c>
      <c r="AG143" t="str">
        <f t="shared" si="23"/>
        <v/>
      </c>
      <c r="AH143">
        <f t="shared" si="24"/>
        <v>4</v>
      </c>
      <c r="AI143" t="str">
        <f t="shared" si="25"/>
        <v/>
      </c>
      <c r="AJ143" t="str">
        <f t="shared" si="26"/>
        <v/>
      </c>
    </row>
    <row r="144" spans="1:36">
      <c r="A144" s="5">
        <v>143</v>
      </c>
      <c r="B144" s="5" t="s">
        <v>2488</v>
      </c>
      <c r="C144" s="5" t="s">
        <v>2229</v>
      </c>
      <c r="D144" s="5" t="s">
        <v>2445</v>
      </c>
      <c r="E144" s="5" t="s">
        <v>39</v>
      </c>
      <c r="F144" s="5" t="str">
        <f t="shared" si="18"/>
        <v>Capacity Building-Analyst</v>
      </c>
      <c r="G144" s="5" t="s">
        <v>47</v>
      </c>
      <c r="H144" s="9">
        <v>44627.982245370367</v>
      </c>
      <c r="I144" s="9">
        <v>44630.982245370367</v>
      </c>
      <c r="J144" s="9" t="e">
        <f>I144+#REF!</f>
        <v>#REF!</v>
      </c>
      <c r="K144" s="9" t="e">
        <f>J144+#REF!</f>
        <v>#REF!</v>
      </c>
      <c r="L144" s="10" t="s">
        <v>41</v>
      </c>
      <c r="M144" s="11">
        <v>44642.982245370367</v>
      </c>
      <c r="N144" s="5" t="s">
        <v>42</v>
      </c>
      <c r="O144" s="5" t="s">
        <v>58</v>
      </c>
      <c r="P144" s="9"/>
      <c r="Q144" s="5"/>
      <c r="R144" s="5"/>
      <c r="S144" s="5"/>
      <c r="T144" s="9"/>
      <c r="U144" s="5"/>
      <c r="V144" s="5">
        <v>0</v>
      </c>
      <c r="W144" s="5"/>
      <c r="X144" s="5"/>
      <c r="Y144" s="5"/>
      <c r="Z144" s="5"/>
      <c r="AA144" s="5" t="s">
        <v>62</v>
      </c>
      <c r="AC144">
        <f t="shared" si="19"/>
        <v>12</v>
      </c>
      <c r="AD144" t="str">
        <f t="shared" si="20"/>
        <v/>
      </c>
      <c r="AE144" t="str">
        <f t="shared" si="21"/>
        <v/>
      </c>
      <c r="AF144" t="str">
        <f t="shared" si="22"/>
        <v/>
      </c>
      <c r="AG144" t="str">
        <f t="shared" si="23"/>
        <v/>
      </c>
      <c r="AH144">
        <f t="shared" si="24"/>
        <v>3</v>
      </c>
      <c r="AI144" t="str">
        <f t="shared" si="25"/>
        <v/>
      </c>
      <c r="AJ144" t="str">
        <f t="shared" si="26"/>
        <v/>
      </c>
    </row>
    <row r="145" spans="1:36">
      <c r="A145" s="5">
        <v>144</v>
      </c>
      <c r="B145" s="5" t="s">
        <v>2245</v>
      </c>
      <c r="C145" s="5" t="s">
        <v>2229</v>
      </c>
      <c r="D145" s="5" t="s">
        <v>2230</v>
      </c>
      <c r="E145" s="5" t="s">
        <v>102</v>
      </c>
      <c r="F145" s="5" t="str">
        <f t="shared" si="18"/>
        <v>Capacity Building-Senior Manager</v>
      </c>
      <c r="G145" s="5" t="s">
        <v>103</v>
      </c>
      <c r="H145" s="9">
        <v>44629.982245370367</v>
      </c>
      <c r="I145" s="9">
        <v>44630.982245370367</v>
      </c>
      <c r="J145" s="9" t="e">
        <f>I145+#REF!</f>
        <v>#REF!</v>
      </c>
      <c r="K145" s="9" t="e">
        <f>J145+#REF!</f>
        <v>#REF!</v>
      </c>
      <c r="L145" s="10" t="s">
        <v>41</v>
      </c>
      <c r="M145" s="11">
        <v>44641.982245370367</v>
      </c>
      <c r="N145" s="5" t="s">
        <v>64</v>
      </c>
      <c r="O145" s="5"/>
      <c r="P145" s="9">
        <v>44645.982245370367</v>
      </c>
      <c r="Q145" s="5" t="s">
        <v>64</v>
      </c>
      <c r="R145" s="9">
        <v>44643.982245370367</v>
      </c>
      <c r="S145" s="9">
        <v>44646.982245370367</v>
      </c>
      <c r="T145" s="9">
        <v>44642.982245370367</v>
      </c>
      <c r="U145" s="9">
        <v>44649.982245370367</v>
      </c>
      <c r="V145" s="12">
        <v>1</v>
      </c>
      <c r="W145" s="9">
        <v>44652.982245370367</v>
      </c>
      <c r="X145" s="9">
        <v>44653.982245370367</v>
      </c>
      <c r="Y145" s="9">
        <v>44654.982245370367</v>
      </c>
      <c r="Z145" s="5"/>
      <c r="AA145" s="5"/>
      <c r="AB145" s="13">
        <v>44670.982245370367</v>
      </c>
      <c r="AC145">
        <f t="shared" si="19"/>
        <v>11</v>
      </c>
      <c r="AD145">
        <f t="shared" si="20"/>
        <v>16</v>
      </c>
      <c r="AE145">
        <f t="shared" si="21"/>
        <v>1</v>
      </c>
      <c r="AF145">
        <f t="shared" si="22"/>
        <v>4</v>
      </c>
      <c r="AG145">
        <f t="shared" si="23"/>
        <v>3</v>
      </c>
      <c r="AH145">
        <f t="shared" si="24"/>
        <v>1</v>
      </c>
      <c r="AI145" t="str">
        <f t="shared" si="25"/>
        <v/>
      </c>
      <c r="AJ145" t="str">
        <f t="shared" si="26"/>
        <v/>
      </c>
    </row>
    <row r="146" spans="1:36">
      <c r="A146" s="5">
        <v>145</v>
      </c>
      <c r="B146" s="5" t="s">
        <v>2397</v>
      </c>
      <c r="C146" s="5" t="s">
        <v>2229</v>
      </c>
      <c r="D146" s="5" t="s">
        <v>2350</v>
      </c>
      <c r="E146" s="5" t="s">
        <v>39</v>
      </c>
      <c r="F146" s="5" t="str">
        <f t="shared" si="18"/>
        <v>Capacity Building-Analyst</v>
      </c>
      <c r="G146" s="5" t="s">
        <v>40</v>
      </c>
      <c r="H146" s="9">
        <v>44631.982245370367</v>
      </c>
      <c r="I146" s="9">
        <v>44633.982245370367</v>
      </c>
      <c r="J146" s="9" t="e">
        <f>I146+#REF!</f>
        <v>#REF!</v>
      </c>
      <c r="K146" s="9" t="e">
        <f>J146+#REF!</f>
        <v>#REF!</v>
      </c>
      <c r="L146" s="10" t="s">
        <v>41</v>
      </c>
      <c r="M146" s="11">
        <v>44652.982245370367</v>
      </c>
      <c r="N146" s="5" t="s">
        <v>64</v>
      </c>
      <c r="O146" s="5"/>
      <c r="P146" s="9">
        <v>44657.982245370367</v>
      </c>
      <c r="Q146" s="5" t="s">
        <v>64</v>
      </c>
      <c r="R146" s="9">
        <v>44654.982245370367</v>
      </c>
      <c r="S146" s="9">
        <v>44656.982245370367</v>
      </c>
      <c r="T146" s="9">
        <v>44653.982245370367</v>
      </c>
      <c r="U146" s="9">
        <v>44657.982245370367</v>
      </c>
      <c r="V146" s="12">
        <v>1</v>
      </c>
      <c r="W146" s="9">
        <v>44658.982245370367</v>
      </c>
      <c r="X146" s="9">
        <v>44659.982245370367</v>
      </c>
      <c r="Y146" s="9">
        <v>44661.982245370367</v>
      </c>
      <c r="Z146" s="5"/>
      <c r="AA146" s="5"/>
      <c r="AB146" s="13">
        <v>44673.982245370367</v>
      </c>
      <c r="AC146">
        <f t="shared" si="19"/>
        <v>19</v>
      </c>
      <c r="AD146">
        <f t="shared" si="20"/>
        <v>23</v>
      </c>
      <c r="AE146">
        <f t="shared" si="21"/>
        <v>1</v>
      </c>
      <c r="AF146">
        <f t="shared" si="22"/>
        <v>2</v>
      </c>
      <c r="AG146">
        <f t="shared" si="23"/>
        <v>1</v>
      </c>
      <c r="AH146">
        <f t="shared" si="24"/>
        <v>2</v>
      </c>
      <c r="AI146" t="str">
        <f t="shared" si="25"/>
        <v/>
      </c>
      <c r="AJ146" t="str">
        <f t="shared" si="26"/>
        <v/>
      </c>
    </row>
    <row r="147" spans="1:36">
      <c r="A147" s="5">
        <v>146</v>
      </c>
      <c r="B147" s="5" t="s">
        <v>2441</v>
      </c>
      <c r="C147" s="5" t="s">
        <v>2229</v>
      </c>
      <c r="D147" s="5" t="s">
        <v>2403</v>
      </c>
      <c r="E147" s="5" t="s">
        <v>1939</v>
      </c>
      <c r="F147" s="5" t="str">
        <f t="shared" si="18"/>
        <v>Capacity Building-Principal Officer</v>
      </c>
      <c r="G147" s="5" t="s">
        <v>56</v>
      </c>
      <c r="H147" s="9">
        <v>44628.982245370367</v>
      </c>
      <c r="I147" s="9">
        <v>44631.982245370367</v>
      </c>
      <c r="J147" s="9" t="e">
        <f>I147+#REF!</f>
        <v>#REF!</v>
      </c>
      <c r="K147" s="9" t="e">
        <f>J147+#REF!</f>
        <v>#REF!</v>
      </c>
      <c r="L147" s="10" t="s">
        <v>41</v>
      </c>
      <c r="M147" s="11">
        <v>44650.982245370367</v>
      </c>
      <c r="N147" s="5" t="s">
        <v>48</v>
      </c>
      <c r="O147" s="5"/>
      <c r="P147" s="9">
        <v>44654.982245370367</v>
      </c>
      <c r="Q147" s="5" t="s">
        <v>48</v>
      </c>
      <c r="R147" s="5"/>
      <c r="S147" s="5"/>
      <c r="T147" s="9">
        <v>44651.982245370367</v>
      </c>
      <c r="U147" s="5"/>
      <c r="V147" s="5">
        <v>0</v>
      </c>
      <c r="W147" s="5"/>
      <c r="X147" s="5"/>
      <c r="Y147" s="5"/>
      <c r="Z147" s="5"/>
      <c r="AA147" s="5"/>
      <c r="AC147">
        <f t="shared" si="19"/>
        <v>19</v>
      </c>
      <c r="AD147" t="str">
        <f t="shared" si="20"/>
        <v/>
      </c>
      <c r="AE147">
        <f t="shared" si="21"/>
        <v>1</v>
      </c>
      <c r="AF147" t="str">
        <f t="shared" si="22"/>
        <v/>
      </c>
      <c r="AG147" t="str">
        <f t="shared" si="23"/>
        <v/>
      </c>
      <c r="AH147">
        <f t="shared" si="24"/>
        <v>3</v>
      </c>
      <c r="AI147" t="str">
        <f t="shared" si="25"/>
        <v/>
      </c>
      <c r="AJ147" t="str">
        <f t="shared" si="26"/>
        <v/>
      </c>
    </row>
    <row r="148" spans="1:36">
      <c r="A148" s="5">
        <v>147</v>
      </c>
      <c r="B148" s="5" t="s">
        <v>2487</v>
      </c>
      <c r="C148" s="5" t="s">
        <v>2229</v>
      </c>
      <c r="D148" s="5" t="s">
        <v>2445</v>
      </c>
      <c r="E148" s="5" t="s">
        <v>39</v>
      </c>
      <c r="F148" s="5" t="str">
        <f t="shared" si="18"/>
        <v>Capacity Building-Analyst</v>
      </c>
      <c r="G148" s="5" t="s">
        <v>47</v>
      </c>
      <c r="H148" s="9">
        <v>44629.982245370367</v>
      </c>
      <c r="I148" s="9">
        <v>44632.982245370367</v>
      </c>
      <c r="J148" s="9" t="e">
        <f>I148+#REF!</f>
        <v>#REF!</v>
      </c>
      <c r="K148" s="9" t="e">
        <f>J148+#REF!</f>
        <v>#REF!</v>
      </c>
      <c r="L148" s="10" t="s">
        <v>41</v>
      </c>
      <c r="M148" s="11">
        <v>44646.982245370367</v>
      </c>
      <c r="N148" s="5" t="s">
        <v>42</v>
      </c>
      <c r="O148" s="5" t="s">
        <v>58</v>
      </c>
      <c r="P148" s="9"/>
      <c r="Q148" s="5"/>
      <c r="R148" s="5"/>
      <c r="S148" s="5"/>
      <c r="T148" s="9">
        <v>44649.982245370367</v>
      </c>
      <c r="U148" s="5"/>
      <c r="V148" s="5">
        <v>0</v>
      </c>
      <c r="W148" s="5"/>
      <c r="X148" s="5"/>
      <c r="Y148" s="5"/>
      <c r="Z148" s="5"/>
      <c r="AA148" s="5" t="s">
        <v>44</v>
      </c>
      <c r="AC148">
        <f t="shared" si="19"/>
        <v>14</v>
      </c>
      <c r="AD148" t="str">
        <f t="shared" si="20"/>
        <v/>
      </c>
      <c r="AE148">
        <f t="shared" si="21"/>
        <v>3</v>
      </c>
      <c r="AF148" t="str">
        <f t="shared" si="22"/>
        <v/>
      </c>
      <c r="AG148" t="str">
        <f t="shared" si="23"/>
        <v/>
      </c>
      <c r="AH148">
        <f t="shared" si="24"/>
        <v>3</v>
      </c>
      <c r="AI148" t="str">
        <f t="shared" si="25"/>
        <v/>
      </c>
      <c r="AJ148" t="str">
        <f t="shared" si="26"/>
        <v/>
      </c>
    </row>
    <row r="149" spans="1:36">
      <c r="A149" s="5">
        <v>148</v>
      </c>
      <c r="B149" s="5" t="s">
        <v>2440</v>
      </c>
      <c r="C149" s="5" t="s">
        <v>2229</v>
      </c>
      <c r="D149" s="5" t="s">
        <v>2403</v>
      </c>
      <c r="E149" s="5" t="s">
        <v>1939</v>
      </c>
      <c r="F149" s="5" t="str">
        <f t="shared" si="18"/>
        <v>Capacity Building-Principal Officer</v>
      </c>
      <c r="G149" s="5" t="s">
        <v>56</v>
      </c>
      <c r="H149" s="9">
        <v>44630.982245370367</v>
      </c>
      <c r="I149" s="9">
        <v>44632.982245370367</v>
      </c>
      <c r="J149" s="9" t="e">
        <f>I149+#REF!</f>
        <v>#REF!</v>
      </c>
      <c r="K149" s="9" t="e">
        <f>J149+#REF!</f>
        <v>#REF!</v>
      </c>
      <c r="L149" s="10" t="s">
        <v>41</v>
      </c>
      <c r="M149" s="11">
        <v>44649.982245370367</v>
      </c>
      <c r="N149" s="5" t="s">
        <v>48</v>
      </c>
      <c r="O149" s="5"/>
      <c r="P149" s="9">
        <v>44657.982245370367</v>
      </c>
      <c r="Q149" s="5" t="s">
        <v>48</v>
      </c>
      <c r="R149" s="5"/>
      <c r="S149" s="5"/>
      <c r="T149" s="9">
        <v>44653.982245370367</v>
      </c>
      <c r="U149" s="5"/>
      <c r="V149" s="5">
        <v>0</v>
      </c>
      <c r="W149" s="5"/>
      <c r="X149" s="5"/>
      <c r="Y149" s="5"/>
      <c r="Z149" s="5"/>
      <c r="AA149" s="5"/>
      <c r="AC149">
        <f t="shared" si="19"/>
        <v>17</v>
      </c>
      <c r="AD149" t="str">
        <f t="shared" si="20"/>
        <v/>
      </c>
      <c r="AE149">
        <f t="shared" si="21"/>
        <v>4</v>
      </c>
      <c r="AF149" t="str">
        <f t="shared" si="22"/>
        <v/>
      </c>
      <c r="AG149" t="str">
        <f t="shared" si="23"/>
        <v/>
      </c>
      <c r="AH149">
        <f t="shared" si="24"/>
        <v>2</v>
      </c>
      <c r="AI149" t="str">
        <f t="shared" si="25"/>
        <v/>
      </c>
      <c r="AJ149" t="str">
        <f t="shared" si="26"/>
        <v/>
      </c>
    </row>
    <row r="150" spans="1:36">
      <c r="A150" s="5">
        <v>149</v>
      </c>
      <c r="B150" s="5" t="s">
        <v>2439</v>
      </c>
      <c r="C150" s="5" t="s">
        <v>2229</v>
      </c>
      <c r="D150" s="5" t="s">
        <v>2403</v>
      </c>
      <c r="E150" s="5" t="s">
        <v>1939</v>
      </c>
      <c r="F150" s="5" t="str">
        <f t="shared" si="18"/>
        <v>Capacity Building-Principal Officer</v>
      </c>
      <c r="G150" s="5" t="s">
        <v>56</v>
      </c>
      <c r="H150" s="9">
        <v>44631.982245370367</v>
      </c>
      <c r="I150" s="9">
        <v>44633.982245370367</v>
      </c>
      <c r="J150" s="9" t="e">
        <f>I150+#REF!</f>
        <v>#REF!</v>
      </c>
      <c r="K150" s="9" t="e">
        <f>J150+#REF!</f>
        <v>#REF!</v>
      </c>
      <c r="L150" s="10" t="s">
        <v>52</v>
      </c>
      <c r="M150" s="11"/>
      <c r="N150" s="5"/>
      <c r="O150" s="5"/>
      <c r="P150" s="9"/>
      <c r="Q150" s="5"/>
      <c r="R150" s="5"/>
      <c r="S150" s="5"/>
      <c r="T150" s="9"/>
      <c r="U150" s="5"/>
      <c r="V150" s="5">
        <v>0</v>
      </c>
      <c r="W150" s="5"/>
      <c r="X150" s="5"/>
      <c r="Y150" s="5"/>
      <c r="Z150" s="5"/>
      <c r="AA150" s="5"/>
      <c r="AC150" t="str">
        <f t="shared" si="19"/>
        <v/>
      </c>
      <c r="AD150" t="str">
        <f t="shared" si="20"/>
        <v/>
      </c>
      <c r="AE150" t="str">
        <f t="shared" si="21"/>
        <v/>
      </c>
      <c r="AF150" t="str">
        <f t="shared" si="22"/>
        <v/>
      </c>
      <c r="AG150" t="str">
        <f t="shared" si="23"/>
        <v/>
      </c>
      <c r="AH150">
        <f t="shared" si="24"/>
        <v>2</v>
      </c>
      <c r="AI150" t="str">
        <f t="shared" si="25"/>
        <v/>
      </c>
      <c r="AJ150" t="str">
        <f t="shared" si="26"/>
        <v/>
      </c>
    </row>
    <row r="151" spans="1:36">
      <c r="A151" s="5">
        <v>150</v>
      </c>
      <c r="B151" s="5" t="s">
        <v>2396</v>
      </c>
      <c r="C151" s="5" t="s">
        <v>2229</v>
      </c>
      <c r="D151" s="5" t="s">
        <v>2350</v>
      </c>
      <c r="E151" s="5" t="s">
        <v>39</v>
      </c>
      <c r="F151" s="5" t="str">
        <f t="shared" si="18"/>
        <v>Capacity Building-Analyst</v>
      </c>
      <c r="G151" s="5" t="s">
        <v>40</v>
      </c>
      <c r="H151" s="9">
        <v>44627.982245370367</v>
      </c>
      <c r="I151" s="9">
        <v>44630.982245370367</v>
      </c>
      <c r="J151" s="9" t="e">
        <f>I151+#REF!</f>
        <v>#REF!</v>
      </c>
      <c r="K151" s="9" t="e">
        <f>J151+#REF!</f>
        <v>#REF!</v>
      </c>
      <c r="L151" s="10" t="s">
        <v>41</v>
      </c>
      <c r="M151" s="11">
        <v>44651.982245370367</v>
      </c>
      <c r="N151" s="5" t="s">
        <v>48</v>
      </c>
      <c r="O151" s="5"/>
      <c r="P151" s="9">
        <v>44655.982245370367</v>
      </c>
      <c r="Q151" s="5" t="s">
        <v>48</v>
      </c>
      <c r="R151" s="5"/>
      <c r="S151" s="5"/>
      <c r="T151" s="9">
        <v>44652.982245370367</v>
      </c>
      <c r="U151" s="5"/>
      <c r="V151" s="5">
        <v>0</v>
      </c>
      <c r="W151" s="5"/>
      <c r="X151" s="5"/>
      <c r="Y151" s="5"/>
      <c r="Z151" s="5"/>
      <c r="AA151" s="5"/>
      <c r="AC151">
        <f t="shared" si="19"/>
        <v>21</v>
      </c>
      <c r="AD151" t="str">
        <f t="shared" si="20"/>
        <v/>
      </c>
      <c r="AE151">
        <f t="shared" si="21"/>
        <v>1</v>
      </c>
      <c r="AF151" t="str">
        <f t="shared" si="22"/>
        <v/>
      </c>
      <c r="AG151" t="str">
        <f t="shared" si="23"/>
        <v/>
      </c>
      <c r="AH151">
        <f t="shared" si="24"/>
        <v>3</v>
      </c>
      <c r="AI151" t="str">
        <f t="shared" si="25"/>
        <v/>
      </c>
      <c r="AJ151" t="str">
        <f t="shared" si="26"/>
        <v/>
      </c>
    </row>
    <row r="152" spans="1:36">
      <c r="A152" s="5">
        <v>151</v>
      </c>
      <c r="B152" s="5" t="s">
        <v>2395</v>
      </c>
      <c r="C152" s="5" t="s">
        <v>2229</v>
      </c>
      <c r="D152" s="5" t="s">
        <v>2350</v>
      </c>
      <c r="E152" s="5" t="s">
        <v>39</v>
      </c>
      <c r="F152" s="5" t="str">
        <f t="shared" si="18"/>
        <v>Capacity Building-Analyst</v>
      </c>
      <c r="G152" s="5" t="s">
        <v>40</v>
      </c>
      <c r="H152" s="9">
        <v>44930.64434027778</v>
      </c>
      <c r="I152" s="9">
        <v>44934.64434027778</v>
      </c>
      <c r="J152" s="9" t="e">
        <f>I152+#REF!</f>
        <v>#REF!</v>
      </c>
      <c r="K152" s="9" t="e">
        <f>J152+#REF!</f>
        <v>#REF!</v>
      </c>
      <c r="L152" s="10" t="s">
        <v>41</v>
      </c>
      <c r="M152" s="11">
        <v>44953.64434027778</v>
      </c>
      <c r="N152" s="5" t="s">
        <v>64</v>
      </c>
      <c r="O152" s="5"/>
      <c r="P152" s="9">
        <v>44958.64434027778</v>
      </c>
      <c r="Q152" s="5" t="s">
        <v>64</v>
      </c>
      <c r="R152" s="9">
        <v>44954.64434027778</v>
      </c>
      <c r="S152" s="9">
        <v>44957.64434027778</v>
      </c>
      <c r="T152" s="9">
        <v>44956.64434027778</v>
      </c>
      <c r="U152" s="9">
        <v>44963.64434027778</v>
      </c>
      <c r="V152" s="12">
        <v>1</v>
      </c>
      <c r="W152" s="9">
        <v>44967.64434027778</v>
      </c>
      <c r="X152" s="9">
        <v>44970.64434027778</v>
      </c>
      <c r="Y152" s="9">
        <v>44972.64434027778</v>
      </c>
      <c r="Z152" s="5"/>
      <c r="AA152" s="5"/>
      <c r="AB152" s="13">
        <v>44983.64434027778</v>
      </c>
      <c r="AC152">
        <f t="shared" si="19"/>
        <v>19</v>
      </c>
      <c r="AD152">
        <f t="shared" si="20"/>
        <v>23</v>
      </c>
      <c r="AE152">
        <f t="shared" si="21"/>
        <v>3</v>
      </c>
      <c r="AF152">
        <f t="shared" si="22"/>
        <v>7</v>
      </c>
      <c r="AG152">
        <f t="shared" si="23"/>
        <v>4</v>
      </c>
      <c r="AH152">
        <f t="shared" si="24"/>
        <v>4</v>
      </c>
      <c r="AI152" t="str">
        <f t="shared" si="25"/>
        <v/>
      </c>
      <c r="AJ152" t="str">
        <f t="shared" si="26"/>
        <v/>
      </c>
    </row>
    <row r="153" spans="1:36">
      <c r="A153" s="5">
        <v>152</v>
      </c>
      <c r="B153" s="5" t="s">
        <v>2345</v>
      </c>
      <c r="C153" s="5" t="s">
        <v>2229</v>
      </c>
      <c r="D153" s="5" t="s">
        <v>2302</v>
      </c>
      <c r="E153" s="5" t="s">
        <v>269</v>
      </c>
      <c r="F153" s="5" t="str">
        <f t="shared" si="18"/>
        <v>Capacity Building-Manager</v>
      </c>
      <c r="G153" s="5" t="s">
        <v>270</v>
      </c>
      <c r="H153" s="9">
        <v>44928.64434027778</v>
      </c>
      <c r="I153" s="9">
        <v>44932.64434027778</v>
      </c>
      <c r="J153" s="9" t="e">
        <f>I153+#REF!</f>
        <v>#REF!</v>
      </c>
      <c r="K153" s="9" t="e">
        <f>J153+#REF!</f>
        <v>#REF!</v>
      </c>
      <c r="L153" s="10" t="s">
        <v>41</v>
      </c>
      <c r="M153" s="11">
        <v>44951.64434027778</v>
      </c>
      <c r="N153" s="5" t="s">
        <v>167</v>
      </c>
      <c r="O153" s="5"/>
      <c r="P153" s="9">
        <v>44954.64434027778</v>
      </c>
      <c r="Q153" s="5" t="s">
        <v>167</v>
      </c>
      <c r="R153" s="5"/>
      <c r="S153" s="5"/>
      <c r="T153" s="9">
        <v>44953.64434027778</v>
      </c>
      <c r="U153" s="5"/>
      <c r="V153" s="5">
        <v>0</v>
      </c>
      <c r="W153" s="5"/>
      <c r="X153" s="5"/>
      <c r="Y153" s="5"/>
      <c r="Z153" s="5"/>
      <c r="AA153" s="5"/>
      <c r="AC153">
        <f t="shared" si="19"/>
        <v>19</v>
      </c>
      <c r="AD153" t="str">
        <f t="shared" si="20"/>
        <v/>
      </c>
      <c r="AE153">
        <f t="shared" si="21"/>
        <v>2</v>
      </c>
      <c r="AF153" t="str">
        <f t="shared" si="22"/>
        <v/>
      </c>
      <c r="AG153" t="str">
        <f t="shared" si="23"/>
        <v/>
      </c>
      <c r="AH153">
        <f t="shared" si="24"/>
        <v>4</v>
      </c>
      <c r="AI153" t="str">
        <f t="shared" si="25"/>
        <v/>
      </c>
      <c r="AJ153" t="str">
        <f t="shared" si="26"/>
        <v/>
      </c>
    </row>
    <row r="154" spans="1:36">
      <c r="A154" s="5">
        <v>153</v>
      </c>
      <c r="B154" s="5" t="s">
        <v>2294</v>
      </c>
      <c r="C154" s="5" t="s">
        <v>2229</v>
      </c>
      <c r="D154" s="5" t="s">
        <v>2250</v>
      </c>
      <c r="E154" s="5" t="s">
        <v>1146</v>
      </c>
      <c r="F154" s="5" t="str">
        <f t="shared" si="18"/>
        <v>Capacity Building-Quality Assurance</v>
      </c>
      <c r="G154" s="5" t="s">
        <v>147</v>
      </c>
      <c r="H154" s="9">
        <v>44930.64434027778</v>
      </c>
      <c r="I154" s="9">
        <v>44934.64434027778</v>
      </c>
      <c r="J154" s="9" t="e">
        <f>I154+#REF!</f>
        <v>#REF!</v>
      </c>
      <c r="K154" s="9" t="e">
        <f>J154+#REF!</f>
        <v>#REF!</v>
      </c>
      <c r="L154" s="10" t="s">
        <v>52</v>
      </c>
      <c r="M154" s="11"/>
      <c r="N154" s="5"/>
      <c r="O154" s="5"/>
      <c r="P154" s="9"/>
      <c r="Q154" s="5"/>
      <c r="R154" s="5"/>
      <c r="S154" s="5"/>
      <c r="T154" s="9"/>
      <c r="U154" s="5"/>
      <c r="V154" s="5">
        <v>0</v>
      </c>
      <c r="W154" s="5"/>
      <c r="X154" s="5"/>
      <c r="Y154" s="5"/>
      <c r="Z154" s="5"/>
      <c r="AA154" s="5"/>
      <c r="AC154" t="str">
        <f t="shared" si="19"/>
        <v/>
      </c>
      <c r="AD154" t="str">
        <f t="shared" si="20"/>
        <v/>
      </c>
      <c r="AE154" t="str">
        <f t="shared" si="21"/>
        <v/>
      </c>
      <c r="AF154" t="str">
        <f t="shared" si="22"/>
        <v/>
      </c>
      <c r="AG154" t="str">
        <f t="shared" si="23"/>
        <v/>
      </c>
      <c r="AH154">
        <f t="shared" si="24"/>
        <v>4</v>
      </c>
      <c r="AI154" t="str">
        <f t="shared" si="25"/>
        <v/>
      </c>
      <c r="AJ154" t="str">
        <f t="shared" si="26"/>
        <v/>
      </c>
    </row>
    <row r="155" spans="1:36">
      <c r="A155" s="5">
        <v>154</v>
      </c>
      <c r="B155" s="5" t="s">
        <v>2394</v>
      </c>
      <c r="C155" s="5" t="s">
        <v>2229</v>
      </c>
      <c r="D155" s="5" t="s">
        <v>2350</v>
      </c>
      <c r="E155" s="5" t="s">
        <v>39</v>
      </c>
      <c r="F155" s="5" t="str">
        <f t="shared" si="18"/>
        <v>Capacity Building-Analyst</v>
      </c>
      <c r="G155" s="5" t="s">
        <v>40</v>
      </c>
      <c r="H155" s="9">
        <v>44934.64434027778</v>
      </c>
      <c r="I155" s="9">
        <v>44937.64434027778</v>
      </c>
      <c r="J155" s="9" t="e">
        <f>I155+#REF!</f>
        <v>#REF!</v>
      </c>
      <c r="K155" s="9" t="e">
        <f>J155+#REF!</f>
        <v>#REF!</v>
      </c>
      <c r="L155" s="10" t="s">
        <v>41</v>
      </c>
      <c r="M155" s="11">
        <v>44954.64434027778</v>
      </c>
      <c r="N155" s="5" t="s">
        <v>167</v>
      </c>
      <c r="O155" s="5"/>
      <c r="P155" s="9">
        <v>44957.64434027778</v>
      </c>
      <c r="Q155" s="5" t="s">
        <v>167</v>
      </c>
      <c r="R155" s="5"/>
      <c r="S155" s="5"/>
      <c r="T155" s="9">
        <v>44956.64434027778</v>
      </c>
      <c r="U155" s="5"/>
      <c r="V155" s="5">
        <v>0</v>
      </c>
      <c r="W155" s="5"/>
      <c r="X155" s="5"/>
      <c r="Y155" s="5"/>
      <c r="Z155" s="5"/>
      <c r="AA155" s="5"/>
      <c r="AC155">
        <f t="shared" si="19"/>
        <v>17</v>
      </c>
      <c r="AD155" t="str">
        <f t="shared" si="20"/>
        <v/>
      </c>
      <c r="AE155">
        <f t="shared" si="21"/>
        <v>2</v>
      </c>
      <c r="AF155" t="str">
        <f t="shared" si="22"/>
        <v/>
      </c>
      <c r="AG155" t="str">
        <f t="shared" si="23"/>
        <v/>
      </c>
      <c r="AH155">
        <f t="shared" si="24"/>
        <v>3</v>
      </c>
      <c r="AI155" t="str">
        <f t="shared" si="25"/>
        <v/>
      </c>
      <c r="AJ155" t="str">
        <f t="shared" si="26"/>
        <v/>
      </c>
    </row>
    <row r="156" spans="1:36">
      <c r="A156" s="5">
        <v>155</v>
      </c>
      <c r="B156" s="5" t="s">
        <v>2438</v>
      </c>
      <c r="C156" s="5" t="s">
        <v>2229</v>
      </c>
      <c r="D156" s="5" t="s">
        <v>2403</v>
      </c>
      <c r="E156" s="5" t="s">
        <v>1939</v>
      </c>
      <c r="F156" s="5" t="str">
        <f t="shared" si="18"/>
        <v>Capacity Building-Principal Officer</v>
      </c>
      <c r="G156" s="5" t="s">
        <v>56</v>
      </c>
      <c r="H156" s="9">
        <v>44935.64434027778</v>
      </c>
      <c r="I156" s="9">
        <v>44937.64434027778</v>
      </c>
      <c r="J156" s="9" t="e">
        <f>I156+#REF!</f>
        <v>#REF!</v>
      </c>
      <c r="K156" s="9" t="e">
        <f>J156+#REF!</f>
        <v>#REF!</v>
      </c>
      <c r="L156" s="10" t="s">
        <v>41</v>
      </c>
      <c r="M156" s="11">
        <v>44946.64434027778</v>
      </c>
      <c r="N156" s="5" t="s">
        <v>48</v>
      </c>
      <c r="O156" s="5"/>
      <c r="P156" s="9">
        <v>44951.64434027778</v>
      </c>
      <c r="Q156" s="5" t="s">
        <v>48</v>
      </c>
      <c r="R156" s="5"/>
      <c r="S156" s="5"/>
      <c r="T156" s="9">
        <v>44950.64434027778</v>
      </c>
      <c r="U156" s="5"/>
      <c r="V156" s="5">
        <v>0</v>
      </c>
      <c r="W156" s="5"/>
      <c r="X156" s="5"/>
      <c r="Y156" s="5"/>
      <c r="Z156" s="5"/>
      <c r="AA156" s="5"/>
      <c r="AC156">
        <f t="shared" si="19"/>
        <v>9</v>
      </c>
      <c r="AD156" t="str">
        <f t="shared" si="20"/>
        <v/>
      </c>
      <c r="AE156">
        <f t="shared" si="21"/>
        <v>4</v>
      </c>
      <c r="AF156" t="str">
        <f t="shared" si="22"/>
        <v/>
      </c>
      <c r="AG156" t="str">
        <f t="shared" si="23"/>
        <v/>
      </c>
      <c r="AH156">
        <f t="shared" si="24"/>
        <v>2</v>
      </c>
      <c r="AI156" t="str">
        <f t="shared" si="25"/>
        <v/>
      </c>
      <c r="AJ156" t="str">
        <f t="shared" si="26"/>
        <v/>
      </c>
    </row>
    <row r="157" spans="1:36">
      <c r="A157" s="5">
        <v>156</v>
      </c>
      <c r="B157" s="5" t="s">
        <v>2437</v>
      </c>
      <c r="C157" s="5" t="s">
        <v>2229</v>
      </c>
      <c r="D157" s="5" t="s">
        <v>2403</v>
      </c>
      <c r="E157" s="5" t="s">
        <v>1939</v>
      </c>
      <c r="F157" s="5" t="str">
        <f t="shared" si="18"/>
        <v>Capacity Building-Principal Officer</v>
      </c>
      <c r="G157" s="5" t="s">
        <v>56</v>
      </c>
      <c r="H157" s="9">
        <v>44931.64434027778</v>
      </c>
      <c r="I157" s="9">
        <v>44932.64434027778</v>
      </c>
      <c r="J157" s="9" t="e">
        <f>I157+#REF!</f>
        <v>#REF!</v>
      </c>
      <c r="K157" s="9" t="e">
        <f>J157+#REF!</f>
        <v>#REF!</v>
      </c>
      <c r="L157" s="10" t="s">
        <v>41</v>
      </c>
      <c r="M157" s="11">
        <v>44951.64434027778</v>
      </c>
      <c r="N157" s="5" t="s">
        <v>64</v>
      </c>
      <c r="O157" s="5"/>
      <c r="P157" s="9">
        <v>44956.64434027778</v>
      </c>
      <c r="Q157" s="5" t="s">
        <v>64</v>
      </c>
      <c r="R157" s="9">
        <v>44952.64434027778</v>
      </c>
      <c r="S157" s="9">
        <v>44955.64434027778</v>
      </c>
      <c r="T157" s="9">
        <v>44954.64434027778</v>
      </c>
      <c r="U157" s="9">
        <v>44956.64434027778</v>
      </c>
      <c r="V157" s="12">
        <v>1</v>
      </c>
      <c r="W157" s="9">
        <v>44958.64434027778</v>
      </c>
      <c r="X157" s="9">
        <v>44961.64434027778</v>
      </c>
      <c r="Y157" s="9">
        <v>44962.64434027778</v>
      </c>
      <c r="Z157" s="5"/>
      <c r="AA157" s="5"/>
      <c r="AB157" s="13">
        <v>44981.64434027778</v>
      </c>
      <c r="AC157">
        <f t="shared" si="19"/>
        <v>19</v>
      </c>
      <c r="AD157">
        <f t="shared" si="20"/>
        <v>23</v>
      </c>
      <c r="AE157">
        <f t="shared" si="21"/>
        <v>3</v>
      </c>
      <c r="AF157">
        <f t="shared" si="22"/>
        <v>5</v>
      </c>
      <c r="AG157">
        <f t="shared" si="23"/>
        <v>2</v>
      </c>
      <c r="AH157">
        <f t="shared" si="24"/>
        <v>1</v>
      </c>
      <c r="AI157" t="str">
        <f t="shared" si="25"/>
        <v/>
      </c>
      <c r="AJ157" t="str">
        <f t="shared" si="26"/>
        <v/>
      </c>
    </row>
    <row r="158" spans="1:36">
      <c r="A158" s="5">
        <v>157</v>
      </c>
      <c r="B158" s="5" t="s">
        <v>2244</v>
      </c>
      <c r="C158" s="5" t="s">
        <v>2229</v>
      </c>
      <c r="D158" s="5" t="s">
        <v>2230</v>
      </c>
      <c r="E158" s="5" t="s">
        <v>102</v>
      </c>
      <c r="F158" s="5" t="str">
        <f t="shared" si="18"/>
        <v>Capacity Building-Senior Manager</v>
      </c>
      <c r="G158" s="5" t="s">
        <v>103</v>
      </c>
      <c r="H158" s="9">
        <v>44929.64434027778</v>
      </c>
      <c r="I158" s="9">
        <v>44932.64434027778</v>
      </c>
      <c r="J158" s="9" t="e">
        <f>I158+#REF!</f>
        <v>#REF!</v>
      </c>
      <c r="K158" s="9" t="e">
        <f>J158+#REF!</f>
        <v>#REF!</v>
      </c>
      <c r="L158" s="10" t="s">
        <v>41</v>
      </c>
      <c r="M158" s="11">
        <v>44943.64434027778</v>
      </c>
      <c r="N158" s="5" t="s">
        <v>42</v>
      </c>
      <c r="O158" s="5" t="s">
        <v>98</v>
      </c>
      <c r="P158" s="9"/>
      <c r="Q158" s="5"/>
      <c r="R158" s="5"/>
      <c r="S158" s="5"/>
      <c r="T158" s="9">
        <v>44946.64434027778</v>
      </c>
      <c r="U158" s="5"/>
      <c r="V158" s="5">
        <v>0</v>
      </c>
      <c r="W158" s="5"/>
      <c r="X158" s="5"/>
      <c r="Y158" s="5"/>
      <c r="Z158" s="5"/>
      <c r="AA158" s="5" t="s">
        <v>62</v>
      </c>
      <c r="AC158">
        <f t="shared" si="19"/>
        <v>11</v>
      </c>
      <c r="AD158" t="str">
        <f t="shared" si="20"/>
        <v/>
      </c>
      <c r="AE158">
        <f t="shared" si="21"/>
        <v>3</v>
      </c>
      <c r="AF158" t="str">
        <f t="shared" si="22"/>
        <v/>
      </c>
      <c r="AG158" t="str">
        <f t="shared" si="23"/>
        <v/>
      </c>
      <c r="AH158">
        <f t="shared" si="24"/>
        <v>3</v>
      </c>
      <c r="AI158" t="str">
        <f t="shared" si="25"/>
        <v/>
      </c>
      <c r="AJ158" t="str">
        <f t="shared" si="26"/>
        <v/>
      </c>
    </row>
    <row r="159" spans="1:36">
      <c r="A159" s="5">
        <v>158</v>
      </c>
      <c r="B159" s="5" t="s">
        <v>2293</v>
      </c>
      <c r="C159" s="5" t="s">
        <v>2229</v>
      </c>
      <c r="D159" s="5" t="s">
        <v>2250</v>
      </c>
      <c r="E159" s="5" t="s">
        <v>1146</v>
      </c>
      <c r="F159" s="5" t="str">
        <f t="shared" si="18"/>
        <v>Capacity Building-Quality Assurance</v>
      </c>
      <c r="G159" s="5" t="s">
        <v>147</v>
      </c>
      <c r="H159" s="9">
        <v>44931.64434027778</v>
      </c>
      <c r="I159" s="9">
        <v>44932.64434027778</v>
      </c>
      <c r="J159" s="9" t="e">
        <f>I159+#REF!</f>
        <v>#REF!</v>
      </c>
      <c r="K159" s="9" t="e">
        <f>J159+#REF!</f>
        <v>#REF!</v>
      </c>
      <c r="L159" s="10" t="s">
        <v>41</v>
      </c>
      <c r="M159" s="11">
        <v>44942.64434027778</v>
      </c>
      <c r="N159" s="5" t="s">
        <v>42</v>
      </c>
      <c r="O159" s="5" t="s">
        <v>73</v>
      </c>
      <c r="P159" s="9"/>
      <c r="Q159" s="5"/>
      <c r="R159" s="5"/>
      <c r="S159" s="5"/>
      <c r="T159" s="9"/>
      <c r="U159" s="5"/>
      <c r="V159" s="5">
        <v>0</v>
      </c>
      <c r="W159" s="5"/>
      <c r="X159" s="5"/>
      <c r="Y159" s="5"/>
      <c r="Z159" s="5"/>
      <c r="AA159" s="5" t="s">
        <v>44</v>
      </c>
      <c r="AC159">
        <f t="shared" si="19"/>
        <v>10</v>
      </c>
      <c r="AD159" t="str">
        <f t="shared" si="20"/>
        <v/>
      </c>
      <c r="AE159" t="str">
        <f t="shared" si="21"/>
        <v/>
      </c>
      <c r="AF159" t="str">
        <f t="shared" si="22"/>
        <v/>
      </c>
      <c r="AG159" t="str">
        <f t="shared" si="23"/>
        <v/>
      </c>
      <c r="AH159">
        <f t="shared" si="24"/>
        <v>1</v>
      </c>
      <c r="AI159" t="str">
        <f t="shared" si="25"/>
        <v/>
      </c>
      <c r="AJ159" t="str">
        <f t="shared" si="26"/>
        <v/>
      </c>
    </row>
    <row r="160" spans="1:36">
      <c r="A160" s="5">
        <v>159</v>
      </c>
      <c r="B160" s="5" t="s">
        <v>2436</v>
      </c>
      <c r="C160" s="5" t="s">
        <v>2229</v>
      </c>
      <c r="D160" s="5" t="s">
        <v>2403</v>
      </c>
      <c r="E160" s="5" t="s">
        <v>1939</v>
      </c>
      <c r="F160" s="5" t="str">
        <f t="shared" si="18"/>
        <v>Capacity Building-Principal Officer</v>
      </c>
      <c r="G160" s="5" t="s">
        <v>56</v>
      </c>
      <c r="H160" s="9">
        <v>44934.64434027778</v>
      </c>
      <c r="I160" s="9">
        <v>44935.64434027778</v>
      </c>
      <c r="J160" s="9" t="e">
        <f>I160+#REF!</f>
        <v>#REF!</v>
      </c>
      <c r="K160" s="9" t="e">
        <f>J160+#REF!</f>
        <v>#REF!</v>
      </c>
      <c r="L160" s="10" t="s">
        <v>52</v>
      </c>
      <c r="M160" s="11"/>
      <c r="N160" s="5"/>
      <c r="O160" s="5"/>
      <c r="P160" s="9"/>
      <c r="Q160" s="5"/>
      <c r="R160" s="5"/>
      <c r="S160" s="5"/>
      <c r="T160" s="9"/>
      <c r="U160" s="5"/>
      <c r="V160" s="5">
        <v>0</v>
      </c>
      <c r="W160" s="5"/>
      <c r="X160" s="5"/>
      <c r="Y160" s="5"/>
      <c r="Z160" s="5"/>
      <c r="AA160" s="5"/>
      <c r="AC160" t="str">
        <f t="shared" si="19"/>
        <v/>
      </c>
      <c r="AD160" t="str">
        <f t="shared" si="20"/>
        <v/>
      </c>
      <c r="AE160" t="str">
        <f t="shared" si="21"/>
        <v/>
      </c>
      <c r="AF160" t="str">
        <f t="shared" si="22"/>
        <v/>
      </c>
      <c r="AG160" t="str">
        <f t="shared" si="23"/>
        <v/>
      </c>
      <c r="AH160">
        <f t="shared" si="24"/>
        <v>1</v>
      </c>
      <c r="AI160" t="str">
        <f t="shared" si="25"/>
        <v/>
      </c>
      <c r="AJ160" t="str">
        <f t="shared" si="26"/>
        <v/>
      </c>
    </row>
    <row r="161" spans="1:36">
      <c r="A161" s="5">
        <v>160</v>
      </c>
      <c r="B161" s="5" t="s">
        <v>2243</v>
      </c>
      <c r="C161" s="5" t="s">
        <v>2229</v>
      </c>
      <c r="D161" s="5" t="s">
        <v>2230</v>
      </c>
      <c r="E161" s="5" t="s">
        <v>102</v>
      </c>
      <c r="F161" s="5" t="str">
        <f t="shared" si="18"/>
        <v>Capacity Building-Senior Manager</v>
      </c>
      <c r="G161" s="5" t="s">
        <v>103</v>
      </c>
      <c r="H161" s="9">
        <v>44934.64434027778</v>
      </c>
      <c r="I161" s="9">
        <v>44937.64434027778</v>
      </c>
      <c r="J161" s="9" t="e">
        <f>I161+#REF!</f>
        <v>#REF!</v>
      </c>
      <c r="K161" s="9" t="e">
        <f>J161+#REF!</f>
        <v>#REF!</v>
      </c>
      <c r="L161" s="10" t="s">
        <v>41</v>
      </c>
      <c r="M161" s="11">
        <v>44949.64434027778</v>
      </c>
      <c r="N161" s="5" t="s">
        <v>42</v>
      </c>
      <c r="O161" s="5" t="s">
        <v>43</v>
      </c>
      <c r="P161" s="9"/>
      <c r="Q161" s="5"/>
      <c r="R161" s="5"/>
      <c r="S161" s="5"/>
      <c r="T161" s="9">
        <v>44953.64434027778</v>
      </c>
      <c r="U161" s="5"/>
      <c r="V161" s="5">
        <v>0</v>
      </c>
      <c r="W161" s="5"/>
      <c r="X161" s="5"/>
      <c r="Y161" s="5"/>
      <c r="Z161" s="5"/>
      <c r="AA161" s="5" t="s">
        <v>44</v>
      </c>
      <c r="AC161">
        <f t="shared" si="19"/>
        <v>12</v>
      </c>
      <c r="AD161" t="str">
        <f t="shared" si="20"/>
        <v/>
      </c>
      <c r="AE161">
        <f t="shared" si="21"/>
        <v>4</v>
      </c>
      <c r="AF161" t="str">
        <f t="shared" si="22"/>
        <v/>
      </c>
      <c r="AG161" t="str">
        <f t="shared" si="23"/>
        <v/>
      </c>
      <c r="AH161">
        <f t="shared" si="24"/>
        <v>3</v>
      </c>
      <c r="AI161" t="str">
        <f t="shared" si="25"/>
        <v/>
      </c>
      <c r="AJ161" t="str">
        <f t="shared" si="26"/>
        <v/>
      </c>
    </row>
    <row r="162" spans="1:36">
      <c r="A162" s="5">
        <v>161</v>
      </c>
      <c r="B162" s="5" t="s">
        <v>743</v>
      </c>
      <c r="C162" s="10" t="s">
        <v>671</v>
      </c>
      <c r="D162" s="5" t="s">
        <v>708</v>
      </c>
      <c r="E162" s="5" t="s">
        <v>55</v>
      </c>
      <c r="F162" s="5" t="str">
        <f t="shared" si="18"/>
        <v>Operations-Director</v>
      </c>
      <c r="G162" s="5" t="s">
        <v>56</v>
      </c>
      <c r="H162" s="9">
        <v>44907.64775462963</v>
      </c>
      <c r="I162" s="9">
        <v>44908.64775462963</v>
      </c>
      <c r="J162" s="9" t="e">
        <f>I162+#REF!</f>
        <v>#REF!</v>
      </c>
      <c r="K162" s="9" t="e">
        <f>J162+#REF!</f>
        <v>#REF!</v>
      </c>
      <c r="L162" s="10" t="s">
        <v>41</v>
      </c>
      <c r="M162" s="11">
        <v>44914.64775462963</v>
      </c>
      <c r="N162" s="5" t="s">
        <v>64</v>
      </c>
      <c r="O162" s="5"/>
      <c r="P162" s="9">
        <v>44922.64775462963</v>
      </c>
      <c r="Q162" s="5" t="s">
        <v>64</v>
      </c>
      <c r="R162" s="9">
        <v>44915.64775462963</v>
      </c>
      <c r="S162" s="9">
        <v>44918.64775462963</v>
      </c>
      <c r="T162" s="9">
        <v>44918.64775462963</v>
      </c>
      <c r="U162" s="9">
        <v>44923.64775462963</v>
      </c>
      <c r="V162" s="12">
        <v>1</v>
      </c>
      <c r="W162" s="9">
        <v>44926.64775462963</v>
      </c>
      <c r="X162" s="9">
        <v>44929.64775462963</v>
      </c>
      <c r="Y162" s="9">
        <v>44932.64775462963</v>
      </c>
      <c r="Z162" s="5"/>
      <c r="AA162" s="5"/>
      <c r="AB162" s="13">
        <v>44943.64775462963</v>
      </c>
      <c r="AC162">
        <f t="shared" si="19"/>
        <v>6</v>
      </c>
      <c r="AD162">
        <f t="shared" si="20"/>
        <v>10</v>
      </c>
      <c r="AE162">
        <f t="shared" si="21"/>
        <v>4</v>
      </c>
      <c r="AF162">
        <f t="shared" si="22"/>
        <v>6</v>
      </c>
      <c r="AG162">
        <f t="shared" si="23"/>
        <v>3</v>
      </c>
      <c r="AH162">
        <f t="shared" si="24"/>
        <v>1</v>
      </c>
      <c r="AI162" t="str">
        <f t="shared" si="25"/>
        <v/>
      </c>
      <c r="AJ162" t="str">
        <f t="shared" si="26"/>
        <v/>
      </c>
    </row>
    <row r="163" spans="1:36">
      <c r="A163" s="5">
        <v>162</v>
      </c>
      <c r="B163" s="5" t="s">
        <v>790</v>
      </c>
      <c r="C163" s="10" t="s">
        <v>671</v>
      </c>
      <c r="D163" s="5" t="s">
        <v>747</v>
      </c>
      <c r="E163" s="5" t="s">
        <v>709</v>
      </c>
      <c r="F163" s="5" t="str">
        <f t="shared" si="18"/>
        <v>Operations-Lead</v>
      </c>
      <c r="G163" s="5" t="s">
        <v>47</v>
      </c>
      <c r="H163" s="9">
        <v>44904.64775462963</v>
      </c>
      <c r="I163" s="9">
        <v>44907.64775462963</v>
      </c>
      <c r="J163" s="9" t="e">
        <f>I163+#REF!</f>
        <v>#REF!</v>
      </c>
      <c r="K163" s="9" t="e">
        <f>J163+#REF!</f>
        <v>#REF!</v>
      </c>
      <c r="L163" s="10" t="s">
        <v>41</v>
      </c>
      <c r="M163" s="11">
        <v>44923.64775462963</v>
      </c>
      <c r="N163" s="5" t="s">
        <v>42</v>
      </c>
      <c r="O163" s="5" t="s">
        <v>98</v>
      </c>
      <c r="P163" s="9"/>
      <c r="Q163" s="5"/>
      <c r="R163" s="5"/>
      <c r="S163" s="5"/>
      <c r="T163" s="9"/>
      <c r="U163" s="5"/>
      <c r="V163" s="5">
        <v>0</v>
      </c>
      <c r="W163" s="5"/>
      <c r="X163" s="5"/>
      <c r="Y163" s="5"/>
      <c r="Z163" s="5"/>
      <c r="AA163" s="5" t="s">
        <v>62</v>
      </c>
      <c r="AC163">
        <f t="shared" si="19"/>
        <v>16</v>
      </c>
      <c r="AD163" t="str">
        <f t="shared" si="20"/>
        <v/>
      </c>
      <c r="AE163" t="str">
        <f t="shared" si="21"/>
        <v/>
      </c>
      <c r="AF163" t="str">
        <f t="shared" si="22"/>
        <v/>
      </c>
      <c r="AG163" t="str">
        <f t="shared" si="23"/>
        <v/>
      </c>
      <c r="AH163">
        <f t="shared" si="24"/>
        <v>3</v>
      </c>
      <c r="AI163" t="str">
        <f t="shared" si="25"/>
        <v/>
      </c>
      <c r="AJ163" t="str">
        <f t="shared" si="26"/>
        <v/>
      </c>
    </row>
    <row r="164" spans="1:36">
      <c r="A164" s="5">
        <v>163</v>
      </c>
      <c r="B164" s="5" t="s">
        <v>2159</v>
      </c>
      <c r="C164" s="10" t="s">
        <v>2089</v>
      </c>
      <c r="D164" s="5" t="s">
        <v>2114</v>
      </c>
      <c r="E164" s="5" t="s">
        <v>1146</v>
      </c>
      <c r="F164" s="5" t="str">
        <f t="shared" si="18"/>
        <v>Communication and Advocacy-Quality Assurance</v>
      </c>
      <c r="G164" s="5" t="s">
        <v>147</v>
      </c>
      <c r="H164" s="9">
        <v>44905.64775462963</v>
      </c>
      <c r="I164" s="9">
        <v>44909.64775462963</v>
      </c>
      <c r="J164" s="9" t="e">
        <f>I164+#REF!</f>
        <v>#REF!</v>
      </c>
      <c r="K164" s="9" t="e">
        <f>J164+#REF!</f>
        <v>#REF!</v>
      </c>
      <c r="L164" s="10" t="s">
        <v>52</v>
      </c>
      <c r="M164" s="11"/>
      <c r="N164" s="5"/>
      <c r="O164" s="5"/>
      <c r="P164" s="9"/>
      <c r="Q164" s="5"/>
      <c r="R164" s="5"/>
      <c r="S164" s="5"/>
      <c r="T164" s="9"/>
      <c r="U164" s="5"/>
      <c r="V164" s="5">
        <v>0</v>
      </c>
      <c r="W164" s="5"/>
      <c r="X164" s="5"/>
      <c r="Y164" s="5"/>
      <c r="Z164" s="5"/>
      <c r="AA164" s="5"/>
      <c r="AC164" t="str">
        <f t="shared" si="19"/>
        <v/>
      </c>
      <c r="AD164" t="str">
        <f t="shared" si="20"/>
        <v/>
      </c>
      <c r="AE164" t="str">
        <f t="shared" si="21"/>
        <v/>
      </c>
      <c r="AF164" t="str">
        <f t="shared" si="22"/>
        <v/>
      </c>
      <c r="AG164" t="str">
        <f t="shared" si="23"/>
        <v/>
      </c>
      <c r="AH164">
        <f t="shared" si="24"/>
        <v>4</v>
      </c>
      <c r="AI164" t="str">
        <f t="shared" si="25"/>
        <v/>
      </c>
      <c r="AJ164" t="str">
        <f t="shared" si="26"/>
        <v/>
      </c>
    </row>
    <row r="165" spans="1:36">
      <c r="A165" s="5">
        <v>164</v>
      </c>
      <c r="B165" s="5" t="s">
        <v>789</v>
      </c>
      <c r="C165" s="10" t="s">
        <v>671</v>
      </c>
      <c r="D165" s="5" t="s">
        <v>747</v>
      </c>
      <c r="E165" s="5" t="s">
        <v>709</v>
      </c>
      <c r="F165" s="5" t="str">
        <f t="shared" si="18"/>
        <v>Operations-Lead</v>
      </c>
      <c r="G165" s="5" t="s">
        <v>47</v>
      </c>
      <c r="H165" s="9">
        <v>44906.64775462963</v>
      </c>
      <c r="I165" s="9">
        <v>44909.64775462963</v>
      </c>
      <c r="J165" s="9" t="e">
        <f>I165+#REF!</f>
        <v>#REF!</v>
      </c>
      <c r="K165" s="9" t="e">
        <f>J165+#REF!</f>
        <v>#REF!</v>
      </c>
      <c r="L165" s="10" t="s">
        <v>41</v>
      </c>
      <c r="M165" s="11">
        <v>44917.64775462963</v>
      </c>
      <c r="N165" s="5" t="s">
        <v>42</v>
      </c>
      <c r="O165" s="5" t="s">
        <v>98</v>
      </c>
      <c r="P165" s="9"/>
      <c r="Q165" s="5"/>
      <c r="R165" s="5"/>
      <c r="S165" s="5"/>
      <c r="T165" s="9"/>
      <c r="U165" s="5"/>
      <c r="V165" s="5">
        <v>0</v>
      </c>
      <c r="W165" s="5"/>
      <c r="X165" s="5"/>
      <c r="Y165" s="5"/>
      <c r="Z165" s="5"/>
      <c r="AA165" s="5" t="s">
        <v>44</v>
      </c>
      <c r="AC165">
        <f t="shared" si="19"/>
        <v>8</v>
      </c>
      <c r="AD165" t="str">
        <f t="shared" si="20"/>
        <v/>
      </c>
      <c r="AE165" t="str">
        <f t="shared" si="21"/>
        <v/>
      </c>
      <c r="AF165" t="str">
        <f t="shared" si="22"/>
        <v/>
      </c>
      <c r="AG165" t="str">
        <f t="shared" si="23"/>
        <v/>
      </c>
      <c r="AH165">
        <f t="shared" si="24"/>
        <v>3</v>
      </c>
      <c r="AI165" t="str">
        <f t="shared" si="25"/>
        <v/>
      </c>
      <c r="AJ165" t="str">
        <f t="shared" si="26"/>
        <v/>
      </c>
    </row>
    <row r="166" spans="1:36">
      <c r="A166" s="5">
        <v>165</v>
      </c>
      <c r="B166" s="5" t="s">
        <v>2218</v>
      </c>
      <c r="C166" s="10" t="s">
        <v>2089</v>
      </c>
      <c r="D166" s="5" t="s">
        <v>2211</v>
      </c>
      <c r="E166" s="5" t="s">
        <v>39</v>
      </c>
      <c r="F166" s="5" t="str">
        <f t="shared" si="18"/>
        <v>Communication and Advocacy-Analyst</v>
      </c>
      <c r="G166" s="5" t="s">
        <v>40</v>
      </c>
      <c r="H166" s="9">
        <v>44902.64775462963</v>
      </c>
      <c r="I166" s="9">
        <v>44906.64775462963</v>
      </c>
      <c r="J166" s="9" t="e">
        <f>I166+#REF!</f>
        <v>#REF!</v>
      </c>
      <c r="K166" s="9" t="e">
        <f>J166+#REF!</f>
        <v>#REF!</v>
      </c>
      <c r="L166" s="10" t="s">
        <v>41</v>
      </c>
      <c r="M166" s="11">
        <v>44922.64775462963</v>
      </c>
      <c r="N166" s="5" t="s">
        <v>42</v>
      </c>
      <c r="O166" s="5" t="s">
        <v>73</v>
      </c>
      <c r="P166" s="9"/>
      <c r="Q166" s="5"/>
      <c r="R166" s="5"/>
      <c r="S166" s="5"/>
      <c r="T166" s="9"/>
      <c r="U166" s="5"/>
      <c r="V166" s="5">
        <v>0</v>
      </c>
      <c r="W166" s="5"/>
      <c r="X166" s="5"/>
      <c r="Y166" s="5"/>
      <c r="Z166" s="5"/>
      <c r="AA166" s="5" t="s">
        <v>44</v>
      </c>
      <c r="AC166">
        <f t="shared" si="19"/>
        <v>16</v>
      </c>
      <c r="AD166" t="str">
        <f t="shared" si="20"/>
        <v/>
      </c>
      <c r="AE166" t="str">
        <f t="shared" si="21"/>
        <v/>
      </c>
      <c r="AF166" t="str">
        <f t="shared" si="22"/>
        <v/>
      </c>
      <c r="AG166" t="str">
        <f t="shared" si="23"/>
        <v/>
      </c>
      <c r="AH166">
        <f t="shared" si="24"/>
        <v>4</v>
      </c>
      <c r="AI166" t="str">
        <f t="shared" si="25"/>
        <v/>
      </c>
      <c r="AJ166" t="str">
        <f t="shared" si="26"/>
        <v/>
      </c>
    </row>
    <row r="167" spans="1:36">
      <c r="A167" s="5">
        <v>166</v>
      </c>
      <c r="B167" s="5" t="s">
        <v>2158</v>
      </c>
      <c r="C167" s="10" t="s">
        <v>2089</v>
      </c>
      <c r="D167" s="5" t="s">
        <v>2114</v>
      </c>
      <c r="E167" s="5" t="s">
        <v>1146</v>
      </c>
      <c r="F167" s="5" t="str">
        <f t="shared" si="18"/>
        <v>Communication and Advocacy-Quality Assurance</v>
      </c>
      <c r="G167" s="5" t="s">
        <v>147</v>
      </c>
      <c r="H167" s="9">
        <v>44906.64775462963</v>
      </c>
      <c r="I167" s="9">
        <v>44909.64775462963</v>
      </c>
      <c r="J167" s="9" t="e">
        <f>I167+#REF!</f>
        <v>#REF!</v>
      </c>
      <c r="K167" s="9" t="e">
        <f>J167+#REF!</f>
        <v>#REF!</v>
      </c>
      <c r="L167" s="10" t="s">
        <v>41</v>
      </c>
      <c r="M167" s="11">
        <v>44914.64775462963</v>
      </c>
      <c r="N167" s="5" t="s">
        <v>48</v>
      </c>
      <c r="O167" s="5"/>
      <c r="P167" s="9">
        <v>44922.64775462963</v>
      </c>
      <c r="Q167" s="5" t="s">
        <v>48</v>
      </c>
      <c r="R167" s="5"/>
      <c r="S167" s="5"/>
      <c r="T167" s="9">
        <v>44918.64775462963</v>
      </c>
      <c r="U167" s="5"/>
      <c r="V167" s="5">
        <v>0</v>
      </c>
      <c r="W167" s="5"/>
      <c r="X167" s="5"/>
      <c r="Y167" s="5"/>
      <c r="Z167" s="5"/>
      <c r="AA167" s="5"/>
      <c r="AC167">
        <f t="shared" si="19"/>
        <v>5</v>
      </c>
      <c r="AD167" t="str">
        <f t="shared" si="20"/>
        <v/>
      </c>
      <c r="AE167">
        <f t="shared" si="21"/>
        <v>4</v>
      </c>
      <c r="AF167" t="str">
        <f t="shared" si="22"/>
        <v/>
      </c>
      <c r="AG167" t="str">
        <f t="shared" si="23"/>
        <v/>
      </c>
      <c r="AH167">
        <f t="shared" si="24"/>
        <v>3</v>
      </c>
      <c r="AI167" t="str">
        <f t="shared" si="25"/>
        <v/>
      </c>
      <c r="AJ167" t="str">
        <f t="shared" si="26"/>
        <v/>
      </c>
    </row>
    <row r="168" spans="1:36">
      <c r="A168" s="5">
        <v>167</v>
      </c>
      <c r="B168" s="5" t="s">
        <v>2157</v>
      </c>
      <c r="C168" s="10" t="s">
        <v>2089</v>
      </c>
      <c r="D168" s="5" t="s">
        <v>2114</v>
      </c>
      <c r="E168" s="5" t="s">
        <v>1146</v>
      </c>
      <c r="F168" s="5" t="str">
        <f t="shared" si="18"/>
        <v>Communication and Advocacy-Quality Assurance</v>
      </c>
      <c r="G168" s="5" t="s">
        <v>147</v>
      </c>
      <c r="H168" s="9">
        <v>44906.64775462963</v>
      </c>
      <c r="I168" s="9">
        <v>44907.64775462963</v>
      </c>
      <c r="J168" s="9" t="e">
        <f>I168+#REF!</f>
        <v>#REF!</v>
      </c>
      <c r="K168" s="9" t="e">
        <f>J168+#REF!</f>
        <v>#REF!</v>
      </c>
      <c r="L168" s="10" t="s">
        <v>41</v>
      </c>
      <c r="M168" s="11">
        <v>44922.64775462963</v>
      </c>
      <c r="N168" s="5" t="s">
        <v>64</v>
      </c>
      <c r="O168" s="5"/>
      <c r="P168" s="9">
        <v>44928.64775462963</v>
      </c>
      <c r="Q168" s="5" t="s">
        <v>64</v>
      </c>
      <c r="R168" s="9">
        <v>44923.64775462963</v>
      </c>
      <c r="S168" s="9">
        <v>44927.64775462963</v>
      </c>
      <c r="T168" s="9">
        <v>44924.64775462963</v>
      </c>
      <c r="U168" s="9">
        <v>44929.64775462963</v>
      </c>
      <c r="V168" s="12">
        <v>1</v>
      </c>
      <c r="W168" s="9">
        <v>44932.64775462963</v>
      </c>
      <c r="X168" s="9">
        <v>44934.64775462963</v>
      </c>
      <c r="Y168" s="9">
        <v>44935.64775462963</v>
      </c>
      <c r="Z168" s="5"/>
      <c r="AA168" s="5"/>
      <c r="AB168" s="13">
        <v>44946.64775462963</v>
      </c>
      <c r="AC168">
        <f t="shared" si="19"/>
        <v>15</v>
      </c>
      <c r="AD168">
        <f t="shared" si="20"/>
        <v>20</v>
      </c>
      <c r="AE168">
        <f t="shared" si="21"/>
        <v>2</v>
      </c>
      <c r="AF168">
        <f t="shared" si="22"/>
        <v>5</v>
      </c>
      <c r="AG168">
        <f t="shared" si="23"/>
        <v>3</v>
      </c>
      <c r="AH168">
        <f t="shared" si="24"/>
        <v>1</v>
      </c>
      <c r="AI168" t="str">
        <f t="shared" si="25"/>
        <v/>
      </c>
      <c r="AJ168" t="str">
        <f t="shared" si="26"/>
        <v/>
      </c>
    </row>
    <row r="169" spans="1:36">
      <c r="A169" s="5">
        <v>168</v>
      </c>
      <c r="B169" s="5" t="s">
        <v>2206</v>
      </c>
      <c r="C169" s="10" t="s">
        <v>2089</v>
      </c>
      <c r="D169" s="5" t="s">
        <v>2167</v>
      </c>
      <c r="E169" s="5" t="s">
        <v>269</v>
      </c>
      <c r="F169" s="5" t="str">
        <f t="shared" si="18"/>
        <v>Communication and Advocacy-Manager</v>
      </c>
      <c r="G169" s="5" t="s">
        <v>270</v>
      </c>
      <c r="H169" s="9">
        <v>44907.64775462963</v>
      </c>
      <c r="I169" s="9">
        <v>44909.64775462963</v>
      </c>
      <c r="J169" s="9" t="e">
        <f>I169+#REF!</f>
        <v>#REF!</v>
      </c>
      <c r="K169" s="9" t="e">
        <f>J169+#REF!</f>
        <v>#REF!</v>
      </c>
      <c r="L169" s="10" t="s">
        <v>41</v>
      </c>
      <c r="M169" s="11">
        <v>44921.64775462963</v>
      </c>
      <c r="N169" s="5" t="s">
        <v>42</v>
      </c>
      <c r="O169" s="5" t="s">
        <v>98</v>
      </c>
      <c r="P169" s="9"/>
      <c r="Q169" s="5"/>
      <c r="R169" s="5"/>
      <c r="S169" s="5"/>
      <c r="T169" s="9">
        <v>44922.64775462963</v>
      </c>
      <c r="U169" s="5"/>
      <c r="V169" s="5">
        <v>0</v>
      </c>
      <c r="W169" s="5"/>
      <c r="X169" s="5"/>
      <c r="Y169" s="5"/>
      <c r="Z169" s="5"/>
      <c r="AA169" s="5" t="s">
        <v>62</v>
      </c>
      <c r="AC169">
        <f t="shared" si="19"/>
        <v>12</v>
      </c>
      <c r="AD169" t="str">
        <f t="shared" si="20"/>
        <v/>
      </c>
      <c r="AE169">
        <f t="shared" si="21"/>
        <v>1</v>
      </c>
      <c r="AF169" t="str">
        <f t="shared" si="22"/>
        <v/>
      </c>
      <c r="AG169" t="str">
        <f t="shared" si="23"/>
        <v/>
      </c>
      <c r="AH169">
        <f t="shared" si="24"/>
        <v>2</v>
      </c>
      <c r="AI169" t="str">
        <f t="shared" si="25"/>
        <v/>
      </c>
      <c r="AJ169" t="str">
        <f t="shared" si="26"/>
        <v/>
      </c>
    </row>
    <row r="170" spans="1:36">
      <c r="A170" s="5">
        <v>169</v>
      </c>
      <c r="B170" s="5" t="s">
        <v>2156</v>
      </c>
      <c r="C170" s="10" t="s">
        <v>2089</v>
      </c>
      <c r="D170" s="5" t="s">
        <v>2114</v>
      </c>
      <c r="E170" s="5" t="s">
        <v>1146</v>
      </c>
      <c r="F170" s="5" t="str">
        <f t="shared" si="18"/>
        <v>Communication and Advocacy-Quality Assurance</v>
      </c>
      <c r="G170" s="5" t="s">
        <v>147</v>
      </c>
      <c r="H170" s="9">
        <v>44906.64775462963</v>
      </c>
      <c r="I170" s="9">
        <v>44907.64775462963</v>
      </c>
      <c r="J170" s="9" t="e">
        <f>I170+#REF!</f>
        <v>#REF!</v>
      </c>
      <c r="K170" s="9" t="e">
        <f>J170+#REF!</f>
        <v>#REF!</v>
      </c>
      <c r="L170" s="10" t="s">
        <v>41</v>
      </c>
      <c r="M170" s="11">
        <v>44918.64775462963</v>
      </c>
      <c r="N170" s="5" t="s">
        <v>42</v>
      </c>
      <c r="O170" s="5" t="s">
        <v>73</v>
      </c>
      <c r="P170" s="9"/>
      <c r="Q170" s="5"/>
      <c r="R170" s="5"/>
      <c r="S170" s="5"/>
      <c r="T170" s="9"/>
      <c r="U170" s="5"/>
      <c r="V170" s="5">
        <v>0</v>
      </c>
      <c r="W170" s="5"/>
      <c r="X170" s="5"/>
      <c r="Y170" s="5"/>
      <c r="Z170" s="5"/>
      <c r="AA170" s="5" t="s">
        <v>62</v>
      </c>
      <c r="AC170">
        <f t="shared" si="19"/>
        <v>11</v>
      </c>
      <c r="AD170" t="str">
        <f t="shared" si="20"/>
        <v/>
      </c>
      <c r="AE170" t="str">
        <f t="shared" si="21"/>
        <v/>
      </c>
      <c r="AF170" t="str">
        <f t="shared" si="22"/>
        <v/>
      </c>
      <c r="AG170" t="str">
        <f t="shared" si="23"/>
        <v/>
      </c>
      <c r="AH170">
        <f t="shared" si="24"/>
        <v>1</v>
      </c>
      <c r="AI170" t="str">
        <f t="shared" si="25"/>
        <v/>
      </c>
      <c r="AJ170" t="str">
        <f t="shared" si="26"/>
        <v/>
      </c>
    </row>
    <row r="171" spans="1:36">
      <c r="A171" s="5">
        <v>170</v>
      </c>
      <c r="B171" s="5" t="s">
        <v>2217</v>
      </c>
      <c r="C171" s="10" t="s">
        <v>2089</v>
      </c>
      <c r="D171" s="5" t="s">
        <v>2211</v>
      </c>
      <c r="E171" s="5" t="s">
        <v>39</v>
      </c>
      <c r="F171" s="5" t="str">
        <f t="shared" si="18"/>
        <v>Communication and Advocacy-Analyst</v>
      </c>
      <c r="G171" s="5" t="s">
        <v>40</v>
      </c>
      <c r="H171" s="9">
        <v>44901.64775462963</v>
      </c>
      <c r="I171" s="9">
        <v>44905.64775462963</v>
      </c>
      <c r="J171" s="9" t="e">
        <f>I171+#REF!</f>
        <v>#REF!</v>
      </c>
      <c r="K171" s="9" t="e">
        <f>J171+#REF!</f>
        <v>#REF!</v>
      </c>
      <c r="L171" s="10" t="s">
        <v>41</v>
      </c>
      <c r="M171" s="11">
        <v>44915.64775462963</v>
      </c>
      <c r="N171" s="5" t="s">
        <v>48</v>
      </c>
      <c r="O171" s="5"/>
      <c r="P171" s="9">
        <v>44919.64775462963</v>
      </c>
      <c r="Q171" s="5" t="s">
        <v>48</v>
      </c>
      <c r="R171" s="5"/>
      <c r="S171" s="5"/>
      <c r="T171" s="9">
        <v>44917.64775462963</v>
      </c>
      <c r="U171" s="5"/>
      <c r="V171" s="5">
        <v>0</v>
      </c>
      <c r="W171" s="5"/>
      <c r="X171" s="5"/>
      <c r="Y171" s="5"/>
      <c r="Z171" s="5"/>
      <c r="AA171" s="5"/>
      <c r="AC171">
        <f t="shared" si="19"/>
        <v>10</v>
      </c>
      <c r="AD171" t="str">
        <f t="shared" si="20"/>
        <v/>
      </c>
      <c r="AE171">
        <f t="shared" si="21"/>
        <v>2</v>
      </c>
      <c r="AF171" t="str">
        <f t="shared" si="22"/>
        <v/>
      </c>
      <c r="AG171" t="str">
        <f t="shared" si="23"/>
        <v/>
      </c>
      <c r="AH171">
        <f t="shared" si="24"/>
        <v>4</v>
      </c>
      <c r="AI171" t="str">
        <f t="shared" si="25"/>
        <v/>
      </c>
      <c r="AJ171" t="str">
        <f t="shared" si="26"/>
        <v/>
      </c>
    </row>
    <row r="172" spans="1:36">
      <c r="A172" s="5">
        <v>171</v>
      </c>
      <c r="B172" s="5" t="s">
        <v>1577</v>
      </c>
      <c r="C172" s="5" t="s">
        <v>1540</v>
      </c>
      <c r="D172" s="5" t="s">
        <v>1541</v>
      </c>
      <c r="E172" s="5" t="s">
        <v>102</v>
      </c>
      <c r="F172" s="5" t="str">
        <f t="shared" si="18"/>
        <v>Finance-Senior Manager</v>
      </c>
      <c r="G172" s="5" t="s">
        <v>103</v>
      </c>
      <c r="H172" s="9">
        <v>45092.370925925927</v>
      </c>
      <c r="I172" s="9">
        <v>45094.370925925927</v>
      </c>
      <c r="J172" s="9" t="e">
        <f>I172+#REF!</f>
        <v>#REF!</v>
      </c>
      <c r="K172" s="9" t="e">
        <f>J172+#REF!</f>
        <v>#REF!</v>
      </c>
      <c r="L172" s="10" t="s">
        <v>41</v>
      </c>
      <c r="M172" s="11">
        <v>45106.370925925927</v>
      </c>
      <c r="N172" s="5" t="s">
        <v>42</v>
      </c>
      <c r="O172" s="5" t="s">
        <v>43</v>
      </c>
      <c r="P172" s="9"/>
      <c r="Q172" s="5"/>
      <c r="R172" s="5"/>
      <c r="S172" s="5"/>
      <c r="T172" s="9">
        <v>45109.370925925927</v>
      </c>
      <c r="U172" s="5"/>
      <c r="V172" s="5">
        <v>0</v>
      </c>
      <c r="W172" s="5"/>
      <c r="X172" s="5"/>
      <c r="Y172" s="5"/>
      <c r="Z172" s="5"/>
      <c r="AA172" s="5" t="s">
        <v>62</v>
      </c>
      <c r="AC172">
        <f t="shared" si="19"/>
        <v>12</v>
      </c>
      <c r="AD172" t="str">
        <f t="shared" si="20"/>
        <v/>
      </c>
      <c r="AE172">
        <f t="shared" si="21"/>
        <v>3</v>
      </c>
      <c r="AF172" t="str">
        <f t="shared" si="22"/>
        <v/>
      </c>
      <c r="AG172" t="str">
        <f t="shared" si="23"/>
        <v/>
      </c>
      <c r="AH172">
        <f t="shared" si="24"/>
        <v>2</v>
      </c>
      <c r="AI172" t="str">
        <f t="shared" si="25"/>
        <v/>
      </c>
      <c r="AJ172" t="str">
        <f t="shared" si="26"/>
        <v/>
      </c>
    </row>
    <row r="173" spans="1:36">
      <c r="A173" s="5">
        <v>172</v>
      </c>
      <c r="B173" s="5" t="s">
        <v>1809</v>
      </c>
      <c r="C173" s="5" t="s">
        <v>1540</v>
      </c>
      <c r="D173" s="5" t="s">
        <v>1706</v>
      </c>
      <c r="E173" s="5" t="s">
        <v>1804</v>
      </c>
      <c r="F173" s="5" t="str">
        <f t="shared" si="18"/>
        <v>Finance-Contoller</v>
      </c>
      <c r="G173" s="5" t="s">
        <v>270</v>
      </c>
      <c r="H173" s="9">
        <v>45093.370925925927</v>
      </c>
      <c r="I173" s="9">
        <v>45095.370925925927</v>
      </c>
      <c r="J173" s="9" t="e">
        <f>I173+#REF!</f>
        <v>#REF!</v>
      </c>
      <c r="K173" s="9" t="e">
        <f>J173+#REF!</f>
        <v>#REF!</v>
      </c>
      <c r="L173" s="10" t="s">
        <v>41</v>
      </c>
      <c r="M173" s="11">
        <v>45111.370925925927</v>
      </c>
      <c r="N173" s="5" t="s">
        <v>48</v>
      </c>
      <c r="O173" s="5"/>
      <c r="P173" s="9">
        <v>45117.370925925927</v>
      </c>
      <c r="Q173" s="5" t="s">
        <v>48</v>
      </c>
      <c r="R173" s="5"/>
      <c r="S173" s="5"/>
      <c r="T173" s="9">
        <v>45113.370925925927</v>
      </c>
      <c r="U173" s="5"/>
      <c r="V173" s="5">
        <v>0</v>
      </c>
      <c r="W173" s="5"/>
      <c r="X173" s="5"/>
      <c r="Y173" s="5"/>
      <c r="Z173" s="5"/>
      <c r="AA173" s="5"/>
      <c r="AC173">
        <f t="shared" si="19"/>
        <v>16</v>
      </c>
      <c r="AD173" t="str">
        <f t="shared" si="20"/>
        <v/>
      </c>
      <c r="AE173">
        <f t="shared" si="21"/>
        <v>2</v>
      </c>
      <c r="AF173" t="str">
        <f t="shared" si="22"/>
        <v/>
      </c>
      <c r="AG173" t="str">
        <f t="shared" si="23"/>
        <v/>
      </c>
      <c r="AH173">
        <f t="shared" si="24"/>
        <v>2</v>
      </c>
      <c r="AI173" t="str">
        <f t="shared" si="25"/>
        <v/>
      </c>
      <c r="AJ173" t="str">
        <f t="shared" si="26"/>
        <v/>
      </c>
    </row>
    <row r="174" spans="1:36">
      <c r="A174" s="5">
        <v>173</v>
      </c>
      <c r="B174" s="5" t="s">
        <v>1699</v>
      </c>
      <c r="C174" s="5" t="s">
        <v>1540</v>
      </c>
      <c r="D174" s="5" t="s">
        <v>1588</v>
      </c>
      <c r="E174" s="5" t="s">
        <v>1360</v>
      </c>
      <c r="F174" s="5" t="str">
        <f t="shared" si="18"/>
        <v>Finance-Fund Administrator</v>
      </c>
      <c r="G174" s="5" t="s">
        <v>147</v>
      </c>
      <c r="H174" s="9">
        <v>45094.370925925927</v>
      </c>
      <c r="I174" s="9">
        <v>45095.370925925927</v>
      </c>
      <c r="J174" s="9" t="e">
        <f>I174+#REF!</f>
        <v>#REF!</v>
      </c>
      <c r="K174" s="9" t="e">
        <f>J174+#REF!</f>
        <v>#REF!</v>
      </c>
      <c r="L174" s="10" t="s">
        <v>41</v>
      </c>
      <c r="M174" s="11">
        <v>45101.370925925927</v>
      </c>
      <c r="N174" s="5" t="s">
        <v>48</v>
      </c>
      <c r="O174" s="5"/>
      <c r="P174" s="9">
        <v>45105.370925925927</v>
      </c>
      <c r="Q174" s="5" t="s">
        <v>48</v>
      </c>
      <c r="R174" s="5"/>
      <c r="S174" s="5"/>
      <c r="T174" s="9">
        <v>45103.370925925927</v>
      </c>
      <c r="U174" s="5"/>
      <c r="V174" s="5">
        <v>0</v>
      </c>
      <c r="W174" s="5"/>
      <c r="X174" s="5"/>
      <c r="Y174" s="5"/>
      <c r="Z174" s="5"/>
      <c r="AA174" s="5"/>
      <c r="AC174">
        <f t="shared" si="19"/>
        <v>6</v>
      </c>
      <c r="AD174" t="str">
        <f t="shared" si="20"/>
        <v/>
      </c>
      <c r="AE174">
        <f t="shared" si="21"/>
        <v>2</v>
      </c>
      <c r="AF174" t="str">
        <f t="shared" si="22"/>
        <v/>
      </c>
      <c r="AG174" t="str">
        <f t="shared" si="23"/>
        <v/>
      </c>
      <c r="AH174">
        <f t="shared" si="24"/>
        <v>1</v>
      </c>
      <c r="AI174" t="str">
        <f t="shared" si="25"/>
        <v/>
      </c>
      <c r="AJ174" t="str">
        <f t="shared" si="26"/>
        <v/>
      </c>
    </row>
    <row r="175" spans="1:36">
      <c r="A175" s="5">
        <v>174</v>
      </c>
      <c r="B175" s="5" t="s">
        <v>1808</v>
      </c>
      <c r="C175" s="5" t="s">
        <v>1540</v>
      </c>
      <c r="D175" s="5" t="s">
        <v>1706</v>
      </c>
      <c r="E175" s="5" t="s">
        <v>1804</v>
      </c>
      <c r="F175" s="5" t="str">
        <f t="shared" si="18"/>
        <v>Finance-Contoller</v>
      </c>
      <c r="G175" s="5" t="s">
        <v>270</v>
      </c>
      <c r="H175" s="9">
        <v>45090.370925925927</v>
      </c>
      <c r="I175" s="9">
        <v>45094.370925925927</v>
      </c>
      <c r="J175" s="9" t="e">
        <f>I175+#REF!</f>
        <v>#REF!</v>
      </c>
      <c r="K175" s="9" t="e">
        <f>J175+#REF!</f>
        <v>#REF!</v>
      </c>
      <c r="L175" s="10" t="s">
        <v>41</v>
      </c>
      <c r="M175" s="11">
        <v>45104.370925925927</v>
      </c>
      <c r="N175" s="5" t="s">
        <v>42</v>
      </c>
      <c r="O175" s="5" t="s">
        <v>43</v>
      </c>
      <c r="P175" s="9"/>
      <c r="Q175" s="5"/>
      <c r="R175" s="5"/>
      <c r="S175" s="5"/>
      <c r="T175" s="9"/>
      <c r="U175" s="5"/>
      <c r="V175" s="5">
        <v>0</v>
      </c>
      <c r="W175" s="5"/>
      <c r="X175" s="5"/>
      <c r="Y175" s="5"/>
      <c r="Z175" s="5"/>
      <c r="AA175" s="5" t="s">
        <v>44</v>
      </c>
      <c r="AC175">
        <f t="shared" si="19"/>
        <v>10</v>
      </c>
      <c r="AD175" t="str">
        <f t="shared" si="20"/>
        <v/>
      </c>
      <c r="AE175" t="str">
        <f t="shared" si="21"/>
        <v/>
      </c>
      <c r="AF175" t="str">
        <f t="shared" si="22"/>
        <v/>
      </c>
      <c r="AG175" t="str">
        <f t="shared" si="23"/>
        <v/>
      </c>
      <c r="AH175">
        <f t="shared" si="24"/>
        <v>4</v>
      </c>
      <c r="AI175" t="str">
        <f t="shared" si="25"/>
        <v/>
      </c>
      <c r="AJ175" t="str">
        <f t="shared" si="26"/>
        <v/>
      </c>
    </row>
    <row r="176" spans="1:36">
      <c r="A176" s="5">
        <v>175</v>
      </c>
      <c r="B176" s="5" t="s">
        <v>1698</v>
      </c>
      <c r="C176" s="5" t="s">
        <v>1540</v>
      </c>
      <c r="D176" s="5" t="s">
        <v>1588</v>
      </c>
      <c r="E176" s="5" t="s">
        <v>1360</v>
      </c>
      <c r="F176" s="5" t="str">
        <f t="shared" si="18"/>
        <v>Finance-Fund Administrator</v>
      </c>
      <c r="G176" s="5" t="s">
        <v>147</v>
      </c>
      <c r="H176" s="9">
        <v>45091.370925925927</v>
      </c>
      <c r="I176" s="9">
        <v>45095.370925925927</v>
      </c>
      <c r="J176" s="9" t="e">
        <f>I176+#REF!</f>
        <v>#REF!</v>
      </c>
      <c r="K176" s="9" t="e">
        <f>J176+#REF!</f>
        <v>#REF!</v>
      </c>
      <c r="L176" s="10" t="s">
        <v>41</v>
      </c>
      <c r="M176" s="11">
        <v>45106.370925925927</v>
      </c>
      <c r="N176" s="5" t="s">
        <v>64</v>
      </c>
      <c r="O176" s="5"/>
      <c r="P176" s="9">
        <v>45109.370925925927</v>
      </c>
      <c r="Q176" s="5" t="s">
        <v>64</v>
      </c>
      <c r="R176" s="9">
        <v>45107.370925925927</v>
      </c>
      <c r="S176" s="9">
        <v>45111.370925925927</v>
      </c>
      <c r="T176" s="9">
        <v>45108.370925925927</v>
      </c>
      <c r="U176" s="9">
        <v>45115.370925925927</v>
      </c>
      <c r="V176" s="12">
        <v>1</v>
      </c>
      <c r="W176" s="9">
        <v>45116.370925925927</v>
      </c>
      <c r="X176" s="9">
        <v>45118.370925925927</v>
      </c>
      <c r="Y176" s="9">
        <v>45120.370925925927</v>
      </c>
      <c r="Z176" s="5"/>
      <c r="AA176" s="5"/>
      <c r="AB176" s="13">
        <v>45134.370925925927</v>
      </c>
      <c r="AC176">
        <f t="shared" si="19"/>
        <v>11</v>
      </c>
      <c r="AD176">
        <f t="shared" si="20"/>
        <v>16</v>
      </c>
      <c r="AE176">
        <f t="shared" si="21"/>
        <v>2</v>
      </c>
      <c r="AF176">
        <f t="shared" si="22"/>
        <v>3</v>
      </c>
      <c r="AG176">
        <f t="shared" si="23"/>
        <v>1</v>
      </c>
      <c r="AH176">
        <f t="shared" si="24"/>
        <v>4</v>
      </c>
      <c r="AI176" t="str">
        <f t="shared" si="25"/>
        <v/>
      </c>
      <c r="AJ176" t="str">
        <f t="shared" si="26"/>
        <v/>
      </c>
    </row>
    <row r="177" spans="1:36">
      <c r="A177" s="5">
        <v>176</v>
      </c>
      <c r="B177" s="5" t="s">
        <v>1576</v>
      </c>
      <c r="C177" s="5" t="s">
        <v>1540</v>
      </c>
      <c r="D177" s="5" t="s">
        <v>1541</v>
      </c>
      <c r="E177" s="5" t="s">
        <v>102</v>
      </c>
      <c r="F177" s="5" t="str">
        <f t="shared" si="18"/>
        <v>Finance-Senior Manager</v>
      </c>
      <c r="G177" s="5" t="s">
        <v>103</v>
      </c>
      <c r="H177" s="9">
        <v>45090.370925925927</v>
      </c>
      <c r="I177" s="9">
        <v>45091.370925925927</v>
      </c>
      <c r="J177" s="9" t="e">
        <f>I177+#REF!</f>
        <v>#REF!</v>
      </c>
      <c r="K177" s="9" t="e">
        <f>J177+#REF!</f>
        <v>#REF!</v>
      </c>
      <c r="L177" s="10" t="s">
        <v>41</v>
      </c>
      <c r="M177" s="11">
        <v>45101.370925925927</v>
      </c>
      <c r="N177" s="5" t="s">
        <v>42</v>
      </c>
      <c r="O177" s="5" t="s">
        <v>58</v>
      </c>
      <c r="P177" s="9"/>
      <c r="Q177" s="5"/>
      <c r="R177" s="5"/>
      <c r="S177" s="5"/>
      <c r="T177" s="9">
        <v>45102.370925925927</v>
      </c>
      <c r="U177" s="5"/>
      <c r="V177" s="5">
        <v>0</v>
      </c>
      <c r="W177" s="5"/>
      <c r="X177" s="5"/>
      <c r="Y177" s="5"/>
      <c r="Z177" s="5"/>
      <c r="AA177" s="5" t="s">
        <v>62</v>
      </c>
      <c r="AC177">
        <f t="shared" si="19"/>
        <v>10</v>
      </c>
      <c r="AD177" t="str">
        <f t="shared" si="20"/>
        <v/>
      </c>
      <c r="AE177">
        <f t="shared" si="21"/>
        <v>1</v>
      </c>
      <c r="AF177" t="str">
        <f t="shared" si="22"/>
        <v/>
      </c>
      <c r="AG177" t="str">
        <f t="shared" si="23"/>
        <v/>
      </c>
      <c r="AH177">
        <f t="shared" si="24"/>
        <v>1</v>
      </c>
      <c r="AI177" t="str">
        <f t="shared" si="25"/>
        <v/>
      </c>
      <c r="AJ177" t="str">
        <f t="shared" si="26"/>
        <v/>
      </c>
    </row>
    <row r="178" spans="1:36">
      <c r="A178" s="5">
        <v>177</v>
      </c>
      <c r="B178" s="5" t="s">
        <v>1697</v>
      </c>
      <c r="C178" s="5" t="s">
        <v>1540</v>
      </c>
      <c r="D178" s="5" t="s">
        <v>1588</v>
      </c>
      <c r="E178" s="5" t="s">
        <v>1360</v>
      </c>
      <c r="F178" s="5" t="str">
        <f t="shared" si="18"/>
        <v>Finance-Fund Administrator</v>
      </c>
      <c r="G178" s="5" t="s">
        <v>147</v>
      </c>
      <c r="H178" s="9">
        <v>45092.370925925927</v>
      </c>
      <c r="I178" s="9">
        <v>45096.370925925927</v>
      </c>
      <c r="J178" s="9" t="e">
        <f>I178+#REF!</f>
        <v>#REF!</v>
      </c>
      <c r="K178" s="9" t="e">
        <f>J178+#REF!</f>
        <v>#REF!</v>
      </c>
      <c r="L178" s="10" t="s">
        <v>41</v>
      </c>
      <c r="M178" s="11">
        <v>45099.370925925927</v>
      </c>
      <c r="N178" s="5" t="s">
        <v>48</v>
      </c>
      <c r="O178" s="5"/>
      <c r="P178" s="9">
        <v>45105.370925925927</v>
      </c>
      <c r="Q178" s="5" t="s">
        <v>48</v>
      </c>
      <c r="R178" s="5"/>
      <c r="S178" s="5"/>
      <c r="T178" s="9">
        <v>45101.370925925927</v>
      </c>
      <c r="U178" s="5"/>
      <c r="V178" s="5">
        <v>0</v>
      </c>
      <c r="W178" s="5"/>
      <c r="X178" s="5"/>
      <c r="Y178" s="5"/>
      <c r="Z178" s="5"/>
      <c r="AA178" s="5"/>
      <c r="AC178">
        <f t="shared" si="19"/>
        <v>3</v>
      </c>
      <c r="AD178" t="str">
        <f t="shared" si="20"/>
        <v/>
      </c>
      <c r="AE178">
        <f t="shared" si="21"/>
        <v>2</v>
      </c>
      <c r="AF178" t="str">
        <f t="shared" si="22"/>
        <v/>
      </c>
      <c r="AG178" t="str">
        <f t="shared" si="23"/>
        <v/>
      </c>
      <c r="AH178">
        <f t="shared" si="24"/>
        <v>4</v>
      </c>
      <c r="AI178" t="str">
        <f t="shared" si="25"/>
        <v/>
      </c>
      <c r="AJ178" t="str">
        <f t="shared" si="26"/>
        <v/>
      </c>
    </row>
    <row r="179" spans="1:36">
      <c r="A179" s="5">
        <v>178</v>
      </c>
      <c r="B179" s="5" t="s">
        <v>2077</v>
      </c>
      <c r="C179" s="5" t="s">
        <v>1540</v>
      </c>
      <c r="D179" s="5" t="s">
        <v>1985</v>
      </c>
      <c r="E179" s="5" t="s">
        <v>2072</v>
      </c>
      <c r="F179" s="5" t="str">
        <f t="shared" si="18"/>
        <v>Finance-Collections Officer</v>
      </c>
      <c r="G179" s="5" t="s">
        <v>47</v>
      </c>
      <c r="H179" s="9">
        <v>45093.370925925927</v>
      </c>
      <c r="I179" s="9">
        <v>45094.370925925927</v>
      </c>
      <c r="J179" s="9" t="e">
        <f>I179+#REF!</f>
        <v>#REF!</v>
      </c>
      <c r="K179" s="9" t="e">
        <f>J179+#REF!</f>
        <v>#REF!</v>
      </c>
      <c r="L179" s="10" t="s">
        <v>41</v>
      </c>
      <c r="M179" s="11">
        <v>45110.370925925927</v>
      </c>
      <c r="N179" s="5" t="s">
        <v>42</v>
      </c>
      <c r="O179" s="5" t="s">
        <v>113</v>
      </c>
      <c r="P179" s="9"/>
      <c r="Q179" s="5"/>
      <c r="R179" s="5"/>
      <c r="S179" s="5"/>
      <c r="T179" s="9"/>
      <c r="U179" s="5"/>
      <c r="V179" s="5">
        <v>0</v>
      </c>
      <c r="W179" s="5"/>
      <c r="X179" s="5"/>
      <c r="Y179" s="5"/>
      <c r="Z179" s="5"/>
      <c r="AA179" s="5" t="s">
        <v>62</v>
      </c>
      <c r="AC179">
        <f t="shared" si="19"/>
        <v>16</v>
      </c>
      <c r="AD179" t="str">
        <f t="shared" si="20"/>
        <v/>
      </c>
      <c r="AE179" t="str">
        <f t="shared" si="21"/>
        <v/>
      </c>
      <c r="AF179" t="str">
        <f t="shared" si="22"/>
        <v/>
      </c>
      <c r="AG179" t="str">
        <f t="shared" si="23"/>
        <v/>
      </c>
      <c r="AH179">
        <f t="shared" si="24"/>
        <v>1</v>
      </c>
      <c r="AI179" t="str">
        <f t="shared" si="25"/>
        <v/>
      </c>
      <c r="AJ179" t="str">
        <f t="shared" si="26"/>
        <v/>
      </c>
    </row>
    <row r="180" spans="1:36">
      <c r="A180" s="5">
        <v>179</v>
      </c>
      <c r="B180" s="5" t="s">
        <v>1807</v>
      </c>
      <c r="C180" s="5" t="s">
        <v>1540</v>
      </c>
      <c r="D180" s="5" t="s">
        <v>1706</v>
      </c>
      <c r="E180" s="5" t="s">
        <v>1804</v>
      </c>
      <c r="F180" s="5" t="str">
        <f t="shared" si="18"/>
        <v>Finance-Contoller</v>
      </c>
      <c r="G180" s="5" t="s">
        <v>270</v>
      </c>
      <c r="H180" s="9">
        <v>45093.370925925927</v>
      </c>
      <c r="I180" s="9">
        <v>45094.370925925927</v>
      </c>
      <c r="J180" s="9" t="e">
        <f>I180+#REF!</f>
        <v>#REF!</v>
      </c>
      <c r="K180" s="9" t="e">
        <f>J180+#REF!</f>
        <v>#REF!</v>
      </c>
      <c r="L180" s="10" t="s">
        <v>41</v>
      </c>
      <c r="M180" s="11">
        <v>45104.370925925927</v>
      </c>
      <c r="N180" s="5" t="s">
        <v>48</v>
      </c>
      <c r="O180" s="5"/>
      <c r="P180" s="9">
        <v>45110.370925925927</v>
      </c>
      <c r="Q180" s="5" t="s">
        <v>48</v>
      </c>
      <c r="R180" s="5"/>
      <c r="S180" s="5"/>
      <c r="T180" s="9">
        <v>45106.370925925927</v>
      </c>
      <c r="U180" s="5"/>
      <c r="V180" s="5">
        <v>0</v>
      </c>
      <c r="W180" s="5"/>
      <c r="X180" s="5"/>
      <c r="Y180" s="5"/>
      <c r="Z180" s="5"/>
      <c r="AA180" s="5"/>
      <c r="AC180">
        <f t="shared" si="19"/>
        <v>10</v>
      </c>
      <c r="AD180" t="str">
        <f t="shared" si="20"/>
        <v/>
      </c>
      <c r="AE180">
        <f t="shared" si="21"/>
        <v>2</v>
      </c>
      <c r="AF180" t="str">
        <f t="shared" si="22"/>
        <v/>
      </c>
      <c r="AG180" t="str">
        <f t="shared" si="23"/>
        <v/>
      </c>
      <c r="AH180">
        <f t="shared" si="24"/>
        <v>1</v>
      </c>
      <c r="AI180" t="str">
        <f t="shared" si="25"/>
        <v/>
      </c>
      <c r="AJ180" t="str">
        <f t="shared" si="26"/>
        <v/>
      </c>
    </row>
    <row r="181" spans="1:36">
      <c r="A181" s="5">
        <v>180</v>
      </c>
      <c r="B181" s="5" t="s">
        <v>1917</v>
      </c>
      <c r="C181" s="5" t="s">
        <v>1540</v>
      </c>
      <c r="D181" s="5" t="s">
        <v>1820</v>
      </c>
      <c r="E181" s="5" t="s">
        <v>1862</v>
      </c>
      <c r="F181" s="5" t="str">
        <f t="shared" si="18"/>
        <v>Finance-Billing Officer</v>
      </c>
      <c r="G181" s="5" t="s">
        <v>40</v>
      </c>
      <c r="H181" s="9">
        <v>45088.370925925927</v>
      </c>
      <c r="I181" s="9">
        <v>45091.370925925927</v>
      </c>
      <c r="J181" s="9" t="e">
        <f>I181+#REF!</f>
        <v>#REF!</v>
      </c>
      <c r="K181" s="9" t="e">
        <f>J181+#REF!</f>
        <v>#REF!</v>
      </c>
      <c r="L181" s="10" t="s">
        <v>41</v>
      </c>
      <c r="M181" s="11">
        <v>45106.370925925927</v>
      </c>
      <c r="N181" s="5" t="s">
        <v>42</v>
      </c>
      <c r="O181" s="5" t="s">
        <v>73</v>
      </c>
      <c r="P181" s="9"/>
      <c r="Q181" s="5"/>
      <c r="R181" s="5"/>
      <c r="S181" s="5"/>
      <c r="T181" s="9">
        <v>45107.370925925927</v>
      </c>
      <c r="U181" s="5"/>
      <c r="V181" s="5">
        <v>0</v>
      </c>
      <c r="W181" s="5"/>
      <c r="X181" s="5"/>
      <c r="Y181" s="5"/>
      <c r="Z181" s="5"/>
      <c r="AA181" s="5" t="s">
        <v>62</v>
      </c>
      <c r="AC181">
        <f t="shared" si="19"/>
        <v>15</v>
      </c>
      <c r="AD181" t="str">
        <f t="shared" si="20"/>
        <v/>
      </c>
      <c r="AE181">
        <f t="shared" si="21"/>
        <v>1</v>
      </c>
      <c r="AF181" t="str">
        <f t="shared" si="22"/>
        <v/>
      </c>
      <c r="AG181" t="str">
        <f t="shared" si="23"/>
        <v/>
      </c>
      <c r="AH181">
        <f t="shared" si="24"/>
        <v>3</v>
      </c>
      <c r="AI181" t="str">
        <f t="shared" si="25"/>
        <v/>
      </c>
      <c r="AJ181" t="str">
        <f t="shared" si="26"/>
        <v/>
      </c>
    </row>
    <row r="182" spans="1:36">
      <c r="A182" s="5">
        <v>181</v>
      </c>
      <c r="B182" s="5" t="s">
        <v>499</v>
      </c>
      <c r="C182" s="5" t="s">
        <v>100</v>
      </c>
      <c r="D182" s="5" t="s">
        <v>387</v>
      </c>
      <c r="E182" s="5" t="s">
        <v>473</v>
      </c>
      <c r="F182" s="5" t="str">
        <f t="shared" si="18"/>
        <v>Program Office-Officer</v>
      </c>
      <c r="G182" s="5" t="s">
        <v>40</v>
      </c>
      <c r="H182" s="9">
        <v>44830.301365740743</v>
      </c>
      <c r="I182" s="9">
        <v>44832.301365740743</v>
      </c>
      <c r="J182" s="9" t="e">
        <f>I182+#REF!</f>
        <v>#REF!</v>
      </c>
      <c r="K182" s="9" t="e">
        <f>J182+#REF!</f>
        <v>#REF!</v>
      </c>
      <c r="L182" s="10" t="s">
        <v>41</v>
      </c>
      <c r="M182" s="11">
        <v>44842.301365740743</v>
      </c>
      <c r="N182" s="5" t="s">
        <v>42</v>
      </c>
      <c r="O182" s="5" t="s">
        <v>58</v>
      </c>
      <c r="P182" s="9"/>
      <c r="Q182" s="5"/>
      <c r="R182" s="5"/>
      <c r="S182" s="5"/>
      <c r="T182" s="9">
        <v>44844.301365740743</v>
      </c>
      <c r="U182" s="5"/>
      <c r="V182" s="5">
        <v>0</v>
      </c>
      <c r="W182" s="5"/>
      <c r="X182" s="5"/>
      <c r="Y182" s="5"/>
      <c r="Z182" s="5"/>
      <c r="AA182" s="5" t="s">
        <v>44</v>
      </c>
      <c r="AC182">
        <f t="shared" si="19"/>
        <v>10</v>
      </c>
      <c r="AD182" t="str">
        <f t="shared" si="20"/>
        <v/>
      </c>
      <c r="AE182">
        <f t="shared" si="21"/>
        <v>2</v>
      </c>
      <c r="AF182" t="str">
        <f t="shared" si="22"/>
        <v/>
      </c>
      <c r="AG182" t="str">
        <f t="shared" si="23"/>
        <v/>
      </c>
      <c r="AH182">
        <f t="shared" si="24"/>
        <v>2</v>
      </c>
      <c r="AI182" t="str">
        <f t="shared" si="25"/>
        <v/>
      </c>
      <c r="AJ182" t="str">
        <f t="shared" si="26"/>
        <v/>
      </c>
    </row>
    <row r="183" spans="1:36">
      <c r="A183" s="5">
        <v>182</v>
      </c>
      <c r="B183" s="5" t="s">
        <v>141</v>
      </c>
      <c r="C183" s="5" t="s">
        <v>100</v>
      </c>
      <c r="D183" s="5" t="s">
        <v>101</v>
      </c>
      <c r="E183" s="5" t="s">
        <v>132</v>
      </c>
      <c r="F183" s="5" t="str">
        <f t="shared" si="18"/>
        <v>Program Office-Senior Supervisory Manager</v>
      </c>
      <c r="G183" s="5" t="s">
        <v>103</v>
      </c>
      <c r="H183" s="9">
        <v>44830.301365740743</v>
      </c>
      <c r="I183" s="9">
        <v>44834.301365740743</v>
      </c>
      <c r="J183" s="9" t="e">
        <f>I183+#REF!</f>
        <v>#REF!</v>
      </c>
      <c r="K183" s="9" t="e">
        <f>J183+#REF!</f>
        <v>#REF!</v>
      </c>
      <c r="L183" s="10" t="s">
        <v>41</v>
      </c>
      <c r="M183" s="11">
        <v>44839.301365740743</v>
      </c>
      <c r="N183" s="5" t="s">
        <v>42</v>
      </c>
      <c r="O183" s="5" t="s">
        <v>113</v>
      </c>
      <c r="P183" s="9"/>
      <c r="Q183" s="5"/>
      <c r="R183" s="5"/>
      <c r="S183" s="5"/>
      <c r="T183" s="9">
        <v>44841.301365740743</v>
      </c>
      <c r="U183" s="5"/>
      <c r="V183" s="5">
        <v>0</v>
      </c>
      <c r="W183" s="5"/>
      <c r="X183" s="5"/>
      <c r="Y183" s="5"/>
      <c r="Z183" s="5"/>
      <c r="AA183" s="5" t="s">
        <v>62</v>
      </c>
      <c r="AC183">
        <f t="shared" si="19"/>
        <v>5</v>
      </c>
      <c r="AD183" t="str">
        <f t="shared" si="20"/>
        <v/>
      </c>
      <c r="AE183">
        <f t="shared" si="21"/>
        <v>2</v>
      </c>
      <c r="AF183" t="str">
        <f t="shared" si="22"/>
        <v/>
      </c>
      <c r="AG183" t="str">
        <f t="shared" si="23"/>
        <v/>
      </c>
      <c r="AH183">
        <f t="shared" si="24"/>
        <v>4</v>
      </c>
      <c r="AI183" t="str">
        <f t="shared" si="25"/>
        <v/>
      </c>
      <c r="AJ183" t="str">
        <f t="shared" si="26"/>
        <v/>
      </c>
    </row>
    <row r="184" spans="1:36">
      <c r="A184" s="5">
        <v>183</v>
      </c>
      <c r="B184" s="5" t="s">
        <v>665</v>
      </c>
      <c r="C184" s="5" t="s">
        <v>100</v>
      </c>
      <c r="D184" s="5" t="s">
        <v>554</v>
      </c>
      <c r="E184" s="5" t="s">
        <v>597</v>
      </c>
      <c r="F184" s="5" t="str">
        <f t="shared" si="18"/>
        <v>Program Office-Business Partner</v>
      </c>
      <c r="G184" s="5" t="s">
        <v>47</v>
      </c>
      <c r="H184" s="9">
        <v>44830.301365740743</v>
      </c>
      <c r="I184" s="9">
        <v>44832.301365740743</v>
      </c>
      <c r="J184" s="9" t="e">
        <f>I184+#REF!</f>
        <v>#REF!</v>
      </c>
      <c r="K184" s="9" t="e">
        <f>J184+#REF!</f>
        <v>#REF!</v>
      </c>
      <c r="L184" s="10" t="s">
        <v>52</v>
      </c>
      <c r="M184" s="11"/>
      <c r="N184" s="5"/>
      <c r="O184" s="5"/>
      <c r="P184" s="9"/>
      <c r="Q184" s="5"/>
      <c r="R184" s="5"/>
      <c r="S184" s="5"/>
      <c r="T184" s="9"/>
      <c r="U184" s="5"/>
      <c r="V184" s="5">
        <v>0</v>
      </c>
      <c r="W184" s="5"/>
      <c r="X184" s="5"/>
      <c r="Y184" s="5"/>
      <c r="Z184" s="5"/>
      <c r="AA184" s="5"/>
      <c r="AC184" t="str">
        <f t="shared" si="19"/>
        <v/>
      </c>
      <c r="AD184" t="str">
        <f t="shared" si="20"/>
        <v/>
      </c>
      <c r="AE184" t="str">
        <f t="shared" si="21"/>
        <v/>
      </c>
      <c r="AF184" t="str">
        <f t="shared" si="22"/>
        <v/>
      </c>
      <c r="AG184" t="str">
        <f t="shared" si="23"/>
        <v/>
      </c>
      <c r="AH184">
        <f t="shared" si="24"/>
        <v>2</v>
      </c>
      <c r="AI184" t="str">
        <f t="shared" si="25"/>
        <v/>
      </c>
      <c r="AJ184" t="str">
        <f t="shared" si="26"/>
        <v/>
      </c>
    </row>
    <row r="185" spans="1:36">
      <c r="A185" s="5">
        <v>184</v>
      </c>
      <c r="B185" s="5" t="s">
        <v>140</v>
      </c>
      <c r="C185" s="5" t="s">
        <v>100</v>
      </c>
      <c r="D185" s="5" t="s">
        <v>101</v>
      </c>
      <c r="E185" s="5" t="s">
        <v>132</v>
      </c>
      <c r="F185" s="5" t="str">
        <f t="shared" si="18"/>
        <v>Program Office-Senior Supervisory Manager</v>
      </c>
      <c r="G185" s="5" t="s">
        <v>103</v>
      </c>
      <c r="H185" s="9">
        <v>44825.301365740743</v>
      </c>
      <c r="I185" s="9">
        <v>44829.301365740743</v>
      </c>
      <c r="J185" s="9" t="e">
        <f>I185+#REF!</f>
        <v>#REF!</v>
      </c>
      <c r="K185" s="9" t="e">
        <f>J185+#REF!</f>
        <v>#REF!</v>
      </c>
      <c r="L185" s="10" t="s">
        <v>41</v>
      </c>
      <c r="M185" s="11">
        <v>44847.301365740743</v>
      </c>
      <c r="N185" s="5" t="s">
        <v>42</v>
      </c>
      <c r="O185" s="5" t="s">
        <v>73</v>
      </c>
      <c r="P185" s="9"/>
      <c r="Q185" s="5"/>
      <c r="R185" s="5"/>
      <c r="S185" s="5"/>
      <c r="T185" s="9"/>
      <c r="U185" s="5"/>
      <c r="V185" s="5">
        <v>0</v>
      </c>
      <c r="W185" s="5"/>
      <c r="X185" s="5"/>
      <c r="Y185" s="5"/>
      <c r="Z185" s="5"/>
      <c r="AA185" s="5" t="s">
        <v>44</v>
      </c>
      <c r="AC185">
        <f t="shared" si="19"/>
        <v>18</v>
      </c>
      <c r="AD185" t="str">
        <f t="shared" si="20"/>
        <v/>
      </c>
      <c r="AE185" t="str">
        <f t="shared" si="21"/>
        <v/>
      </c>
      <c r="AF185" t="str">
        <f t="shared" si="22"/>
        <v/>
      </c>
      <c r="AG185" t="str">
        <f t="shared" si="23"/>
        <v/>
      </c>
      <c r="AH185">
        <f t="shared" si="24"/>
        <v>4</v>
      </c>
      <c r="AI185" t="str">
        <f t="shared" si="25"/>
        <v/>
      </c>
      <c r="AJ185" t="str">
        <f t="shared" si="26"/>
        <v/>
      </c>
    </row>
    <row r="186" spans="1:36">
      <c r="A186" s="5">
        <v>185</v>
      </c>
      <c r="B186" s="5" t="s">
        <v>139</v>
      </c>
      <c r="C186" s="5" t="s">
        <v>100</v>
      </c>
      <c r="D186" s="5" t="s">
        <v>101</v>
      </c>
      <c r="E186" s="5" t="s">
        <v>132</v>
      </c>
      <c r="F186" s="5" t="str">
        <f t="shared" si="18"/>
        <v>Program Office-Senior Supervisory Manager</v>
      </c>
      <c r="G186" s="5" t="s">
        <v>103</v>
      </c>
      <c r="H186" s="9">
        <v>44830.301365740743</v>
      </c>
      <c r="I186" s="9">
        <v>44834.301365740743</v>
      </c>
      <c r="J186" s="9" t="e">
        <f>I186+#REF!</f>
        <v>#REF!</v>
      </c>
      <c r="K186" s="9" t="e">
        <f>J186+#REF!</f>
        <v>#REF!</v>
      </c>
      <c r="L186" s="10" t="s">
        <v>41</v>
      </c>
      <c r="M186" s="11">
        <v>44850.301365740743</v>
      </c>
      <c r="N186" s="5" t="s">
        <v>42</v>
      </c>
      <c r="O186" s="5" t="s">
        <v>113</v>
      </c>
      <c r="P186" s="9"/>
      <c r="Q186" s="5"/>
      <c r="R186" s="5"/>
      <c r="S186" s="5"/>
      <c r="T186" s="9">
        <v>44853.301365740743</v>
      </c>
      <c r="U186" s="5"/>
      <c r="V186" s="5">
        <v>0</v>
      </c>
      <c r="W186" s="5"/>
      <c r="X186" s="5"/>
      <c r="Y186" s="5"/>
      <c r="Z186" s="5"/>
      <c r="AA186" s="5" t="s">
        <v>44</v>
      </c>
      <c r="AC186">
        <f t="shared" si="19"/>
        <v>16</v>
      </c>
      <c r="AD186" t="str">
        <f t="shared" si="20"/>
        <v/>
      </c>
      <c r="AE186">
        <f t="shared" si="21"/>
        <v>3</v>
      </c>
      <c r="AF186" t="str">
        <f t="shared" si="22"/>
        <v/>
      </c>
      <c r="AG186" t="str">
        <f t="shared" si="23"/>
        <v/>
      </c>
      <c r="AH186">
        <f t="shared" si="24"/>
        <v>4</v>
      </c>
      <c r="AI186" t="str">
        <f t="shared" si="25"/>
        <v/>
      </c>
      <c r="AJ186" t="str">
        <f t="shared" si="26"/>
        <v/>
      </c>
    </row>
    <row r="187" spans="1:36">
      <c r="A187" s="5">
        <v>186</v>
      </c>
      <c r="B187" s="5" t="s">
        <v>664</v>
      </c>
      <c r="C187" s="5" t="s">
        <v>100</v>
      </c>
      <c r="D187" s="5" t="s">
        <v>554</v>
      </c>
      <c r="E187" s="5" t="s">
        <v>597</v>
      </c>
      <c r="F187" s="5" t="str">
        <f t="shared" si="18"/>
        <v>Program Office-Business Partner</v>
      </c>
      <c r="G187" s="5" t="s">
        <v>47</v>
      </c>
      <c r="H187" s="9">
        <v>44829.301365740743</v>
      </c>
      <c r="I187" s="9">
        <v>44832.301365740743</v>
      </c>
      <c r="J187" s="9" t="e">
        <f>I187+#REF!</f>
        <v>#REF!</v>
      </c>
      <c r="K187" s="9" t="e">
        <f>J187+#REF!</f>
        <v>#REF!</v>
      </c>
      <c r="L187" s="10" t="s">
        <v>41</v>
      </c>
      <c r="M187" s="11">
        <v>44851.301365740743</v>
      </c>
      <c r="N187" s="5" t="s">
        <v>42</v>
      </c>
      <c r="O187" s="5" t="s">
        <v>43</v>
      </c>
      <c r="P187" s="9"/>
      <c r="Q187" s="5"/>
      <c r="R187" s="5"/>
      <c r="S187" s="5"/>
      <c r="T187" s="9"/>
      <c r="U187" s="5"/>
      <c r="V187" s="5">
        <v>0</v>
      </c>
      <c r="W187" s="5"/>
      <c r="X187" s="5"/>
      <c r="Y187" s="5"/>
      <c r="Z187" s="5"/>
      <c r="AA187" s="5" t="s">
        <v>44</v>
      </c>
      <c r="AC187">
        <f t="shared" si="19"/>
        <v>19</v>
      </c>
      <c r="AD187" t="str">
        <f t="shared" si="20"/>
        <v/>
      </c>
      <c r="AE187" t="str">
        <f t="shared" si="21"/>
        <v/>
      </c>
      <c r="AF187" t="str">
        <f t="shared" si="22"/>
        <v/>
      </c>
      <c r="AG187" t="str">
        <f t="shared" si="23"/>
        <v/>
      </c>
      <c r="AH187">
        <f t="shared" si="24"/>
        <v>3</v>
      </c>
      <c r="AI187" t="str">
        <f t="shared" si="25"/>
        <v/>
      </c>
      <c r="AJ187" t="str">
        <f t="shared" si="26"/>
        <v/>
      </c>
    </row>
    <row r="188" spans="1:36">
      <c r="A188" s="5">
        <v>187</v>
      </c>
      <c r="B188" s="5" t="s">
        <v>498</v>
      </c>
      <c r="C188" s="5" t="s">
        <v>100</v>
      </c>
      <c r="D188" s="5" t="s">
        <v>387</v>
      </c>
      <c r="E188" s="5" t="s">
        <v>473</v>
      </c>
      <c r="F188" s="5" t="str">
        <f t="shared" si="18"/>
        <v>Program Office-Officer</v>
      </c>
      <c r="G188" s="5" t="s">
        <v>40</v>
      </c>
      <c r="H188" s="9">
        <v>44828.301365740743</v>
      </c>
      <c r="I188" s="9">
        <v>44830.301365740743</v>
      </c>
      <c r="J188" s="9" t="e">
        <f>I188+#REF!</f>
        <v>#REF!</v>
      </c>
      <c r="K188" s="9" t="e">
        <f>J188+#REF!</f>
        <v>#REF!</v>
      </c>
      <c r="L188" s="10" t="s">
        <v>41</v>
      </c>
      <c r="M188" s="11">
        <v>44846.301365740743</v>
      </c>
      <c r="N188" s="5" t="s">
        <v>64</v>
      </c>
      <c r="O188" s="5"/>
      <c r="P188" s="9">
        <v>44849.301365740743</v>
      </c>
      <c r="Q188" s="5" t="s">
        <v>64</v>
      </c>
      <c r="R188" s="9">
        <v>44847.301365740743</v>
      </c>
      <c r="S188" s="9">
        <v>44848.301365740743</v>
      </c>
      <c r="T188" s="9">
        <v>44847.301365740743</v>
      </c>
      <c r="U188" s="9">
        <v>44851.301365740743</v>
      </c>
      <c r="V188" s="12">
        <v>1</v>
      </c>
      <c r="W188" s="9">
        <v>44855.301365740743</v>
      </c>
      <c r="X188" s="9">
        <v>44857.301365740743</v>
      </c>
      <c r="Y188" s="9">
        <v>44859.301365740743</v>
      </c>
      <c r="Z188" s="5"/>
      <c r="AA188" s="5"/>
      <c r="AB188" s="13">
        <v>44878.301365740743</v>
      </c>
      <c r="AC188">
        <f t="shared" si="19"/>
        <v>16</v>
      </c>
      <c r="AD188">
        <f t="shared" si="20"/>
        <v>18</v>
      </c>
      <c r="AE188">
        <f t="shared" si="21"/>
        <v>1</v>
      </c>
      <c r="AF188">
        <f t="shared" si="22"/>
        <v>6</v>
      </c>
      <c r="AG188">
        <f t="shared" si="23"/>
        <v>4</v>
      </c>
      <c r="AH188">
        <f t="shared" si="24"/>
        <v>2</v>
      </c>
      <c r="AI188" t="str">
        <f t="shared" si="25"/>
        <v/>
      </c>
      <c r="AJ188" t="str">
        <f t="shared" si="26"/>
        <v/>
      </c>
    </row>
    <row r="189" spans="1:36">
      <c r="A189" s="5">
        <v>188</v>
      </c>
      <c r="B189" s="5" t="s">
        <v>259</v>
      </c>
      <c r="C189" s="5" t="s">
        <v>100</v>
      </c>
      <c r="D189" s="5" t="s">
        <v>146</v>
      </c>
      <c r="E189" s="5" t="s">
        <v>51</v>
      </c>
      <c r="F189" s="5" t="str">
        <f t="shared" si="18"/>
        <v>Program Office-Supervisor</v>
      </c>
      <c r="G189" s="5" t="s">
        <v>147</v>
      </c>
      <c r="H189" s="9">
        <v>44832.301365740743</v>
      </c>
      <c r="I189" s="9">
        <v>44833.301365740743</v>
      </c>
      <c r="J189" s="9" t="e">
        <f>I189+#REF!</f>
        <v>#REF!</v>
      </c>
      <c r="K189" s="9" t="e">
        <f>J189+#REF!</f>
        <v>#REF!</v>
      </c>
      <c r="L189" s="10" t="s">
        <v>41</v>
      </c>
      <c r="M189" s="11">
        <v>44837.301365740743</v>
      </c>
      <c r="N189" s="5" t="s">
        <v>48</v>
      </c>
      <c r="O189" s="5"/>
      <c r="P189" s="9">
        <v>44841.301365740743</v>
      </c>
      <c r="Q189" s="5" t="s">
        <v>48</v>
      </c>
      <c r="R189" s="5"/>
      <c r="S189" s="5"/>
      <c r="T189" s="9">
        <v>44840.301365740743</v>
      </c>
      <c r="U189" s="5"/>
      <c r="V189" s="5">
        <v>0</v>
      </c>
      <c r="W189" s="5"/>
      <c r="X189" s="5"/>
      <c r="Y189" s="5"/>
      <c r="Z189" s="5"/>
      <c r="AA189" s="5"/>
      <c r="AC189">
        <f t="shared" si="19"/>
        <v>4</v>
      </c>
      <c r="AD189" t="str">
        <f t="shared" si="20"/>
        <v/>
      </c>
      <c r="AE189">
        <f t="shared" si="21"/>
        <v>3</v>
      </c>
      <c r="AF189" t="str">
        <f t="shared" si="22"/>
        <v/>
      </c>
      <c r="AG189" t="str">
        <f t="shared" si="23"/>
        <v/>
      </c>
      <c r="AH189">
        <f t="shared" si="24"/>
        <v>1</v>
      </c>
      <c r="AI189" t="str">
        <f t="shared" si="25"/>
        <v/>
      </c>
      <c r="AJ189" t="str">
        <f t="shared" si="26"/>
        <v/>
      </c>
    </row>
    <row r="190" spans="1:36">
      <c r="A190" s="5">
        <v>189</v>
      </c>
      <c r="B190" s="5" t="s">
        <v>546</v>
      </c>
      <c r="C190" s="5" t="s">
        <v>100</v>
      </c>
      <c r="D190" s="5" t="s">
        <v>506</v>
      </c>
      <c r="E190" s="5" t="s">
        <v>69</v>
      </c>
      <c r="F190" s="5" t="str">
        <f t="shared" si="18"/>
        <v>Program Office-Head of Department</v>
      </c>
      <c r="G190" s="5" t="s">
        <v>56</v>
      </c>
      <c r="H190" s="9">
        <v>44830.301365740743</v>
      </c>
      <c r="I190" s="9">
        <v>44831.301365740743</v>
      </c>
      <c r="J190" s="9" t="e">
        <f>I190+#REF!</f>
        <v>#REF!</v>
      </c>
      <c r="K190" s="9" t="e">
        <f>J190+#REF!</f>
        <v>#REF!</v>
      </c>
      <c r="L190" s="10" t="s">
        <v>41</v>
      </c>
      <c r="M190" s="11">
        <v>44841.301365740743</v>
      </c>
      <c r="N190" s="5" t="s">
        <v>42</v>
      </c>
      <c r="O190" s="5" t="s">
        <v>43</v>
      </c>
      <c r="P190" s="9"/>
      <c r="Q190" s="5"/>
      <c r="R190" s="5"/>
      <c r="S190" s="5"/>
      <c r="T190" s="9"/>
      <c r="U190" s="5"/>
      <c r="V190" s="5">
        <v>0</v>
      </c>
      <c r="W190" s="5"/>
      <c r="X190" s="5"/>
      <c r="Y190" s="5"/>
      <c r="Z190" s="5"/>
      <c r="AA190" s="5" t="s">
        <v>44</v>
      </c>
      <c r="AC190">
        <f t="shared" si="19"/>
        <v>10</v>
      </c>
      <c r="AD190" t="str">
        <f t="shared" si="20"/>
        <v/>
      </c>
      <c r="AE190" t="str">
        <f t="shared" si="21"/>
        <v/>
      </c>
      <c r="AF190" t="str">
        <f t="shared" si="22"/>
        <v/>
      </c>
      <c r="AG190" t="str">
        <f t="shared" si="23"/>
        <v/>
      </c>
      <c r="AH190">
        <f t="shared" si="24"/>
        <v>1</v>
      </c>
      <c r="AI190" t="str">
        <f t="shared" si="25"/>
        <v/>
      </c>
      <c r="AJ190" t="str">
        <f t="shared" si="26"/>
        <v/>
      </c>
    </row>
    <row r="191" spans="1:36">
      <c r="A191" s="5">
        <v>190</v>
      </c>
      <c r="B191" s="5" t="s">
        <v>663</v>
      </c>
      <c r="C191" s="5" t="s">
        <v>100</v>
      </c>
      <c r="D191" s="5" t="s">
        <v>554</v>
      </c>
      <c r="E191" s="5" t="s">
        <v>597</v>
      </c>
      <c r="F191" s="5" t="str">
        <f t="shared" si="18"/>
        <v>Program Office-Business Partner</v>
      </c>
      <c r="G191" s="5" t="s">
        <v>47</v>
      </c>
      <c r="H191" s="9">
        <v>44826.301365740743</v>
      </c>
      <c r="I191" s="9">
        <v>44829.301365740743</v>
      </c>
      <c r="J191" s="9" t="e">
        <f>I191+#REF!</f>
        <v>#REF!</v>
      </c>
      <c r="K191" s="9" t="e">
        <f>J191+#REF!</f>
        <v>#REF!</v>
      </c>
      <c r="L191" s="10" t="s">
        <v>41</v>
      </c>
      <c r="M191" s="11">
        <v>44852.301365740743</v>
      </c>
      <c r="N191" s="5" t="s">
        <v>64</v>
      </c>
      <c r="O191" s="5"/>
      <c r="P191" s="9">
        <v>44856.301365740743</v>
      </c>
      <c r="Q191" s="5" t="s">
        <v>64</v>
      </c>
      <c r="R191" s="9">
        <v>44854.301365740743</v>
      </c>
      <c r="S191" s="9">
        <v>44858.301365740743</v>
      </c>
      <c r="T191" s="9">
        <v>44855.301365740743</v>
      </c>
      <c r="U191" s="9">
        <v>44862.301365740743</v>
      </c>
      <c r="V191" s="12">
        <v>1</v>
      </c>
      <c r="W191" s="9">
        <v>44864.301365740743</v>
      </c>
      <c r="X191" s="9">
        <v>44867.301365740743</v>
      </c>
      <c r="Y191" s="9">
        <v>44869.301365740743</v>
      </c>
      <c r="Z191" s="5"/>
      <c r="AA191" s="5"/>
      <c r="AB191" s="13">
        <v>44890.301365740743</v>
      </c>
      <c r="AC191">
        <f t="shared" si="19"/>
        <v>23</v>
      </c>
      <c r="AD191">
        <f t="shared" si="20"/>
        <v>29</v>
      </c>
      <c r="AE191">
        <f t="shared" si="21"/>
        <v>3</v>
      </c>
      <c r="AF191">
        <f t="shared" si="22"/>
        <v>5</v>
      </c>
      <c r="AG191">
        <f t="shared" si="23"/>
        <v>2</v>
      </c>
      <c r="AH191">
        <f t="shared" si="24"/>
        <v>3</v>
      </c>
      <c r="AI191" t="str">
        <f t="shared" si="25"/>
        <v/>
      </c>
      <c r="AJ191" t="str">
        <f t="shared" si="26"/>
        <v/>
      </c>
    </row>
    <row r="192" spans="1:36">
      <c r="A192" s="5">
        <v>191</v>
      </c>
      <c r="B192" s="5" t="s">
        <v>788</v>
      </c>
      <c r="C192" s="10" t="s">
        <v>671</v>
      </c>
      <c r="D192" s="5" t="s">
        <v>747</v>
      </c>
      <c r="E192" s="5" t="s">
        <v>55</v>
      </c>
      <c r="F192" s="5" t="str">
        <f t="shared" si="18"/>
        <v>Operations-Director</v>
      </c>
      <c r="G192" s="5" t="s">
        <v>47</v>
      </c>
      <c r="H192" s="9">
        <v>44725.769965277781</v>
      </c>
      <c r="I192" s="9">
        <v>44727.769965277781</v>
      </c>
      <c r="J192" s="9" t="e">
        <f>I192+#REF!</f>
        <v>#REF!</v>
      </c>
      <c r="K192" s="9" t="e">
        <f>J192+#REF!</f>
        <v>#REF!</v>
      </c>
      <c r="L192" s="10" t="s">
        <v>41</v>
      </c>
      <c r="M192" s="11">
        <v>44745.769965277781</v>
      </c>
      <c r="N192" s="5" t="s">
        <v>42</v>
      </c>
      <c r="O192" s="5" t="s">
        <v>58</v>
      </c>
      <c r="P192" s="9"/>
      <c r="Q192" s="5"/>
      <c r="R192" s="5"/>
      <c r="S192" s="5"/>
      <c r="T192" s="9">
        <v>44746.769965277781</v>
      </c>
      <c r="U192" s="5"/>
      <c r="V192" s="5">
        <v>0</v>
      </c>
      <c r="W192" s="5"/>
      <c r="X192" s="5"/>
      <c r="Y192" s="5"/>
      <c r="Z192" s="5"/>
      <c r="AA192" s="5" t="s">
        <v>62</v>
      </c>
      <c r="AC192">
        <f t="shared" si="19"/>
        <v>18</v>
      </c>
      <c r="AD192" t="str">
        <f t="shared" si="20"/>
        <v/>
      </c>
      <c r="AE192">
        <f t="shared" si="21"/>
        <v>1</v>
      </c>
      <c r="AF192" t="str">
        <f t="shared" si="22"/>
        <v/>
      </c>
      <c r="AG192" t="str">
        <f t="shared" si="23"/>
        <v/>
      </c>
      <c r="AH192">
        <f t="shared" si="24"/>
        <v>2</v>
      </c>
      <c r="AI192" t="str">
        <f t="shared" si="25"/>
        <v/>
      </c>
      <c r="AJ192" t="str">
        <f t="shared" si="26"/>
        <v/>
      </c>
    </row>
    <row r="193" spans="1:36">
      <c r="A193" s="5">
        <v>192</v>
      </c>
      <c r="B193" s="5" t="s">
        <v>2205</v>
      </c>
      <c r="C193" s="10" t="s">
        <v>2089</v>
      </c>
      <c r="D193" s="5" t="s">
        <v>2167</v>
      </c>
      <c r="E193" s="5" t="s">
        <v>269</v>
      </c>
      <c r="F193" s="5" t="str">
        <f t="shared" si="18"/>
        <v>Communication and Advocacy-Manager</v>
      </c>
      <c r="G193" s="5" t="s">
        <v>270</v>
      </c>
      <c r="H193" s="9">
        <v>44727.769965277781</v>
      </c>
      <c r="I193" s="9">
        <v>44730.769965277781</v>
      </c>
      <c r="J193" s="9" t="e">
        <f>I193+#REF!</f>
        <v>#REF!</v>
      </c>
      <c r="K193" s="9" t="e">
        <f>J193+#REF!</f>
        <v>#REF!</v>
      </c>
      <c r="L193" s="10" t="s">
        <v>41</v>
      </c>
      <c r="M193" s="11">
        <v>44739.769965277781</v>
      </c>
      <c r="N193" s="5" t="s">
        <v>64</v>
      </c>
      <c r="O193" s="5"/>
      <c r="P193" s="9">
        <v>44744.769965277781</v>
      </c>
      <c r="Q193" s="5" t="s">
        <v>64</v>
      </c>
      <c r="R193" s="9">
        <v>44740.769965277781</v>
      </c>
      <c r="S193" s="9">
        <v>44743.769965277781</v>
      </c>
      <c r="T193" s="9">
        <v>44742.769965277781</v>
      </c>
      <c r="U193" s="9">
        <v>44751.769965277781</v>
      </c>
      <c r="V193" s="12">
        <v>1</v>
      </c>
      <c r="W193" s="9">
        <v>44753.769965277781</v>
      </c>
      <c r="X193" s="9">
        <v>44755.769965277781</v>
      </c>
      <c r="Y193" s="9">
        <v>44758.769965277781</v>
      </c>
      <c r="Z193" s="5"/>
      <c r="AA193" s="5"/>
      <c r="AB193" s="13">
        <v>44773.769965277781</v>
      </c>
      <c r="AC193">
        <f t="shared" si="19"/>
        <v>9</v>
      </c>
      <c r="AD193">
        <f t="shared" si="20"/>
        <v>13</v>
      </c>
      <c r="AE193">
        <f t="shared" si="21"/>
        <v>3</v>
      </c>
      <c r="AF193">
        <f t="shared" si="22"/>
        <v>4</v>
      </c>
      <c r="AG193">
        <f t="shared" si="23"/>
        <v>2</v>
      </c>
      <c r="AH193">
        <f t="shared" si="24"/>
        <v>3</v>
      </c>
      <c r="AI193" t="str">
        <f t="shared" si="25"/>
        <v/>
      </c>
      <c r="AJ193" t="str">
        <f t="shared" si="26"/>
        <v/>
      </c>
    </row>
    <row r="194" spans="1:36">
      <c r="A194" s="5">
        <v>193</v>
      </c>
      <c r="B194" s="5" t="s">
        <v>742</v>
      </c>
      <c r="C194" s="10" t="s">
        <v>671</v>
      </c>
      <c r="D194" s="5" t="s">
        <v>708</v>
      </c>
      <c r="E194" s="5" t="s">
        <v>55</v>
      </c>
      <c r="F194" s="5" t="str">
        <f t="shared" ref="F194:F257" si="27">_xlfn.CONCAT(C194,"-",E194)</f>
        <v>Operations-Director</v>
      </c>
      <c r="G194" s="5" t="s">
        <v>56</v>
      </c>
      <c r="H194" s="9">
        <v>44727.769965277781</v>
      </c>
      <c r="I194" s="9">
        <v>44730.769965277781</v>
      </c>
      <c r="J194" s="9" t="e">
        <f>I194+#REF!</f>
        <v>#REF!</v>
      </c>
      <c r="K194" s="9" t="e">
        <f>J194+#REF!</f>
        <v>#REF!</v>
      </c>
      <c r="L194" s="10" t="s">
        <v>41</v>
      </c>
      <c r="M194" s="11">
        <v>44741.769965277781</v>
      </c>
      <c r="N194" s="5" t="s">
        <v>42</v>
      </c>
      <c r="O194" s="5" t="s">
        <v>58</v>
      </c>
      <c r="P194" s="9"/>
      <c r="Q194" s="5"/>
      <c r="R194" s="5"/>
      <c r="S194" s="5"/>
      <c r="T194" s="9">
        <v>44744.769965277781</v>
      </c>
      <c r="U194" s="5"/>
      <c r="V194" s="5">
        <v>0</v>
      </c>
      <c r="W194" s="5"/>
      <c r="X194" s="5"/>
      <c r="Y194" s="5"/>
      <c r="Z194" s="5"/>
      <c r="AA194" s="5" t="s">
        <v>44</v>
      </c>
      <c r="AC194">
        <f t="shared" ref="AC194:AC257" si="28">IF(AND(ISNUMBER(M194), ISNUMBER(I194)), M194 - I194, "")</f>
        <v>11</v>
      </c>
      <c r="AD194" t="str">
        <f t="shared" si="20"/>
        <v/>
      </c>
      <c r="AE194">
        <f t="shared" si="21"/>
        <v>3</v>
      </c>
      <c r="AF194" t="str">
        <f t="shared" si="22"/>
        <v/>
      </c>
      <c r="AG194" t="str">
        <f t="shared" si="23"/>
        <v/>
      </c>
      <c r="AH194">
        <f t="shared" si="24"/>
        <v>3</v>
      </c>
      <c r="AI194" t="str">
        <f t="shared" si="25"/>
        <v/>
      </c>
      <c r="AJ194" t="str">
        <f t="shared" si="26"/>
        <v/>
      </c>
    </row>
    <row r="195" spans="1:36">
      <c r="A195" s="5">
        <v>194</v>
      </c>
      <c r="B195" s="5" t="s">
        <v>2155</v>
      </c>
      <c r="C195" s="10" t="s">
        <v>2089</v>
      </c>
      <c r="D195" s="5" t="s">
        <v>2114</v>
      </c>
      <c r="E195" s="5" t="s">
        <v>1146</v>
      </c>
      <c r="F195" s="5" t="str">
        <f t="shared" si="27"/>
        <v>Communication and Advocacy-Quality Assurance</v>
      </c>
      <c r="G195" s="5" t="s">
        <v>147</v>
      </c>
      <c r="H195" s="9">
        <v>44722.769965277781</v>
      </c>
      <c r="I195" s="9">
        <v>44725.769965277781</v>
      </c>
      <c r="J195" s="9" t="e">
        <f>I195+#REF!</f>
        <v>#REF!</v>
      </c>
      <c r="K195" s="9" t="e">
        <f>J195+#REF!</f>
        <v>#REF!</v>
      </c>
      <c r="L195" s="10" t="s">
        <v>41</v>
      </c>
      <c r="M195" s="11">
        <v>44733.769965277781</v>
      </c>
      <c r="N195" s="5" t="s">
        <v>48</v>
      </c>
      <c r="O195" s="5"/>
      <c r="P195" s="9">
        <v>44741.769965277781</v>
      </c>
      <c r="Q195" s="5" t="s">
        <v>48</v>
      </c>
      <c r="R195" s="5"/>
      <c r="S195" s="5"/>
      <c r="T195" s="9">
        <v>44737.769965277781</v>
      </c>
      <c r="U195" s="5"/>
      <c r="V195" s="5">
        <v>0</v>
      </c>
      <c r="W195" s="5"/>
      <c r="X195" s="5"/>
      <c r="Y195" s="5"/>
      <c r="Z195" s="5"/>
      <c r="AA195" s="5"/>
      <c r="AC195">
        <f t="shared" si="28"/>
        <v>8</v>
      </c>
      <c r="AD195" t="str">
        <f t="shared" ref="AD195:AD258" si="29">IF(AND(ISNUMBER(S195), ISNUMBER(I195)), S195 - I195, "")</f>
        <v/>
      </c>
      <c r="AE195">
        <f t="shared" ref="AE195:AE258" si="30">IF(AND(ISNUMBER(T195), ISNUMBER(M195)), T195-M195, "")</f>
        <v>4</v>
      </c>
      <c r="AF195" t="str">
        <f t="shared" ref="AF195:AF258" si="31">IF(AND(ISNUMBER(X195), ISNUMBER(U195)), X195-U195,"")</f>
        <v/>
      </c>
      <c r="AG195" t="str">
        <f t="shared" ref="AG195:AG258" si="32">IF(AND(ISNUMBER(W195), ISNUMBER(U195)), W195-U195, "")</f>
        <v/>
      </c>
      <c r="AH195">
        <f t="shared" ref="AH195:AH258" si="33">IF(AND(ISNUMBER(I195), ISNUMBER(H195)), I195-H195,"")</f>
        <v>3</v>
      </c>
      <c r="AI195" t="str">
        <f t="shared" ref="AI195:AI258" si="34">IF(AND(ISNUMBER(J195),ISNUMBER(K195)),K195-J195,"")</f>
        <v/>
      </c>
      <c r="AJ195" t="str">
        <f t="shared" ref="AJ195:AJ258" si="35">IF(AND(ISNUMBER(J195),ISNUMBER(I195)), J195-I195,"")</f>
        <v/>
      </c>
    </row>
    <row r="196" spans="1:36">
      <c r="A196" s="5">
        <v>195</v>
      </c>
      <c r="B196" s="5" t="s">
        <v>741</v>
      </c>
      <c r="C196" s="10" t="s">
        <v>671</v>
      </c>
      <c r="D196" s="5" t="s">
        <v>708</v>
      </c>
      <c r="E196" s="5" t="s">
        <v>55</v>
      </c>
      <c r="F196" s="5" t="str">
        <f t="shared" si="27"/>
        <v>Operations-Director</v>
      </c>
      <c r="G196" s="5" t="s">
        <v>56</v>
      </c>
      <c r="H196" s="9">
        <v>44728.769965277781</v>
      </c>
      <c r="I196" s="9">
        <v>44729.769965277781</v>
      </c>
      <c r="J196" s="9" t="e">
        <f>I196+#REF!</f>
        <v>#REF!</v>
      </c>
      <c r="K196" s="9" t="e">
        <f>J196+#REF!</f>
        <v>#REF!</v>
      </c>
      <c r="L196" s="10" t="s">
        <v>41</v>
      </c>
      <c r="M196" s="11">
        <v>44745.769965277781</v>
      </c>
      <c r="N196" s="5" t="s">
        <v>42</v>
      </c>
      <c r="O196" s="5" t="s">
        <v>43</v>
      </c>
      <c r="P196" s="9"/>
      <c r="Q196" s="5"/>
      <c r="R196" s="5"/>
      <c r="S196" s="5"/>
      <c r="T196" s="9"/>
      <c r="U196" s="5"/>
      <c r="V196" s="5">
        <v>0</v>
      </c>
      <c r="W196" s="5"/>
      <c r="X196" s="5"/>
      <c r="Y196" s="5"/>
      <c r="Z196" s="5"/>
      <c r="AA196" s="5" t="s">
        <v>62</v>
      </c>
      <c r="AC196">
        <f t="shared" si="28"/>
        <v>16</v>
      </c>
      <c r="AD196" t="str">
        <f t="shared" si="29"/>
        <v/>
      </c>
      <c r="AE196" t="str">
        <f t="shared" si="30"/>
        <v/>
      </c>
      <c r="AF196" t="str">
        <f t="shared" si="31"/>
        <v/>
      </c>
      <c r="AG196" t="str">
        <f t="shared" si="32"/>
        <v/>
      </c>
      <c r="AH196">
        <f t="shared" si="33"/>
        <v>1</v>
      </c>
      <c r="AI196" t="str">
        <f t="shared" si="34"/>
        <v/>
      </c>
      <c r="AJ196" t="str">
        <f t="shared" si="35"/>
        <v/>
      </c>
    </row>
    <row r="197" spans="1:36">
      <c r="A197" s="5">
        <v>196</v>
      </c>
      <c r="B197" s="5" t="s">
        <v>2216</v>
      </c>
      <c r="C197" s="10" t="s">
        <v>2089</v>
      </c>
      <c r="D197" s="5" t="s">
        <v>2211</v>
      </c>
      <c r="E197" s="5" t="s">
        <v>39</v>
      </c>
      <c r="F197" s="5" t="str">
        <f t="shared" si="27"/>
        <v>Communication and Advocacy-Analyst</v>
      </c>
      <c r="G197" s="5" t="s">
        <v>40</v>
      </c>
      <c r="H197" s="9">
        <v>44722.769965277781</v>
      </c>
      <c r="I197" s="9">
        <v>44726.769965277781</v>
      </c>
      <c r="J197" s="9" t="e">
        <f>I197+#REF!</f>
        <v>#REF!</v>
      </c>
      <c r="K197" s="9" t="e">
        <f>J197+#REF!</f>
        <v>#REF!</v>
      </c>
      <c r="L197" s="10" t="s">
        <v>41</v>
      </c>
      <c r="M197" s="11">
        <v>44743.769965277781</v>
      </c>
      <c r="N197" s="5" t="s">
        <v>48</v>
      </c>
      <c r="O197" s="5"/>
      <c r="P197" s="9">
        <v>44749.769965277781</v>
      </c>
      <c r="Q197" s="5" t="s">
        <v>48</v>
      </c>
      <c r="R197" s="5"/>
      <c r="S197" s="5"/>
      <c r="T197" s="9">
        <v>44746.769965277781</v>
      </c>
      <c r="U197" s="5"/>
      <c r="V197" s="5">
        <v>0</v>
      </c>
      <c r="W197" s="5"/>
      <c r="X197" s="5"/>
      <c r="Y197" s="5"/>
      <c r="Z197" s="5"/>
      <c r="AA197" s="5"/>
      <c r="AC197">
        <f t="shared" si="28"/>
        <v>17</v>
      </c>
      <c r="AD197" t="str">
        <f t="shared" si="29"/>
        <v/>
      </c>
      <c r="AE197">
        <f t="shared" si="30"/>
        <v>3</v>
      </c>
      <c r="AF197" t="str">
        <f t="shared" si="31"/>
        <v/>
      </c>
      <c r="AG197" t="str">
        <f t="shared" si="32"/>
        <v/>
      </c>
      <c r="AH197">
        <f t="shared" si="33"/>
        <v>4</v>
      </c>
      <c r="AI197" t="str">
        <f t="shared" si="34"/>
        <v/>
      </c>
      <c r="AJ197" t="str">
        <f t="shared" si="35"/>
        <v/>
      </c>
    </row>
    <row r="198" spans="1:36">
      <c r="A198" s="5">
        <v>197</v>
      </c>
      <c r="B198" s="5" t="s">
        <v>2204</v>
      </c>
      <c r="C198" s="10" t="s">
        <v>2089</v>
      </c>
      <c r="D198" s="5" t="s">
        <v>2167</v>
      </c>
      <c r="E198" s="5" t="s">
        <v>269</v>
      </c>
      <c r="F198" s="5" t="str">
        <f t="shared" si="27"/>
        <v>Communication and Advocacy-Manager</v>
      </c>
      <c r="G198" s="5" t="s">
        <v>270</v>
      </c>
      <c r="H198" s="9">
        <v>44727.769965277781</v>
      </c>
      <c r="I198" s="9">
        <v>44730.769965277781</v>
      </c>
      <c r="J198" s="9" t="e">
        <f>I198+#REF!</f>
        <v>#REF!</v>
      </c>
      <c r="K198" s="9" t="e">
        <f>J198+#REF!</f>
        <v>#REF!</v>
      </c>
      <c r="L198" s="10" t="s">
        <v>41</v>
      </c>
      <c r="M198" s="11">
        <v>44733.769965277781</v>
      </c>
      <c r="N198" s="5" t="s">
        <v>64</v>
      </c>
      <c r="O198" s="5"/>
      <c r="P198" s="9">
        <v>44739.769965277781</v>
      </c>
      <c r="Q198" s="5" t="s">
        <v>64</v>
      </c>
      <c r="R198" s="9">
        <v>44735.769965277781</v>
      </c>
      <c r="S198" s="9">
        <v>44739.769965277781</v>
      </c>
      <c r="T198" s="9">
        <v>44737.769965277781</v>
      </c>
      <c r="U198" s="9">
        <v>44738.769965277781</v>
      </c>
      <c r="V198" s="12">
        <v>1</v>
      </c>
      <c r="W198" s="9">
        <v>44739.769965277781</v>
      </c>
      <c r="X198" s="9">
        <v>44740.769965277781</v>
      </c>
      <c r="Y198" s="9">
        <v>44742.769965277781</v>
      </c>
      <c r="Z198" s="5"/>
      <c r="AA198" s="5"/>
      <c r="AB198" s="13">
        <v>44755.769965277781</v>
      </c>
      <c r="AC198">
        <f t="shared" si="28"/>
        <v>3</v>
      </c>
      <c r="AD198">
        <f t="shared" si="29"/>
        <v>9</v>
      </c>
      <c r="AE198">
        <f t="shared" si="30"/>
        <v>4</v>
      </c>
      <c r="AF198">
        <f t="shared" si="31"/>
        <v>2</v>
      </c>
      <c r="AG198">
        <f t="shared" si="32"/>
        <v>1</v>
      </c>
      <c r="AH198">
        <f t="shared" si="33"/>
        <v>3</v>
      </c>
      <c r="AI198" t="str">
        <f t="shared" si="34"/>
        <v/>
      </c>
      <c r="AJ198" t="str">
        <f t="shared" si="35"/>
        <v/>
      </c>
    </row>
    <row r="199" spans="1:36">
      <c r="A199" s="5">
        <v>198</v>
      </c>
      <c r="B199" s="5" t="s">
        <v>740</v>
      </c>
      <c r="C199" s="10" t="s">
        <v>671</v>
      </c>
      <c r="D199" s="5" t="s">
        <v>708</v>
      </c>
      <c r="E199" s="5" t="s">
        <v>69</v>
      </c>
      <c r="F199" s="5" t="str">
        <f t="shared" si="27"/>
        <v>Operations-Head of Department</v>
      </c>
      <c r="G199" s="5" t="s">
        <v>56</v>
      </c>
      <c r="H199" s="9">
        <v>44725.769965277781</v>
      </c>
      <c r="I199" s="9">
        <v>44726.769965277781</v>
      </c>
      <c r="J199" s="9" t="e">
        <f>I199+#REF!</f>
        <v>#REF!</v>
      </c>
      <c r="K199" s="9" t="e">
        <f>J199+#REF!</f>
        <v>#REF!</v>
      </c>
      <c r="L199" s="10" t="s">
        <v>41</v>
      </c>
      <c r="M199" s="11">
        <v>44734.769965277781</v>
      </c>
      <c r="N199" s="5" t="s">
        <v>48</v>
      </c>
      <c r="O199" s="5"/>
      <c r="P199" s="9">
        <v>44739.769965277781</v>
      </c>
      <c r="Q199" s="5" t="s">
        <v>48</v>
      </c>
      <c r="R199" s="5"/>
      <c r="S199" s="5"/>
      <c r="T199" s="9">
        <v>44737.769965277781</v>
      </c>
      <c r="U199" s="5"/>
      <c r="V199" s="5">
        <v>0</v>
      </c>
      <c r="W199" s="5"/>
      <c r="X199" s="5"/>
      <c r="Y199" s="5"/>
      <c r="Z199" s="5"/>
      <c r="AA199" s="5"/>
      <c r="AC199">
        <f t="shared" si="28"/>
        <v>8</v>
      </c>
      <c r="AD199" t="str">
        <f t="shared" si="29"/>
        <v/>
      </c>
      <c r="AE199">
        <f t="shared" si="30"/>
        <v>3</v>
      </c>
      <c r="AF199" t="str">
        <f t="shared" si="31"/>
        <v/>
      </c>
      <c r="AG199" t="str">
        <f t="shared" si="32"/>
        <v/>
      </c>
      <c r="AH199">
        <f t="shared" si="33"/>
        <v>1</v>
      </c>
      <c r="AI199" t="str">
        <f t="shared" si="34"/>
        <v/>
      </c>
      <c r="AJ199" t="str">
        <f t="shared" si="35"/>
        <v/>
      </c>
    </row>
    <row r="200" spans="1:36">
      <c r="A200" s="5">
        <v>199</v>
      </c>
      <c r="B200" s="5" t="s">
        <v>2154</v>
      </c>
      <c r="C200" s="10" t="s">
        <v>2089</v>
      </c>
      <c r="D200" s="5" t="s">
        <v>2114</v>
      </c>
      <c r="E200" s="5" t="s">
        <v>1146</v>
      </c>
      <c r="F200" s="5" t="str">
        <f t="shared" si="27"/>
        <v>Communication and Advocacy-Quality Assurance</v>
      </c>
      <c r="G200" s="5" t="s">
        <v>147</v>
      </c>
      <c r="H200" s="9">
        <v>44723.769965277781</v>
      </c>
      <c r="I200" s="9">
        <v>44725.769965277781</v>
      </c>
      <c r="J200" s="9" t="e">
        <f>I200+#REF!</f>
        <v>#REF!</v>
      </c>
      <c r="K200" s="9" t="e">
        <f>J200+#REF!</f>
        <v>#REF!</v>
      </c>
      <c r="L200" s="10" t="s">
        <v>41</v>
      </c>
      <c r="M200" s="11">
        <v>44737.769965277781</v>
      </c>
      <c r="N200" s="5" t="s">
        <v>64</v>
      </c>
      <c r="O200" s="5"/>
      <c r="P200" s="9">
        <v>44742.769965277781</v>
      </c>
      <c r="Q200" s="5" t="s">
        <v>64</v>
      </c>
      <c r="R200" s="9">
        <v>44738.769965277781</v>
      </c>
      <c r="S200" s="9">
        <v>44742.769965277781</v>
      </c>
      <c r="T200" s="9">
        <v>44739.769965277781</v>
      </c>
      <c r="U200" s="9">
        <v>44743.769965277781</v>
      </c>
      <c r="V200" s="12">
        <v>1</v>
      </c>
      <c r="W200" s="9">
        <v>44746.769965277781</v>
      </c>
      <c r="X200" s="9">
        <v>44749.769965277781</v>
      </c>
      <c r="Y200" s="9">
        <v>44751.769965277781</v>
      </c>
      <c r="Z200" s="5"/>
      <c r="AA200" s="5"/>
      <c r="AB200" s="13">
        <v>44773.769965277781</v>
      </c>
      <c r="AC200">
        <f t="shared" si="28"/>
        <v>12</v>
      </c>
      <c r="AD200">
        <f t="shared" si="29"/>
        <v>17</v>
      </c>
      <c r="AE200">
        <f t="shared" si="30"/>
        <v>2</v>
      </c>
      <c r="AF200">
        <f t="shared" si="31"/>
        <v>6</v>
      </c>
      <c r="AG200">
        <f t="shared" si="32"/>
        <v>3</v>
      </c>
      <c r="AH200">
        <f t="shared" si="33"/>
        <v>2</v>
      </c>
      <c r="AI200" t="str">
        <f t="shared" si="34"/>
        <v/>
      </c>
      <c r="AJ200" t="str">
        <f t="shared" si="35"/>
        <v/>
      </c>
    </row>
    <row r="201" spans="1:36">
      <c r="A201" s="5">
        <v>200</v>
      </c>
      <c r="B201" s="5" t="s">
        <v>787</v>
      </c>
      <c r="C201" s="10" t="s">
        <v>671</v>
      </c>
      <c r="D201" s="5" t="s">
        <v>747</v>
      </c>
      <c r="E201" s="5" t="s">
        <v>55</v>
      </c>
      <c r="F201" s="5" t="str">
        <f t="shared" si="27"/>
        <v>Operations-Director</v>
      </c>
      <c r="G201" s="5" t="s">
        <v>47</v>
      </c>
      <c r="H201" s="9">
        <v>44726.769965277781</v>
      </c>
      <c r="I201" s="9">
        <v>44730.769965277781</v>
      </c>
      <c r="J201" s="9" t="e">
        <f>I201+#REF!</f>
        <v>#REF!</v>
      </c>
      <c r="K201" s="9" t="e">
        <f>J201+#REF!</f>
        <v>#REF!</v>
      </c>
      <c r="L201" s="10" t="s">
        <v>41</v>
      </c>
      <c r="M201" s="11">
        <v>44738.769965277781</v>
      </c>
      <c r="N201" s="5" t="s">
        <v>48</v>
      </c>
      <c r="O201" s="5"/>
      <c r="P201" s="9">
        <v>44744.769965277781</v>
      </c>
      <c r="Q201" s="5" t="s">
        <v>48</v>
      </c>
      <c r="R201" s="5"/>
      <c r="S201" s="5"/>
      <c r="T201" s="9">
        <v>44740.769965277781</v>
      </c>
      <c r="U201" s="5"/>
      <c r="V201" s="5">
        <v>0</v>
      </c>
      <c r="W201" s="5"/>
      <c r="X201" s="5"/>
      <c r="Y201" s="5"/>
      <c r="Z201" s="5"/>
      <c r="AA201" s="5"/>
      <c r="AC201">
        <f t="shared" si="28"/>
        <v>8</v>
      </c>
      <c r="AD201" t="str">
        <f t="shared" si="29"/>
        <v/>
      </c>
      <c r="AE201">
        <f t="shared" si="30"/>
        <v>2</v>
      </c>
      <c r="AF201" t="str">
        <f t="shared" si="31"/>
        <v/>
      </c>
      <c r="AG201" t="str">
        <f t="shared" si="32"/>
        <v/>
      </c>
      <c r="AH201">
        <f t="shared" si="33"/>
        <v>4</v>
      </c>
      <c r="AI201" t="str">
        <f t="shared" si="34"/>
        <v/>
      </c>
      <c r="AJ201" t="str">
        <f t="shared" si="35"/>
        <v/>
      </c>
    </row>
    <row r="202" spans="1:36">
      <c r="A202" s="5">
        <v>201</v>
      </c>
      <c r="B202" s="5" t="s">
        <v>1972</v>
      </c>
      <c r="C202" s="5" t="s">
        <v>1540</v>
      </c>
      <c r="D202" s="5" t="s">
        <v>1925</v>
      </c>
      <c r="E202" s="5" t="s">
        <v>55</v>
      </c>
      <c r="F202" s="5" t="str">
        <f t="shared" si="27"/>
        <v>Finance-Director</v>
      </c>
      <c r="G202" s="5" t="s">
        <v>56</v>
      </c>
      <c r="H202" s="9">
        <v>44748.342893518522</v>
      </c>
      <c r="I202" s="9">
        <v>44752.342893518522</v>
      </c>
      <c r="J202" s="9" t="e">
        <f>I202+#REF!</f>
        <v>#REF!</v>
      </c>
      <c r="K202" s="9" t="e">
        <f>J202+#REF!</f>
        <v>#REF!</v>
      </c>
      <c r="L202" s="10" t="s">
        <v>52</v>
      </c>
      <c r="M202" s="11"/>
      <c r="N202" s="5"/>
      <c r="O202" s="5"/>
      <c r="P202" s="9"/>
      <c r="Q202" s="5"/>
      <c r="R202" s="5"/>
      <c r="S202" s="5"/>
      <c r="T202" s="9"/>
      <c r="U202" s="5"/>
      <c r="V202" s="5">
        <v>0</v>
      </c>
      <c r="W202" s="5"/>
      <c r="X202" s="5"/>
      <c r="Y202" s="5"/>
      <c r="Z202" s="5"/>
      <c r="AA202" s="5"/>
      <c r="AC202" t="str">
        <f t="shared" si="28"/>
        <v/>
      </c>
      <c r="AD202" t="str">
        <f t="shared" si="29"/>
        <v/>
      </c>
      <c r="AE202" t="str">
        <f t="shared" si="30"/>
        <v/>
      </c>
      <c r="AF202" t="str">
        <f t="shared" si="31"/>
        <v/>
      </c>
      <c r="AG202" t="str">
        <f t="shared" si="32"/>
        <v/>
      </c>
      <c r="AH202">
        <f t="shared" si="33"/>
        <v>4</v>
      </c>
      <c r="AI202" t="str">
        <f t="shared" si="34"/>
        <v/>
      </c>
      <c r="AJ202" t="str">
        <f t="shared" si="35"/>
        <v/>
      </c>
    </row>
    <row r="203" spans="1:36">
      <c r="A203" s="5">
        <v>202</v>
      </c>
      <c r="B203" s="5" t="s">
        <v>1806</v>
      </c>
      <c r="C203" s="5" t="s">
        <v>1540</v>
      </c>
      <c r="D203" s="5" t="s">
        <v>1706</v>
      </c>
      <c r="E203" s="5" t="s">
        <v>1804</v>
      </c>
      <c r="F203" s="5" t="str">
        <f t="shared" si="27"/>
        <v>Finance-Contoller</v>
      </c>
      <c r="G203" s="5" t="s">
        <v>270</v>
      </c>
      <c r="H203" s="9">
        <v>44744.342893518522</v>
      </c>
      <c r="I203" s="9">
        <v>44748.342893518522</v>
      </c>
      <c r="J203" s="9" t="e">
        <f>I203+#REF!</f>
        <v>#REF!</v>
      </c>
      <c r="K203" s="9" t="e">
        <f>J203+#REF!</f>
        <v>#REF!</v>
      </c>
      <c r="L203" s="10" t="s">
        <v>41</v>
      </c>
      <c r="M203" s="11">
        <v>44762.342893518522</v>
      </c>
      <c r="N203" s="5" t="s">
        <v>42</v>
      </c>
      <c r="O203" s="5" t="s">
        <v>73</v>
      </c>
      <c r="P203" s="9"/>
      <c r="Q203" s="5"/>
      <c r="R203" s="5"/>
      <c r="S203" s="5"/>
      <c r="T203" s="9">
        <v>44765.342893518522</v>
      </c>
      <c r="U203" s="5"/>
      <c r="V203" s="5">
        <v>0</v>
      </c>
      <c r="W203" s="5"/>
      <c r="X203" s="5"/>
      <c r="Y203" s="5"/>
      <c r="Z203" s="5"/>
      <c r="AA203" s="5" t="s">
        <v>44</v>
      </c>
      <c r="AC203">
        <f t="shared" si="28"/>
        <v>14</v>
      </c>
      <c r="AD203" t="str">
        <f t="shared" si="29"/>
        <v/>
      </c>
      <c r="AE203">
        <f t="shared" si="30"/>
        <v>3</v>
      </c>
      <c r="AF203" t="str">
        <f t="shared" si="31"/>
        <v/>
      </c>
      <c r="AG203" t="str">
        <f t="shared" si="32"/>
        <v/>
      </c>
      <c r="AH203">
        <f t="shared" si="33"/>
        <v>4</v>
      </c>
      <c r="AI203" t="str">
        <f t="shared" si="34"/>
        <v/>
      </c>
      <c r="AJ203" t="str">
        <f t="shared" si="35"/>
        <v/>
      </c>
    </row>
    <row r="204" spans="1:36">
      <c r="A204" s="5">
        <v>203</v>
      </c>
      <c r="B204" s="5" t="s">
        <v>1575</v>
      </c>
      <c r="C204" s="5" t="s">
        <v>1540</v>
      </c>
      <c r="D204" s="5" t="s">
        <v>1541</v>
      </c>
      <c r="E204" s="5" t="s">
        <v>102</v>
      </c>
      <c r="F204" s="5" t="str">
        <f t="shared" si="27"/>
        <v>Finance-Senior Manager</v>
      </c>
      <c r="G204" s="5" t="s">
        <v>103</v>
      </c>
      <c r="H204" s="9">
        <v>44748.342893518522</v>
      </c>
      <c r="I204" s="9">
        <v>44752.342893518522</v>
      </c>
      <c r="J204" s="9" t="e">
        <f>I204+#REF!</f>
        <v>#REF!</v>
      </c>
      <c r="K204" s="9" t="e">
        <f>J204+#REF!</f>
        <v>#REF!</v>
      </c>
      <c r="L204" s="10" t="s">
        <v>41</v>
      </c>
      <c r="M204" s="11">
        <v>44763.342893518522</v>
      </c>
      <c r="N204" s="5" t="s">
        <v>64</v>
      </c>
      <c r="O204" s="5"/>
      <c r="P204" s="9">
        <v>44766.342893518522</v>
      </c>
      <c r="Q204" s="5" t="s">
        <v>64</v>
      </c>
      <c r="R204" s="9">
        <v>44764.342893518522</v>
      </c>
      <c r="S204" s="9">
        <v>44766.342893518522</v>
      </c>
      <c r="T204" s="9">
        <v>44764.342893518522</v>
      </c>
      <c r="U204" s="9">
        <v>44766.342893518522</v>
      </c>
      <c r="V204" s="12">
        <v>1</v>
      </c>
      <c r="W204" s="9">
        <v>44767.342893518522</v>
      </c>
      <c r="X204" s="9">
        <v>44769.342893518522</v>
      </c>
      <c r="Y204" s="9">
        <v>44771.342893518522</v>
      </c>
      <c r="Z204" s="5"/>
      <c r="AA204" s="5"/>
      <c r="AB204" s="13">
        <v>44782.342893518522</v>
      </c>
      <c r="AC204">
        <f t="shared" si="28"/>
        <v>11</v>
      </c>
      <c r="AD204">
        <f t="shared" si="29"/>
        <v>14</v>
      </c>
      <c r="AE204">
        <f t="shared" si="30"/>
        <v>1</v>
      </c>
      <c r="AF204">
        <f t="shared" si="31"/>
        <v>3</v>
      </c>
      <c r="AG204">
        <f t="shared" si="32"/>
        <v>1</v>
      </c>
      <c r="AH204">
        <f t="shared" si="33"/>
        <v>4</v>
      </c>
      <c r="AI204" t="str">
        <f t="shared" si="34"/>
        <v/>
      </c>
      <c r="AJ204" t="str">
        <f t="shared" si="35"/>
        <v/>
      </c>
    </row>
    <row r="205" spans="1:36">
      <c r="A205" s="5">
        <v>204</v>
      </c>
      <c r="B205" s="5" t="s">
        <v>2076</v>
      </c>
      <c r="C205" s="5" t="s">
        <v>1540</v>
      </c>
      <c r="D205" s="5" t="s">
        <v>1985</v>
      </c>
      <c r="E205" s="5" t="s">
        <v>2072</v>
      </c>
      <c r="F205" s="5" t="str">
        <f t="shared" si="27"/>
        <v>Finance-Collections Officer</v>
      </c>
      <c r="G205" s="5" t="s">
        <v>47</v>
      </c>
      <c r="H205" s="9">
        <v>44749.342893518522</v>
      </c>
      <c r="I205" s="9">
        <v>44752.342893518522</v>
      </c>
      <c r="J205" s="9" t="e">
        <f>I205+#REF!</f>
        <v>#REF!</v>
      </c>
      <c r="K205" s="9" t="e">
        <f>J205+#REF!</f>
        <v>#REF!</v>
      </c>
      <c r="L205" s="10" t="s">
        <v>41</v>
      </c>
      <c r="M205" s="11">
        <v>44763.342893518522</v>
      </c>
      <c r="N205" s="5" t="s">
        <v>42</v>
      </c>
      <c r="O205" s="5" t="s">
        <v>58</v>
      </c>
      <c r="P205" s="9"/>
      <c r="Q205" s="5"/>
      <c r="R205" s="5"/>
      <c r="S205" s="5"/>
      <c r="T205" s="9"/>
      <c r="U205" s="5"/>
      <c r="V205" s="5">
        <v>0</v>
      </c>
      <c r="W205" s="5"/>
      <c r="X205" s="5"/>
      <c r="Y205" s="5"/>
      <c r="Z205" s="5"/>
      <c r="AA205" s="5" t="s">
        <v>62</v>
      </c>
      <c r="AC205">
        <f t="shared" si="28"/>
        <v>11</v>
      </c>
      <c r="AD205" t="str">
        <f t="shared" si="29"/>
        <v/>
      </c>
      <c r="AE205" t="str">
        <f t="shared" si="30"/>
        <v/>
      </c>
      <c r="AF205" t="str">
        <f t="shared" si="31"/>
        <v/>
      </c>
      <c r="AG205" t="str">
        <f t="shared" si="32"/>
        <v/>
      </c>
      <c r="AH205">
        <f t="shared" si="33"/>
        <v>3</v>
      </c>
      <c r="AI205" t="str">
        <f t="shared" si="34"/>
        <v/>
      </c>
      <c r="AJ205" t="str">
        <f t="shared" si="35"/>
        <v/>
      </c>
    </row>
    <row r="206" spans="1:36">
      <c r="A206" s="5">
        <v>205</v>
      </c>
      <c r="B206" s="5" t="s">
        <v>1916</v>
      </c>
      <c r="C206" s="5" t="s">
        <v>1540</v>
      </c>
      <c r="D206" s="5" t="s">
        <v>1820</v>
      </c>
      <c r="E206" s="5" t="s">
        <v>1862</v>
      </c>
      <c r="F206" s="5" t="str">
        <f t="shared" si="27"/>
        <v>Finance-Billing Officer</v>
      </c>
      <c r="G206" s="5" t="s">
        <v>40</v>
      </c>
      <c r="H206" s="9">
        <v>44750.342893518522</v>
      </c>
      <c r="I206" s="9">
        <v>44751.342893518522</v>
      </c>
      <c r="J206" s="9" t="e">
        <f>I206+#REF!</f>
        <v>#REF!</v>
      </c>
      <c r="K206" s="9" t="e">
        <f>J206+#REF!</f>
        <v>#REF!</v>
      </c>
      <c r="L206" s="10" t="s">
        <v>41</v>
      </c>
      <c r="M206" s="11">
        <v>44758.342893518522</v>
      </c>
      <c r="N206" s="5" t="s">
        <v>42</v>
      </c>
      <c r="O206" s="5" t="s">
        <v>113</v>
      </c>
      <c r="P206" s="9"/>
      <c r="Q206" s="5"/>
      <c r="R206" s="5"/>
      <c r="S206" s="5"/>
      <c r="T206" s="9">
        <v>44762.342893518522</v>
      </c>
      <c r="U206" s="5"/>
      <c r="V206" s="5">
        <v>0</v>
      </c>
      <c r="W206" s="5"/>
      <c r="X206" s="5"/>
      <c r="Y206" s="5"/>
      <c r="Z206" s="5"/>
      <c r="AA206" s="5" t="s">
        <v>44</v>
      </c>
      <c r="AC206">
        <f t="shared" si="28"/>
        <v>7</v>
      </c>
      <c r="AD206" t="str">
        <f t="shared" si="29"/>
        <v/>
      </c>
      <c r="AE206">
        <f t="shared" si="30"/>
        <v>4</v>
      </c>
      <c r="AF206" t="str">
        <f t="shared" si="31"/>
        <v/>
      </c>
      <c r="AG206" t="str">
        <f t="shared" si="32"/>
        <v/>
      </c>
      <c r="AH206">
        <f t="shared" si="33"/>
        <v>1</v>
      </c>
      <c r="AI206" t="str">
        <f t="shared" si="34"/>
        <v/>
      </c>
      <c r="AJ206" t="str">
        <f t="shared" si="35"/>
        <v/>
      </c>
    </row>
    <row r="207" spans="1:36">
      <c r="A207" s="5">
        <v>206</v>
      </c>
      <c r="B207" s="5" t="s">
        <v>1915</v>
      </c>
      <c r="C207" s="5" t="s">
        <v>1540</v>
      </c>
      <c r="D207" s="5" t="s">
        <v>1820</v>
      </c>
      <c r="E207" s="5" t="s">
        <v>1862</v>
      </c>
      <c r="F207" s="5" t="str">
        <f t="shared" si="27"/>
        <v>Finance-Billing Officer</v>
      </c>
      <c r="G207" s="5" t="s">
        <v>40</v>
      </c>
      <c r="H207" s="9">
        <v>44747.342893518522</v>
      </c>
      <c r="I207" s="9">
        <v>44748.342893518522</v>
      </c>
      <c r="J207" s="9" t="e">
        <f>I207+#REF!</f>
        <v>#REF!</v>
      </c>
      <c r="K207" s="9" t="e">
        <f>J207+#REF!</f>
        <v>#REF!</v>
      </c>
      <c r="L207" s="10" t="s">
        <v>41</v>
      </c>
      <c r="M207" s="11">
        <v>44760.342893518522</v>
      </c>
      <c r="N207" s="5" t="s">
        <v>42</v>
      </c>
      <c r="O207" s="5" t="s">
        <v>73</v>
      </c>
      <c r="P207" s="9"/>
      <c r="Q207" s="5"/>
      <c r="R207" s="5"/>
      <c r="S207" s="5"/>
      <c r="T207" s="9">
        <v>44763.342893518522</v>
      </c>
      <c r="U207" s="5"/>
      <c r="V207" s="5">
        <v>0</v>
      </c>
      <c r="W207" s="5"/>
      <c r="X207" s="5"/>
      <c r="Y207" s="5"/>
      <c r="Z207" s="5"/>
      <c r="AA207" s="5" t="s">
        <v>62</v>
      </c>
      <c r="AC207">
        <f t="shared" si="28"/>
        <v>12</v>
      </c>
      <c r="AD207" t="str">
        <f t="shared" si="29"/>
        <v/>
      </c>
      <c r="AE207">
        <f t="shared" si="30"/>
        <v>3</v>
      </c>
      <c r="AF207" t="str">
        <f t="shared" si="31"/>
        <v/>
      </c>
      <c r="AG207" t="str">
        <f t="shared" si="32"/>
        <v/>
      </c>
      <c r="AH207">
        <f t="shared" si="33"/>
        <v>1</v>
      </c>
      <c r="AI207" t="str">
        <f t="shared" si="34"/>
        <v/>
      </c>
      <c r="AJ207" t="str">
        <f t="shared" si="35"/>
        <v/>
      </c>
    </row>
    <row r="208" spans="1:36">
      <c r="A208" s="5">
        <v>207</v>
      </c>
      <c r="B208" s="5" t="s">
        <v>1696</v>
      </c>
      <c r="C208" s="5" t="s">
        <v>1540</v>
      </c>
      <c r="D208" s="5" t="s">
        <v>1588</v>
      </c>
      <c r="E208" s="5" t="s">
        <v>1360</v>
      </c>
      <c r="F208" s="5" t="str">
        <f t="shared" si="27"/>
        <v>Finance-Fund Administrator</v>
      </c>
      <c r="G208" s="5" t="s">
        <v>147</v>
      </c>
      <c r="H208" s="9">
        <v>44745.342893518522</v>
      </c>
      <c r="I208" s="9">
        <v>44748.342893518522</v>
      </c>
      <c r="J208" s="9" t="e">
        <f>I208+#REF!</f>
        <v>#REF!</v>
      </c>
      <c r="K208" s="9" t="e">
        <f>J208+#REF!</f>
        <v>#REF!</v>
      </c>
      <c r="L208" s="10" t="s">
        <v>41</v>
      </c>
      <c r="M208" s="11">
        <v>44761.342893518522</v>
      </c>
      <c r="N208" s="5" t="s">
        <v>167</v>
      </c>
      <c r="O208" s="5"/>
      <c r="P208" s="9">
        <v>44764.342893518522</v>
      </c>
      <c r="Q208" s="5" t="s">
        <v>167</v>
      </c>
      <c r="R208" s="5"/>
      <c r="S208" s="5"/>
      <c r="T208" s="9">
        <v>44762.342893518522</v>
      </c>
      <c r="U208" s="5"/>
      <c r="V208" s="5">
        <v>0</v>
      </c>
      <c r="W208" s="5"/>
      <c r="X208" s="5"/>
      <c r="Y208" s="5"/>
      <c r="Z208" s="5"/>
      <c r="AA208" s="5"/>
      <c r="AC208">
        <f t="shared" si="28"/>
        <v>13</v>
      </c>
      <c r="AD208" t="str">
        <f t="shared" si="29"/>
        <v/>
      </c>
      <c r="AE208">
        <f t="shared" si="30"/>
        <v>1</v>
      </c>
      <c r="AF208" t="str">
        <f t="shared" si="31"/>
        <v/>
      </c>
      <c r="AG208" t="str">
        <f t="shared" si="32"/>
        <v/>
      </c>
      <c r="AH208">
        <f t="shared" si="33"/>
        <v>3</v>
      </c>
      <c r="AI208" t="str">
        <f t="shared" si="34"/>
        <v/>
      </c>
      <c r="AJ208" t="str">
        <f t="shared" si="35"/>
        <v/>
      </c>
    </row>
    <row r="209" spans="1:36">
      <c r="A209" s="5">
        <v>208</v>
      </c>
      <c r="B209" s="5" t="s">
        <v>1914</v>
      </c>
      <c r="C209" s="5" t="s">
        <v>1540</v>
      </c>
      <c r="D209" s="5" t="s">
        <v>1820</v>
      </c>
      <c r="E209" s="5" t="s">
        <v>1862</v>
      </c>
      <c r="F209" s="5" t="str">
        <f t="shared" si="27"/>
        <v>Finance-Billing Officer</v>
      </c>
      <c r="G209" s="5" t="s">
        <v>40</v>
      </c>
      <c r="H209" s="9">
        <v>44751.342893518522</v>
      </c>
      <c r="I209" s="9">
        <v>44752.342893518522</v>
      </c>
      <c r="J209" s="9" t="e">
        <f>I209+#REF!</f>
        <v>#REF!</v>
      </c>
      <c r="K209" s="9" t="e">
        <f>J209+#REF!</f>
        <v>#REF!</v>
      </c>
      <c r="L209" s="10" t="s">
        <v>52</v>
      </c>
      <c r="M209" s="11"/>
      <c r="N209" s="5"/>
      <c r="O209" s="5"/>
      <c r="P209" s="9"/>
      <c r="Q209" s="5"/>
      <c r="R209" s="5"/>
      <c r="S209" s="5"/>
      <c r="T209" s="9"/>
      <c r="U209" s="5"/>
      <c r="V209" s="5">
        <v>0</v>
      </c>
      <c r="W209" s="5"/>
      <c r="X209" s="5"/>
      <c r="Y209" s="5"/>
      <c r="Z209" s="5"/>
      <c r="AA209" s="5"/>
      <c r="AC209" t="str">
        <f t="shared" si="28"/>
        <v/>
      </c>
      <c r="AD209" t="str">
        <f t="shared" si="29"/>
        <v/>
      </c>
      <c r="AE209" t="str">
        <f t="shared" si="30"/>
        <v/>
      </c>
      <c r="AF209" t="str">
        <f t="shared" si="31"/>
        <v/>
      </c>
      <c r="AG209" t="str">
        <f t="shared" si="32"/>
        <v/>
      </c>
      <c r="AH209">
        <f t="shared" si="33"/>
        <v>1</v>
      </c>
      <c r="AI209" t="str">
        <f t="shared" si="34"/>
        <v/>
      </c>
      <c r="AJ209" t="str">
        <f t="shared" si="35"/>
        <v/>
      </c>
    </row>
    <row r="210" spans="1:36">
      <c r="A210" s="5">
        <v>209</v>
      </c>
      <c r="B210" s="5" t="s">
        <v>1971</v>
      </c>
      <c r="C210" s="5" t="s">
        <v>1540</v>
      </c>
      <c r="D210" s="5" t="s">
        <v>1925</v>
      </c>
      <c r="E210" s="5" t="s">
        <v>55</v>
      </c>
      <c r="F210" s="5" t="str">
        <f t="shared" si="27"/>
        <v>Finance-Director</v>
      </c>
      <c r="G210" s="5" t="s">
        <v>56</v>
      </c>
      <c r="H210" s="9">
        <v>44744.342893518522</v>
      </c>
      <c r="I210" s="9">
        <v>44748.342893518522</v>
      </c>
      <c r="J210" s="9" t="e">
        <f>I210+#REF!</f>
        <v>#REF!</v>
      </c>
      <c r="K210" s="9" t="e">
        <f>J210+#REF!</f>
        <v>#REF!</v>
      </c>
      <c r="L210" s="10" t="s">
        <v>41</v>
      </c>
      <c r="M210" s="11">
        <v>44764.342893518522</v>
      </c>
      <c r="N210" s="5" t="s">
        <v>42</v>
      </c>
      <c r="O210" s="5" t="s">
        <v>43</v>
      </c>
      <c r="P210" s="9"/>
      <c r="Q210" s="5"/>
      <c r="R210" s="5"/>
      <c r="S210" s="5"/>
      <c r="T210" s="9">
        <v>44768.342893518522</v>
      </c>
      <c r="U210" s="5"/>
      <c r="V210" s="5">
        <v>0</v>
      </c>
      <c r="W210" s="5"/>
      <c r="X210" s="5"/>
      <c r="Y210" s="5"/>
      <c r="Z210" s="5"/>
      <c r="AA210" s="5" t="s">
        <v>62</v>
      </c>
      <c r="AC210">
        <f t="shared" si="28"/>
        <v>16</v>
      </c>
      <c r="AD210" t="str">
        <f t="shared" si="29"/>
        <v/>
      </c>
      <c r="AE210">
        <f t="shared" si="30"/>
        <v>4</v>
      </c>
      <c r="AF210" t="str">
        <f t="shared" si="31"/>
        <v/>
      </c>
      <c r="AG210" t="str">
        <f t="shared" si="32"/>
        <v/>
      </c>
      <c r="AH210">
        <f t="shared" si="33"/>
        <v>4</v>
      </c>
      <c r="AI210" t="str">
        <f t="shared" si="34"/>
        <v/>
      </c>
      <c r="AJ210" t="str">
        <f t="shared" si="35"/>
        <v/>
      </c>
    </row>
    <row r="211" spans="1:36">
      <c r="A211" s="5">
        <v>210</v>
      </c>
      <c r="B211" s="5" t="s">
        <v>1574</v>
      </c>
      <c r="C211" s="5" t="s">
        <v>1540</v>
      </c>
      <c r="D211" s="5" t="s">
        <v>1541</v>
      </c>
      <c r="E211" s="5" t="s">
        <v>102</v>
      </c>
      <c r="F211" s="5" t="str">
        <f t="shared" si="27"/>
        <v>Finance-Senior Manager</v>
      </c>
      <c r="G211" s="5" t="s">
        <v>103</v>
      </c>
      <c r="H211" s="9">
        <v>44747.342893518522</v>
      </c>
      <c r="I211" s="9">
        <v>44749.342893518522</v>
      </c>
      <c r="J211" s="9" t="e">
        <f>I211+#REF!</f>
        <v>#REF!</v>
      </c>
      <c r="K211" s="9" t="e">
        <f>J211+#REF!</f>
        <v>#REF!</v>
      </c>
      <c r="L211" s="10" t="s">
        <v>41</v>
      </c>
      <c r="M211" s="11">
        <v>44770.342893518522</v>
      </c>
      <c r="N211" s="5" t="s">
        <v>42</v>
      </c>
      <c r="O211" s="5" t="s">
        <v>98</v>
      </c>
      <c r="P211" s="9"/>
      <c r="Q211" s="5"/>
      <c r="R211" s="5"/>
      <c r="S211" s="5"/>
      <c r="T211" s="9"/>
      <c r="U211" s="5"/>
      <c r="V211" s="5">
        <v>0</v>
      </c>
      <c r="W211" s="5"/>
      <c r="X211" s="5"/>
      <c r="Y211" s="5"/>
      <c r="Z211" s="5"/>
      <c r="AA211" s="5" t="s">
        <v>44</v>
      </c>
      <c r="AC211">
        <f t="shared" si="28"/>
        <v>21</v>
      </c>
      <c r="AD211" t="str">
        <f t="shared" si="29"/>
        <v/>
      </c>
      <c r="AE211" t="str">
        <f t="shared" si="30"/>
        <v/>
      </c>
      <c r="AF211" t="str">
        <f t="shared" si="31"/>
        <v/>
      </c>
      <c r="AG211" t="str">
        <f t="shared" si="32"/>
        <v/>
      </c>
      <c r="AH211">
        <f t="shared" si="33"/>
        <v>2</v>
      </c>
      <c r="AI211" t="str">
        <f t="shared" si="34"/>
        <v/>
      </c>
      <c r="AJ211" t="str">
        <f t="shared" si="35"/>
        <v/>
      </c>
    </row>
    <row r="212" spans="1:36">
      <c r="A212" s="5">
        <v>211</v>
      </c>
      <c r="B212" s="5" t="s">
        <v>66</v>
      </c>
      <c r="C212" s="5" t="s">
        <v>37</v>
      </c>
      <c r="D212" s="5" t="s">
        <v>38</v>
      </c>
      <c r="E212" s="5" t="s">
        <v>39</v>
      </c>
      <c r="F212" s="5" t="str">
        <f t="shared" si="27"/>
        <v>Risk Management-Analyst</v>
      </c>
      <c r="G212" s="5" t="s">
        <v>40</v>
      </c>
      <c r="H212" s="9">
        <v>44657.331793981481</v>
      </c>
      <c r="I212" s="9">
        <v>44661.331793981481</v>
      </c>
      <c r="J212" s="9" t="e">
        <f>I212+#REF!</f>
        <v>#REF!</v>
      </c>
      <c r="K212" s="9" t="e">
        <f>J212+#REF!</f>
        <v>#REF!</v>
      </c>
      <c r="L212" s="10" t="s">
        <v>41</v>
      </c>
      <c r="M212" s="11">
        <v>44682.331793981481</v>
      </c>
      <c r="N212" s="5" t="s">
        <v>64</v>
      </c>
      <c r="O212" s="5"/>
      <c r="P212" s="9">
        <v>44688.331793981481</v>
      </c>
      <c r="Q212" s="5" t="s">
        <v>64</v>
      </c>
      <c r="R212" s="9">
        <v>44683.331793981481</v>
      </c>
      <c r="S212" s="9">
        <v>44686.331793981481</v>
      </c>
      <c r="T212" s="9">
        <v>44685.331793981481</v>
      </c>
      <c r="U212" s="9">
        <v>44692.331793981481</v>
      </c>
      <c r="V212" s="12">
        <v>1</v>
      </c>
      <c r="W212" s="9">
        <v>44694.331793981481</v>
      </c>
      <c r="X212" s="9">
        <v>44696.331793981481</v>
      </c>
      <c r="Y212" s="9">
        <v>44698.331793981481</v>
      </c>
      <c r="Z212" s="5"/>
      <c r="AA212" s="5"/>
      <c r="AB212" s="13">
        <v>44714.331793981481</v>
      </c>
      <c r="AC212">
        <f t="shared" si="28"/>
        <v>21</v>
      </c>
      <c r="AD212">
        <f t="shared" si="29"/>
        <v>25</v>
      </c>
      <c r="AE212">
        <f t="shared" si="30"/>
        <v>3</v>
      </c>
      <c r="AF212">
        <f t="shared" si="31"/>
        <v>4</v>
      </c>
      <c r="AG212">
        <f t="shared" si="32"/>
        <v>2</v>
      </c>
      <c r="AH212">
        <f t="shared" si="33"/>
        <v>4</v>
      </c>
      <c r="AI212" t="str">
        <f t="shared" si="34"/>
        <v/>
      </c>
      <c r="AJ212" t="str">
        <f t="shared" si="35"/>
        <v/>
      </c>
    </row>
    <row r="213" spans="1:36">
      <c r="A213" s="5">
        <v>212</v>
      </c>
      <c r="B213" s="5" t="s">
        <v>2538</v>
      </c>
      <c r="C213" s="5" t="s">
        <v>2494</v>
      </c>
      <c r="D213" s="5" t="s">
        <v>2523</v>
      </c>
      <c r="E213" s="5" t="s">
        <v>269</v>
      </c>
      <c r="F213" s="5" t="str">
        <f t="shared" si="27"/>
        <v>Administation-Manager</v>
      </c>
      <c r="G213" s="5" t="s">
        <v>270</v>
      </c>
      <c r="H213" s="9">
        <v>44657.331793981481</v>
      </c>
      <c r="I213" s="9">
        <v>44660.331793981481</v>
      </c>
      <c r="J213" s="9" t="e">
        <f>I213+#REF!</f>
        <v>#REF!</v>
      </c>
      <c r="K213" s="9" t="e">
        <f>J213+#REF!</f>
        <v>#REF!</v>
      </c>
      <c r="L213" s="10" t="s">
        <v>41</v>
      </c>
      <c r="M213" s="11">
        <v>44674.331793981481</v>
      </c>
      <c r="N213" s="5" t="s">
        <v>48</v>
      </c>
      <c r="O213" s="5"/>
      <c r="P213" s="9">
        <v>44679.331793981481</v>
      </c>
      <c r="Q213" s="5" t="s">
        <v>48</v>
      </c>
      <c r="R213" s="5"/>
      <c r="S213" s="5"/>
      <c r="T213" s="9">
        <v>44678.331793981481</v>
      </c>
      <c r="U213" s="5"/>
      <c r="V213" s="5">
        <v>0</v>
      </c>
      <c r="W213" s="5"/>
      <c r="X213" s="5"/>
      <c r="Y213" s="5"/>
      <c r="Z213" s="5"/>
      <c r="AA213" s="5"/>
      <c r="AC213">
        <f t="shared" si="28"/>
        <v>14</v>
      </c>
      <c r="AD213" t="str">
        <f t="shared" si="29"/>
        <v/>
      </c>
      <c r="AE213">
        <f t="shared" si="30"/>
        <v>4</v>
      </c>
      <c r="AF213" t="str">
        <f t="shared" si="31"/>
        <v/>
      </c>
      <c r="AG213" t="str">
        <f t="shared" si="32"/>
        <v/>
      </c>
      <c r="AH213">
        <f t="shared" si="33"/>
        <v>3</v>
      </c>
      <c r="AI213" t="str">
        <f t="shared" si="34"/>
        <v/>
      </c>
      <c r="AJ213" t="str">
        <f t="shared" si="35"/>
        <v/>
      </c>
    </row>
    <row r="214" spans="1:36">
      <c r="A214" s="5">
        <v>213</v>
      </c>
      <c r="B214" s="5" t="s">
        <v>2537</v>
      </c>
      <c r="C214" s="5" t="s">
        <v>2494</v>
      </c>
      <c r="D214" s="5" t="s">
        <v>2523</v>
      </c>
      <c r="E214" s="5" t="s">
        <v>269</v>
      </c>
      <c r="F214" s="5" t="str">
        <f t="shared" si="27"/>
        <v>Administation-Manager</v>
      </c>
      <c r="G214" s="5" t="s">
        <v>270</v>
      </c>
      <c r="H214" s="9">
        <v>44659.331793981481</v>
      </c>
      <c r="I214" s="9">
        <v>44662.331793981481</v>
      </c>
      <c r="J214" s="9" t="e">
        <f>I214+#REF!</f>
        <v>#REF!</v>
      </c>
      <c r="K214" s="9" t="e">
        <f>J214+#REF!</f>
        <v>#REF!</v>
      </c>
      <c r="L214" s="10" t="s">
        <v>52</v>
      </c>
      <c r="M214" s="11"/>
      <c r="N214" s="5"/>
      <c r="O214" s="5"/>
      <c r="P214" s="9"/>
      <c r="Q214" s="5"/>
      <c r="R214" s="5"/>
      <c r="S214" s="5"/>
      <c r="T214" s="9"/>
      <c r="U214" s="5"/>
      <c r="V214" s="5">
        <v>0</v>
      </c>
      <c r="W214" s="5"/>
      <c r="X214" s="5"/>
      <c r="Y214" s="5"/>
      <c r="Z214" s="5"/>
      <c r="AA214" s="5"/>
      <c r="AC214" t="str">
        <f t="shared" si="28"/>
        <v/>
      </c>
      <c r="AD214" t="str">
        <f t="shared" si="29"/>
        <v/>
      </c>
      <c r="AE214" t="str">
        <f t="shared" si="30"/>
        <v/>
      </c>
      <c r="AF214" t="str">
        <f t="shared" si="31"/>
        <v/>
      </c>
      <c r="AG214" t="str">
        <f t="shared" si="32"/>
        <v/>
      </c>
      <c r="AH214">
        <f t="shared" si="33"/>
        <v>3</v>
      </c>
      <c r="AI214" t="str">
        <f t="shared" si="34"/>
        <v/>
      </c>
      <c r="AJ214" t="str">
        <f t="shared" si="35"/>
        <v/>
      </c>
    </row>
    <row r="215" spans="1:36">
      <c r="A215" s="5">
        <v>214</v>
      </c>
      <c r="B215" s="5" t="s">
        <v>2536</v>
      </c>
      <c r="C215" s="5" t="s">
        <v>2494</v>
      </c>
      <c r="D215" s="5" t="s">
        <v>2523</v>
      </c>
      <c r="E215" s="5" t="s">
        <v>269</v>
      </c>
      <c r="F215" s="5" t="str">
        <f t="shared" si="27"/>
        <v>Administation-Manager</v>
      </c>
      <c r="G215" s="5" t="s">
        <v>270</v>
      </c>
      <c r="H215" s="9">
        <v>44659.331793981481</v>
      </c>
      <c r="I215" s="9">
        <v>44660.331793981481</v>
      </c>
      <c r="J215" s="9" t="e">
        <f>I215+#REF!</f>
        <v>#REF!</v>
      </c>
      <c r="K215" s="9" t="e">
        <f>J215+#REF!</f>
        <v>#REF!</v>
      </c>
      <c r="L215" s="10" t="s">
        <v>41</v>
      </c>
      <c r="M215" s="11">
        <v>44673.331793981481</v>
      </c>
      <c r="N215" s="5" t="s">
        <v>48</v>
      </c>
      <c r="O215" s="5"/>
      <c r="P215" s="9">
        <v>44678.331793981481</v>
      </c>
      <c r="Q215" s="5" t="s">
        <v>48</v>
      </c>
      <c r="R215" s="5"/>
      <c r="S215" s="5"/>
      <c r="T215" s="9">
        <v>44675.331793981481</v>
      </c>
      <c r="U215" s="5"/>
      <c r="V215" s="5">
        <v>0</v>
      </c>
      <c r="W215" s="5"/>
      <c r="X215" s="5"/>
      <c r="Y215" s="5"/>
      <c r="Z215" s="5"/>
      <c r="AA215" s="5"/>
      <c r="AC215">
        <f t="shared" si="28"/>
        <v>13</v>
      </c>
      <c r="AD215" t="str">
        <f t="shared" si="29"/>
        <v/>
      </c>
      <c r="AE215">
        <f t="shared" si="30"/>
        <v>2</v>
      </c>
      <c r="AF215" t="str">
        <f t="shared" si="31"/>
        <v/>
      </c>
      <c r="AG215" t="str">
        <f t="shared" si="32"/>
        <v/>
      </c>
      <c r="AH215">
        <f t="shared" si="33"/>
        <v>1</v>
      </c>
      <c r="AI215" t="str">
        <f t="shared" si="34"/>
        <v/>
      </c>
      <c r="AJ215" t="str">
        <f t="shared" si="35"/>
        <v/>
      </c>
    </row>
    <row r="216" spans="1:36">
      <c r="A216" s="5">
        <v>215</v>
      </c>
      <c r="B216" s="5" t="s">
        <v>71</v>
      </c>
      <c r="C216" s="5" t="s">
        <v>37</v>
      </c>
      <c r="D216" s="5" t="s">
        <v>54</v>
      </c>
      <c r="E216" s="5" t="s">
        <v>69</v>
      </c>
      <c r="F216" s="5" t="str">
        <f t="shared" si="27"/>
        <v>Risk Management-Head of Department</v>
      </c>
      <c r="G216" s="5" t="s">
        <v>56</v>
      </c>
      <c r="H216" s="9">
        <v>44664.331793981481</v>
      </c>
      <c r="I216" s="9">
        <v>44665.331793981481</v>
      </c>
      <c r="J216" s="9" t="e">
        <f>I216+#REF!</f>
        <v>#REF!</v>
      </c>
      <c r="K216" s="9" t="e">
        <f>J216+#REF!</f>
        <v>#REF!</v>
      </c>
      <c r="L216" s="10" t="s">
        <v>41</v>
      </c>
      <c r="M216" s="11">
        <v>44679.331793981481</v>
      </c>
      <c r="N216" s="5" t="s">
        <v>42</v>
      </c>
      <c r="O216" s="5" t="s">
        <v>43</v>
      </c>
      <c r="P216" s="9"/>
      <c r="Q216" s="5"/>
      <c r="R216" s="5"/>
      <c r="S216" s="5"/>
      <c r="T216" s="9"/>
      <c r="U216" s="5"/>
      <c r="V216" s="5">
        <v>0</v>
      </c>
      <c r="W216" s="5"/>
      <c r="X216" s="5"/>
      <c r="Y216" s="5"/>
      <c r="Z216" s="5"/>
      <c r="AA216" s="5" t="s">
        <v>44</v>
      </c>
      <c r="AC216">
        <f t="shared" si="28"/>
        <v>14</v>
      </c>
      <c r="AD216" t="str">
        <f t="shared" si="29"/>
        <v/>
      </c>
      <c r="AE216" t="str">
        <f t="shared" si="30"/>
        <v/>
      </c>
      <c r="AF216" t="str">
        <f t="shared" si="31"/>
        <v/>
      </c>
      <c r="AG216" t="str">
        <f t="shared" si="32"/>
        <v/>
      </c>
      <c r="AH216">
        <f t="shared" si="33"/>
        <v>1</v>
      </c>
      <c r="AI216" t="str">
        <f t="shared" si="34"/>
        <v/>
      </c>
      <c r="AJ216" t="str">
        <f t="shared" si="35"/>
        <v/>
      </c>
    </row>
    <row r="217" spans="1:36">
      <c r="A217" s="5">
        <v>216</v>
      </c>
      <c r="B217" s="5" t="s">
        <v>70</v>
      </c>
      <c r="C217" s="5" t="s">
        <v>37</v>
      </c>
      <c r="D217" s="5" t="s">
        <v>46</v>
      </c>
      <c r="E217" s="5" t="s">
        <v>51</v>
      </c>
      <c r="F217" s="5" t="str">
        <f t="shared" si="27"/>
        <v>Risk Management-Supervisor</v>
      </c>
      <c r="G217" s="5" t="s">
        <v>47</v>
      </c>
      <c r="H217" s="9">
        <v>44663.331793981481</v>
      </c>
      <c r="I217" s="9">
        <v>44664.331793981481</v>
      </c>
      <c r="J217" s="9" t="e">
        <f>I217+#REF!</f>
        <v>#REF!</v>
      </c>
      <c r="K217" s="9" t="e">
        <f>J217+#REF!</f>
        <v>#REF!</v>
      </c>
      <c r="L217" s="10" t="s">
        <v>41</v>
      </c>
      <c r="M217" s="11">
        <v>44675.331793981481</v>
      </c>
      <c r="N217" s="5" t="s">
        <v>64</v>
      </c>
      <c r="O217" s="5"/>
      <c r="P217" s="9">
        <v>44679.331793981481</v>
      </c>
      <c r="Q217" s="5" t="s">
        <v>64</v>
      </c>
      <c r="R217" s="9">
        <v>44677.331793981481</v>
      </c>
      <c r="S217" s="9">
        <v>44680.331793981481</v>
      </c>
      <c r="T217" s="9">
        <v>44676.331793981481</v>
      </c>
      <c r="U217" s="9">
        <v>44677.331793981481</v>
      </c>
      <c r="V217" s="12">
        <v>1</v>
      </c>
      <c r="W217" s="9">
        <v>44679.331793981481</v>
      </c>
      <c r="X217" s="9">
        <v>44682.331793981481</v>
      </c>
      <c r="Y217" s="9">
        <v>44684.331793981481</v>
      </c>
      <c r="Z217" s="5"/>
      <c r="AA217" s="5"/>
      <c r="AB217" s="13">
        <v>44702.331793981481</v>
      </c>
      <c r="AC217">
        <f t="shared" si="28"/>
        <v>11</v>
      </c>
      <c r="AD217">
        <f t="shared" si="29"/>
        <v>16</v>
      </c>
      <c r="AE217">
        <f t="shared" si="30"/>
        <v>1</v>
      </c>
      <c r="AF217">
        <f t="shared" si="31"/>
        <v>5</v>
      </c>
      <c r="AG217">
        <f t="shared" si="32"/>
        <v>2</v>
      </c>
      <c r="AH217">
        <f t="shared" si="33"/>
        <v>1</v>
      </c>
      <c r="AI217" t="str">
        <f t="shared" si="34"/>
        <v/>
      </c>
      <c r="AJ217" t="str">
        <f t="shared" si="35"/>
        <v/>
      </c>
    </row>
    <row r="218" spans="1:36">
      <c r="A218" s="5">
        <v>217</v>
      </c>
      <c r="B218" s="5" t="s">
        <v>2519</v>
      </c>
      <c r="C218" s="5" t="s">
        <v>2494</v>
      </c>
      <c r="D218" s="5" t="s">
        <v>2504</v>
      </c>
      <c r="E218" s="5" t="s">
        <v>51</v>
      </c>
      <c r="F218" s="5" t="str">
        <f t="shared" si="27"/>
        <v>Administation-Supervisor</v>
      </c>
      <c r="G218" s="5" t="s">
        <v>147</v>
      </c>
      <c r="H218" s="9">
        <v>44664.331793981481</v>
      </c>
      <c r="I218" s="9">
        <v>44665.331793981481</v>
      </c>
      <c r="J218" s="9" t="e">
        <f>I218+#REF!</f>
        <v>#REF!</v>
      </c>
      <c r="K218" s="9" t="e">
        <f>J218+#REF!</f>
        <v>#REF!</v>
      </c>
      <c r="L218" s="10" t="s">
        <v>41</v>
      </c>
      <c r="M218" s="11">
        <v>44668.331793981481</v>
      </c>
      <c r="N218" s="5" t="s">
        <v>42</v>
      </c>
      <c r="O218" s="5" t="s">
        <v>43</v>
      </c>
      <c r="P218" s="9"/>
      <c r="Q218" s="5"/>
      <c r="R218" s="5"/>
      <c r="S218" s="5"/>
      <c r="T218" s="9">
        <v>44670.331793981481</v>
      </c>
      <c r="U218" s="5"/>
      <c r="V218" s="5">
        <v>0</v>
      </c>
      <c r="W218" s="5"/>
      <c r="X218" s="5"/>
      <c r="Y218" s="5"/>
      <c r="Z218" s="5"/>
      <c r="AA218" s="5" t="s">
        <v>62</v>
      </c>
      <c r="AC218">
        <f t="shared" si="28"/>
        <v>3</v>
      </c>
      <c r="AD218" t="str">
        <f t="shared" si="29"/>
        <v/>
      </c>
      <c r="AE218">
        <f t="shared" si="30"/>
        <v>2</v>
      </c>
      <c r="AF218" t="str">
        <f t="shared" si="31"/>
        <v/>
      </c>
      <c r="AG218" t="str">
        <f t="shared" si="32"/>
        <v/>
      </c>
      <c r="AH218">
        <f t="shared" si="33"/>
        <v>1</v>
      </c>
      <c r="AI218" t="str">
        <f t="shared" si="34"/>
        <v/>
      </c>
      <c r="AJ218" t="str">
        <f t="shared" si="35"/>
        <v/>
      </c>
    </row>
    <row r="219" spans="1:36">
      <c r="A219" s="5">
        <v>218</v>
      </c>
      <c r="B219" s="5" t="s">
        <v>2535</v>
      </c>
      <c r="C219" s="5" t="s">
        <v>2494</v>
      </c>
      <c r="D219" s="5" t="s">
        <v>2523</v>
      </c>
      <c r="E219" s="5" t="s">
        <v>269</v>
      </c>
      <c r="F219" s="5" t="str">
        <f t="shared" si="27"/>
        <v>Administation-Manager</v>
      </c>
      <c r="G219" s="5" t="s">
        <v>270</v>
      </c>
      <c r="H219" s="9">
        <v>44662.331793981481</v>
      </c>
      <c r="I219" s="9">
        <v>44664.331793981481</v>
      </c>
      <c r="J219" s="9" t="e">
        <f>I219+#REF!</f>
        <v>#REF!</v>
      </c>
      <c r="K219" s="9" t="e">
        <f>J219+#REF!</f>
        <v>#REF!</v>
      </c>
      <c r="L219" s="10" t="s">
        <v>41</v>
      </c>
      <c r="M219" s="11">
        <v>44673.331793981481</v>
      </c>
      <c r="N219" s="5" t="s">
        <v>42</v>
      </c>
      <c r="O219" s="5" t="s">
        <v>98</v>
      </c>
      <c r="P219" s="9"/>
      <c r="Q219" s="5"/>
      <c r="R219" s="5"/>
      <c r="S219" s="5"/>
      <c r="T219" s="9"/>
      <c r="U219" s="5"/>
      <c r="V219" s="5">
        <v>0</v>
      </c>
      <c r="W219" s="5"/>
      <c r="X219" s="5"/>
      <c r="Y219" s="5"/>
      <c r="Z219" s="5"/>
      <c r="AA219" s="5" t="s">
        <v>62</v>
      </c>
      <c r="AC219">
        <f t="shared" si="28"/>
        <v>9</v>
      </c>
      <c r="AD219" t="str">
        <f t="shared" si="29"/>
        <v/>
      </c>
      <c r="AE219" t="str">
        <f t="shared" si="30"/>
        <v/>
      </c>
      <c r="AF219" t="str">
        <f t="shared" si="31"/>
        <v/>
      </c>
      <c r="AG219" t="str">
        <f t="shared" si="32"/>
        <v/>
      </c>
      <c r="AH219">
        <f t="shared" si="33"/>
        <v>2</v>
      </c>
      <c r="AI219" t="str">
        <f t="shared" si="34"/>
        <v/>
      </c>
      <c r="AJ219" t="str">
        <f t="shared" si="35"/>
        <v/>
      </c>
    </row>
    <row r="220" spans="1:36">
      <c r="A220" s="5">
        <v>219</v>
      </c>
      <c r="B220" s="5" t="s">
        <v>67</v>
      </c>
      <c r="C220" s="5" t="s">
        <v>37</v>
      </c>
      <c r="D220" s="5" t="s">
        <v>46</v>
      </c>
      <c r="E220" s="5" t="s">
        <v>51</v>
      </c>
      <c r="F220" s="5" t="str">
        <f t="shared" si="27"/>
        <v>Risk Management-Supervisor</v>
      </c>
      <c r="G220" s="5" t="s">
        <v>47</v>
      </c>
      <c r="H220" s="9">
        <v>44657.331793981481</v>
      </c>
      <c r="I220" s="9">
        <v>44660.331793981481</v>
      </c>
      <c r="J220" s="9" t="e">
        <f>I220+#REF!</f>
        <v>#REF!</v>
      </c>
      <c r="K220" s="9" t="e">
        <f>J220+#REF!</f>
        <v>#REF!</v>
      </c>
      <c r="L220" s="10" t="s">
        <v>41</v>
      </c>
      <c r="M220" s="11">
        <v>44675.331793981481</v>
      </c>
      <c r="N220" s="5" t="s">
        <v>48</v>
      </c>
      <c r="O220" s="5"/>
      <c r="P220" s="9">
        <v>44681.331793981481</v>
      </c>
      <c r="Q220" s="5" t="s">
        <v>48</v>
      </c>
      <c r="R220" s="5"/>
      <c r="S220" s="5"/>
      <c r="T220" s="9">
        <v>44679.331793981481</v>
      </c>
      <c r="U220" s="5"/>
      <c r="V220" s="5">
        <v>0</v>
      </c>
      <c r="W220" s="5"/>
      <c r="X220" s="5"/>
      <c r="Y220" s="5"/>
      <c r="Z220" s="5"/>
      <c r="AA220" s="5"/>
      <c r="AC220">
        <f t="shared" si="28"/>
        <v>15</v>
      </c>
      <c r="AD220" t="str">
        <f t="shared" si="29"/>
        <v/>
      </c>
      <c r="AE220">
        <f t="shared" si="30"/>
        <v>4</v>
      </c>
      <c r="AF220" t="str">
        <f t="shared" si="31"/>
        <v/>
      </c>
      <c r="AG220" t="str">
        <f t="shared" si="32"/>
        <v/>
      </c>
      <c r="AH220">
        <f t="shared" si="33"/>
        <v>3</v>
      </c>
      <c r="AI220" t="str">
        <f t="shared" si="34"/>
        <v/>
      </c>
      <c r="AJ220" t="str">
        <f t="shared" si="35"/>
        <v/>
      </c>
    </row>
    <row r="221" spans="1:36">
      <c r="A221" s="5">
        <v>220</v>
      </c>
      <c r="B221" s="5" t="s">
        <v>68</v>
      </c>
      <c r="C221" s="5" t="s">
        <v>37</v>
      </c>
      <c r="D221" s="5" t="s">
        <v>54</v>
      </c>
      <c r="E221" s="5" t="s">
        <v>69</v>
      </c>
      <c r="F221" s="5" t="str">
        <f t="shared" si="27"/>
        <v>Risk Management-Head of Department</v>
      </c>
      <c r="G221" s="5" t="s">
        <v>56</v>
      </c>
      <c r="H221" s="9">
        <v>44662.331793981481</v>
      </c>
      <c r="I221" s="9">
        <v>44665.331793981481</v>
      </c>
      <c r="J221" s="9" t="e">
        <f>I221+#REF!</f>
        <v>#REF!</v>
      </c>
      <c r="K221" s="9" t="e">
        <f>J221+#REF!</f>
        <v>#REF!</v>
      </c>
      <c r="L221" s="10" t="s">
        <v>52</v>
      </c>
      <c r="M221" s="11"/>
      <c r="N221" s="5"/>
      <c r="O221" s="5"/>
      <c r="P221" s="9"/>
      <c r="Q221" s="5"/>
      <c r="R221" s="5"/>
      <c r="S221" s="5"/>
      <c r="T221" s="9"/>
      <c r="U221" s="5"/>
      <c r="V221" s="5">
        <v>0</v>
      </c>
      <c r="W221" s="5"/>
      <c r="X221" s="5"/>
      <c r="Y221" s="5"/>
      <c r="Z221" s="5"/>
      <c r="AA221" s="5"/>
      <c r="AC221" t="str">
        <f t="shared" si="28"/>
        <v/>
      </c>
      <c r="AD221" t="str">
        <f t="shared" si="29"/>
        <v/>
      </c>
      <c r="AE221" t="str">
        <f t="shared" si="30"/>
        <v/>
      </c>
      <c r="AF221" t="str">
        <f t="shared" si="31"/>
        <v/>
      </c>
      <c r="AG221" t="str">
        <f t="shared" si="32"/>
        <v/>
      </c>
      <c r="AH221">
        <f t="shared" si="33"/>
        <v>3</v>
      </c>
      <c r="AI221" t="str">
        <f t="shared" si="34"/>
        <v/>
      </c>
      <c r="AJ221" t="str">
        <f t="shared" si="35"/>
        <v/>
      </c>
    </row>
    <row r="222" spans="1:36">
      <c r="A222" s="5">
        <v>221</v>
      </c>
      <c r="B222" s="5" t="s">
        <v>2344</v>
      </c>
      <c r="C222" s="5" t="s">
        <v>2229</v>
      </c>
      <c r="D222" s="5" t="s">
        <v>2302</v>
      </c>
      <c r="E222" s="5" t="s">
        <v>269</v>
      </c>
      <c r="F222" s="5" t="str">
        <f t="shared" si="27"/>
        <v>Capacity Building-Manager</v>
      </c>
      <c r="G222" s="5" t="s">
        <v>270</v>
      </c>
      <c r="H222" s="9">
        <v>44738.447731481479</v>
      </c>
      <c r="I222" s="9">
        <v>44740.447731481479</v>
      </c>
      <c r="J222" s="9" t="e">
        <f>I222+#REF!</f>
        <v>#REF!</v>
      </c>
      <c r="K222" s="9" t="e">
        <f>J222+#REF!</f>
        <v>#REF!</v>
      </c>
      <c r="L222" s="10" t="s">
        <v>41</v>
      </c>
      <c r="M222" s="11">
        <v>44751.447731481479</v>
      </c>
      <c r="N222" s="5" t="s">
        <v>42</v>
      </c>
      <c r="O222" s="5" t="s">
        <v>113</v>
      </c>
      <c r="P222" s="9"/>
      <c r="Q222" s="5"/>
      <c r="R222" s="5"/>
      <c r="S222" s="5"/>
      <c r="T222" s="9">
        <v>44753.447731481479</v>
      </c>
      <c r="U222" s="5"/>
      <c r="V222" s="5">
        <v>0</v>
      </c>
      <c r="W222" s="5"/>
      <c r="X222" s="5"/>
      <c r="Y222" s="5"/>
      <c r="Z222" s="5"/>
      <c r="AA222" s="5" t="s">
        <v>62</v>
      </c>
      <c r="AC222">
        <f t="shared" si="28"/>
        <v>11</v>
      </c>
      <c r="AD222" t="str">
        <f t="shared" si="29"/>
        <v/>
      </c>
      <c r="AE222">
        <f t="shared" si="30"/>
        <v>2</v>
      </c>
      <c r="AF222" t="str">
        <f t="shared" si="31"/>
        <v/>
      </c>
      <c r="AG222" t="str">
        <f t="shared" si="32"/>
        <v/>
      </c>
      <c r="AH222">
        <f t="shared" si="33"/>
        <v>2</v>
      </c>
      <c r="AI222" t="str">
        <f t="shared" si="34"/>
        <v/>
      </c>
      <c r="AJ222" t="str">
        <f t="shared" si="35"/>
        <v/>
      </c>
    </row>
    <row r="223" spans="1:36">
      <c r="A223" s="5">
        <v>222</v>
      </c>
      <c r="B223" s="5" t="s">
        <v>2435</v>
      </c>
      <c r="C223" s="5" t="s">
        <v>2229</v>
      </c>
      <c r="D223" s="5" t="s">
        <v>2403</v>
      </c>
      <c r="E223" s="5" t="s">
        <v>1939</v>
      </c>
      <c r="F223" s="5" t="str">
        <f t="shared" si="27"/>
        <v>Capacity Building-Principal Officer</v>
      </c>
      <c r="G223" s="5" t="s">
        <v>56</v>
      </c>
      <c r="H223" s="9">
        <v>44739.447731481479</v>
      </c>
      <c r="I223" s="9">
        <v>44742.447731481479</v>
      </c>
      <c r="J223" s="9" t="e">
        <f>I223+#REF!</f>
        <v>#REF!</v>
      </c>
      <c r="K223" s="9" t="e">
        <f>J223+#REF!</f>
        <v>#REF!</v>
      </c>
      <c r="L223" s="10" t="s">
        <v>52</v>
      </c>
      <c r="M223" s="11"/>
      <c r="N223" s="5"/>
      <c r="O223" s="5"/>
      <c r="P223" s="9"/>
      <c r="Q223" s="5"/>
      <c r="R223" s="5"/>
      <c r="S223" s="5"/>
      <c r="T223" s="9"/>
      <c r="U223" s="5"/>
      <c r="V223" s="5">
        <v>0</v>
      </c>
      <c r="W223" s="5"/>
      <c r="X223" s="5"/>
      <c r="Y223" s="5"/>
      <c r="Z223" s="5"/>
      <c r="AA223" s="5"/>
      <c r="AC223" t="str">
        <f t="shared" si="28"/>
        <v/>
      </c>
      <c r="AD223" t="str">
        <f t="shared" si="29"/>
        <v/>
      </c>
      <c r="AE223" t="str">
        <f t="shared" si="30"/>
        <v/>
      </c>
      <c r="AF223" t="str">
        <f t="shared" si="31"/>
        <v/>
      </c>
      <c r="AG223" t="str">
        <f t="shared" si="32"/>
        <v/>
      </c>
      <c r="AH223">
        <f t="shared" si="33"/>
        <v>3</v>
      </c>
      <c r="AI223" t="str">
        <f t="shared" si="34"/>
        <v/>
      </c>
      <c r="AJ223" t="str">
        <f t="shared" si="35"/>
        <v/>
      </c>
    </row>
    <row r="224" spans="1:36">
      <c r="A224" s="5">
        <v>223</v>
      </c>
      <c r="B224" s="5" t="s">
        <v>2292</v>
      </c>
      <c r="C224" s="5" t="s">
        <v>2229</v>
      </c>
      <c r="D224" s="5" t="s">
        <v>2250</v>
      </c>
      <c r="E224" s="5" t="s">
        <v>1146</v>
      </c>
      <c r="F224" s="5" t="str">
        <f t="shared" si="27"/>
        <v>Capacity Building-Quality Assurance</v>
      </c>
      <c r="G224" s="5" t="s">
        <v>147</v>
      </c>
      <c r="H224" s="9">
        <v>44740.447731481479</v>
      </c>
      <c r="I224" s="9">
        <v>44742.447731481479</v>
      </c>
      <c r="J224" s="9" t="e">
        <f>I224+#REF!</f>
        <v>#REF!</v>
      </c>
      <c r="K224" s="9" t="e">
        <f>J224+#REF!</f>
        <v>#REF!</v>
      </c>
      <c r="L224" s="10" t="s">
        <v>41</v>
      </c>
      <c r="M224" s="11">
        <v>44750.447731481479</v>
      </c>
      <c r="N224" s="5" t="s">
        <v>42</v>
      </c>
      <c r="O224" s="5" t="s">
        <v>98</v>
      </c>
      <c r="P224" s="9"/>
      <c r="Q224" s="5"/>
      <c r="R224" s="5"/>
      <c r="S224" s="5"/>
      <c r="T224" s="9">
        <v>44753.447731481479</v>
      </c>
      <c r="U224" s="5"/>
      <c r="V224" s="5">
        <v>0</v>
      </c>
      <c r="W224" s="5"/>
      <c r="X224" s="5"/>
      <c r="Y224" s="5"/>
      <c r="Z224" s="5"/>
      <c r="AA224" s="5" t="s">
        <v>44</v>
      </c>
      <c r="AC224">
        <f t="shared" si="28"/>
        <v>8</v>
      </c>
      <c r="AD224" t="str">
        <f t="shared" si="29"/>
        <v/>
      </c>
      <c r="AE224">
        <f t="shared" si="30"/>
        <v>3</v>
      </c>
      <c r="AF224" t="str">
        <f t="shared" si="31"/>
        <v/>
      </c>
      <c r="AG224" t="str">
        <f t="shared" si="32"/>
        <v/>
      </c>
      <c r="AH224">
        <f t="shared" si="33"/>
        <v>2</v>
      </c>
      <c r="AI224" t="str">
        <f t="shared" si="34"/>
        <v/>
      </c>
      <c r="AJ224" t="str">
        <f t="shared" si="35"/>
        <v/>
      </c>
    </row>
    <row r="225" spans="1:36">
      <c r="A225" s="5">
        <v>224</v>
      </c>
      <c r="B225" s="5" t="s">
        <v>2291</v>
      </c>
      <c r="C225" s="5" t="s">
        <v>2229</v>
      </c>
      <c r="D225" s="5" t="s">
        <v>2250</v>
      </c>
      <c r="E225" s="5" t="s">
        <v>1146</v>
      </c>
      <c r="F225" s="5" t="str">
        <f t="shared" si="27"/>
        <v>Capacity Building-Quality Assurance</v>
      </c>
      <c r="G225" s="5" t="s">
        <v>147</v>
      </c>
      <c r="H225" s="9">
        <v>44741.447731481479</v>
      </c>
      <c r="I225" s="9">
        <v>44743.447731481479</v>
      </c>
      <c r="J225" s="9" t="e">
        <f>I225+#REF!</f>
        <v>#REF!</v>
      </c>
      <c r="K225" s="9" t="e">
        <f>J225+#REF!</f>
        <v>#REF!</v>
      </c>
      <c r="L225" s="10" t="s">
        <v>41</v>
      </c>
      <c r="M225" s="11">
        <v>44754.447731481479</v>
      </c>
      <c r="N225" s="5" t="s">
        <v>42</v>
      </c>
      <c r="O225" s="5" t="s">
        <v>98</v>
      </c>
      <c r="P225" s="9"/>
      <c r="Q225" s="5"/>
      <c r="R225" s="5"/>
      <c r="S225" s="5"/>
      <c r="T225" s="9"/>
      <c r="U225" s="5"/>
      <c r="V225" s="5">
        <v>0</v>
      </c>
      <c r="W225" s="5"/>
      <c r="X225" s="5"/>
      <c r="Y225" s="5"/>
      <c r="Z225" s="5"/>
      <c r="AA225" s="5" t="s">
        <v>62</v>
      </c>
      <c r="AC225">
        <f t="shared" si="28"/>
        <v>11</v>
      </c>
      <c r="AD225" t="str">
        <f t="shared" si="29"/>
        <v/>
      </c>
      <c r="AE225" t="str">
        <f t="shared" si="30"/>
        <v/>
      </c>
      <c r="AF225" t="str">
        <f t="shared" si="31"/>
        <v/>
      </c>
      <c r="AG225" t="str">
        <f t="shared" si="32"/>
        <v/>
      </c>
      <c r="AH225">
        <f t="shared" si="33"/>
        <v>2</v>
      </c>
      <c r="AI225" t="str">
        <f t="shared" si="34"/>
        <v/>
      </c>
      <c r="AJ225" t="str">
        <f t="shared" si="35"/>
        <v/>
      </c>
    </row>
    <row r="226" spans="1:36">
      <c r="A226" s="5">
        <v>225</v>
      </c>
      <c r="B226" s="5" t="s">
        <v>2343</v>
      </c>
      <c r="C226" s="5" t="s">
        <v>2229</v>
      </c>
      <c r="D226" s="5" t="s">
        <v>2302</v>
      </c>
      <c r="E226" s="5" t="s">
        <v>269</v>
      </c>
      <c r="F226" s="5" t="str">
        <f t="shared" si="27"/>
        <v>Capacity Building-Manager</v>
      </c>
      <c r="G226" s="5" t="s">
        <v>270</v>
      </c>
      <c r="H226" s="9">
        <v>44741.447731481479</v>
      </c>
      <c r="I226" s="9">
        <v>44742.447731481479</v>
      </c>
      <c r="J226" s="9" t="e">
        <f>I226+#REF!</f>
        <v>#REF!</v>
      </c>
      <c r="K226" s="9" t="e">
        <f>J226+#REF!</f>
        <v>#REF!</v>
      </c>
      <c r="L226" s="10" t="s">
        <v>41</v>
      </c>
      <c r="M226" s="11">
        <v>44761.447731481479</v>
      </c>
      <c r="N226" s="5" t="s">
        <v>42</v>
      </c>
      <c r="O226" s="5" t="s">
        <v>58</v>
      </c>
      <c r="P226" s="9"/>
      <c r="Q226" s="5"/>
      <c r="R226" s="5"/>
      <c r="S226" s="5"/>
      <c r="T226" s="9"/>
      <c r="U226" s="5"/>
      <c r="V226" s="5">
        <v>0</v>
      </c>
      <c r="W226" s="5"/>
      <c r="X226" s="5"/>
      <c r="Y226" s="5"/>
      <c r="Z226" s="5"/>
      <c r="AA226" s="5" t="s">
        <v>62</v>
      </c>
      <c r="AC226">
        <f t="shared" si="28"/>
        <v>19</v>
      </c>
      <c r="AD226" t="str">
        <f t="shared" si="29"/>
        <v/>
      </c>
      <c r="AE226" t="str">
        <f t="shared" si="30"/>
        <v/>
      </c>
      <c r="AF226" t="str">
        <f t="shared" si="31"/>
        <v/>
      </c>
      <c r="AG226" t="str">
        <f t="shared" si="32"/>
        <v/>
      </c>
      <c r="AH226">
        <f t="shared" si="33"/>
        <v>1</v>
      </c>
      <c r="AI226" t="str">
        <f t="shared" si="34"/>
        <v/>
      </c>
      <c r="AJ226" t="str">
        <f t="shared" si="35"/>
        <v/>
      </c>
    </row>
    <row r="227" spans="1:36">
      <c r="A227" s="5">
        <v>226</v>
      </c>
      <c r="B227" s="5" t="s">
        <v>2393</v>
      </c>
      <c r="C227" s="5" t="s">
        <v>2229</v>
      </c>
      <c r="D227" s="5" t="s">
        <v>2350</v>
      </c>
      <c r="E227" s="5" t="s">
        <v>39</v>
      </c>
      <c r="F227" s="5" t="str">
        <f t="shared" si="27"/>
        <v>Capacity Building-Analyst</v>
      </c>
      <c r="G227" s="5" t="s">
        <v>40</v>
      </c>
      <c r="H227" s="9">
        <v>44737.447731481479</v>
      </c>
      <c r="I227" s="9">
        <v>44739.447731481479</v>
      </c>
      <c r="J227" s="9" t="e">
        <f>I227+#REF!</f>
        <v>#REF!</v>
      </c>
      <c r="K227" s="9" t="e">
        <f>J227+#REF!</f>
        <v>#REF!</v>
      </c>
      <c r="L227" s="10" t="s">
        <v>41</v>
      </c>
      <c r="M227" s="11">
        <v>44753.447731481479</v>
      </c>
      <c r="N227" s="5" t="s">
        <v>42</v>
      </c>
      <c r="O227" s="5" t="s">
        <v>73</v>
      </c>
      <c r="P227" s="9"/>
      <c r="Q227" s="5"/>
      <c r="R227" s="5"/>
      <c r="S227" s="5"/>
      <c r="T227" s="9">
        <v>44756.447731481479</v>
      </c>
      <c r="U227" s="5"/>
      <c r="V227" s="5">
        <v>0</v>
      </c>
      <c r="W227" s="5"/>
      <c r="X227" s="5"/>
      <c r="Y227" s="5"/>
      <c r="Z227" s="5"/>
      <c r="AA227" s="5" t="s">
        <v>62</v>
      </c>
      <c r="AC227">
        <f t="shared" si="28"/>
        <v>14</v>
      </c>
      <c r="AD227" t="str">
        <f t="shared" si="29"/>
        <v/>
      </c>
      <c r="AE227">
        <f t="shared" si="30"/>
        <v>3</v>
      </c>
      <c r="AF227" t="str">
        <f t="shared" si="31"/>
        <v/>
      </c>
      <c r="AG227" t="str">
        <f t="shared" si="32"/>
        <v/>
      </c>
      <c r="AH227">
        <f t="shared" si="33"/>
        <v>2</v>
      </c>
      <c r="AI227" t="str">
        <f t="shared" si="34"/>
        <v/>
      </c>
      <c r="AJ227" t="str">
        <f t="shared" si="35"/>
        <v/>
      </c>
    </row>
    <row r="228" spans="1:36">
      <c r="A228" s="5">
        <v>227</v>
      </c>
      <c r="B228" s="5" t="s">
        <v>2486</v>
      </c>
      <c r="C228" s="5" t="s">
        <v>2229</v>
      </c>
      <c r="D228" s="5" t="s">
        <v>2445</v>
      </c>
      <c r="E228" s="5" t="s">
        <v>39</v>
      </c>
      <c r="F228" s="5" t="str">
        <f t="shared" si="27"/>
        <v>Capacity Building-Analyst</v>
      </c>
      <c r="G228" s="5" t="s">
        <v>47</v>
      </c>
      <c r="H228" s="9">
        <v>44738.447731481479</v>
      </c>
      <c r="I228" s="9">
        <v>44741.447731481479</v>
      </c>
      <c r="J228" s="9" t="e">
        <f>I228+#REF!</f>
        <v>#REF!</v>
      </c>
      <c r="K228" s="9" t="e">
        <f>J228+#REF!</f>
        <v>#REF!</v>
      </c>
      <c r="L228" s="10" t="s">
        <v>41</v>
      </c>
      <c r="M228" s="11">
        <v>44759.447731481479</v>
      </c>
      <c r="N228" s="5" t="s">
        <v>64</v>
      </c>
      <c r="O228" s="5"/>
      <c r="P228" s="9">
        <v>44766.447731481479</v>
      </c>
      <c r="Q228" s="5" t="s">
        <v>64</v>
      </c>
      <c r="R228" s="9">
        <v>44760.447731481479</v>
      </c>
      <c r="S228" s="9">
        <v>44764.447731481479</v>
      </c>
      <c r="T228" s="9">
        <v>44763.447731481479</v>
      </c>
      <c r="U228" s="9">
        <v>44769.447731481479</v>
      </c>
      <c r="V228" s="12">
        <v>1</v>
      </c>
      <c r="W228" s="9">
        <v>44770.447731481479</v>
      </c>
      <c r="X228" s="9">
        <v>44773.447731481479</v>
      </c>
      <c r="Y228" s="9">
        <v>44775.447731481479</v>
      </c>
      <c r="Z228" s="5"/>
      <c r="AA228" s="5"/>
      <c r="AB228" s="13">
        <v>44793.447731481479</v>
      </c>
      <c r="AC228">
        <f t="shared" si="28"/>
        <v>18</v>
      </c>
      <c r="AD228">
        <f t="shared" si="29"/>
        <v>23</v>
      </c>
      <c r="AE228">
        <f t="shared" si="30"/>
        <v>4</v>
      </c>
      <c r="AF228">
        <f t="shared" si="31"/>
        <v>4</v>
      </c>
      <c r="AG228">
        <f t="shared" si="32"/>
        <v>1</v>
      </c>
      <c r="AH228">
        <f t="shared" si="33"/>
        <v>3</v>
      </c>
      <c r="AI228" t="str">
        <f t="shared" si="34"/>
        <v/>
      </c>
      <c r="AJ228" t="str">
        <f t="shared" si="35"/>
        <v/>
      </c>
    </row>
    <row r="229" spans="1:36">
      <c r="A229" s="5">
        <v>228</v>
      </c>
      <c r="B229" s="5" t="s">
        <v>2392</v>
      </c>
      <c r="C229" s="5" t="s">
        <v>2229</v>
      </c>
      <c r="D229" s="5" t="s">
        <v>2350</v>
      </c>
      <c r="E229" s="5" t="s">
        <v>2351</v>
      </c>
      <c r="F229" s="5" t="str">
        <f t="shared" si="27"/>
        <v>Capacity Building-Training Associate</v>
      </c>
      <c r="G229" s="5" t="s">
        <v>40</v>
      </c>
      <c r="H229" s="9">
        <v>44739.447731481479</v>
      </c>
      <c r="I229" s="9">
        <v>44742.447731481479</v>
      </c>
      <c r="J229" s="9" t="e">
        <f>I229+#REF!</f>
        <v>#REF!</v>
      </c>
      <c r="K229" s="9" t="e">
        <f>J229+#REF!</f>
        <v>#REF!</v>
      </c>
      <c r="L229" s="10" t="s">
        <v>41</v>
      </c>
      <c r="M229" s="11">
        <v>44759.447731481479</v>
      </c>
      <c r="N229" s="5" t="s">
        <v>42</v>
      </c>
      <c r="O229" s="5" t="s">
        <v>113</v>
      </c>
      <c r="P229" s="9"/>
      <c r="Q229" s="5"/>
      <c r="R229" s="5"/>
      <c r="S229" s="5"/>
      <c r="T229" s="9"/>
      <c r="U229" s="5"/>
      <c r="V229" s="5">
        <v>0</v>
      </c>
      <c r="W229" s="5"/>
      <c r="X229" s="5"/>
      <c r="Y229" s="5"/>
      <c r="Z229" s="5"/>
      <c r="AA229" s="5" t="s">
        <v>62</v>
      </c>
      <c r="AC229">
        <f t="shared" si="28"/>
        <v>17</v>
      </c>
      <c r="AD229" t="str">
        <f t="shared" si="29"/>
        <v/>
      </c>
      <c r="AE229" t="str">
        <f t="shared" si="30"/>
        <v/>
      </c>
      <c r="AF229" t="str">
        <f t="shared" si="31"/>
        <v/>
      </c>
      <c r="AG229" t="str">
        <f t="shared" si="32"/>
        <v/>
      </c>
      <c r="AH229">
        <f t="shared" si="33"/>
        <v>3</v>
      </c>
      <c r="AI229" t="str">
        <f t="shared" si="34"/>
        <v/>
      </c>
      <c r="AJ229" t="str">
        <f t="shared" si="35"/>
        <v/>
      </c>
    </row>
    <row r="230" spans="1:36">
      <c r="A230" s="5">
        <v>229</v>
      </c>
      <c r="B230" s="5" t="s">
        <v>2434</v>
      </c>
      <c r="C230" s="5" t="s">
        <v>2229</v>
      </c>
      <c r="D230" s="5" t="s">
        <v>2403</v>
      </c>
      <c r="E230" s="5" t="s">
        <v>1939</v>
      </c>
      <c r="F230" s="5" t="str">
        <f t="shared" si="27"/>
        <v>Capacity Building-Principal Officer</v>
      </c>
      <c r="G230" s="5" t="s">
        <v>56</v>
      </c>
      <c r="H230" s="9">
        <v>44738.447731481479</v>
      </c>
      <c r="I230" s="9">
        <v>44741.447731481479</v>
      </c>
      <c r="J230" s="9" t="e">
        <f>I230+#REF!</f>
        <v>#REF!</v>
      </c>
      <c r="K230" s="9" t="e">
        <f>J230+#REF!</f>
        <v>#REF!</v>
      </c>
      <c r="L230" s="10" t="s">
        <v>41</v>
      </c>
      <c r="M230" s="11">
        <v>44745.447731481479</v>
      </c>
      <c r="N230" s="5" t="s">
        <v>42</v>
      </c>
      <c r="O230" s="5" t="s">
        <v>113</v>
      </c>
      <c r="P230" s="9"/>
      <c r="Q230" s="5"/>
      <c r="R230" s="5"/>
      <c r="S230" s="5"/>
      <c r="T230" s="9"/>
      <c r="U230" s="5"/>
      <c r="V230" s="5">
        <v>0</v>
      </c>
      <c r="W230" s="5"/>
      <c r="X230" s="5"/>
      <c r="Y230" s="5"/>
      <c r="Z230" s="5"/>
      <c r="AA230" s="5" t="s">
        <v>44</v>
      </c>
      <c r="AC230">
        <f t="shared" si="28"/>
        <v>4</v>
      </c>
      <c r="AD230" t="str">
        <f t="shared" si="29"/>
        <v/>
      </c>
      <c r="AE230" t="str">
        <f t="shared" si="30"/>
        <v/>
      </c>
      <c r="AF230" t="str">
        <f t="shared" si="31"/>
        <v/>
      </c>
      <c r="AG230" t="str">
        <f t="shared" si="32"/>
        <v/>
      </c>
      <c r="AH230">
        <f t="shared" si="33"/>
        <v>3</v>
      </c>
      <c r="AI230" t="str">
        <f t="shared" si="34"/>
        <v/>
      </c>
      <c r="AJ230" t="str">
        <f t="shared" si="35"/>
        <v/>
      </c>
    </row>
    <row r="231" spans="1:36">
      <c r="A231" s="5">
        <v>230</v>
      </c>
      <c r="B231" s="5" t="s">
        <v>2391</v>
      </c>
      <c r="C231" s="5" t="s">
        <v>2229</v>
      </c>
      <c r="D231" s="5" t="s">
        <v>2350</v>
      </c>
      <c r="E231" s="5" t="s">
        <v>2351</v>
      </c>
      <c r="F231" s="5" t="str">
        <f t="shared" si="27"/>
        <v>Capacity Building-Training Associate</v>
      </c>
      <c r="G231" s="5" t="s">
        <v>40</v>
      </c>
      <c r="H231" s="9">
        <v>44739.447731481479</v>
      </c>
      <c r="I231" s="9">
        <v>44743.447731481479</v>
      </c>
      <c r="J231" s="9" t="e">
        <f>I231+#REF!</f>
        <v>#REF!</v>
      </c>
      <c r="K231" s="9" t="e">
        <f>J231+#REF!</f>
        <v>#REF!</v>
      </c>
      <c r="L231" s="10" t="s">
        <v>41</v>
      </c>
      <c r="M231" s="11">
        <v>44759.447731481479</v>
      </c>
      <c r="N231" s="5" t="s">
        <v>48</v>
      </c>
      <c r="O231" s="5"/>
      <c r="P231" s="9">
        <v>44765.447731481479</v>
      </c>
      <c r="Q231" s="5" t="s">
        <v>48</v>
      </c>
      <c r="R231" s="5"/>
      <c r="S231" s="5"/>
      <c r="T231" s="9">
        <v>44761.447731481479</v>
      </c>
      <c r="U231" s="5"/>
      <c r="V231" s="5">
        <v>0</v>
      </c>
      <c r="W231" s="5"/>
      <c r="X231" s="5"/>
      <c r="Y231" s="5"/>
      <c r="Z231" s="5"/>
      <c r="AA231" s="5"/>
      <c r="AC231">
        <f t="shared" si="28"/>
        <v>16</v>
      </c>
      <c r="AD231" t="str">
        <f t="shared" si="29"/>
        <v/>
      </c>
      <c r="AE231">
        <f t="shared" si="30"/>
        <v>2</v>
      </c>
      <c r="AF231" t="str">
        <f t="shared" si="31"/>
        <v/>
      </c>
      <c r="AG231" t="str">
        <f t="shared" si="32"/>
        <v/>
      </c>
      <c r="AH231">
        <f t="shared" si="33"/>
        <v>4</v>
      </c>
      <c r="AI231" t="str">
        <f t="shared" si="34"/>
        <v/>
      </c>
      <c r="AJ231" t="str">
        <f t="shared" si="35"/>
        <v/>
      </c>
    </row>
    <row r="232" spans="1:36">
      <c r="A232" s="5">
        <v>231</v>
      </c>
      <c r="B232" s="5" t="s">
        <v>2290</v>
      </c>
      <c r="C232" s="5" t="s">
        <v>2229</v>
      </c>
      <c r="D232" s="5" t="s">
        <v>2250</v>
      </c>
      <c r="E232" s="5" t="s">
        <v>1146</v>
      </c>
      <c r="F232" s="5" t="str">
        <f t="shared" si="27"/>
        <v>Capacity Building-Quality Assurance</v>
      </c>
      <c r="G232" s="5" t="s">
        <v>147</v>
      </c>
      <c r="H232" s="9">
        <v>44595.810960648145</v>
      </c>
      <c r="I232" s="9">
        <v>44599.810960648145</v>
      </c>
      <c r="J232" s="9" t="e">
        <f>I232+#REF!</f>
        <v>#REF!</v>
      </c>
      <c r="K232" s="9" t="e">
        <f>J232+#REF!</f>
        <v>#REF!</v>
      </c>
      <c r="L232" s="10" t="s">
        <v>41</v>
      </c>
      <c r="M232" s="11">
        <v>44604.810960648145</v>
      </c>
      <c r="N232" s="5" t="s">
        <v>42</v>
      </c>
      <c r="O232" s="5" t="s">
        <v>98</v>
      </c>
      <c r="P232" s="9"/>
      <c r="Q232" s="5"/>
      <c r="R232" s="5"/>
      <c r="S232" s="5"/>
      <c r="T232" s="9">
        <v>44608.810960648145</v>
      </c>
      <c r="U232" s="5"/>
      <c r="V232" s="5">
        <v>0</v>
      </c>
      <c r="W232" s="5"/>
      <c r="X232" s="5"/>
      <c r="Y232" s="5"/>
      <c r="Z232" s="5"/>
      <c r="AA232" s="5" t="s">
        <v>44</v>
      </c>
      <c r="AC232">
        <f t="shared" si="28"/>
        <v>5</v>
      </c>
      <c r="AD232" t="str">
        <f t="shared" si="29"/>
        <v/>
      </c>
      <c r="AE232">
        <f t="shared" si="30"/>
        <v>4</v>
      </c>
      <c r="AF232" t="str">
        <f t="shared" si="31"/>
        <v/>
      </c>
      <c r="AG232" t="str">
        <f t="shared" si="32"/>
        <v/>
      </c>
      <c r="AH232">
        <f t="shared" si="33"/>
        <v>4</v>
      </c>
      <c r="AI232" t="str">
        <f t="shared" si="34"/>
        <v/>
      </c>
      <c r="AJ232" t="str">
        <f t="shared" si="35"/>
        <v/>
      </c>
    </row>
    <row r="233" spans="1:36">
      <c r="A233" s="5">
        <v>232</v>
      </c>
      <c r="B233" s="5" t="s">
        <v>2342</v>
      </c>
      <c r="C233" s="5" t="s">
        <v>2229</v>
      </c>
      <c r="D233" s="5" t="s">
        <v>2302</v>
      </c>
      <c r="E233" s="5" t="s">
        <v>269</v>
      </c>
      <c r="F233" s="5" t="str">
        <f t="shared" si="27"/>
        <v>Capacity Building-Manager</v>
      </c>
      <c r="G233" s="5" t="s">
        <v>270</v>
      </c>
      <c r="H233" s="9">
        <v>44598.810960648145</v>
      </c>
      <c r="I233" s="9">
        <v>44601.810960648145</v>
      </c>
      <c r="J233" s="9" t="e">
        <f>I233+#REF!</f>
        <v>#REF!</v>
      </c>
      <c r="K233" s="9" t="e">
        <f>J233+#REF!</f>
        <v>#REF!</v>
      </c>
      <c r="L233" s="10" t="s">
        <v>41</v>
      </c>
      <c r="M233" s="11">
        <v>44616.810960648145</v>
      </c>
      <c r="N233" s="5" t="s">
        <v>42</v>
      </c>
      <c r="O233" s="5" t="s">
        <v>98</v>
      </c>
      <c r="P233" s="9"/>
      <c r="Q233" s="5"/>
      <c r="R233" s="5"/>
      <c r="S233" s="5"/>
      <c r="T233" s="9">
        <v>44617.810960648145</v>
      </c>
      <c r="U233" s="5"/>
      <c r="V233" s="5">
        <v>0</v>
      </c>
      <c r="W233" s="5"/>
      <c r="X233" s="5"/>
      <c r="Y233" s="5"/>
      <c r="Z233" s="5"/>
      <c r="AA233" s="5" t="s">
        <v>44</v>
      </c>
      <c r="AC233">
        <f t="shared" si="28"/>
        <v>15</v>
      </c>
      <c r="AD233" t="str">
        <f t="shared" si="29"/>
        <v/>
      </c>
      <c r="AE233">
        <f t="shared" si="30"/>
        <v>1</v>
      </c>
      <c r="AF233" t="str">
        <f t="shared" si="31"/>
        <v/>
      </c>
      <c r="AG233" t="str">
        <f t="shared" si="32"/>
        <v/>
      </c>
      <c r="AH233">
        <f t="shared" si="33"/>
        <v>3</v>
      </c>
      <c r="AI233" t="str">
        <f t="shared" si="34"/>
        <v/>
      </c>
      <c r="AJ233" t="str">
        <f t="shared" si="35"/>
        <v/>
      </c>
    </row>
    <row r="234" spans="1:36">
      <c r="A234" s="5">
        <v>233</v>
      </c>
      <c r="B234" s="5" t="s">
        <v>2242</v>
      </c>
      <c r="C234" s="5" t="s">
        <v>2229</v>
      </c>
      <c r="D234" s="5" t="s">
        <v>2230</v>
      </c>
      <c r="E234" s="5" t="s">
        <v>102</v>
      </c>
      <c r="F234" s="5" t="str">
        <f t="shared" si="27"/>
        <v>Capacity Building-Senior Manager</v>
      </c>
      <c r="G234" s="5" t="s">
        <v>103</v>
      </c>
      <c r="H234" s="9">
        <v>44598.810960648145</v>
      </c>
      <c r="I234" s="9">
        <v>44600.810960648145</v>
      </c>
      <c r="J234" s="9" t="e">
        <f>I234+#REF!</f>
        <v>#REF!</v>
      </c>
      <c r="K234" s="9" t="e">
        <f>J234+#REF!</f>
        <v>#REF!</v>
      </c>
      <c r="L234" s="10" t="s">
        <v>41</v>
      </c>
      <c r="M234" s="11">
        <v>44617.810960648145</v>
      </c>
      <c r="N234" s="5" t="s">
        <v>167</v>
      </c>
      <c r="O234" s="5"/>
      <c r="P234" s="9">
        <v>44619.810960648145</v>
      </c>
      <c r="Q234" s="5" t="s">
        <v>167</v>
      </c>
      <c r="R234" s="5"/>
      <c r="S234" s="5"/>
      <c r="T234" s="9">
        <v>44618.810960648145</v>
      </c>
      <c r="U234" s="5"/>
      <c r="V234" s="5">
        <v>0</v>
      </c>
      <c r="W234" s="5"/>
      <c r="X234" s="5"/>
      <c r="Y234" s="5"/>
      <c r="Z234" s="5"/>
      <c r="AA234" s="5"/>
      <c r="AC234">
        <f t="shared" si="28"/>
        <v>17</v>
      </c>
      <c r="AD234" t="str">
        <f t="shared" si="29"/>
        <v/>
      </c>
      <c r="AE234">
        <f t="shared" si="30"/>
        <v>1</v>
      </c>
      <c r="AF234" t="str">
        <f t="shared" si="31"/>
        <v/>
      </c>
      <c r="AG234" t="str">
        <f t="shared" si="32"/>
        <v/>
      </c>
      <c r="AH234">
        <f t="shared" si="33"/>
        <v>2</v>
      </c>
      <c r="AI234" t="str">
        <f t="shared" si="34"/>
        <v/>
      </c>
      <c r="AJ234" t="str">
        <f t="shared" si="35"/>
        <v/>
      </c>
    </row>
    <row r="235" spans="1:36">
      <c r="A235" s="5">
        <v>234</v>
      </c>
      <c r="B235" s="5" t="s">
        <v>2485</v>
      </c>
      <c r="C235" s="5" t="s">
        <v>2229</v>
      </c>
      <c r="D235" s="5" t="s">
        <v>2445</v>
      </c>
      <c r="E235" s="5" t="s">
        <v>39</v>
      </c>
      <c r="F235" s="5" t="str">
        <f t="shared" si="27"/>
        <v>Capacity Building-Analyst</v>
      </c>
      <c r="G235" s="5" t="s">
        <v>47</v>
      </c>
      <c r="H235" s="9">
        <v>44598.810960648145</v>
      </c>
      <c r="I235" s="9">
        <v>44600.810960648145</v>
      </c>
      <c r="J235" s="9" t="e">
        <f>I235+#REF!</f>
        <v>#REF!</v>
      </c>
      <c r="K235" s="9" t="e">
        <f>J235+#REF!</f>
        <v>#REF!</v>
      </c>
      <c r="L235" s="10" t="s">
        <v>41</v>
      </c>
      <c r="M235" s="11">
        <v>44613.810960648145</v>
      </c>
      <c r="N235" s="5" t="s">
        <v>48</v>
      </c>
      <c r="O235" s="5"/>
      <c r="P235" s="9">
        <v>44619.810960648145</v>
      </c>
      <c r="Q235" s="5" t="s">
        <v>48</v>
      </c>
      <c r="R235" s="5"/>
      <c r="S235" s="5"/>
      <c r="T235" s="9">
        <v>44616.810960648145</v>
      </c>
      <c r="U235" s="5"/>
      <c r="V235" s="5">
        <v>0</v>
      </c>
      <c r="W235" s="5"/>
      <c r="X235" s="5"/>
      <c r="Y235" s="5"/>
      <c r="Z235" s="5"/>
      <c r="AA235" s="5"/>
      <c r="AC235">
        <f t="shared" si="28"/>
        <v>13</v>
      </c>
      <c r="AD235" t="str">
        <f t="shared" si="29"/>
        <v/>
      </c>
      <c r="AE235">
        <f t="shared" si="30"/>
        <v>3</v>
      </c>
      <c r="AF235" t="str">
        <f t="shared" si="31"/>
        <v/>
      </c>
      <c r="AG235" t="str">
        <f t="shared" si="32"/>
        <v/>
      </c>
      <c r="AH235">
        <f t="shared" si="33"/>
        <v>2</v>
      </c>
      <c r="AI235" t="str">
        <f t="shared" si="34"/>
        <v/>
      </c>
      <c r="AJ235" t="str">
        <f t="shared" si="35"/>
        <v/>
      </c>
    </row>
    <row r="236" spans="1:36">
      <c r="A236" s="5">
        <v>235</v>
      </c>
      <c r="B236" s="5" t="s">
        <v>2241</v>
      </c>
      <c r="C236" s="5" t="s">
        <v>2229</v>
      </c>
      <c r="D236" s="5" t="s">
        <v>2230</v>
      </c>
      <c r="E236" s="5" t="s">
        <v>102</v>
      </c>
      <c r="F236" s="5" t="str">
        <f t="shared" si="27"/>
        <v>Capacity Building-Senior Manager</v>
      </c>
      <c r="G236" s="5" t="s">
        <v>103</v>
      </c>
      <c r="H236" s="9">
        <v>44597.810960648145</v>
      </c>
      <c r="I236" s="9">
        <v>44601.810960648145</v>
      </c>
      <c r="J236" s="9" t="e">
        <f>I236+#REF!</f>
        <v>#REF!</v>
      </c>
      <c r="K236" s="9" t="e">
        <f>J236+#REF!</f>
        <v>#REF!</v>
      </c>
      <c r="L236" s="10" t="s">
        <v>41</v>
      </c>
      <c r="M236" s="11">
        <v>44617.810960648145</v>
      </c>
      <c r="N236" s="5" t="s">
        <v>167</v>
      </c>
      <c r="O236" s="5"/>
      <c r="P236" s="9">
        <v>44622.810960648145</v>
      </c>
      <c r="Q236" s="5" t="s">
        <v>167</v>
      </c>
      <c r="R236" s="5"/>
      <c r="S236" s="5"/>
      <c r="T236" s="9">
        <v>44620.810960648145</v>
      </c>
      <c r="U236" s="5"/>
      <c r="V236" s="5">
        <v>0</v>
      </c>
      <c r="W236" s="5"/>
      <c r="X236" s="5"/>
      <c r="Y236" s="5"/>
      <c r="Z236" s="5"/>
      <c r="AA236" s="5"/>
      <c r="AC236">
        <f t="shared" si="28"/>
        <v>16</v>
      </c>
      <c r="AD236" t="str">
        <f t="shared" si="29"/>
        <v/>
      </c>
      <c r="AE236">
        <f t="shared" si="30"/>
        <v>3</v>
      </c>
      <c r="AF236" t="str">
        <f t="shared" si="31"/>
        <v/>
      </c>
      <c r="AG236" t="str">
        <f t="shared" si="32"/>
        <v/>
      </c>
      <c r="AH236">
        <f t="shared" si="33"/>
        <v>4</v>
      </c>
      <c r="AI236" t="str">
        <f t="shared" si="34"/>
        <v/>
      </c>
      <c r="AJ236" t="str">
        <f t="shared" si="35"/>
        <v/>
      </c>
    </row>
    <row r="237" spans="1:36">
      <c r="A237" s="5">
        <v>236</v>
      </c>
      <c r="B237" s="5" t="s">
        <v>2240</v>
      </c>
      <c r="C237" s="5" t="s">
        <v>2229</v>
      </c>
      <c r="D237" s="5" t="s">
        <v>2230</v>
      </c>
      <c r="E237" s="5" t="s">
        <v>102</v>
      </c>
      <c r="F237" s="5" t="str">
        <f t="shared" si="27"/>
        <v>Capacity Building-Senior Manager</v>
      </c>
      <c r="G237" s="5" t="s">
        <v>103</v>
      </c>
      <c r="H237" s="9">
        <v>44599.810960648145</v>
      </c>
      <c r="I237" s="9">
        <v>44600.810960648145</v>
      </c>
      <c r="J237" s="9" t="e">
        <f>I237+#REF!</f>
        <v>#REF!</v>
      </c>
      <c r="K237" s="9" t="e">
        <f>J237+#REF!</f>
        <v>#REF!</v>
      </c>
      <c r="L237" s="10" t="s">
        <v>41</v>
      </c>
      <c r="M237" s="11">
        <v>44614.810960648145</v>
      </c>
      <c r="N237" s="5" t="s">
        <v>64</v>
      </c>
      <c r="O237" s="5"/>
      <c r="P237" s="9">
        <v>44618.810960648145</v>
      </c>
      <c r="Q237" s="5" t="s">
        <v>64</v>
      </c>
      <c r="R237" s="9">
        <v>44615.810960648145</v>
      </c>
      <c r="S237" s="9">
        <v>44616.810960648145</v>
      </c>
      <c r="T237" s="9">
        <v>44617.810960648145</v>
      </c>
      <c r="U237" s="9">
        <v>44618.810960648145</v>
      </c>
      <c r="V237" s="12">
        <v>1</v>
      </c>
      <c r="W237" s="9">
        <v>44619.810960648145</v>
      </c>
      <c r="X237" s="9">
        <v>44622.810960648145</v>
      </c>
      <c r="Y237" s="9">
        <v>44625.810960648145</v>
      </c>
      <c r="Z237" s="5"/>
      <c r="AA237" s="5"/>
      <c r="AB237" s="13">
        <v>44645.810960648145</v>
      </c>
      <c r="AC237">
        <f t="shared" si="28"/>
        <v>14</v>
      </c>
      <c r="AD237">
        <f t="shared" si="29"/>
        <v>16</v>
      </c>
      <c r="AE237">
        <f t="shared" si="30"/>
        <v>3</v>
      </c>
      <c r="AF237">
        <f t="shared" si="31"/>
        <v>4</v>
      </c>
      <c r="AG237">
        <f t="shared" si="32"/>
        <v>1</v>
      </c>
      <c r="AH237">
        <f t="shared" si="33"/>
        <v>1</v>
      </c>
      <c r="AI237" t="str">
        <f t="shared" si="34"/>
        <v/>
      </c>
      <c r="AJ237" t="str">
        <f t="shared" si="35"/>
        <v/>
      </c>
    </row>
    <row r="238" spans="1:36">
      <c r="A238" s="5">
        <v>237</v>
      </c>
      <c r="B238" s="5" t="s">
        <v>2433</v>
      </c>
      <c r="C238" s="5" t="s">
        <v>2229</v>
      </c>
      <c r="D238" s="5" t="s">
        <v>2403</v>
      </c>
      <c r="E238" s="5" t="s">
        <v>1939</v>
      </c>
      <c r="F238" s="5" t="str">
        <f t="shared" si="27"/>
        <v>Capacity Building-Principal Officer</v>
      </c>
      <c r="G238" s="5" t="s">
        <v>56</v>
      </c>
      <c r="H238" s="9">
        <v>44596.810960648145</v>
      </c>
      <c r="I238" s="9">
        <v>44599.810960648145</v>
      </c>
      <c r="J238" s="9" t="e">
        <f>I238+#REF!</f>
        <v>#REF!</v>
      </c>
      <c r="K238" s="9" t="e">
        <f>J238+#REF!</f>
        <v>#REF!</v>
      </c>
      <c r="L238" s="10" t="s">
        <v>41</v>
      </c>
      <c r="M238" s="11">
        <v>44615.810960648145</v>
      </c>
      <c r="N238" s="5" t="s">
        <v>64</v>
      </c>
      <c r="O238" s="5"/>
      <c r="P238" s="9">
        <v>44619.810960648145</v>
      </c>
      <c r="Q238" s="5" t="s">
        <v>64</v>
      </c>
      <c r="R238" s="9">
        <v>44617.810960648145</v>
      </c>
      <c r="S238" s="9">
        <v>44620.810960648145</v>
      </c>
      <c r="T238" s="9">
        <v>44617.810960648145</v>
      </c>
      <c r="U238" s="9">
        <v>44618.810960648145</v>
      </c>
      <c r="V238" s="12">
        <v>1</v>
      </c>
      <c r="W238" s="9">
        <v>44620.810960648145</v>
      </c>
      <c r="X238" s="9">
        <v>44622.810960648145</v>
      </c>
      <c r="Y238" s="9">
        <v>44625.810960648145</v>
      </c>
      <c r="Z238" s="5"/>
      <c r="AA238" s="5"/>
      <c r="AB238" s="13">
        <v>44644.810960648145</v>
      </c>
      <c r="AC238">
        <f t="shared" si="28"/>
        <v>16</v>
      </c>
      <c r="AD238">
        <f t="shared" si="29"/>
        <v>21</v>
      </c>
      <c r="AE238">
        <f t="shared" si="30"/>
        <v>2</v>
      </c>
      <c r="AF238">
        <f t="shared" si="31"/>
        <v>4</v>
      </c>
      <c r="AG238">
        <f t="shared" si="32"/>
        <v>2</v>
      </c>
      <c r="AH238">
        <f t="shared" si="33"/>
        <v>3</v>
      </c>
      <c r="AI238" t="str">
        <f t="shared" si="34"/>
        <v/>
      </c>
      <c r="AJ238" t="str">
        <f t="shared" si="35"/>
        <v/>
      </c>
    </row>
    <row r="239" spans="1:36">
      <c r="A239" s="5">
        <v>238</v>
      </c>
      <c r="B239" s="5" t="s">
        <v>2484</v>
      </c>
      <c r="C239" s="5" t="s">
        <v>2229</v>
      </c>
      <c r="D239" s="5" t="s">
        <v>2445</v>
      </c>
      <c r="E239" s="5" t="s">
        <v>39</v>
      </c>
      <c r="F239" s="5" t="str">
        <f t="shared" si="27"/>
        <v>Capacity Building-Analyst</v>
      </c>
      <c r="G239" s="5" t="s">
        <v>47</v>
      </c>
      <c r="H239" s="9">
        <v>44598.810960648145</v>
      </c>
      <c r="I239" s="9">
        <v>44601.810960648145</v>
      </c>
      <c r="J239" s="9" t="e">
        <f>I239+#REF!</f>
        <v>#REF!</v>
      </c>
      <c r="K239" s="9" t="e">
        <f>J239+#REF!</f>
        <v>#REF!</v>
      </c>
      <c r="L239" s="10" t="s">
        <v>41</v>
      </c>
      <c r="M239" s="11">
        <v>44609.810960648145</v>
      </c>
      <c r="N239" s="5" t="s">
        <v>42</v>
      </c>
      <c r="O239" s="5" t="s">
        <v>43</v>
      </c>
      <c r="P239" s="9"/>
      <c r="Q239" s="5"/>
      <c r="R239" s="5"/>
      <c r="S239" s="5"/>
      <c r="T239" s="9">
        <v>44612.810960648145</v>
      </c>
      <c r="U239" s="5"/>
      <c r="V239" s="5">
        <v>0</v>
      </c>
      <c r="W239" s="5"/>
      <c r="X239" s="5"/>
      <c r="Y239" s="5"/>
      <c r="Z239" s="5"/>
      <c r="AA239" s="5" t="s">
        <v>62</v>
      </c>
      <c r="AC239">
        <f t="shared" si="28"/>
        <v>8</v>
      </c>
      <c r="AD239" t="str">
        <f t="shared" si="29"/>
        <v/>
      </c>
      <c r="AE239">
        <f t="shared" si="30"/>
        <v>3</v>
      </c>
      <c r="AF239" t="str">
        <f t="shared" si="31"/>
        <v/>
      </c>
      <c r="AG239" t="str">
        <f t="shared" si="32"/>
        <v/>
      </c>
      <c r="AH239">
        <f t="shared" si="33"/>
        <v>3</v>
      </c>
      <c r="AI239" t="str">
        <f t="shared" si="34"/>
        <v/>
      </c>
      <c r="AJ239" t="str">
        <f t="shared" si="35"/>
        <v/>
      </c>
    </row>
    <row r="240" spans="1:36">
      <c r="A240" s="5">
        <v>239</v>
      </c>
      <c r="B240" s="5" t="s">
        <v>2432</v>
      </c>
      <c r="C240" s="5" t="s">
        <v>2229</v>
      </c>
      <c r="D240" s="5" t="s">
        <v>2403</v>
      </c>
      <c r="E240" s="5" t="s">
        <v>1939</v>
      </c>
      <c r="F240" s="5" t="str">
        <f t="shared" si="27"/>
        <v>Capacity Building-Principal Officer</v>
      </c>
      <c r="G240" s="5" t="s">
        <v>56</v>
      </c>
      <c r="H240" s="9">
        <v>44594.810960648145</v>
      </c>
      <c r="I240" s="9">
        <v>44598.810960648145</v>
      </c>
      <c r="J240" s="9" t="e">
        <f>I240+#REF!</f>
        <v>#REF!</v>
      </c>
      <c r="K240" s="9" t="e">
        <f>J240+#REF!</f>
        <v>#REF!</v>
      </c>
      <c r="L240" s="10" t="s">
        <v>52</v>
      </c>
      <c r="M240" s="11"/>
      <c r="N240" s="5"/>
      <c r="O240" s="5"/>
      <c r="P240" s="9"/>
      <c r="Q240" s="5"/>
      <c r="R240" s="5"/>
      <c r="S240" s="5"/>
      <c r="T240" s="9"/>
      <c r="U240" s="5"/>
      <c r="V240" s="5">
        <v>0</v>
      </c>
      <c r="W240" s="5"/>
      <c r="X240" s="5"/>
      <c r="Y240" s="5"/>
      <c r="Z240" s="5"/>
      <c r="AA240" s="5"/>
      <c r="AC240" t="str">
        <f t="shared" si="28"/>
        <v/>
      </c>
      <c r="AD240" t="str">
        <f t="shared" si="29"/>
        <v/>
      </c>
      <c r="AE240" t="str">
        <f t="shared" si="30"/>
        <v/>
      </c>
      <c r="AF240" t="str">
        <f t="shared" si="31"/>
        <v/>
      </c>
      <c r="AG240" t="str">
        <f t="shared" si="32"/>
        <v/>
      </c>
      <c r="AH240">
        <f t="shared" si="33"/>
        <v>4</v>
      </c>
      <c r="AI240" t="str">
        <f t="shared" si="34"/>
        <v/>
      </c>
      <c r="AJ240" t="str">
        <f t="shared" si="35"/>
        <v/>
      </c>
    </row>
    <row r="241" spans="1:36">
      <c r="A241" s="5">
        <v>240</v>
      </c>
      <c r="B241" s="5" t="s">
        <v>2341</v>
      </c>
      <c r="C241" s="5" t="s">
        <v>2229</v>
      </c>
      <c r="D241" s="5" t="s">
        <v>2302</v>
      </c>
      <c r="E241" s="5" t="s">
        <v>269</v>
      </c>
      <c r="F241" s="5" t="str">
        <f t="shared" si="27"/>
        <v>Capacity Building-Manager</v>
      </c>
      <c r="G241" s="5" t="s">
        <v>270</v>
      </c>
      <c r="H241" s="9">
        <v>44595.810960648145</v>
      </c>
      <c r="I241" s="9">
        <v>44597.810960648145</v>
      </c>
      <c r="J241" s="9" t="e">
        <f>I241+#REF!</f>
        <v>#REF!</v>
      </c>
      <c r="K241" s="9" t="e">
        <f>J241+#REF!</f>
        <v>#REF!</v>
      </c>
      <c r="L241" s="10" t="s">
        <v>41</v>
      </c>
      <c r="M241" s="11">
        <v>44616.810960648145</v>
      </c>
      <c r="N241" s="5" t="s">
        <v>167</v>
      </c>
      <c r="O241" s="5"/>
      <c r="P241" s="9">
        <v>44621.810960648145</v>
      </c>
      <c r="Q241" s="5" t="s">
        <v>167</v>
      </c>
      <c r="R241" s="5"/>
      <c r="S241" s="5"/>
      <c r="T241" s="9">
        <v>44617.810960648145</v>
      </c>
      <c r="U241" s="5"/>
      <c r="V241" s="5">
        <v>0</v>
      </c>
      <c r="W241" s="5"/>
      <c r="X241" s="5"/>
      <c r="Y241" s="5"/>
      <c r="Z241" s="5"/>
      <c r="AA241" s="5"/>
      <c r="AC241">
        <f t="shared" si="28"/>
        <v>19</v>
      </c>
      <c r="AD241" t="str">
        <f t="shared" si="29"/>
        <v/>
      </c>
      <c r="AE241">
        <f t="shared" si="30"/>
        <v>1</v>
      </c>
      <c r="AF241" t="str">
        <f t="shared" si="31"/>
        <v/>
      </c>
      <c r="AG241" t="str">
        <f t="shared" si="32"/>
        <v/>
      </c>
      <c r="AH241">
        <f t="shared" si="33"/>
        <v>2</v>
      </c>
      <c r="AI241" t="str">
        <f t="shared" si="34"/>
        <v/>
      </c>
      <c r="AJ241" t="str">
        <f t="shared" si="35"/>
        <v/>
      </c>
    </row>
    <row r="242" spans="1:36">
      <c r="A242" s="5">
        <v>241</v>
      </c>
      <c r="B242" s="5" t="s">
        <v>2203</v>
      </c>
      <c r="C242" s="10" t="s">
        <v>2089</v>
      </c>
      <c r="D242" s="5" t="s">
        <v>2167</v>
      </c>
      <c r="E242" s="5" t="s">
        <v>269</v>
      </c>
      <c r="F242" s="5" t="str">
        <f t="shared" si="27"/>
        <v>Communication and Advocacy-Manager</v>
      </c>
      <c r="G242" s="5" t="s">
        <v>270</v>
      </c>
      <c r="H242" s="9">
        <v>44676.34851851852</v>
      </c>
      <c r="I242" s="9">
        <v>44678.34851851852</v>
      </c>
      <c r="J242" s="9" t="e">
        <f>I242+#REF!</f>
        <v>#REF!</v>
      </c>
      <c r="K242" s="9" t="e">
        <f>J242+#REF!</f>
        <v>#REF!</v>
      </c>
      <c r="L242" s="10" t="s">
        <v>41</v>
      </c>
      <c r="M242" s="11">
        <v>44684.34851851852</v>
      </c>
      <c r="N242" s="5" t="s">
        <v>42</v>
      </c>
      <c r="O242" s="5" t="s">
        <v>73</v>
      </c>
      <c r="P242" s="9"/>
      <c r="Q242" s="5"/>
      <c r="R242" s="5"/>
      <c r="S242" s="5"/>
      <c r="T242" s="9"/>
      <c r="U242" s="5"/>
      <c r="V242" s="5">
        <v>0</v>
      </c>
      <c r="W242" s="5"/>
      <c r="X242" s="5"/>
      <c r="Y242" s="5"/>
      <c r="Z242" s="5"/>
      <c r="AA242" s="5" t="s">
        <v>44</v>
      </c>
      <c r="AC242">
        <f t="shared" si="28"/>
        <v>6</v>
      </c>
      <c r="AD242" t="str">
        <f t="shared" si="29"/>
        <v/>
      </c>
      <c r="AE242" t="str">
        <f t="shared" si="30"/>
        <v/>
      </c>
      <c r="AF242" t="str">
        <f t="shared" si="31"/>
        <v/>
      </c>
      <c r="AG242" t="str">
        <f t="shared" si="32"/>
        <v/>
      </c>
      <c r="AH242">
        <f t="shared" si="33"/>
        <v>2</v>
      </c>
      <c r="AI242" t="str">
        <f t="shared" si="34"/>
        <v/>
      </c>
      <c r="AJ242" t="str">
        <f t="shared" si="35"/>
        <v/>
      </c>
    </row>
    <row r="243" spans="1:36">
      <c r="A243" s="5">
        <v>242</v>
      </c>
      <c r="B243" s="5" t="s">
        <v>2106</v>
      </c>
      <c r="C243" s="10" t="s">
        <v>2089</v>
      </c>
      <c r="D243" s="5" t="s">
        <v>2090</v>
      </c>
      <c r="E243" s="5" t="s">
        <v>102</v>
      </c>
      <c r="F243" s="5" t="str">
        <f t="shared" si="27"/>
        <v>Communication and Advocacy-Senior Manager</v>
      </c>
      <c r="G243" s="5" t="s">
        <v>103</v>
      </c>
      <c r="H243" s="9">
        <v>44677.34851851852</v>
      </c>
      <c r="I243" s="9">
        <v>44680.34851851852</v>
      </c>
      <c r="J243" s="9" t="e">
        <f>I243+#REF!</f>
        <v>#REF!</v>
      </c>
      <c r="K243" s="9" t="e">
        <f>J243+#REF!</f>
        <v>#REF!</v>
      </c>
      <c r="L243" s="10" t="s">
        <v>41</v>
      </c>
      <c r="M243" s="11">
        <v>44696.34851851852</v>
      </c>
      <c r="N243" s="5" t="s">
        <v>42</v>
      </c>
      <c r="O243" s="5" t="s">
        <v>73</v>
      </c>
      <c r="P243" s="9"/>
      <c r="Q243" s="5"/>
      <c r="R243" s="5"/>
      <c r="S243" s="5"/>
      <c r="T243" s="9"/>
      <c r="U243" s="5"/>
      <c r="V243" s="5">
        <v>0</v>
      </c>
      <c r="W243" s="5"/>
      <c r="X243" s="5"/>
      <c r="Y243" s="5"/>
      <c r="Z243" s="5"/>
      <c r="AA243" s="5" t="s">
        <v>62</v>
      </c>
      <c r="AC243">
        <f t="shared" si="28"/>
        <v>16</v>
      </c>
      <c r="AD243" t="str">
        <f t="shared" si="29"/>
        <v/>
      </c>
      <c r="AE243" t="str">
        <f t="shared" si="30"/>
        <v/>
      </c>
      <c r="AF243" t="str">
        <f t="shared" si="31"/>
        <v/>
      </c>
      <c r="AG243" t="str">
        <f t="shared" si="32"/>
        <v/>
      </c>
      <c r="AH243">
        <f t="shared" si="33"/>
        <v>3</v>
      </c>
      <c r="AI243" t="str">
        <f t="shared" si="34"/>
        <v/>
      </c>
      <c r="AJ243" t="str">
        <f t="shared" si="35"/>
        <v/>
      </c>
    </row>
    <row r="244" spans="1:36">
      <c r="A244" s="5">
        <v>243</v>
      </c>
      <c r="B244" s="5" t="s">
        <v>739</v>
      </c>
      <c r="C244" s="10" t="s">
        <v>671</v>
      </c>
      <c r="D244" s="5" t="s">
        <v>708</v>
      </c>
      <c r="E244" s="5" t="s">
        <v>69</v>
      </c>
      <c r="F244" s="5" t="str">
        <f t="shared" si="27"/>
        <v>Operations-Head of Department</v>
      </c>
      <c r="G244" s="5" t="s">
        <v>56</v>
      </c>
      <c r="H244" s="9">
        <v>44675.34851851852</v>
      </c>
      <c r="I244" s="9">
        <v>44678.34851851852</v>
      </c>
      <c r="J244" s="9" t="e">
        <f>I244+#REF!</f>
        <v>#REF!</v>
      </c>
      <c r="K244" s="9" t="e">
        <f>J244+#REF!</f>
        <v>#REF!</v>
      </c>
      <c r="L244" s="10" t="s">
        <v>41</v>
      </c>
      <c r="M244" s="11">
        <v>44691.34851851852</v>
      </c>
      <c r="N244" s="5" t="s">
        <v>42</v>
      </c>
      <c r="O244" s="5" t="s">
        <v>98</v>
      </c>
      <c r="P244" s="9"/>
      <c r="Q244" s="5"/>
      <c r="R244" s="5"/>
      <c r="S244" s="5"/>
      <c r="T244" s="9"/>
      <c r="U244" s="5"/>
      <c r="V244" s="5">
        <v>0</v>
      </c>
      <c r="W244" s="5"/>
      <c r="X244" s="5"/>
      <c r="Y244" s="5"/>
      <c r="Z244" s="5"/>
      <c r="AA244" s="5" t="s">
        <v>44</v>
      </c>
      <c r="AC244">
        <f t="shared" si="28"/>
        <v>13</v>
      </c>
      <c r="AD244" t="str">
        <f t="shared" si="29"/>
        <v/>
      </c>
      <c r="AE244" t="str">
        <f t="shared" si="30"/>
        <v/>
      </c>
      <c r="AF244" t="str">
        <f t="shared" si="31"/>
        <v/>
      </c>
      <c r="AG244" t="str">
        <f t="shared" si="32"/>
        <v/>
      </c>
      <c r="AH244">
        <f t="shared" si="33"/>
        <v>3</v>
      </c>
      <c r="AI244" t="str">
        <f t="shared" si="34"/>
        <v/>
      </c>
      <c r="AJ244" t="str">
        <f t="shared" si="35"/>
        <v/>
      </c>
    </row>
    <row r="245" spans="1:36">
      <c r="A245" s="5">
        <v>244</v>
      </c>
      <c r="B245" s="5" t="s">
        <v>2202</v>
      </c>
      <c r="C245" s="10" t="s">
        <v>2089</v>
      </c>
      <c r="D245" s="5" t="s">
        <v>2167</v>
      </c>
      <c r="E245" s="5" t="s">
        <v>269</v>
      </c>
      <c r="F245" s="5" t="str">
        <f t="shared" si="27"/>
        <v>Communication and Advocacy-Manager</v>
      </c>
      <c r="G245" s="5" t="s">
        <v>270</v>
      </c>
      <c r="H245" s="9">
        <v>44676.34851851852</v>
      </c>
      <c r="I245" s="9">
        <v>44677.34851851852</v>
      </c>
      <c r="J245" s="9" t="e">
        <f>I245+#REF!</f>
        <v>#REF!</v>
      </c>
      <c r="K245" s="9" t="e">
        <f>J245+#REF!</f>
        <v>#REF!</v>
      </c>
      <c r="L245" s="10" t="s">
        <v>41</v>
      </c>
      <c r="M245" s="11">
        <v>44693.34851851852</v>
      </c>
      <c r="N245" s="5" t="s">
        <v>42</v>
      </c>
      <c r="O245" s="5" t="s">
        <v>58</v>
      </c>
      <c r="P245" s="9"/>
      <c r="Q245" s="5"/>
      <c r="R245" s="5"/>
      <c r="S245" s="5"/>
      <c r="T245" s="9"/>
      <c r="U245" s="5"/>
      <c r="V245" s="5">
        <v>0</v>
      </c>
      <c r="W245" s="5"/>
      <c r="X245" s="5"/>
      <c r="Y245" s="5"/>
      <c r="Z245" s="5"/>
      <c r="AA245" s="5" t="s">
        <v>44</v>
      </c>
      <c r="AC245">
        <f t="shared" si="28"/>
        <v>16</v>
      </c>
      <c r="AD245" t="str">
        <f t="shared" si="29"/>
        <v/>
      </c>
      <c r="AE245" t="str">
        <f t="shared" si="30"/>
        <v/>
      </c>
      <c r="AF245" t="str">
        <f t="shared" si="31"/>
        <v/>
      </c>
      <c r="AG245" t="str">
        <f t="shared" si="32"/>
        <v/>
      </c>
      <c r="AH245">
        <f t="shared" si="33"/>
        <v>1</v>
      </c>
      <c r="AI245" t="str">
        <f t="shared" si="34"/>
        <v/>
      </c>
      <c r="AJ245" t="str">
        <f t="shared" si="35"/>
        <v/>
      </c>
    </row>
    <row r="246" spans="1:36">
      <c r="A246" s="5">
        <v>245</v>
      </c>
      <c r="B246" s="5" t="s">
        <v>738</v>
      </c>
      <c r="C246" s="10" t="s">
        <v>671</v>
      </c>
      <c r="D246" s="5" t="s">
        <v>708</v>
      </c>
      <c r="E246" s="5" t="s">
        <v>69</v>
      </c>
      <c r="F246" s="5" t="str">
        <f t="shared" si="27"/>
        <v>Operations-Head of Department</v>
      </c>
      <c r="G246" s="5" t="s">
        <v>56</v>
      </c>
      <c r="H246" s="9">
        <v>44676.34851851852</v>
      </c>
      <c r="I246" s="9">
        <v>44680.34851851852</v>
      </c>
      <c r="J246" s="9" t="e">
        <f>I246+#REF!</f>
        <v>#REF!</v>
      </c>
      <c r="K246" s="9" t="e">
        <f>J246+#REF!</f>
        <v>#REF!</v>
      </c>
      <c r="L246" s="10" t="s">
        <v>52</v>
      </c>
      <c r="M246" s="11"/>
      <c r="N246" s="5"/>
      <c r="O246" s="5"/>
      <c r="P246" s="9"/>
      <c r="Q246" s="5"/>
      <c r="R246" s="5"/>
      <c r="S246" s="5"/>
      <c r="T246" s="9"/>
      <c r="U246" s="5"/>
      <c r="V246" s="5">
        <v>0</v>
      </c>
      <c r="W246" s="5"/>
      <c r="X246" s="5"/>
      <c r="Y246" s="5"/>
      <c r="Z246" s="5"/>
      <c r="AA246" s="5"/>
      <c r="AC246" t="str">
        <f t="shared" si="28"/>
        <v/>
      </c>
      <c r="AD246" t="str">
        <f t="shared" si="29"/>
        <v/>
      </c>
      <c r="AE246" t="str">
        <f t="shared" si="30"/>
        <v/>
      </c>
      <c r="AF246" t="str">
        <f t="shared" si="31"/>
        <v/>
      </c>
      <c r="AG246" t="str">
        <f t="shared" si="32"/>
        <v/>
      </c>
      <c r="AH246">
        <f t="shared" si="33"/>
        <v>4</v>
      </c>
      <c r="AI246" t="str">
        <f t="shared" si="34"/>
        <v/>
      </c>
      <c r="AJ246" t="str">
        <f t="shared" si="35"/>
        <v/>
      </c>
    </row>
    <row r="247" spans="1:36">
      <c r="A247" s="5">
        <v>246</v>
      </c>
      <c r="B247" s="5" t="s">
        <v>737</v>
      </c>
      <c r="C247" s="10" t="s">
        <v>671</v>
      </c>
      <c r="D247" s="5" t="s">
        <v>708</v>
      </c>
      <c r="E247" s="5" t="s">
        <v>69</v>
      </c>
      <c r="F247" s="5" t="str">
        <f t="shared" si="27"/>
        <v>Operations-Head of Department</v>
      </c>
      <c r="G247" s="5" t="s">
        <v>56</v>
      </c>
      <c r="H247" s="9">
        <v>44677.34851851852</v>
      </c>
      <c r="I247" s="9">
        <v>44679.34851851852</v>
      </c>
      <c r="J247" s="9" t="e">
        <f>I247+#REF!</f>
        <v>#REF!</v>
      </c>
      <c r="K247" s="9" t="e">
        <f>J247+#REF!</f>
        <v>#REF!</v>
      </c>
      <c r="L247" s="10" t="s">
        <v>41</v>
      </c>
      <c r="M247" s="11">
        <v>44686.34851851852</v>
      </c>
      <c r="N247" s="5" t="s">
        <v>42</v>
      </c>
      <c r="O247" s="5" t="s">
        <v>113</v>
      </c>
      <c r="P247" s="9"/>
      <c r="Q247" s="5"/>
      <c r="R247" s="5"/>
      <c r="S247" s="5"/>
      <c r="T247" s="9">
        <v>44690.34851851852</v>
      </c>
      <c r="U247" s="5"/>
      <c r="V247" s="5">
        <v>0</v>
      </c>
      <c r="W247" s="5"/>
      <c r="X247" s="5"/>
      <c r="Y247" s="5"/>
      <c r="Z247" s="5"/>
      <c r="AA247" s="5" t="s">
        <v>62</v>
      </c>
      <c r="AC247">
        <f t="shared" si="28"/>
        <v>7</v>
      </c>
      <c r="AD247" t="str">
        <f t="shared" si="29"/>
        <v/>
      </c>
      <c r="AE247">
        <f t="shared" si="30"/>
        <v>4</v>
      </c>
      <c r="AF247" t="str">
        <f t="shared" si="31"/>
        <v/>
      </c>
      <c r="AG247" t="str">
        <f t="shared" si="32"/>
        <v/>
      </c>
      <c r="AH247">
        <f t="shared" si="33"/>
        <v>2</v>
      </c>
      <c r="AI247" t="str">
        <f t="shared" si="34"/>
        <v/>
      </c>
      <c r="AJ247" t="str">
        <f t="shared" si="35"/>
        <v/>
      </c>
    </row>
    <row r="248" spans="1:36">
      <c r="A248" s="5">
        <v>247</v>
      </c>
      <c r="B248" s="5" t="s">
        <v>2105</v>
      </c>
      <c r="C248" s="10" t="s">
        <v>2089</v>
      </c>
      <c r="D248" s="5" t="s">
        <v>2090</v>
      </c>
      <c r="E248" s="5" t="s">
        <v>102</v>
      </c>
      <c r="F248" s="5" t="str">
        <f t="shared" si="27"/>
        <v>Communication and Advocacy-Senior Manager</v>
      </c>
      <c r="G248" s="5" t="s">
        <v>103</v>
      </c>
      <c r="H248" s="9">
        <v>44673.34851851852</v>
      </c>
      <c r="I248" s="9">
        <v>44676.34851851852</v>
      </c>
      <c r="J248" s="9" t="e">
        <f>I248+#REF!</f>
        <v>#REF!</v>
      </c>
      <c r="K248" s="9" t="e">
        <f>J248+#REF!</f>
        <v>#REF!</v>
      </c>
      <c r="L248" s="10" t="s">
        <v>41</v>
      </c>
      <c r="M248" s="11">
        <v>44695.34851851852</v>
      </c>
      <c r="N248" s="5" t="s">
        <v>64</v>
      </c>
      <c r="O248" s="5"/>
      <c r="P248" s="9">
        <v>44699.34851851852</v>
      </c>
      <c r="Q248" s="5" t="s">
        <v>64</v>
      </c>
      <c r="R248" s="9">
        <v>44697.34851851852</v>
      </c>
      <c r="S248" s="9">
        <v>44700.34851851852</v>
      </c>
      <c r="T248" s="9">
        <v>44698.34851851852</v>
      </c>
      <c r="U248" s="9">
        <v>44706.34851851852</v>
      </c>
      <c r="V248" s="12">
        <v>1</v>
      </c>
      <c r="W248" s="9">
        <v>44707.34851851852</v>
      </c>
      <c r="X248" s="9">
        <v>44709.34851851852</v>
      </c>
      <c r="Y248" s="9">
        <v>44711.34851851852</v>
      </c>
      <c r="Z248" s="5"/>
      <c r="AA248" s="5"/>
      <c r="AB248" s="13">
        <v>44733.34851851852</v>
      </c>
      <c r="AC248">
        <f t="shared" si="28"/>
        <v>19</v>
      </c>
      <c r="AD248">
        <f t="shared" si="29"/>
        <v>24</v>
      </c>
      <c r="AE248">
        <f t="shared" si="30"/>
        <v>3</v>
      </c>
      <c r="AF248">
        <f t="shared" si="31"/>
        <v>3</v>
      </c>
      <c r="AG248">
        <f t="shared" si="32"/>
        <v>1</v>
      </c>
      <c r="AH248">
        <f t="shared" si="33"/>
        <v>3</v>
      </c>
      <c r="AI248" t="str">
        <f t="shared" si="34"/>
        <v/>
      </c>
      <c r="AJ248" t="str">
        <f t="shared" si="35"/>
        <v/>
      </c>
    </row>
    <row r="249" spans="1:36">
      <c r="A249" s="5">
        <v>248</v>
      </c>
      <c r="B249" s="5" t="s">
        <v>736</v>
      </c>
      <c r="C249" s="10" t="s">
        <v>671</v>
      </c>
      <c r="D249" s="5" t="s">
        <v>708</v>
      </c>
      <c r="E249" s="5" t="s">
        <v>69</v>
      </c>
      <c r="F249" s="5" t="str">
        <f t="shared" si="27"/>
        <v>Operations-Head of Department</v>
      </c>
      <c r="G249" s="5" t="s">
        <v>56</v>
      </c>
      <c r="H249" s="9">
        <v>44680.34851851852</v>
      </c>
      <c r="I249" s="9">
        <v>44681.34851851852</v>
      </c>
      <c r="J249" s="9" t="e">
        <f>I249+#REF!</f>
        <v>#REF!</v>
      </c>
      <c r="K249" s="9" t="e">
        <f>J249+#REF!</f>
        <v>#REF!</v>
      </c>
      <c r="L249" s="10" t="s">
        <v>41</v>
      </c>
      <c r="M249" s="11">
        <v>44686.34851851852</v>
      </c>
      <c r="N249" s="5" t="s">
        <v>42</v>
      </c>
      <c r="O249" s="5" t="s">
        <v>98</v>
      </c>
      <c r="P249" s="9"/>
      <c r="Q249" s="5"/>
      <c r="R249" s="5"/>
      <c r="S249" s="5"/>
      <c r="T249" s="9"/>
      <c r="U249" s="5"/>
      <c r="V249" s="5">
        <v>0</v>
      </c>
      <c r="W249" s="5"/>
      <c r="X249" s="5"/>
      <c r="Y249" s="5"/>
      <c r="Z249" s="5"/>
      <c r="AA249" s="5" t="s">
        <v>62</v>
      </c>
      <c r="AC249">
        <f t="shared" si="28"/>
        <v>5</v>
      </c>
      <c r="AD249" t="str">
        <f t="shared" si="29"/>
        <v/>
      </c>
      <c r="AE249" t="str">
        <f t="shared" si="30"/>
        <v/>
      </c>
      <c r="AF249" t="str">
        <f t="shared" si="31"/>
        <v/>
      </c>
      <c r="AG249" t="str">
        <f t="shared" si="32"/>
        <v/>
      </c>
      <c r="AH249">
        <f t="shared" si="33"/>
        <v>1</v>
      </c>
      <c r="AI249" t="str">
        <f t="shared" si="34"/>
        <v/>
      </c>
      <c r="AJ249" t="str">
        <f t="shared" si="35"/>
        <v/>
      </c>
    </row>
    <row r="250" spans="1:36">
      <c r="A250" s="5">
        <v>249</v>
      </c>
      <c r="B250" s="5" t="s">
        <v>2104</v>
      </c>
      <c r="C250" s="10" t="s">
        <v>2089</v>
      </c>
      <c r="D250" s="5" t="s">
        <v>2090</v>
      </c>
      <c r="E250" s="5" t="s">
        <v>102</v>
      </c>
      <c r="F250" s="5" t="str">
        <f t="shared" si="27"/>
        <v>Communication and Advocacy-Senior Manager</v>
      </c>
      <c r="G250" s="5" t="s">
        <v>103</v>
      </c>
      <c r="H250" s="9">
        <v>44673.34851851852</v>
      </c>
      <c r="I250" s="9">
        <v>44676.34851851852</v>
      </c>
      <c r="J250" s="9" t="e">
        <f>I250+#REF!</f>
        <v>#REF!</v>
      </c>
      <c r="K250" s="9" t="e">
        <f>J250+#REF!</f>
        <v>#REF!</v>
      </c>
      <c r="L250" s="10" t="s">
        <v>41</v>
      </c>
      <c r="M250" s="11">
        <v>44688.34851851852</v>
      </c>
      <c r="N250" s="5" t="s">
        <v>48</v>
      </c>
      <c r="O250" s="5"/>
      <c r="P250" s="9">
        <v>44691.34851851852</v>
      </c>
      <c r="Q250" s="5" t="s">
        <v>48</v>
      </c>
      <c r="R250" s="5"/>
      <c r="S250" s="5"/>
      <c r="T250" s="9">
        <v>44689.34851851852</v>
      </c>
      <c r="U250" s="5"/>
      <c r="V250" s="5">
        <v>0</v>
      </c>
      <c r="W250" s="5"/>
      <c r="X250" s="5"/>
      <c r="Y250" s="5"/>
      <c r="Z250" s="5"/>
      <c r="AA250" s="5"/>
      <c r="AC250">
        <f t="shared" si="28"/>
        <v>12</v>
      </c>
      <c r="AD250" t="str">
        <f t="shared" si="29"/>
        <v/>
      </c>
      <c r="AE250">
        <f t="shared" si="30"/>
        <v>1</v>
      </c>
      <c r="AF250" t="str">
        <f t="shared" si="31"/>
        <v/>
      </c>
      <c r="AG250" t="str">
        <f t="shared" si="32"/>
        <v/>
      </c>
      <c r="AH250">
        <f t="shared" si="33"/>
        <v>3</v>
      </c>
      <c r="AI250" t="str">
        <f t="shared" si="34"/>
        <v/>
      </c>
      <c r="AJ250" t="str">
        <f t="shared" si="35"/>
        <v/>
      </c>
    </row>
    <row r="251" spans="1:36">
      <c r="A251" s="5">
        <v>250</v>
      </c>
      <c r="B251" s="5" t="s">
        <v>735</v>
      </c>
      <c r="C251" s="10" t="s">
        <v>671</v>
      </c>
      <c r="D251" s="5" t="s">
        <v>708</v>
      </c>
      <c r="E251" s="5" t="s">
        <v>69</v>
      </c>
      <c r="F251" s="5" t="str">
        <f t="shared" si="27"/>
        <v>Operations-Head of Department</v>
      </c>
      <c r="G251" s="5" t="s">
        <v>56</v>
      </c>
      <c r="H251" s="9">
        <v>44675.34851851852</v>
      </c>
      <c r="I251" s="9">
        <v>44676.34851851852</v>
      </c>
      <c r="J251" s="9" t="e">
        <f>I251+#REF!</f>
        <v>#REF!</v>
      </c>
      <c r="K251" s="9" t="e">
        <f>J251+#REF!</f>
        <v>#REF!</v>
      </c>
      <c r="L251" s="10" t="s">
        <v>41</v>
      </c>
      <c r="M251" s="11">
        <v>44695.34851851852</v>
      </c>
      <c r="N251" s="5" t="s">
        <v>48</v>
      </c>
      <c r="O251" s="5"/>
      <c r="P251" s="9">
        <v>44702.34851851852</v>
      </c>
      <c r="Q251" s="5" t="s">
        <v>48</v>
      </c>
      <c r="R251" s="5"/>
      <c r="S251" s="5"/>
      <c r="T251" s="9">
        <v>44699.34851851852</v>
      </c>
      <c r="U251" s="5"/>
      <c r="V251" s="5">
        <v>0</v>
      </c>
      <c r="W251" s="5"/>
      <c r="X251" s="5"/>
      <c r="Y251" s="5"/>
      <c r="Z251" s="5"/>
      <c r="AA251" s="5"/>
      <c r="AC251">
        <f t="shared" si="28"/>
        <v>19</v>
      </c>
      <c r="AD251" t="str">
        <f t="shared" si="29"/>
        <v/>
      </c>
      <c r="AE251">
        <f t="shared" si="30"/>
        <v>4</v>
      </c>
      <c r="AF251" t="str">
        <f t="shared" si="31"/>
        <v/>
      </c>
      <c r="AG251" t="str">
        <f t="shared" si="32"/>
        <v/>
      </c>
      <c r="AH251">
        <f t="shared" si="33"/>
        <v>1</v>
      </c>
      <c r="AI251" t="str">
        <f t="shared" si="34"/>
        <v/>
      </c>
      <c r="AJ251" t="str">
        <f t="shared" si="35"/>
        <v/>
      </c>
    </row>
    <row r="252" spans="1:36">
      <c r="A252" s="5">
        <v>251</v>
      </c>
      <c r="B252" s="5" t="s">
        <v>2289</v>
      </c>
      <c r="C252" s="5" t="s">
        <v>2229</v>
      </c>
      <c r="D252" s="5" t="s">
        <v>2250</v>
      </c>
      <c r="E252" s="5" t="s">
        <v>1146</v>
      </c>
      <c r="F252" s="5" t="str">
        <f t="shared" si="27"/>
        <v>Capacity Building-Quality Assurance</v>
      </c>
      <c r="G252" s="5" t="s">
        <v>147</v>
      </c>
      <c r="H252" s="9">
        <v>44708.632962962962</v>
      </c>
      <c r="I252" s="9">
        <v>44711.632962962962</v>
      </c>
      <c r="J252" s="9" t="e">
        <f>I252+#REF!</f>
        <v>#REF!</v>
      </c>
      <c r="K252" s="9" t="e">
        <f>J252+#REF!</f>
        <v>#REF!</v>
      </c>
      <c r="L252" s="10" t="s">
        <v>41</v>
      </c>
      <c r="M252" s="11">
        <v>44726.632962962962</v>
      </c>
      <c r="N252" s="5" t="s">
        <v>42</v>
      </c>
      <c r="O252" s="5" t="s">
        <v>98</v>
      </c>
      <c r="P252" s="9"/>
      <c r="Q252" s="5"/>
      <c r="R252" s="5"/>
      <c r="S252" s="5"/>
      <c r="T252" s="9">
        <v>44727.632962962962</v>
      </c>
      <c r="U252" s="5"/>
      <c r="V252" s="5">
        <v>0</v>
      </c>
      <c r="W252" s="5"/>
      <c r="X252" s="5"/>
      <c r="Y252" s="5"/>
      <c r="Z252" s="5"/>
      <c r="AA252" s="5" t="s">
        <v>44</v>
      </c>
      <c r="AC252">
        <f t="shared" si="28"/>
        <v>15</v>
      </c>
      <c r="AD252" t="str">
        <f t="shared" si="29"/>
        <v/>
      </c>
      <c r="AE252">
        <f t="shared" si="30"/>
        <v>1</v>
      </c>
      <c r="AF252" t="str">
        <f t="shared" si="31"/>
        <v/>
      </c>
      <c r="AG252" t="str">
        <f t="shared" si="32"/>
        <v/>
      </c>
      <c r="AH252">
        <f t="shared" si="33"/>
        <v>3</v>
      </c>
      <c r="AI252" t="str">
        <f t="shared" si="34"/>
        <v/>
      </c>
      <c r="AJ252" t="str">
        <f t="shared" si="35"/>
        <v/>
      </c>
    </row>
    <row r="253" spans="1:36">
      <c r="A253" s="5">
        <v>252</v>
      </c>
      <c r="B253" s="5" t="s">
        <v>2390</v>
      </c>
      <c r="C253" s="5" t="s">
        <v>2229</v>
      </c>
      <c r="D253" s="5" t="s">
        <v>2350</v>
      </c>
      <c r="E253" s="5" t="s">
        <v>2351</v>
      </c>
      <c r="F253" s="5" t="str">
        <f t="shared" si="27"/>
        <v>Capacity Building-Training Associate</v>
      </c>
      <c r="G253" s="5" t="s">
        <v>40</v>
      </c>
      <c r="H253" s="9">
        <v>44703.632962962962</v>
      </c>
      <c r="I253" s="9">
        <v>44707.632962962962</v>
      </c>
      <c r="J253" s="9" t="e">
        <f>I253+#REF!</f>
        <v>#REF!</v>
      </c>
      <c r="K253" s="9" t="e">
        <f>J253+#REF!</f>
        <v>#REF!</v>
      </c>
      <c r="L253" s="10" t="s">
        <v>41</v>
      </c>
      <c r="M253" s="11">
        <v>44726.632962962962</v>
      </c>
      <c r="N253" s="5" t="s">
        <v>42</v>
      </c>
      <c r="O253" s="5" t="s">
        <v>58</v>
      </c>
      <c r="P253" s="9"/>
      <c r="Q253" s="5"/>
      <c r="R253" s="5"/>
      <c r="S253" s="5"/>
      <c r="T253" s="9">
        <v>44728.632962962962</v>
      </c>
      <c r="U253" s="5"/>
      <c r="V253" s="5">
        <v>0</v>
      </c>
      <c r="W253" s="5"/>
      <c r="X253" s="5"/>
      <c r="Y253" s="5"/>
      <c r="Z253" s="5"/>
      <c r="AA253" s="5" t="s">
        <v>44</v>
      </c>
      <c r="AC253">
        <f t="shared" si="28"/>
        <v>19</v>
      </c>
      <c r="AD253" t="str">
        <f t="shared" si="29"/>
        <v/>
      </c>
      <c r="AE253">
        <f t="shared" si="30"/>
        <v>2</v>
      </c>
      <c r="AF253" t="str">
        <f t="shared" si="31"/>
        <v/>
      </c>
      <c r="AG253" t="str">
        <f t="shared" si="32"/>
        <v/>
      </c>
      <c r="AH253">
        <f t="shared" si="33"/>
        <v>4</v>
      </c>
      <c r="AI253" t="str">
        <f t="shared" si="34"/>
        <v/>
      </c>
      <c r="AJ253" t="str">
        <f t="shared" si="35"/>
        <v/>
      </c>
    </row>
    <row r="254" spans="1:36">
      <c r="A254" s="5">
        <v>253</v>
      </c>
      <c r="B254" s="5" t="s">
        <v>2483</v>
      </c>
      <c r="C254" s="5" t="s">
        <v>2229</v>
      </c>
      <c r="D254" s="5" t="s">
        <v>2445</v>
      </c>
      <c r="E254" s="5" t="s">
        <v>39</v>
      </c>
      <c r="F254" s="5" t="str">
        <f t="shared" si="27"/>
        <v>Capacity Building-Analyst</v>
      </c>
      <c r="G254" s="5" t="s">
        <v>47</v>
      </c>
      <c r="H254" s="9">
        <v>44705.632962962962</v>
      </c>
      <c r="I254" s="9">
        <v>44707.632962962962</v>
      </c>
      <c r="J254" s="9" t="e">
        <f>I254+#REF!</f>
        <v>#REF!</v>
      </c>
      <c r="K254" s="9" t="e">
        <f>J254+#REF!</f>
        <v>#REF!</v>
      </c>
      <c r="L254" s="10" t="s">
        <v>41</v>
      </c>
      <c r="M254" s="11">
        <v>44726.632962962962</v>
      </c>
      <c r="N254" s="5" t="s">
        <v>42</v>
      </c>
      <c r="O254" s="5" t="s">
        <v>73</v>
      </c>
      <c r="P254" s="9"/>
      <c r="Q254" s="5"/>
      <c r="R254" s="5"/>
      <c r="S254" s="5"/>
      <c r="T254" s="9"/>
      <c r="U254" s="5"/>
      <c r="V254" s="5">
        <v>0</v>
      </c>
      <c r="W254" s="5"/>
      <c r="X254" s="5"/>
      <c r="Y254" s="5"/>
      <c r="Z254" s="5"/>
      <c r="AA254" s="5" t="s">
        <v>62</v>
      </c>
      <c r="AC254">
        <f t="shared" si="28"/>
        <v>19</v>
      </c>
      <c r="AD254" t="str">
        <f t="shared" si="29"/>
        <v/>
      </c>
      <c r="AE254" t="str">
        <f t="shared" si="30"/>
        <v/>
      </c>
      <c r="AF254" t="str">
        <f t="shared" si="31"/>
        <v/>
      </c>
      <c r="AG254" t="str">
        <f t="shared" si="32"/>
        <v/>
      </c>
      <c r="AH254">
        <f t="shared" si="33"/>
        <v>2</v>
      </c>
      <c r="AI254" t="str">
        <f t="shared" si="34"/>
        <v/>
      </c>
      <c r="AJ254" t="str">
        <f t="shared" si="35"/>
        <v/>
      </c>
    </row>
    <row r="255" spans="1:36">
      <c r="A255" s="5">
        <v>254</v>
      </c>
      <c r="B255" s="5" t="s">
        <v>2288</v>
      </c>
      <c r="C255" s="5" t="s">
        <v>2229</v>
      </c>
      <c r="D255" s="5" t="s">
        <v>2250</v>
      </c>
      <c r="E255" s="5" t="s">
        <v>1146</v>
      </c>
      <c r="F255" s="5" t="str">
        <f t="shared" si="27"/>
        <v>Capacity Building-Quality Assurance</v>
      </c>
      <c r="G255" s="5" t="s">
        <v>147</v>
      </c>
      <c r="H255" s="9">
        <v>44706.632962962962</v>
      </c>
      <c r="I255" s="9">
        <v>44710.632962962962</v>
      </c>
      <c r="J255" s="9" t="e">
        <f>I255+#REF!</f>
        <v>#REF!</v>
      </c>
      <c r="K255" s="9" t="e">
        <f>J255+#REF!</f>
        <v>#REF!</v>
      </c>
      <c r="L255" s="10" t="s">
        <v>41</v>
      </c>
      <c r="M255" s="11">
        <v>44718.632962962962</v>
      </c>
      <c r="N255" s="5" t="s">
        <v>42</v>
      </c>
      <c r="O255" s="5" t="s">
        <v>58</v>
      </c>
      <c r="P255" s="9"/>
      <c r="Q255" s="5"/>
      <c r="R255" s="5"/>
      <c r="S255" s="5"/>
      <c r="T255" s="9"/>
      <c r="U255" s="5"/>
      <c r="V255" s="5">
        <v>0</v>
      </c>
      <c r="W255" s="5"/>
      <c r="X255" s="5"/>
      <c r="Y255" s="5"/>
      <c r="Z255" s="5"/>
      <c r="AA255" s="5" t="s">
        <v>62</v>
      </c>
      <c r="AC255">
        <f t="shared" si="28"/>
        <v>8</v>
      </c>
      <c r="AD255" t="str">
        <f t="shared" si="29"/>
        <v/>
      </c>
      <c r="AE255" t="str">
        <f t="shared" si="30"/>
        <v/>
      </c>
      <c r="AF255" t="str">
        <f t="shared" si="31"/>
        <v/>
      </c>
      <c r="AG255" t="str">
        <f t="shared" si="32"/>
        <v/>
      </c>
      <c r="AH255">
        <f t="shared" si="33"/>
        <v>4</v>
      </c>
      <c r="AI255" t="str">
        <f t="shared" si="34"/>
        <v/>
      </c>
      <c r="AJ255" t="str">
        <f t="shared" si="35"/>
        <v/>
      </c>
    </row>
    <row r="256" spans="1:36">
      <c r="A256" s="5">
        <v>255</v>
      </c>
      <c r="B256" s="5" t="s">
        <v>2389</v>
      </c>
      <c r="C256" s="5" t="s">
        <v>2229</v>
      </c>
      <c r="D256" s="5" t="s">
        <v>2350</v>
      </c>
      <c r="E256" s="5" t="s">
        <v>2351</v>
      </c>
      <c r="F256" s="5" t="str">
        <f t="shared" si="27"/>
        <v>Capacity Building-Training Associate</v>
      </c>
      <c r="G256" s="5" t="s">
        <v>40</v>
      </c>
      <c r="H256" s="9">
        <v>44710.632962962962</v>
      </c>
      <c r="I256" s="9">
        <v>44711.632962962962</v>
      </c>
      <c r="J256" s="9" t="e">
        <f>I256+#REF!</f>
        <v>#REF!</v>
      </c>
      <c r="K256" s="9" t="e">
        <f>J256+#REF!</f>
        <v>#REF!</v>
      </c>
      <c r="L256" s="10" t="s">
        <v>52</v>
      </c>
      <c r="M256" s="11"/>
      <c r="N256" s="5"/>
      <c r="O256" s="5"/>
      <c r="P256" s="9"/>
      <c r="Q256" s="5"/>
      <c r="R256" s="5"/>
      <c r="S256" s="5"/>
      <c r="T256" s="9"/>
      <c r="U256" s="5"/>
      <c r="V256" s="5">
        <v>0</v>
      </c>
      <c r="W256" s="5"/>
      <c r="X256" s="5"/>
      <c r="Y256" s="5"/>
      <c r="Z256" s="5"/>
      <c r="AA256" s="5"/>
      <c r="AC256" t="str">
        <f t="shared" si="28"/>
        <v/>
      </c>
      <c r="AD256" t="str">
        <f t="shared" si="29"/>
        <v/>
      </c>
      <c r="AE256" t="str">
        <f t="shared" si="30"/>
        <v/>
      </c>
      <c r="AF256" t="str">
        <f t="shared" si="31"/>
        <v/>
      </c>
      <c r="AG256" t="str">
        <f t="shared" si="32"/>
        <v/>
      </c>
      <c r="AH256">
        <f t="shared" si="33"/>
        <v>1</v>
      </c>
      <c r="AI256" t="str">
        <f t="shared" si="34"/>
        <v/>
      </c>
      <c r="AJ256" t="str">
        <f t="shared" si="35"/>
        <v/>
      </c>
    </row>
    <row r="257" spans="1:36">
      <c r="A257" s="5">
        <v>256</v>
      </c>
      <c r="B257" s="5" t="s">
        <v>2287</v>
      </c>
      <c r="C257" s="5" t="s">
        <v>2229</v>
      </c>
      <c r="D257" s="5" t="s">
        <v>2250</v>
      </c>
      <c r="E257" s="5" t="s">
        <v>1146</v>
      </c>
      <c r="F257" s="5" t="str">
        <f t="shared" si="27"/>
        <v>Capacity Building-Quality Assurance</v>
      </c>
      <c r="G257" s="5" t="s">
        <v>147</v>
      </c>
      <c r="H257" s="9">
        <v>44705.632962962962</v>
      </c>
      <c r="I257" s="9">
        <v>44708.632962962962</v>
      </c>
      <c r="J257" s="9" t="e">
        <f>I257+#REF!</f>
        <v>#REF!</v>
      </c>
      <c r="K257" s="9" t="e">
        <f>J257+#REF!</f>
        <v>#REF!</v>
      </c>
      <c r="L257" s="10" t="s">
        <v>41</v>
      </c>
      <c r="M257" s="11">
        <v>44724.632962962962</v>
      </c>
      <c r="N257" s="5" t="s">
        <v>64</v>
      </c>
      <c r="O257" s="5"/>
      <c r="P257" s="9">
        <v>44731.632962962962</v>
      </c>
      <c r="Q257" s="5" t="s">
        <v>64</v>
      </c>
      <c r="R257" s="9">
        <v>44725.632962962962</v>
      </c>
      <c r="S257" s="9">
        <v>44727.632962962962</v>
      </c>
      <c r="T257" s="9">
        <v>44728.632962962962</v>
      </c>
      <c r="U257" s="9">
        <v>44732.632962962962</v>
      </c>
      <c r="V257" s="12">
        <v>1</v>
      </c>
      <c r="W257" s="9">
        <v>44734.632962962962</v>
      </c>
      <c r="X257" s="9">
        <v>44735.632962962962</v>
      </c>
      <c r="Y257" s="9">
        <v>44737.632962962962</v>
      </c>
      <c r="Z257" s="5"/>
      <c r="AA257" s="5"/>
      <c r="AB257" s="13">
        <v>44746.632962962962</v>
      </c>
      <c r="AC257">
        <f t="shared" si="28"/>
        <v>16</v>
      </c>
      <c r="AD257">
        <f t="shared" si="29"/>
        <v>19</v>
      </c>
      <c r="AE257">
        <f t="shared" si="30"/>
        <v>4</v>
      </c>
      <c r="AF257">
        <f t="shared" si="31"/>
        <v>3</v>
      </c>
      <c r="AG257">
        <f t="shared" si="32"/>
        <v>2</v>
      </c>
      <c r="AH257">
        <f t="shared" si="33"/>
        <v>3</v>
      </c>
      <c r="AI257" t="str">
        <f t="shared" si="34"/>
        <v/>
      </c>
      <c r="AJ257" t="str">
        <f t="shared" si="35"/>
        <v/>
      </c>
    </row>
    <row r="258" spans="1:36">
      <c r="A258" s="5">
        <v>257</v>
      </c>
      <c r="B258" s="5" t="s">
        <v>2431</v>
      </c>
      <c r="C258" s="5" t="s">
        <v>2229</v>
      </c>
      <c r="D258" s="5" t="s">
        <v>2403</v>
      </c>
      <c r="E258" s="5" t="s">
        <v>1939</v>
      </c>
      <c r="F258" s="5" t="str">
        <f t="shared" ref="F258:F321" si="36">_xlfn.CONCAT(C258,"-",E258)</f>
        <v>Capacity Building-Principal Officer</v>
      </c>
      <c r="G258" s="5" t="s">
        <v>56</v>
      </c>
      <c r="H258" s="9">
        <v>44705.632962962962</v>
      </c>
      <c r="I258" s="9">
        <v>44708.632962962962</v>
      </c>
      <c r="J258" s="9" t="e">
        <f>I258+#REF!</f>
        <v>#REF!</v>
      </c>
      <c r="K258" s="9" t="e">
        <f>J258+#REF!</f>
        <v>#REF!</v>
      </c>
      <c r="L258" s="10" t="s">
        <v>41</v>
      </c>
      <c r="M258" s="11">
        <v>44728.632962962962</v>
      </c>
      <c r="N258" s="5" t="s">
        <v>42</v>
      </c>
      <c r="O258" s="5" t="s">
        <v>98</v>
      </c>
      <c r="P258" s="9"/>
      <c r="Q258" s="5"/>
      <c r="R258" s="5"/>
      <c r="S258" s="5"/>
      <c r="T258" s="9">
        <v>44732.632962962962</v>
      </c>
      <c r="U258" s="5"/>
      <c r="V258" s="5">
        <v>0</v>
      </c>
      <c r="W258" s="5"/>
      <c r="X258" s="5"/>
      <c r="Y258" s="5"/>
      <c r="Z258" s="5"/>
      <c r="AA258" s="5" t="s">
        <v>62</v>
      </c>
      <c r="AC258">
        <f t="shared" ref="AC258:AC321" si="37">IF(AND(ISNUMBER(M258), ISNUMBER(I258)), M258 - I258, "")</f>
        <v>20</v>
      </c>
      <c r="AD258" t="str">
        <f t="shared" si="29"/>
        <v/>
      </c>
      <c r="AE258">
        <f t="shared" si="30"/>
        <v>4</v>
      </c>
      <c r="AF258" t="str">
        <f t="shared" si="31"/>
        <v/>
      </c>
      <c r="AG258" t="str">
        <f t="shared" si="32"/>
        <v/>
      </c>
      <c r="AH258">
        <f t="shared" si="33"/>
        <v>3</v>
      </c>
      <c r="AI258" t="str">
        <f t="shared" si="34"/>
        <v/>
      </c>
      <c r="AJ258" t="str">
        <f t="shared" si="35"/>
        <v/>
      </c>
    </row>
    <row r="259" spans="1:36">
      <c r="A259" s="5">
        <v>258</v>
      </c>
      <c r="B259" s="5" t="s">
        <v>2239</v>
      </c>
      <c r="C259" s="5" t="s">
        <v>2229</v>
      </c>
      <c r="D259" s="5" t="s">
        <v>2230</v>
      </c>
      <c r="E259" s="5" t="s">
        <v>102</v>
      </c>
      <c r="F259" s="5" t="str">
        <f t="shared" si="36"/>
        <v>Capacity Building-Senior Manager</v>
      </c>
      <c r="G259" s="5" t="s">
        <v>103</v>
      </c>
      <c r="H259" s="9">
        <v>44705.632962962962</v>
      </c>
      <c r="I259" s="9">
        <v>44709.632962962962</v>
      </c>
      <c r="J259" s="9" t="e">
        <f>I259+#REF!</f>
        <v>#REF!</v>
      </c>
      <c r="K259" s="9" t="e">
        <f>J259+#REF!</f>
        <v>#REF!</v>
      </c>
      <c r="L259" s="10" t="s">
        <v>52</v>
      </c>
      <c r="M259" s="11"/>
      <c r="N259" s="5"/>
      <c r="O259" s="5"/>
      <c r="P259" s="9"/>
      <c r="Q259" s="5"/>
      <c r="R259" s="5"/>
      <c r="S259" s="5"/>
      <c r="T259" s="9"/>
      <c r="U259" s="5"/>
      <c r="V259" s="5">
        <v>0</v>
      </c>
      <c r="W259" s="5"/>
      <c r="X259" s="5"/>
      <c r="Y259" s="5"/>
      <c r="Z259" s="5"/>
      <c r="AA259" s="5"/>
      <c r="AC259" t="str">
        <f t="shared" si="37"/>
        <v/>
      </c>
      <c r="AD259" t="str">
        <f t="shared" ref="AD259:AD322" si="38">IF(AND(ISNUMBER(S259), ISNUMBER(I259)), S259 - I259, "")</f>
        <v/>
      </c>
      <c r="AE259" t="str">
        <f t="shared" ref="AE259:AE322" si="39">IF(AND(ISNUMBER(T259), ISNUMBER(M259)), T259-M259, "")</f>
        <v/>
      </c>
      <c r="AF259" t="str">
        <f t="shared" ref="AF259:AF322" si="40">IF(AND(ISNUMBER(X259), ISNUMBER(U259)), X259-U259,"")</f>
        <v/>
      </c>
      <c r="AG259" t="str">
        <f t="shared" ref="AG259:AG322" si="41">IF(AND(ISNUMBER(W259), ISNUMBER(U259)), W259-U259, "")</f>
        <v/>
      </c>
      <c r="AH259">
        <f t="shared" ref="AH259:AH322" si="42">IF(AND(ISNUMBER(I259), ISNUMBER(H259)), I259-H259,"")</f>
        <v>4</v>
      </c>
      <c r="AI259" t="str">
        <f t="shared" ref="AI259:AI322" si="43">IF(AND(ISNUMBER(J259),ISNUMBER(K259)),K259-J259,"")</f>
        <v/>
      </c>
      <c r="AJ259" t="str">
        <f t="shared" ref="AJ259:AJ322" si="44">IF(AND(ISNUMBER(J259),ISNUMBER(I259)), J259-I259,"")</f>
        <v/>
      </c>
    </row>
    <row r="260" spans="1:36">
      <c r="A260" s="5">
        <v>259</v>
      </c>
      <c r="B260" s="5" t="s">
        <v>2482</v>
      </c>
      <c r="C260" s="5" t="s">
        <v>2229</v>
      </c>
      <c r="D260" s="5" t="s">
        <v>2445</v>
      </c>
      <c r="E260" s="5" t="s">
        <v>39</v>
      </c>
      <c r="F260" s="5" t="str">
        <f t="shared" si="36"/>
        <v>Capacity Building-Analyst</v>
      </c>
      <c r="G260" s="5" t="s">
        <v>47</v>
      </c>
      <c r="H260" s="9">
        <v>44704.632962962962</v>
      </c>
      <c r="I260" s="9">
        <v>44707.632962962962</v>
      </c>
      <c r="J260" s="9" t="e">
        <f>I260+#REF!</f>
        <v>#REF!</v>
      </c>
      <c r="K260" s="9" t="e">
        <f>J260+#REF!</f>
        <v>#REF!</v>
      </c>
      <c r="L260" s="10" t="s">
        <v>52</v>
      </c>
      <c r="M260" s="11"/>
      <c r="N260" s="5"/>
      <c r="O260" s="5"/>
      <c r="P260" s="9"/>
      <c r="Q260" s="5"/>
      <c r="R260" s="5"/>
      <c r="S260" s="5"/>
      <c r="T260" s="9"/>
      <c r="U260" s="5"/>
      <c r="V260" s="5">
        <v>0</v>
      </c>
      <c r="W260" s="5"/>
      <c r="X260" s="5"/>
      <c r="Y260" s="5"/>
      <c r="Z260" s="5"/>
      <c r="AA260" s="5"/>
      <c r="AC260" t="str">
        <f t="shared" si="37"/>
        <v/>
      </c>
      <c r="AD260" t="str">
        <f t="shared" si="38"/>
        <v/>
      </c>
      <c r="AE260" t="str">
        <f t="shared" si="39"/>
        <v/>
      </c>
      <c r="AF260" t="str">
        <f t="shared" si="40"/>
        <v/>
      </c>
      <c r="AG260" t="str">
        <f t="shared" si="41"/>
        <v/>
      </c>
      <c r="AH260">
        <f t="shared" si="42"/>
        <v>3</v>
      </c>
      <c r="AI260" t="str">
        <f t="shared" si="43"/>
        <v/>
      </c>
      <c r="AJ260" t="str">
        <f t="shared" si="44"/>
        <v/>
      </c>
    </row>
    <row r="261" spans="1:36">
      <c r="A261" s="5">
        <v>260</v>
      </c>
      <c r="B261" s="5" t="s">
        <v>2340</v>
      </c>
      <c r="C261" s="5" t="s">
        <v>2229</v>
      </c>
      <c r="D261" s="5" t="s">
        <v>2302</v>
      </c>
      <c r="E261" s="5" t="s">
        <v>269</v>
      </c>
      <c r="F261" s="5" t="str">
        <f t="shared" si="36"/>
        <v>Capacity Building-Manager</v>
      </c>
      <c r="G261" s="5" t="s">
        <v>270</v>
      </c>
      <c r="H261" s="9">
        <v>44704.632962962962</v>
      </c>
      <c r="I261" s="9">
        <v>44708.632962962962</v>
      </c>
      <c r="J261" s="9" t="e">
        <f>I261+#REF!</f>
        <v>#REF!</v>
      </c>
      <c r="K261" s="9" t="e">
        <f>J261+#REF!</f>
        <v>#REF!</v>
      </c>
      <c r="L261" s="10" t="s">
        <v>41</v>
      </c>
      <c r="M261" s="11">
        <v>44728.632962962962</v>
      </c>
      <c r="N261" s="5" t="s">
        <v>48</v>
      </c>
      <c r="O261" s="5"/>
      <c r="P261" s="9">
        <v>44733.632962962962</v>
      </c>
      <c r="Q261" s="5" t="s">
        <v>48</v>
      </c>
      <c r="R261" s="5"/>
      <c r="S261" s="5"/>
      <c r="T261" s="9">
        <v>44730.632962962962</v>
      </c>
      <c r="U261" s="5"/>
      <c r="V261" s="5">
        <v>0</v>
      </c>
      <c r="W261" s="5"/>
      <c r="X261" s="5"/>
      <c r="Y261" s="5"/>
      <c r="Z261" s="5"/>
      <c r="AA261" s="5"/>
      <c r="AC261">
        <f t="shared" si="37"/>
        <v>20</v>
      </c>
      <c r="AD261" t="str">
        <f t="shared" si="38"/>
        <v/>
      </c>
      <c r="AE261">
        <f t="shared" si="39"/>
        <v>2</v>
      </c>
      <c r="AF261" t="str">
        <f t="shared" si="40"/>
        <v/>
      </c>
      <c r="AG261" t="str">
        <f t="shared" si="41"/>
        <v/>
      </c>
      <c r="AH261">
        <f t="shared" si="42"/>
        <v>4</v>
      </c>
      <c r="AI261" t="str">
        <f t="shared" si="43"/>
        <v/>
      </c>
      <c r="AJ261" t="str">
        <f t="shared" si="44"/>
        <v/>
      </c>
    </row>
    <row r="262" spans="1:36">
      <c r="A262" s="5">
        <v>261</v>
      </c>
      <c r="B262" s="5" t="s">
        <v>2339</v>
      </c>
      <c r="C262" s="5" t="s">
        <v>2229</v>
      </c>
      <c r="D262" s="5" t="s">
        <v>2302</v>
      </c>
      <c r="E262" s="5" t="s">
        <v>269</v>
      </c>
      <c r="F262" s="5" t="str">
        <f t="shared" si="36"/>
        <v>Capacity Building-Manager</v>
      </c>
      <c r="G262" s="5" t="s">
        <v>270</v>
      </c>
      <c r="H262" s="9">
        <v>44767.282581018517</v>
      </c>
      <c r="I262" s="9">
        <v>44769.282581018517</v>
      </c>
      <c r="J262" s="9" t="e">
        <f>I262+#REF!</f>
        <v>#REF!</v>
      </c>
      <c r="K262" s="9" t="e">
        <f>J262+#REF!</f>
        <v>#REF!</v>
      </c>
      <c r="L262" s="10" t="s">
        <v>52</v>
      </c>
      <c r="M262" s="11"/>
      <c r="N262" s="5"/>
      <c r="O262" s="5"/>
      <c r="P262" s="9"/>
      <c r="Q262" s="5"/>
      <c r="R262" s="5"/>
      <c r="S262" s="5"/>
      <c r="T262" s="9"/>
      <c r="U262" s="5"/>
      <c r="V262" s="5">
        <v>0</v>
      </c>
      <c r="W262" s="5"/>
      <c r="X262" s="5"/>
      <c r="Y262" s="5"/>
      <c r="Z262" s="5"/>
      <c r="AA262" s="5"/>
      <c r="AC262" t="str">
        <f t="shared" si="37"/>
        <v/>
      </c>
      <c r="AD262" t="str">
        <f t="shared" si="38"/>
        <v/>
      </c>
      <c r="AE262" t="str">
        <f t="shared" si="39"/>
        <v/>
      </c>
      <c r="AF262" t="str">
        <f t="shared" si="40"/>
        <v/>
      </c>
      <c r="AG262" t="str">
        <f t="shared" si="41"/>
        <v/>
      </c>
      <c r="AH262">
        <f t="shared" si="42"/>
        <v>2</v>
      </c>
      <c r="AI262" t="str">
        <f t="shared" si="43"/>
        <v/>
      </c>
      <c r="AJ262" t="str">
        <f t="shared" si="44"/>
        <v/>
      </c>
    </row>
    <row r="263" spans="1:36">
      <c r="A263" s="5">
        <v>262</v>
      </c>
      <c r="B263" s="5" t="s">
        <v>2430</v>
      </c>
      <c r="C263" s="5" t="s">
        <v>2229</v>
      </c>
      <c r="D263" s="5" t="s">
        <v>2403</v>
      </c>
      <c r="E263" s="5" t="s">
        <v>1939</v>
      </c>
      <c r="F263" s="5" t="str">
        <f t="shared" si="36"/>
        <v>Capacity Building-Principal Officer</v>
      </c>
      <c r="G263" s="5" t="s">
        <v>56</v>
      </c>
      <c r="H263" s="9">
        <v>44763.282581018517</v>
      </c>
      <c r="I263" s="9">
        <v>44764.282581018517</v>
      </c>
      <c r="J263" s="9" t="e">
        <f>I263+#REF!</f>
        <v>#REF!</v>
      </c>
      <c r="K263" s="9" t="e">
        <f>J263+#REF!</f>
        <v>#REF!</v>
      </c>
      <c r="L263" s="10" t="s">
        <v>41</v>
      </c>
      <c r="M263" s="11">
        <v>44773.282581018517</v>
      </c>
      <c r="N263" s="5" t="s">
        <v>42</v>
      </c>
      <c r="O263" s="5" t="s">
        <v>58</v>
      </c>
      <c r="P263" s="9"/>
      <c r="Q263" s="5"/>
      <c r="R263" s="5"/>
      <c r="S263" s="5"/>
      <c r="T263" s="9">
        <v>44775.282581018517</v>
      </c>
      <c r="U263" s="5"/>
      <c r="V263" s="5">
        <v>0</v>
      </c>
      <c r="W263" s="5"/>
      <c r="X263" s="5"/>
      <c r="Y263" s="5"/>
      <c r="Z263" s="5"/>
      <c r="AA263" s="5" t="s">
        <v>44</v>
      </c>
      <c r="AC263">
        <f t="shared" si="37"/>
        <v>9</v>
      </c>
      <c r="AD263" t="str">
        <f t="shared" si="38"/>
        <v/>
      </c>
      <c r="AE263">
        <f t="shared" si="39"/>
        <v>2</v>
      </c>
      <c r="AF263" t="str">
        <f t="shared" si="40"/>
        <v/>
      </c>
      <c r="AG263" t="str">
        <f t="shared" si="41"/>
        <v/>
      </c>
      <c r="AH263">
        <f t="shared" si="42"/>
        <v>1</v>
      </c>
      <c r="AI263" t="str">
        <f t="shared" si="43"/>
        <v/>
      </c>
      <c r="AJ263" t="str">
        <f t="shared" si="44"/>
        <v/>
      </c>
    </row>
    <row r="264" spans="1:36">
      <c r="A264" s="5">
        <v>263</v>
      </c>
      <c r="B264" s="5" t="s">
        <v>2338</v>
      </c>
      <c r="C264" s="5" t="s">
        <v>2229</v>
      </c>
      <c r="D264" s="5" t="s">
        <v>2302</v>
      </c>
      <c r="E264" s="5" t="s">
        <v>269</v>
      </c>
      <c r="F264" s="5" t="str">
        <f t="shared" si="36"/>
        <v>Capacity Building-Manager</v>
      </c>
      <c r="G264" s="5" t="s">
        <v>270</v>
      </c>
      <c r="H264" s="9">
        <v>44761.282581018517</v>
      </c>
      <c r="I264" s="9">
        <v>44764.282581018517</v>
      </c>
      <c r="J264" s="9" t="e">
        <f>I264+#REF!</f>
        <v>#REF!</v>
      </c>
      <c r="K264" s="9" t="e">
        <f>J264+#REF!</f>
        <v>#REF!</v>
      </c>
      <c r="L264" s="10" t="s">
        <v>41</v>
      </c>
      <c r="M264" s="11">
        <v>44785.282581018517</v>
      </c>
      <c r="N264" s="5" t="s">
        <v>48</v>
      </c>
      <c r="O264" s="5"/>
      <c r="P264" s="9">
        <v>44791.282581018517</v>
      </c>
      <c r="Q264" s="5" t="s">
        <v>48</v>
      </c>
      <c r="R264" s="5"/>
      <c r="S264" s="5"/>
      <c r="T264" s="9">
        <v>44788.282581018517</v>
      </c>
      <c r="U264" s="5"/>
      <c r="V264" s="5">
        <v>0</v>
      </c>
      <c r="W264" s="5"/>
      <c r="X264" s="5"/>
      <c r="Y264" s="5"/>
      <c r="Z264" s="5"/>
      <c r="AA264" s="5"/>
      <c r="AC264">
        <f t="shared" si="37"/>
        <v>21</v>
      </c>
      <c r="AD264" t="str">
        <f t="shared" si="38"/>
        <v/>
      </c>
      <c r="AE264">
        <f t="shared" si="39"/>
        <v>3</v>
      </c>
      <c r="AF264" t="str">
        <f t="shared" si="40"/>
        <v/>
      </c>
      <c r="AG264" t="str">
        <f t="shared" si="41"/>
        <v/>
      </c>
      <c r="AH264">
        <f t="shared" si="42"/>
        <v>3</v>
      </c>
      <c r="AI264" t="str">
        <f t="shared" si="43"/>
        <v/>
      </c>
      <c r="AJ264" t="str">
        <f t="shared" si="44"/>
        <v/>
      </c>
    </row>
    <row r="265" spans="1:36">
      <c r="A265" s="5">
        <v>264</v>
      </c>
      <c r="B265" s="5" t="s">
        <v>2238</v>
      </c>
      <c r="C265" s="5" t="s">
        <v>2229</v>
      </c>
      <c r="D265" s="5" t="s">
        <v>2230</v>
      </c>
      <c r="E265" s="5" t="s">
        <v>102</v>
      </c>
      <c r="F265" s="5" t="str">
        <f t="shared" si="36"/>
        <v>Capacity Building-Senior Manager</v>
      </c>
      <c r="G265" s="5" t="s">
        <v>103</v>
      </c>
      <c r="H265" s="9">
        <v>44763.282581018517</v>
      </c>
      <c r="I265" s="9">
        <v>44767.282581018517</v>
      </c>
      <c r="J265" s="9" t="e">
        <f>I265+#REF!</f>
        <v>#REF!</v>
      </c>
      <c r="K265" s="9" t="e">
        <f>J265+#REF!</f>
        <v>#REF!</v>
      </c>
      <c r="L265" s="10" t="s">
        <v>41</v>
      </c>
      <c r="M265" s="11">
        <v>44784.282581018517</v>
      </c>
      <c r="N265" s="5" t="s">
        <v>48</v>
      </c>
      <c r="O265" s="5"/>
      <c r="P265" s="9">
        <v>44789.282581018517</v>
      </c>
      <c r="Q265" s="5" t="s">
        <v>48</v>
      </c>
      <c r="R265" s="5"/>
      <c r="S265" s="5"/>
      <c r="T265" s="9">
        <v>44785.282581018517</v>
      </c>
      <c r="U265" s="5"/>
      <c r="V265" s="5">
        <v>0</v>
      </c>
      <c r="W265" s="5"/>
      <c r="X265" s="5"/>
      <c r="Y265" s="5"/>
      <c r="Z265" s="5"/>
      <c r="AA265" s="5"/>
      <c r="AC265">
        <f t="shared" si="37"/>
        <v>17</v>
      </c>
      <c r="AD265" t="str">
        <f t="shared" si="38"/>
        <v/>
      </c>
      <c r="AE265">
        <f t="shared" si="39"/>
        <v>1</v>
      </c>
      <c r="AF265" t="str">
        <f t="shared" si="40"/>
        <v/>
      </c>
      <c r="AG265" t="str">
        <f t="shared" si="41"/>
        <v/>
      </c>
      <c r="AH265">
        <f t="shared" si="42"/>
        <v>4</v>
      </c>
      <c r="AI265" t="str">
        <f t="shared" si="43"/>
        <v/>
      </c>
      <c r="AJ265" t="str">
        <f t="shared" si="44"/>
        <v/>
      </c>
    </row>
    <row r="266" spans="1:36">
      <c r="A266" s="5">
        <v>265</v>
      </c>
      <c r="B266" s="5" t="s">
        <v>2237</v>
      </c>
      <c r="C266" s="5" t="s">
        <v>2229</v>
      </c>
      <c r="D266" s="5" t="s">
        <v>2230</v>
      </c>
      <c r="E266" s="5" t="s">
        <v>102</v>
      </c>
      <c r="F266" s="5" t="str">
        <f t="shared" si="36"/>
        <v>Capacity Building-Senior Manager</v>
      </c>
      <c r="G266" s="5" t="s">
        <v>103</v>
      </c>
      <c r="H266" s="9">
        <v>44767.282581018517</v>
      </c>
      <c r="I266" s="9">
        <v>44768.282581018517</v>
      </c>
      <c r="J266" s="9" t="e">
        <f>I266+#REF!</f>
        <v>#REF!</v>
      </c>
      <c r="K266" s="9" t="e">
        <f>J266+#REF!</f>
        <v>#REF!</v>
      </c>
      <c r="L266" s="10" t="s">
        <v>41</v>
      </c>
      <c r="M266" s="11">
        <v>44777.282581018517</v>
      </c>
      <c r="N266" s="5" t="s">
        <v>48</v>
      </c>
      <c r="O266" s="5"/>
      <c r="P266" s="9">
        <v>44779.282581018517</v>
      </c>
      <c r="Q266" s="5" t="s">
        <v>48</v>
      </c>
      <c r="R266" s="5"/>
      <c r="S266" s="5"/>
      <c r="T266" s="9">
        <v>44778.282581018517</v>
      </c>
      <c r="U266" s="5"/>
      <c r="V266" s="5">
        <v>0</v>
      </c>
      <c r="W266" s="5"/>
      <c r="X266" s="5"/>
      <c r="Y266" s="5"/>
      <c r="Z266" s="5"/>
      <c r="AA266" s="5"/>
      <c r="AC266">
        <f t="shared" si="37"/>
        <v>9</v>
      </c>
      <c r="AD266" t="str">
        <f t="shared" si="38"/>
        <v/>
      </c>
      <c r="AE266">
        <f t="shared" si="39"/>
        <v>1</v>
      </c>
      <c r="AF266" t="str">
        <f t="shared" si="40"/>
        <v/>
      </c>
      <c r="AG266" t="str">
        <f t="shared" si="41"/>
        <v/>
      </c>
      <c r="AH266">
        <f t="shared" si="42"/>
        <v>1</v>
      </c>
      <c r="AI266" t="str">
        <f t="shared" si="43"/>
        <v/>
      </c>
      <c r="AJ266" t="str">
        <f t="shared" si="44"/>
        <v/>
      </c>
    </row>
    <row r="267" spans="1:36">
      <c r="A267" s="5">
        <v>266</v>
      </c>
      <c r="B267" s="5" t="s">
        <v>2286</v>
      </c>
      <c r="C267" s="5" t="s">
        <v>2229</v>
      </c>
      <c r="D267" s="5" t="s">
        <v>2250</v>
      </c>
      <c r="E267" s="5" t="s">
        <v>1146</v>
      </c>
      <c r="F267" s="5" t="str">
        <f t="shared" si="36"/>
        <v>Capacity Building-Quality Assurance</v>
      </c>
      <c r="G267" s="5" t="s">
        <v>147</v>
      </c>
      <c r="H267" s="9">
        <v>44763.282581018517</v>
      </c>
      <c r="I267" s="9">
        <v>44766.282581018517</v>
      </c>
      <c r="J267" s="9" t="e">
        <f>I267+#REF!</f>
        <v>#REF!</v>
      </c>
      <c r="K267" s="9" t="e">
        <f>J267+#REF!</f>
        <v>#REF!</v>
      </c>
      <c r="L267" s="10" t="s">
        <v>41</v>
      </c>
      <c r="M267" s="11">
        <v>44779.282581018517</v>
      </c>
      <c r="N267" s="5" t="s">
        <v>48</v>
      </c>
      <c r="O267" s="5"/>
      <c r="P267" s="9">
        <v>44785.282581018517</v>
      </c>
      <c r="Q267" s="5" t="s">
        <v>48</v>
      </c>
      <c r="R267" s="5"/>
      <c r="S267" s="5"/>
      <c r="T267" s="9">
        <v>44781.282581018517</v>
      </c>
      <c r="U267" s="5"/>
      <c r="V267" s="5">
        <v>0</v>
      </c>
      <c r="W267" s="5"/>
      <c r="X267" s="5"/>
      <c r="Y267" s="5"/>
      <c r="Z267" s="5"/>
      <c r="AA267" s="5"/>
      <c r="AC267">
        <f t="shared" si="37"/>
        <v>13</v>
      </c>
      <c r="AD267" t="str">
        <f t="shared" si="38"/>
        <v/>
      </c>
      <c r="AE267">
        <f t="shared" si="39"/>
        <v>2</v>
      </c>
      <c r="AF267" t="str">
        <f t="shared" si="40"/>
        <v/>
      </c>
      <c r="AG267" t="str">
        <f t="shared" si="41"/>
        <v/>
      </c>
      <c r="AH267">
        <f t="shared" si="42"/>
        <v>3</v>
      </c>
      <c r="AI267" t="str">
        <f t="shared" si="43"/>
        <v/>
      </c>
      <c r="AJ267" t="str">
        <f t="shared" si="44"/>
        <v/>
      </c>
    </row>
    <row r="268" spans="1:36">
      <c r="A268" s="5">
        <v>267</v>
      </c>
      <c r="B268" s="5" t="s">
        <v>2337</v>
      </c>
      <c r="C268" s="5" t="s">
        <v>2229</v>
      </c>
      <c r="D268" s="5" t="s">
        <v>2302</v>
      </c>
      <c r="E268" s="5" t="s">
        <v>269</v>
      </c>
      <c r="F268" s="5" t="str">
        <f t="shared" si="36"/>
        <v>Capacity Building-Manager</v>
      </c>
      <c r="G268" s="5" t="s">
        <v>270</v>
      </c>
      <c r="H268" s="9">
        <v>44766.282581018517</v>
      </c>
      <c r="I268" s="9">
        <v>44767.282581018517</v>
      </c>
      <c r="J268" s="9" t="e">
        <f>I268+#REF!</f>
        <v>#REF!</v>
      </c>
      <c r="K268" s="9" t="e">
        <f>J268+#REF!</f>
        <v>#REF!</v>
      </c>
      <c r="L268" s="10" t="s">
        <v>41</v>
      </c>
      <c r="M268" s="11">
        <v>44775.282581018517</v>
      </c>
      <c r="N268" s="5" t="s">
        <v>42</v>
      </c>
      <c r="O268" s="5" t="s">
        <v>73</v>
      </c>
      <c r="P268" s="9"/>
      <c r="Q268" s="5"/>
      <c r="R268" s="5"/>
      <c r="S268" s="5"/>
      <c r="T268" s="9">
        <v>44779.282581018517</v>
      </c>
      <c r="U268" s="5"/>
      <c r="V268" s="5">
        <v>0</v>
      </c>
      <c r="W268" s="5"/>
      <c r="X268" s="5"/>
      <c r="Y268" s="5"/>
      <c r="Z268" s="5"/>
      <c r="AA268" s="5" t="s">
        <v>44</v>
      </c>
      <c r="AC268">
        <f t="shared" si="37"/>
        <v>8</v>
      </c>
      <c r="AD268" t="str">
        <f t="shared" si="38"/>
        <v/>
      </c>
      <c r="AE268">
        <f t="shared" si="39"/>
        <v>4</v>
      </c>
      <c r="AF268" t="str">
        <f t="shared" si="40"/>
        <v/>
      </c>
      <c r="AG268" t="str">
        <f t="shared" si="41"/>
        <v/>
      </c>
      <c r="AH268">
        <f t="shared" si="42"/>
        <v>1</v>
      </c>
      <c r="AI268" t="str">
        <f t="shared" si="43"/>
        <v/>
      </c>
      <c r="AJ268" t="str">
        <f t="shared" si="44"/>
        <v/>
      </c>
    </row>
    <row r="269" spans="1:36">
      <c r="A269" s="5">
        <v>268</v>
      </c>
      <c r="B269" s="5" t="s">
        <v>2429</v>
      </c>
      <c r="C269" s="5" t="s">
        <v>2229</v>
      </c>
      <c r="D269" s="5" t="s">
        <v>2403</v>
      </c>
      <c r="E269" s="5" t="s">
        <v>1939</v>
      </c>
      <c r="F269" s="5" t="str">
        <f t="shared" si="36"/>
        <v>Capacity Building-Principal Officer</v>
      </c>
      <c r="G269" s="5" t="s">
        <v>56</v>
      </c>
      <c r="H269" s="9">
        <v>44767.282581018517</v>
      </c>
      <c r="I269" s="9">
        <v>44769.282581018517</v>
      </c>
      <c r="J269" s="9" t="e">
        <f>I269+#REF!</f>
        <v>#REF!</v>
      </c>
      <c r="K269" s="9" t="e">
        <f>J269+#REF!</f>
        <v>#REF!</v>
      </c>
      <c r="L269" s="10" t="s">
        <v>52</v>
      </c>
      <c r="M269" s="11"/>
      <c r="N269" s="5"/>
      <c r="O269" s="5"/>
      <c r="P269" s="9"/>
      <c r="Q269" s="5"/>
      <c r="R269" s="5"/>
      <c r="S269" s="5"/>
      <c r="T269" s="9"/>
      <c r="U269" s="5"/>
      <c r="V269" s="5">
        <v>0</v>
      </c>
      <c r="W269" s="5"/>
      <c r="X269" s="5"/>
      <c r="Y269" s="5"/>
      <c r="Z269" s="5"/>
      <c r="AA269" s="5"/>
      <c r="AC269" t="str">
        <f t="shared" si="37"/>
        <v/>
      </c>
      <c r="AD269" t="str">
        <f t="shared" si="38"/>
        <v/>
      </c>
      <c r="AE269" t="str">
        <f t="shared" si="39"/>
        <v/>
      </c>
      <c r="AF269" t="str">
        <f t="shared" si="40"/>
        <v/>
      </c>
      <c r="AG269" t="str">
        <f t="shared" si="41"/>
        <v/>
      </c>
      <c r="AH269">
        <f t="shared" si="42"/>
        <v>2</v>
      </c>
      <c r="AI269" t="str">
        <f t="shared" si="43"/>
        <v/>
      </c>
      <c r="AJ269" t="str">
        <f t="shared" si="44"/>
        <v/>
      </c>
    </row>
    <row r="270" spans="1:36">
      <c r="A270" s="5">
        <v>269</v>
      </c>
      <c r="B270" s="5" t="s">
        <v>2285</v>
      </c>
      <c r="C270" s="5" t="s">
        <v>2229</v>
      </c>
      <c r="D270" s="5" t="s">
        <v>2250</v>
      </c>
      <c r="E270" s="5" t="s">
        <v>1146</v>
      </c>
      <c r="F270" s="5" t="str">
        <f t="shared" si="36"/>
        <v>Capacity Building-Quality Assurance</v>
      </c>
      <c r="G270" s="5" t="s">
        <v>147</v>
      </c>
      <c r="H270" s="9">
        <v>44768.282581018517</v>
      </c>
      <c r="I270" s="9">
        <v>44769.282581018517</v>
      </c>
      <c r="J270" s="9" t="e">
        <f>I270+#REF!</f>
        <v>#REF!</v>
      </c>
      <c r="K270" s="9" t="e">
        <f>J270+#REF!</f>
        <v>#REF!</v>
      </c>
      <c r="L270" s="10" t="s">
        <v>41</v>
      </c>
      <c r="M270" s="11">
        <v>44779.282581018517</v>
      </c>
      <c r="N270" s="5" t="s">
        <v>64</v>
      </c>
      <c r="O270" s="5"/>
      <c r="P270" s="9">
        <v>44785.282581018517</v>
      </c>
      <c r="Q270" s="5" t="s">
        <v>64</v>
      </c>
      <c r="R270" s="9">
        <v>44781.282581018517</v>
      </c>
      <c r="S270" s="9">
        <v>44783.282581018517</v>
      </c>
      <c r="T270" s="9">
        <v>44782.282581018517</v>
      </c>
      <c r="U270" s="9">
        <v>44790.282581018517</v>
      </c>
      <c r="V270" s="12">
        <v>1</v>
      </c>
      <c r="W270" s="9">
        <v>44794.282581018517</v>
      </c>
      <c r="X270" s="9">
        <v>44795.282581018517</v>
      </c>
      <c r="Y270" s="9">
        <v>44796.282581018517</v>
      </c>
      <c r="Z270" s="5"/>
      <c r="AA270" s="5"/>
      <c r="AB270" s="13">
        <v>44818.282581018517</v>
      </c>
      <c r="AC270">
        <f t="shared" si="37"/>
        <v>10</v>
      </c>
      <c r="AD270">
        <f t="shared" si="38"/>
        <v>14</v>
      </c>
      <c r="AE270">
        <f t="shared" si="39"/>
        <v>3</v>
      </c>
      <c r="AF270">
        <f t="shared" si="40"/>
        <v>5</v>
      </c>
      <c r="AG270">
        <f t="shared" si="41"/>
        <v>4</v>
      </c>
      <c r="AH270">
        <f t="shared" si="42"/>
        <v>1</v>
      </c>
      <c r="AI270" t="str">
        <f t="shared" si="43"/>
        <v/>
      </c>
      <c r="AJ270" t="str">
        <f t="shared" si="44"/>
        <v/>
      </c>
    </row>
    <row r="271" spans="1:36">
      <c r="A271" s="5">
        <v>270</v>
      </c>
      <c r="B271" s="5" t="s">
        <v>2481</v>
      </c>
      <c r="C271" s="5" t="s">
        <v>2229</v>
      </c>
      <c r="D271" s="5" t="s">
        <v>2445</v>
      </c>
      <c r="E271" s="5" t="s">
        <v>39</v>
      </c>
      <c r="F271" s="5" t="str">
        <f t="shared" si="36"/>
        <v>Capacity Building-Analyst</v>
      </c>
      <c r="G271" s="5" t="s">
        <v>47</v>
      </c>
      <c r="H271" s="9">
        <v>44765.282581018517</v>
      </c>
      <c r="I271" s="9">
        <v>44769.282581018517</v>
      </c>
      <c r="J271" s="9" t="e">
        <f>I271+#REF!</f>
        <v>#REF!</v>
      </c>
      <c r="K271" s="9" t="e">
        <f>J271+#REF!</f>
        <v>#REF!</v>
      </c>
      <c r="L271" s="10" t="s">
        <v>52</v>
      </c>
      <c r="M271" s="11"/>
      <c r="N271" s="5"/>
      <c r="O271" s="5"/>
      <c r="P271" s="9"/>
      <c r="Q271" s="5"/>
      <c r="R271" s="5"/>
      <c r="S271" s="5"/>
      <c r="T271" s="9"/>
      <c r="U271" s="5"/>
      <c r="V271" s="5">
        <v>0</v>
      </c>
      <c r="W271" s="5"/>
      <c r="X271" s="5"/>
      <c r="Y271" s="5"/>
      <c r="Z271" s="5"/>
      <c r="AA271" s="5"/>
      <c r="AC271" t="str">
        <f t="shared" si="37"/>
        <v/>
      </c>
      <c r="AD271" t="str">
        <f t="shared" si="38"/>
        <v/>
      </c>
      <c r="AE271" t="str">
        <f t="shared" si="39"/>
        <v/>
      </c>
      <c r="AF271" t="str">
        <f t="shared" si="40"/>
        <v/>
      </c>
      <c r="AG271" t="str">
        <f t="shared" si="41"/>
        <v/>
      </c>
      <c r="AH271">
        <f t="shared" si="42"/>
        <v>4</v>
      </c>
      <c r="AI271" t="str">
        <f t="shared" si="43"/>
        <v/>
      </c>
      <c r="AJ271" t="str">
        <f t="shared" si="44"/>
        <v/>
      </c>
    </row>
    <row r="272" spans="1:36">
      <c r="A272" s="5">
        <v>271</v>
      </c>
      <c r="B272" s="5" t="s">
        <v>2103</v>
      </c>
      <c r="C272" s="10" t="s">
        <v>2089</v>
      </c>
      <c r="D272" s="5" t="s">
        <v>2090</v>
      </c>
      <c r="E272" s="5" t="s">
        <v>102</v>
      </c>
      <c r="F272" s="5" t="str">
        <f t="shared" si="36"/>
        <v>Communication and Advocacy-Senior Manager</v>
      </c>
      <c r="G272" s="5" t="s">
        <v>103</v>
      </c>
      <c r="H272" s="9">
        <v>44846.592418981483</v>
      </c>
      <c r="I272" s="9">
        <v>44849.592418981483</v>
      </c>
      <c r="J272" s="9" t="e">
        <f>I272+#REF!</f>
        <v>#REF!</v>
      </c>
      <c r="K272" s="9" t="e">
        <f>J272+#REF!</f>
        <v>#REF!</v>
      </c>
      <c r="L272" s="10" t="s">
        <v>41</v>
      </c>
      <c r="M272" s="11">
        <v>44861.592418981483</v>
      </c>
      <c r="N272" s="5" t="s">
        <v>64</v>
      </c>
      <c r="O272" s="5"/>
      <c r="P272" s="9">
        <v>44865.592418981483</v>
      </c>
      <c r="Q272" s="5" t="s">
        <v>64</v>
      </c>
      <c r="R272" s="9">
        <v>44863.592418981483</v>
      </c>
      <c r="S272" s="9">
        <v>44866.592418981483</v>
      </c>
      <c r="T272" s="9">
        <v>44862.592418981483</v>
      </c>
      <c r="U272" s="9">
        <v>44867.592418981483</v>
      </c>
      <c r="V272" s="12">
        <v>1</v>
      </c>
      <c r="W272" s="9">
        <v>44870.592418981483</v>
      </c>
      <c r="X272" s="9">
        <v>44871.592418981483</v>
      </c>
      <c r="Y272" s="9">
        <v>44872.592418981483</v>
      </c>
      <c r="Z272" s="5"/>
      <c r="AA272" s="5"/>
      <c r="AB272" s="13">
        <v>44889.592418981483</v>
      </c>
      <c r="AC272">
        <f t="shared" si="37"/>
        <v>12</v>
      </c>
      <c r="AD272">
        <f t="shared" si="38"/>
        <v>17</v>
      </c>
      <c r="AE272">
        <f t="shared" si="39"/>
        <v>1</v>
      </c>
      <c r="AF272">
        <f t="shared" si="40"/>
        <v>4</v>
      </c>
      <c r="AG272">
        <f t="shared" si="41"/>
        <v>3</v>
      </c>
      <c r="AH272">
        <f t="shared" si="42"/>
        <v>3</v>
      </c>
      <c r="AI272" t="str">
        <f t="shared" si="43"/>
        <v/>
      </c>
      <c r="AJ272" t="str">
        <f t="shared" si="44"/>
        <v/>
      </c>
    </row>
    <row r="273" spans="1:36">
      <c r="A273" s="5">
        <v>272</v>
      </c>
      <c r="B273" s="5" t="s">
        <v>2201</v>
      </c>
      <c r="C273" s="10" t="s">
        <v>2089</v>
      </c>
      <c r="D273" s="5" t="s">
        <v>2167</v>
      </c>
      <c r="E273" s="5" t="s">
        <v>269</v>
      </c>
      <c r="F273" s="5" t="str">
        <f t="shared" si="36"/>
        <v>Communication and Advocacy-Manager</v>
      </c>
      <c r="G273" s="5" t="s">
        <v>270</v>
      </c>
      <c r="H273" s="9">
        <v>44848.592418981483</v>
      </c>
      <c r="I273" s="9">
        <v>44849.592418981483</v>
      </c>
      <c r="J273" s="9" t="e">
        <f>I273+#REF!</f>
        <v>#REF!</v>
      </c>
      <c r="K273" s="9" t="e">
        <f>J273+#REF!</f>
        <v>#REF!</v>
      </c>
      <c r="L273" s="10" t="s">
        <v>41</v>
      </c>
      <c r="M273" s="11">
        <v>44862.592418981483</v>
      </c>
      <c r="N273" s="5" t="s">
        <v>48</v>
      </c>
      <c r="O273" s="5"/>
      <c r="P273" s="9">
        <v>44869.592418981483</v>
      </c>
      <c r="Q273" s="5" t="s">
        <v>48</v>
      </c>
      <c r="R273" s="5"/>
      <c r="S273" s="5"/>
      <c r="T273" s="9">
        <v>44865.592418981483</v>
      </c>
      <c r="U273" s="5"/>
      <c r="V273" s="5">
        <v>0</v>
      </c>
      <c r="W273" s="5"/>
      <c r="X273" s="5"/>
      <c r="Y273" s="5"/>
      <c r="Z273" s="5"/>
      <c r="AA273" s="5"/>
      <c r="AC273">
        <f t="shared" si="37"/>
        <v>13</v>
      </c>
      <c r="AD273" t="str">
        <f t="shared" si="38"/>
        <v/>
      </c>
      <c r="AE273">
        <f t="shared" si="39"/>
        <v>3</v>
      </c>
      <c r="AF273" t="str">
        <f t="shared" si="40"/>
        <v/>
      </c>
      <c r="AG273" t="str">
        <f t="shared" si="41"/>
        <v/>
      </c>
      <c r="AH273">
        <f t="shared" si="42"/>
        <v>1</v>
      </c>
      <c r="AI273" t="str">
        <f t="shared" si="43"/>
        <v/>
      </c>
      <c r="AJ273" t="str">
        <f t="shared" si="44"/>
        <v/>
      </c>
    </row>
    <row r="274" spans="1:36">
      <c r="A274" s="5">
        <v>273</v>
      </c>
      <c r="B274" s="5" t="s">
        <v>2215</v>
      </c>
      <c r="C274" s="10" t="s">
        <v>2089</v>
      </c>
      <c r="D274" s="5" t="s">
        <v>2211</v>
      </c>
      <c r="E274" s="5" t="s">
        <v>39</v>
      </c>
      <c r="F274" s="5" t="str">
        <f t="shared" si="36"/>
        <v>Communication and Advocacy-Analyst</v>
      </c>
      <c r="G274" s="5" t="s">
        <v>40</v>
      </c>
      <c r="H274" s="9">
        <v>44848.592418981483</v>
      </c>
      <c r="I274" s="9">
        <v>44850.592418981483</v>
      </c>
      <c r="J274" s="9" t="e">
        <f>I274+#REF!</f>
        <v>#REF!</v>
      </c>
      <c r="K274" s="9" t="e">
        <f>J274+#REF!</f>
        <v>#REF!</v>
      </c>
      <c r="L274" s="10" t="s">
        <v>41</v>
      </c>
      <c r="M274" s="11">
        <v>44866.592418981483</v>
      </c>
      <c r="N274" s="5" t="s">
        <v>167</v>
      </c>
      <c r="O274" s="5"/>
      <c r="P274" s="9">
        <v>44870.592418981483</v>
      </c>
      <c r="Q274" s="5" t="s">
        <v>167</v>
      </c>
      <c r="R274" s="5"/>
      <c r="S274" s="5"/>
      <c r="T274" s="9">
        <v>44867.592418981483</v>
      </c>
      <c r="U274" s="5"/>
      <c r="V274" s="5">
        <v>0</v>
      </c>
      <c r="W274" s="5"/>
      <c r="X274" s="5"/>
      <c r="Y274" s="5"/>
      <c r="Z274" s="5"/>
      <c r="AA274" s="5"/>
      <c r="AC274">
        <f t="shared" si="37"/>
        <v>16</v>
      </c>
      <c r="AD274" t="str">
        <f t="shared" si="38"/>
        <v/>
      </c>
      <c r="AE274">
        <f t="shared" si="39"/>
        <v>1</v>
      </c>
      <c r="AF274" t="str">
        <f t="shared" si="40"/>
        <v/>
      </c>
      <c r="AG274" t="str">
        <f t="shared" si="41"/>
        <v/>
      </c>
      <c r="AH274">
        <f t="shared" si="42"/>
        <v>2</v>
      </c>
      <c r="AI274" t="str">
        <f t="shared" si="43"/>
        <v/>
      </c>
      <c r="AJ274" t="str">
        <f t="shared" si="44"/>
        <v/>
      </c>
    </row>
    <row r="275" spans="1:36">
      <c r="A275" s="5">
        <v>274</v>
      </c>
      <c r="B275" s="5" t="s">
        <v>2153</v>
      </c>
      <c r="C275" s="10" t="s">
        <v>2089</v>
      </c>
      <c r="D275" s="5" t="s">
        <v>2114</v>
      </c>
      <c r="E275" s="5" t="s">
        <v>1146</v>
      </c>
      <c r="F275" s="5" t="str">
        <f t="shared" si="36"/>
        <v>Communication and Advocacy-Quality Assurance</v>
      </c>
      <c r="G275" s="5" t="s">
        <v>147</v>
      </c>
      <c r="H275" s="9">
        <v>44846.592418981483</v>
      </c>
      <c r="I275" s="9">
        <v>44850.592418981483</v>
      </c>
      <c r="J275" s="9" t="e">
        <f>I275+#REF!</f>
        <v>#REF!</v>
      </c>
      <c r="K275" s="9" t="e">
        <f>J275+#REF!</f>
        <v>#REF!</v>
      </c>
      <c r="L275" s="10" t="s">
        <v>41</v>
      </c>
      <c r="M275" s="11">
        <v>44858.592418981483</v>
      </c>
      <c r="N275" s="5" t="s">
        <v>42</v>
      </c>
      <c r="O275" s="5" t="s">
        <v>73</v>
      </c>
      <c r="P275" s="9"/>
      <c r="Q275" s="5"/>
      <c r="R275" s="5"/>
      <c r="S275" s="5"/>
      <c r="T275" s="9">
        <v>44860.592418981483</v>
      </c>
      <c r="U275" s="5"/>
      <c r="V275" s="5">
        <v>0</v>
      </c>
      <c r="W275" s="5"/>
      <c r="X275" s="5"/>
      <c r="Y275" s="5"/>
      <c r="Z275" s="5"/>
      <c r="AA275" s="5" t="s">
        <v>44</v>
      </c>
      <c r="AC275">
        <f t="shared" si="37"/>
        <v>8</v>
      </c>
      <c r="AD275" t="str">
        <f t="shared" si="38"/>
        <v/>
      </c>
      <c r="AE275">
        <f t="shared" si="39"/>
        <v>2</v>
      </c>
      <c r="AF275" t="str">
        <f t="shared" si="40"/>
        <v/>
      </c>
      <c r="AG275" t="str">
        <f t="shared" si="41"/>
        <v/>
      </c>
      <c r="AH275">
        <f t="shared" si="42"/>
        <v>4</v>
      </c>
      <c r="AI275" t="str">
        <f t="shared" si="43"/>
        <v/>
      </c>
      <c r="AJ275" t="str">
        <f t="shared" si="44"/>
        <v/>
      </c>
    </row>
    <row r="276" spans="1:36">
      <c r="A276" s="5">
        <v>275</v>
      </c>
      <c r="B276" s="5" t="s">
        <v>734</v>
      </c>
      <c r="C276" s="10" t="s">
        <v>671</v>
      </c>
      <c r="D276" s="5" t="s">
        <v>708</v>
      </c>
      <c r="E276" s="5" t="s">
        <v>69</v>
      </c>
      <c r="F276" s="5" t="str">
        <f t="shared" si="36"/>
        <v>Operations-Head of Department</v>
      </c>
      <c r="G276" s="5" t="s">
        <v>56</v>
      </c>
      <c r="H276" s="9">
        <v>44848.592418981483</v>
      </c>
      <c r="I276" s="9">
        <v>44851.592418981483</v>
      </c>
      <c r="J276" s="9" t="e">
        <f>I276+#REF!</f>
        <v>#REF!</v>
      </c>
      <c r="K276" s="9" t="e">
        <f>J276+#REF!</f>
        <v>#REF!</v>
      </c>
      <c r="L276" s="10" t="s">
        <v>41</v>
      </c>
      <c r="M276" s="11">
        <v>44867.592418981483</v>
      </c>
      <c r="N276" s="5" t="s">
        <v>64</v>
      </c>
      <c r="O276" s="5"/>
      <c r="P276" s="9">
        <v>44870.592418981483</v>
      </c>
      <c r="Q276" s="5" t="s">
        <v>64</v>
      </c>
      <c r="R276" s="9">
        <v>44869.592418981483</v>
      </c>
      <c r="S276" s="9">
        <v>44872.592418981483</v>
      </c>
      <c r="T276" s="9">
        <v>44868.592418981483</v>
      </c>
      <c r="U276" s="9">
        <v>44878.592418981483</v>
      </c>
      <c r="V276" s="12">
        <v>1</v>
      </c>
      <c r="W276" s="9">
        <v>44880.592418981483</v>
      </c>
      <c r="X276" s="9">
        <v>44883.592418981483</v>
      </c>
      <c r="Y276" s="9">
        <v>44886.592418981483</v>
      </c>
      <c r="Z276" s="5"/>
      <c r="AA276" s="5"/>
      <c r="AB276" s="13">
        <v>44901.592418981483</v>
      </c>
      <c r="AC276">
        <f t="shared" si="37"/>
        <v>16</v>
      </c>
      <c r="AD276">
        <f t="shared" si="38"/>
        <v>21</v>
      </c>
      <c r="AE276">
        <f t="shared" si="39"/>
        <v>1</v>
      </c>
      <c r="AF276">
        <f t="shared" si="40"/>
        <v>5</v>
      </c>
      <c r="AG276">
        <f t="shared" si="41"/>
        <v>2</v>
      </c>
      <c r="AH276">
        <f t="shared" si="42"/>
        <v>3</v>
      </c>
      <c r="AI276" t="str">
        <f t="shared" si="43"/>
        <v/>
      </c>
      <c r="AJ276" t="str">
        <f t="shared" si="44"/>
        <v/>
      </c>
    </row>
    <row r="277" spans="1:36">
      <c r="A277" s="5">
        <v>276</v>
      </c>
      <c r="B277" s="5" t="s">
        <v>733</v>
      </c>
      <c r="C277" s="10" t="s">
        <v>671</v>
      </c>
      <c r="D277" s="5" t="s">
        <v>708</v>
      </c>
      <c r="E277" s="5" t="s">
        <v>55</v>
      </c>
      <c r="F277" s="5" t="str">
        <f t="shared" si="36"/>
        <v>Operations-Director</v>
      </c>
      <c r="G277" s="5" t="s">
        <v>56</v>
      </c>
      <c r="H277" s="9">
        <v>44848.592418981483</v>
      </c>
      <c r="I277" s="9">
        <v>44850.592418981483</v>
      </c>
      <c r="J277" s="9" t="e">
        <f>I277+#REF!</f>
        <v>#REF!</v>
      </c>
      <c r="K277" s="9" t="e">
        <f>J277+#REF!</f>
        <v>#REF!</v>
      </c>
      <c r="L277" s="10" t="s">
        <v>52</v>
      </c>
      <c r="M277" s="11"/>
      <c r="N277" s="5"/>
      <c r="O277" s="5"/>
      <c r="P277" s="9"/>
      <c r="Q277" s="5"/>
      <c r="R277" s="5"/>
      <c r="S277" s="5"/>
      <c r="T277" s="9"/>
      <c r="U277" s="5"/>
      <c r="V277" s="5">
        <v>0</v>
      </c>
      <c r="W277" s="5"/>
      <c r="X277" s="5"/>
      <c r="Y277" s="5"/>
      <c r="Z277" s="5"/>
      <c r="AA277" s="5"/>
      <c r="AC277" t="str">
        <f t="shared" si="37"/>
        <v/>
      </c>
      <c r="AD277" t="str">
        <f t="shared" si="38"/>
        <v/>
      </c>
      <c r="AE277" t="str">
        <f t="shared" si="39"/>
        <v/>
      </c>
      <c r="AF277" t="str">
        <f t="shared" si="40"/>
        <v/>
      </c>
      <c r="AG277" t="str">
        <f t="shared" si="41"/>
        <v/>
      </c>
      <c r="AH277">
        <f t="shared" si="42"/>
        <v>2</v>
      </c>
      <c r="AI277" t="str">
        <f t="shared" si="43"/>
        <v/>
      </c>
      <c r="AJ277" t="str">
        <f t="shared" si="44"/>
        <v/>
      </c>
    </row>
    <row r="278" spans="1:36">
      <c r="A278" s="5">
        <v>277</v>
      </c>
      <c r="B278" s="5" t="s">
        <v>2214</v>
      </c>
      <c r="C278" s="10" t="s">
        <v>2089</v>
      </c>
      <c r="D278" s="5" t="s">
        <v>2211</v>
      </c>
      <c r="E278" s="5" t="s">
        <v>39</v>
      </c>
      <c r="F278" s="5" t="str">
        <f t="shared" si="36"/>
        <v>Communication and Advocacy-Analyst</v>
      </c>
      <c r="G278" s="5" t="s">
        <v>40</v>
      </c>
      <c r="H278" s="9">
        <v>44845.592418981483</v>
      </c>
      <c r="I278" s="9">
        <v>44847.592418981483</v>
      </c>
      <c r="J278" s="9" t="e">
        <f>I278+#REF!</f>
        <v>#REF!</v>
      </c>
      <c r="K278" s="9" t="e">
        <f>J278+#REF!</f>
        <v>#REF!</v>
      </c>
      <c r="L278" s="10" t="s">
        <v>41</v>
      </c>
      <c r="M278" s="11">
        <v>44866.592418981483</v>
      </c>
      <c r="N278" s="5" t="s">
        <v>42</v>
      </c>
      <c r="O278" s="5" t="s">
        <v>98</v>
      </c>
      <c r="P278" s="9"/>
      <c r="Q278" s="5"/>
      <c r="R278" s="5"/>
      <c r="S278" s="5"/>
      <c r="T278" s="9">
        <v>44870.592418981483</v>
      </c>
      <c r="U278" s="5"/>
      <c r="V278" s="5">
        <v>0</v>
      </c>
      <c r="W278" s="5"/>
      <c r="X278" s="5"/>
      <c r="Y278" s="5"/>
      <c r="Z278" s="5"/>
      <c r="AA278" s="5" t="s">
        <v>44</v>
      </c>
      <c r="AC278">
        <f t="shared" si="37"/>
        <v>19</v>
      </c>
      <c r="AD278" t="str">
        <f t="shared" si="38"/>
        <v/>
      </c>
      <c r="AE278">
        <f t="shared" si="39"/>
        <v>4</v>
      </c>
      <c r="AF278" t="str">
        <f t="shared" si="40"/>
        <v/>
      </c>
      <c r="AG278" t="str">
        <f t="shared" si="41"/>
        <v/>
      </c>
      <c r="AH278">
        <f t="shared" si="42"/>
        <v>2</v>
      </c>
      <c r="AI278" t="str">
        <f t="shared" si="43"/>
        <v/>
      </c>
      <c r="AJ278" t="str">
        <f t="shared" si="44"/>
        <v/>
      </c>
    </row>
    <row r="279" spans="1:36">
      <c r="A279" s="5">
        <v>278</v>
      </c>
      <c r="B279" s="5" t="s">
        <v>2102</v>
      </c>
      <c r="C279" s="10" t="s">
        <v>2089</v>
      </c>
      <c r="D279" s="5" t="s">
        <v>2090</v>
      </c>
      <c r="E279" s="5" t="s">
        <v>102</v>
      </c>
      <c r="F279" s="5" t="str">
        <f t="shared" si="36"/>
        <v>Communication and Advocacy-Senior Manager</v>
      </c>
      <c r="G279" s="5" t="s">
        <v>103</v>
      </c>
      <c r="H279" s="9">
        <v>44845.592418981483</v>
      </c>
      <c r="I279" s="9">
        <v>44846.592418981483</v>
      </c>
      <c r="J279" s="9" t="e">
        <f>I279+#REF!</f>
        <v>#REF!</v>
      </c>
      <c r="K279" s="9" t="e">
        <f>J279+#REF!</f>
        <v>#REF!</v>
      </c>
      <c r="L279" s="10" t="s">
        <v>41</v>
      </c>
      <c r="M279" s="11">
        <v>44867.592418981483</v>
      </c>
      <c r="N279" s="5" t="s">
        <v>42</v>
      </c>
      <c r="O279" s="5" t="s">
        <v>73</v>
      </c>
      <c r="P279" s="9"/>
      <c r="Q279" s="5"/>
      <c r="R279" s="5"/>
      <c r="S279" s="5"/>
      <c r="T279" s="9">
        <v>44868.592418981483</v>
      </c>
      <c r="U279" s="5"/>
      <c r="V279" s="5">
        <v>0</v>
      </c>
      <c r="W279" s="5"/>
      <c r="X279" s="5"/>
      <c r="Y279" s="5"/>
      <c r="Z279" s="5"/>
      <c r="AA279" s="5" t="s">
        <v>62</v>
      </c>
      <c r="AC279">
        <f t="shared" si="37"/>
        <v>21</v>
      </c>
      <c r="AD279" t="str">
        <f t="shared" si="38"/>
        <v/>
      </c>
      <c r="AE279">
        <f t="shared" si="39"/>
        <v>1</v>
      </c>
      <c r="AF279" t="str">
        <f t="shared" si="40"/>
        <v/>
      </c>
      <c r="AG279" t="str">
        <f t="shared" si="41"/>
        <v/>
      </c>
      <c r="AH279">
        <f t="shared" si="42"/>
        <v>1</v>
      </c>
      <c r="AI279" t="str">
        <f t="shared" si="43"/>
        <v/>
      </c>
      <c r="AJ279" t="str">
        <f t="shared" si="44"/>
        <v/>
      </c>
    </row>
    <row r="280" spans="1:36">
      <c r="A280" s="5">
        <v>279</v>
      </c>
      <c r="B280" s="5" t="s">
        <v>2101</v>
      </c>
      <c r="C280" s="10" t="s">
        <v>2089</v>
      </c>
      <c r="D280" s="5" t="s">
        <v>2090</v>
      </c>
      <c r="E280" s="5" t="s">
        <v>102</v>
      </c>
      <c r="F280" s="5" t="str">
        <f t="shared" si="36"/>
        <v>Communication and Advocacy-Senior Manager</v>
      </c>
      <c r="G280" s="5" t="s">
        <v>103</v>
      </c>
      <c r="H280" s="9">
        <v>44844.592418981483</v>
      </c>
      <c r="I280" s="9">
        <v>44848.592418981483</v>
      </c>
      <c r="J280" s="9" t="e">
        <f>I280+#REF!</f>
        <v>#REF!</v>
      </c>
      <c r="K280" s="9" t="e">
        <f>J280+#REF!</f>
        <v>#REF!</v>
      </c>
      <c r="L280" s="10" t="s">
        <v>41</v>
      </c>
      <c r="M280" s="11">
        <v>44860.592418981483</v>
      </c>
      <c r="N280" s="5" t="s">
        <v>42</v>
      </c>
      <c r="O280" s="5" t="s">
        <v>113</v>
      </c>
      <c r="P280" s="9"/>
      <c r="Q280" s="5"/>
      <c r="R280" s="5"/>
      <c r="S280" s="5"/>
      <c r="T280" s="9"/>
      <c r="U280" s="5"/>
      <c r="V280" s="5">
        <v>0</v>
      </c>
      <c r="W280" s="5"/>
      <c r="X280" s="5"/>
      <c r="Y280" s="5"/>
      <c r="Z280" s="5"/>
      <c r="AA280" s="5" t="s">
        <v>62</v>
      </c>
      <c r="AC280">
        <f t="shared" si="37"/>
        <v>12</v>
      </c>
      <c r="AD280" t="str">
        <f t="shared" si="38"/>
        <v/>
      </c>
      <c r="AE280" t="str">
        <f t="shared" si="39"/>
        <v/>
      </c>
      <c r="AF280" t="str">
        <f t="shared" si="40"/>
        <v/>
      </c>
      <c r="AG280" t="str">
        <f t="shared" si="41"/>
        <v/>
      </c>
      <c r="AH280">
        <f t="shared" si="42"/>
        <v>4</v>
      </c>
      <c r="AI280" t="str">
        <f t="shared" si="43"/>
        <v/>
      </c>
      <c r="AJ280" t="str">
        <f t="shared" si="44"/>
        <v/>
      </c>
    </row>
    <row r="281" spans="1:36">
      <c r="A281" s="5">
        <v>280</v>
      </c>
      <c r="B281" s="5" t="s">
        <v>2200</v>
      </c>
      <c r="C281" s="10" t="s">
        <v>2089</v>
      </c>
      <c r="D281" s="5" t="s">
        <v>2167</v>
      </c>
      <c r="E281" s="5" t="s">
        <v>269</v>
      </c>
      <c r="F281" s="5" t="str">
        <f t="shared" si="36"/>
        <v>Communication and Advocacy-Manager</v>
      </c>
      <c r="G281" s="5" t="s">
        <v>270</v>
      </c>
      <c r="H281" s="9">
        <v>44846.592418981483</v>
      </c>
      <c r="I281" s="9">
        <v>44850.592418981483</v>
      </c>
      <c r="J281" s="9" t="e">
        <f>I281+#REF!</f>
        <v>#REF!</v>
      </c>
      <c r="K281" s="9" t="e">
        <f>J281+#REF!</f>
        <v>#REF!</v>
      </c>
      <c r="L281" s="10" t="s">
        <v>41</v>
      </c>
      <c r="M281" s="11">
        <v>44856.592418981483</v>
      </c>
      <c r="N281" s="5" t="s">
        <v>64</v>
      </c>
      <c r="O281" s="5"/>
      <c r="P281" s="9">
        <v>44858.592418981483</v>
      </c>
      <c r="Q281" s="5" t="s">
        <v>64</v>
      </c>
      <c r="R281" s="9">
        <v>44857.592418981483</v>
      </c>
      <c r="S281" s="9">
        <v>44861.592418981483</v>
      </c>
      <c r="T281" s="9">
        <v>44857.592418981483</v>
      </c>
      <c r="U281" s="9">
        <v>44866.592418981483</v>
      </c>
      <c r="V281" s="12">
        <v>1</v>
      </c>
      <c r="W281" s="9">
        <v>44869.592418981483</v>
      </c>
      <c r="X281" s="9">
        <v>44872.592418981483</v>
      </c>
      <c r="Y281" s="9">
        <v>44873.592418981483</v>
      </c>
      <c r="Z281" s="5"/>
      <c r="AA281" s="5"/>
      <c r="AB281" s="13">
        <v>44884.592418981483</v>
      </c>
      <c r="AC281">
        <f t="shared" si="37"/>
        <v>6</v>
      </c>
      <c r="AD281">
        <f t="shared" si="38"/>
        <v>11</v>
      </c>
      <c r="AE281">
        <f t="shared" si="39"/>
        <v>1</v>
      </c>
      <c r="AF281">
        <f t="shared" si="40"/>
        <v>6</v>
      </c>
      <c r="AG281">
        <f t="shared" si="41"/>
        <v>3</v>
      </c>
      <c r="AH281">
        <f t="shared" si="42"/>
        <v>4</v>
      </c>
      <c r="AI281" t="str">
        <f t="shared" si="43"/>
        <v/>
      </c>
      <c r="AJ281" t="str">
        <f t="shared" si="44"/>
        <v/>
      </c>
    </row>
    <row r="282" spans="1:36">
      <c r="A282" s="5">
        <v>281</v>
      </c>
      <c r="B282" s="5" t="s">
        <v>1970</v>
      </c>
      <c r="C282" s="5" t="s">
        <v>1540</v>
      </c>
      <c r="D282" s="5" t="s">
        <v>1925</v>
      </c>
      <c r="E282" s="5" t="s">
        <v>55</v>
      </c>
      <c r="F282" s="5" t="str">
        <f t="shared" si="36"/>
        <v>Finance-Director</v>
      </c>
      <c r="G282" s="5" t="s">
        <v>56</v>
      </c>
      <c r="H282" s="9">
        <v>44699.67763888889</v>
      </c>
      <c r="I282" s="9">
        <v>44701.67763888889</v>
      </c>
      <c r="J282" s="9" t="e">
        <f>I282+#REF!</f>
        <v>#REF!</v>
      </c>
      <c r="K282" s="9" t="e">
        <f>J282+#REF!</f>
        <v>#REF!</v>
      </c>
      <c r="L282" s="10" t="s">
        <v>41</v>
      </c>
      <c r="M282" s="11">
        <v>44716.67763888889</v>
      </c>
      <c r="N282" s="5" t="s">
        <v>42</v>
      </c>
      <c r="O282" s="5" t="s">
        <v>98</v>
      </c>
      <c r="P282" s="9"/>
      <c r="Q282" s="5"/>
      <c r="R282" s="5"/>
      <c r="S282" s="5"/>
      <c r="T282" s="9">
        <v>44719.67763888889</v>
      </c>
      <c r="U282" s="5"/>
      <c r="V282" s="5">
        <v>0</v>
      </c>
      <c r="W282" s="5"/>
      <c r="X282" s="5"/>
      <c r="Y282" s="5"/>
      <c r="Z282" s="5"/>
      <c r="AA282" s="5" t="s">
        <v>62</v>
      </c>
      <c r="AC282">
        <f t="shared" si="37"/>
        <v>15</v>
      </c>
      <c r="AD282" t="str">
        <f t="shared" si="38"/>
        <v/>
      </c>
      <c r="AE282">
        <f t="shared" si="39"/>
        <v>3</v>
      </c>
      <c r="AF282" t="str">
        <f t="shared" si="40"/>
        <v/>
      </c>
      <c r="AG282" t="str">
        <f t="shared" si="41"/>
        <v/>
      </c>
      <c r="AH282">
        <f t="shared" si="42"/>
        <v>2</v>
      </c>
      <c r="AI282" t="str">
        <f t="shared" si="43"/>
        <v/>
      </c>
      <c r="AJ282" t="str">
        <f t="shared" si="44"/>
        <v/>
      </c>
    </row>
    <row r="283" spans="1:36">
      <c r="A283" s="5">
        <v>282</v>
      </c>
      <c r="B283" s="5" t="s">
        <v>1805</v>
      </c>
      <c r="C283" s="5" t="s">
        <v>1540</v>
      </c>
      <c r="D283" s="5" t="s">
        <v>1706</v>
      </c>
      <c r="E283" s="5" t="s">
        <v>1804</v>
      </c>
      <c r="F283" s="5" t="str">
        <f t="shared" si="36"/>
        <v>Finance-Contoller</v>
      </c>
      <c r="G283" s="5" t="s">
        <v>270</v>
      </c>
      <c r="H283" s="9">
        <v>44700.67763888889</v>
      </c>
      <c r="I283" s="9">
        <v>44703.67763888889</v>
      </c>
      <c r="J283" s="9" t="e">
        <f>I283+#REF!</f>
        <v>#REF!</v>
      </c>
      <c r="K283" s="9" t="e">
        <f>J283+#REF!</f>
        <v>#REF!</v>
      </c>
      <c r="L283" s="10" t="s">
        <v>41</v>
      </c>
      <c r="M283" s="11">
        <v>44710.67763888889</v>
      </c>
      <c r="N283" s="5" t="s">
        <v>64</v>
      </c>
      <c r="O283" s="5"/>
      <c r="P283" s="9">
        <v>44715.67763888889</v>
      </c>
      <c r="Q283" s="5" t="s">
        <v>64</v>
      </c>
      <c r="R283" s="9">
        <v>44712.67763888889</v>
      </c>
      <c r="S283" s="9">
        <v>44714.67763888889</v>
      </c>
      <c r="T283" s="9">
        <v>44712.67763888889</v>
      </c>
      <c r="U283" s="9">
        <v>44716.67763888889</v>
      </c>
      <c r="V283" s="12">
        <v>1</v>
      </c>
      <c r="W283" s="9">
        <v>44718.67763888889</v>
      </c>
      <c r="X283" s="9">
        <v>44720.67763888889</v>
      </c>
      <c r="Y283" s="9">
        <v>44721.67763888889</v>
      </c>
      <c r="Z283" s="5"/>
      <c r="AA283" s="5"/>
      <c r="AB283" s="13">
        <v>44743.67763888889</v>
      </c>
      <c r="AC283">
        <f t="shared" si="37"/>
        <v>7</v>
      </c>
      <c r="AD283">
        <f t="shared" si="38"/>
        <v>11</v>
      </c>
      <c r="AE283">
        <f t="shared" si="39"/>
        <v>2</v>
      </c>
      <c r="AF283">
        <f t="shared" si="40"/>
        <v>4</v>
      </c>
      <c r="AG283">
        <f t="shared" si="41"/>
        <v>2</v>
      </c>
      <c r="AH283">
        <f t="shared" si="42"/>
        <v>3</v>
      </c>
      <c r="AI283" t="str">
        <f t="shared" si="43"/>
        <v/>
      </c>
      <c r="AJ283" t="str">
        <f t="shared" si="44"/>
        <v/>
      </c>
    </row>
    <row r="284" spans="1:36">
      <c r="A284" s="5">
        <v>283</v>
      </c>
      <c r="B284" s="5" t="s">
        <v>2075</v>
      </c>
      <c r="C284" s="5" t="s">
        <v>1540</v>
      </c>
      <c r="D284" s="5" t="s">
        <v>1985</v>
      </c>
      <c r="E284" s="5" t="s">
        <v>2072</v>
      </c>
      <c r="F284" s="5" t="str">
        <f t="shared" si="36"/>
        <v>Finance-Collections Officer</v>
      </c>
      <c r="G284" s="5" t="s">
        <v>47</v>
      </c>
      <c r="H284" s="9">
        <v>44704.67763888889</v>
      </c>
      <c r="I284" s="9">
        <v>44705.67763888889</v>
      </c>
      <c r="J284" s="9" t="e">
        <f>I284+#REF!</f>
        <v>#REF!</v>
      </c>
      <c r="K284" s="9" t="e">
        <f>J284+#REF!</f>
        <v>#REF!</v>
      </c>
      <c r="L284" s="10" t="s">
        <v>41</v>
      </c>
      <c r="M284" s="11">
        <v>44721.67763888889</v>
      </c>
      <c r="N284" s="5" t="s">
        <v>42</v>
      </c>
      <c r="O284" s="5" t="s">
        <v>43</v>
      </c>
      <c r="P284" s="9"/>
      <c r="Q284" s="5"/>
      <c r="R284" s="5"/>
      <c r="S284" s="5"/>
      <c r="T284" s="9">
        <v>44722.67763888889</v>
      </c>
      <c r="U284" s="5"/>
      <c r="V284" s="5">
        <v>0</v>
      </c>
      <c r="W284" s="5"/>
      <c r="X284" s="5"/>
      <c r="Y284" s="5"/>
      <c r="Z284" s="5"/>
      <c r="AA284" s="5" t="s">
        <v>44</v>
      </c>
      <c r="AC284">
        <f t="shared" si="37"/>
        <v>16</v>
      </c>
      <c r="AD284" t="str">
        <f t="shared" si="38"/>
        <v/>
      </c>
      <c r="AE284">
        <f t="shared" si="39"/>
        <v>1</v>
      </c>
      <c r="AF284" t="str">
        <f t="shared" si="40"/>
        <v/>
      </c>
      <c r="AG284" t="str">
        <f t="shared" si="41"/>
        <v/>
      </c>
      <c r="AH284">
        <f t="shared" si="42"/>
        <v>1</v>
      </c>
      <c r="AI284" t="str">
        <f t="shared" si="43"/>
        <v/>
      </c>
      <c r="AJ284" t="str">
        <f t="shared" si="44"/>
        <v/>
      </c>
    </row>
    <row r="285" spans="1:36">
      <c r="A285" s="5">
        <v>284</v>
      </c>
      <c r="B285" s="5" t="s">
        <v>1695</v>
      </c>
      <c r="C285" s="5" t="s">
        <v>1540</v>
      </c>
      <c r="D285" s="5" t="s">
        <v>1588</v>
      </c>
      <c r="E285" s="5" t="s">
        <v>1360</v>
      </c>
      <c r="F285" s="5" t="str">
        <f t="shared" si="36"/>
        <v>Finance-Fund Administrator</v>
      </c>
      <c r="G285" s="5" t="s">
        <v>147</v>
      </c>
      <c r="H285" s="9">
        <v>44700.67763888889</v>
      </c>
      <c r="I285" s="9">
        <v>44701.67763888889</v>
      </c>
      <c r="J285" s="9" t="e">
        <f>I285+#REF!</f>
        <v>#REF!</v>
      </c>
      <c r="K285" s="9" t="e">
        <f>J285+#REF!</f>
        <v>#REF!</v>
      </c>
      <c r="L285" s="10" t="s">
        <v>41</v>
      </c>
      <c r="M285" s="11">
        <v>44709.67763888889</v>
      </c>
      <c r="N285" s="5" t="s">
        <v>48</v>
      </c>
      <c r="O285" s="5"/>
      <c r="P285" s="9">
        <v>44712.67763888889</v>
      </c>
      <c r="Q285" s="5" t="s">
        <v>48</v>
      </c>
      <c r="R285" s="5"/>
      <c r="S285" s="5"/>
      <c r="T285" s="9">
        <v>44711.67763888889</v>
      </c>
      <c r="U285" s="5"/>
      <c r="V285" s="5">
        <v>0</v>
      </c>
      <c r="W285" s="5"/>
      <c r="X285" s="5"/>
      <c r="Y285" s="5"/>
      <c r="Z285" s="5"/>
      <c r="AA285" s="5"/>
      <c r="AC285">
        <f t="shared" si="37"/>
        <v>8</v>
      </c>
      <c r="AD285" t="str">
        <f t="shared" si="38"/>
        <v/>
      </c>
      <c r="AE285">
        <f t="shared" si="39"/>
        <v>2</v>
      </c>
      <c r="AF285" t="str">
        <f t="shared" si="40"/>
        <v/>
      </c>
      <c r="AG285" t="str">
        <f t="shared" si="41"/>
        <v/>
      </c>
      <c r="AH285">
        <f t="shared" si="42"/>
        <v>1</v>
      </c>
      <c r="AI285" t="str">
        <f t="shared" si="43"/>
        <v/>
      </c>
      <c r="AJ285" t="str">
        <f t="shared" si="44"/>
        <v/>
      </c>
    </row>
    <row r="286" spans="1:36">
      <c r="A286" s="5">
        <v>285</v>
      </c>
      <c r="B286" s="5" t="s">
        <v>1694</v>
      </c>
      <c r="C286" s="5" t="s">
        <v>1540</v>
      </c>
      <c r="D286" s="5" t="s">
        <v>1588</v>
      </c>
      <c r="E286" s="5" t="s">
        <v>1360</v>
      </c>
      <c r="F286" s="5" t="str">
        <f t="shared" si="36"/>
        <v>Finance-Fund Administrator</v>
      </c>
      <c r="G286" s="5" t="s">
        <v>147</v>
      </c>
      <c r="H286" s="9">
        <v>44698.67763888889</v>
      </c>
      <c r="I286" s="9">
        <v>44700.67763888889</v>
      </c>
      <c r="J286" s="9" t="e">
        <f>I286+#REF!</f>
        <v>#REF!</v>
      </c>
      <c r="K286" s="9" t="e">
        <f>J286+#REF!</f>
        <v>#REF!</v>
      </c>
      <c r="L286" s="10" t="s">
        <v>41</v>
      </c>
      <c r="M286" s="11">
        <v>44714.67763888889</v>
      </c>
      <c r="N286" s="5" t="s">
        <v>48</v>
      </c>
      <c r="O286" s="5"/>
      <c r="P286" s="9">
        <v>44720.67763888889</v>
      </c>
      <c r="Q286" s="5" t="s">
        <v>48</v>
      </c>
      <c r="R286" s="5"/>
      <c r="S286" s="5"/>
      <c r="T286" s="9">
        <v>44718.67763888889</v>
      </c>
      <c r="U286" s="5"/>
      <c r="V286" s="5">
        <v>0</v>
      </c>
      <c r="W286" s="5"/>
      <c r="X286" s="5"/>
      <c r="Y286" s="5"/>
      <c r="Z286" s="5"/>
      <c r="AA286" s="5"/>
      <c r="AC286">
        <f t="shared" si="37"/>
        <v>14</v>
      </c>
      <c r="AD286" t="str">
        <f t="shared" si="38"/>
        <v/>
      </c>
      <c r="AE286">
        <f t="shared" si="39"/>
        <v>4</v>
      </c>
      <c r="AF286" t="str">
        <f t="shared" si="40"/>
        <v/>
      </c>
      <c r="AG286" t="str">
        <f t="shared" si="41"/>
        <v/>
      </c>
      <c r="AH286">
        <f t="shared" si="42"/>
        <v>2</v>
      </c>
      <c r="AI286" t="str">
        <f t="shared" si="43"/>
        <v/>
      </c>
      <c r="AJ286" t="str">
        <f t="shared" si="44"/>
        <v/>
      </c>
    </row>
    <row r="287" spans="1:36">
      <c r="A287" s="5">
        <v>286</v>
      </c>
      <c r="B287" s="5" t="s">
        <v>2074</v>
      </c>
      <c r="C287" s="5" t="s">
        <v>1540</v>
      </c>
      <c r="D287" s="5" t="s">
        <v>1985</v>
      </c>
      <c r="E287" s="5" t="s">
        <v>2072</v>
      </c>
      <c r="F287" s="5" t="str">
        <f t="shared" si="36"/>
        <v>Finance-Collections Officer</v>
      </c>
      <c r="G287" s="5" t="s">
        <v>47</v>
      </c>
      <c r="H287" s="9">
        <v>44703.67763888889</v>
      </c>
      <c r="I287" s="9">
        <v>44705.67763888889</v>
      </c>
      <c r="J287" s="9" t="e">
        <f>I287+#REF!</f>
        <v>#REF!</v>
      </c>
      <c r="K287" s="9" t="e">
        <f>J287+#REF!</f>
        <v>#REF!</v>
      </c>
      <c r="L287" s="10" t="s">
        <v>41</v>
      </c>
      <c r="M287" s="11">
        <v>44721.67763888889</v>
      </c>
      <c r="N287" s="5" t="s">
        <v>64</v>
      </c>
      <c r="O287" s="5"/>
      <c r="P287" s="9">
        <v>44726.67763888889</v>
      </c>
      <c r="Q287" s="5" t="s">
        <v>64</v>
      </c>
      <c r="R287" s="9">
        <v>44722.67763888889</v>
      </c>
      <c r="S287" s="9">
        <v>44723.67763888889</v>
      </c>
      <c r="T287" s="9">
        <v>44725.67763888889</v>
      </c>
      <c r="U287" s="9">
        <v>44732.67763888889</v>
      </c>
      <c r="V287" s="12">
        <v>1</v>
      </c>
      <c r="W287" s="9">
        <v>44734.67763888889</v>
      </c>
      <c r="X287" s="9">
        <v>44737.67763888889</v>
      </c>
      <c r="Y287" s="9">
        <v>44740.67763888889</v>
      </c>
      <c r="Z287" s="5"/>
      <c r="AA287" s="5"/>
      <c r="AB287" s="13">
        <v>44759.67763888889</v>
      </c>
      <c r="AC287">
        <f t="shared" si="37"/>
        <v>16</v>
      </c>
      <c r="AD287">
        <f t="shared" si="38"/>
        <v>18</v>
      </c>
      <c r="AE287">
        <f t="shared" si="39"/>
        <v>4</v>
      </c>
      <c r="AF287">
        <f t="shared" si="40"/>
        <v>5</v>
      </c>
      <c r="AG287">
        <f t="shared" si="41"/>
        <v>2</v>
      </c>
      <c r="AH287">
        <f t="shared" si="42"/>
        <v>2</v>
      </c>
      <c r="AI287" t="str">
        <f t="shared" si="43"/>
        <v/>
      </c>
      <c r="AJ287" t="str">
        <f t="shared" si="44"/>
        <v/>
      </c>
    </row>
    <row r="288" spans="1:36">
      <c r="A288" s="5">
        <v>287</v>
      </c>
      <c r="B288" s="5" t="s">
        <v>1803</v>
      </c>
      <c r="C288" s="5" t="s">
        <v>1540</v>
      </c>
      <c r="D288" s="5" t="s">
        <v>1706</v>
      </c>
      <c r="E288" s="5" t="s">
        <v>1804</v>
      </c>
      <c r="F288" s="5" t="str">
        <f t="shared" si="36"/>
        <v>Finance-Contoller</v>
      </c>
      <c r="G288" s="5" t="s">
        <v>270</v>
      </c>
      <c r="H288" s="9">
        <v>44701.67763888889</v>
      </c>
      <c r="I288" s="9">
        <v>44705.67763888889</v>
      </c>
      <c r="J288" s="9" t="e">
        <f>I288+#REF!</f>
        <v>#REF!</v>
      </c>
      <c r="K288" s="9" t="e">
        <f>J288+#REF!</f>
        <v>#REF!</v>
      </c>
      <c r="L288" s="10" t="s">
        <v>52</v>
      </c>
      <c r="M288" s="11"/>
      <c r="N288" s="5"/>
      <c r="O288" s="5"/>
      <c r="P288" s="9"/>
      <c r="Q288" s="5"/>
      <c r="R288" s="5"/>
      <c r="S288" s="5"/>
      <c r="T288" s="9"/>
      <c r="U288" s="5"/>
      <c r="V288" s="5">
        <v>0</v>
      </c>
      <c r="W288" s="5"/>
      <c r="X288" s="5"/>
      <c r="Y288" s="5"/>
      <c r="Z288" s="5"/>
      <c r="AA288" s="5"/>
      <c r="AC288" t="str">
        <f t="shared" si="37"/>
        <v/>
      </c>
      <c r="AD288" t="str">
        <f t="shared" si="38"/>
        <v/>
      </c>
      <c r="AE288" t="str">
        <f t="shared" si="39"/>
        <v/>
      </c>
      <c r="AF288" t="str">
        <f t="shared" si="40"/>
        <v/>
      </c>
      <c r="AG288" t="str">
        <f t="shared" si="41"/>
        <v/>
      </c>
      <c r="AH288">
        <f t="shared" si="42"/>
        <v>4</v>
      </c>
      <c r="AI288" t="str">
        <f t="shared" si="43"/>
        <v/>
      </c>
      <c r="AJ288" t="str">
        <f t="shared" si="44"/>
        <v/>
      </c>
    </row>
    <row r="289" spans="1:36">
      <c r="A289" s="5">
        <v>288</v>
      </c>
      <c r="B289" s="5" t="s">
        <v>1913</v>
      </c>
      <c r="C289" s="5" t="s">
        <v>1540</v>
      </c>
      <c r="D289" s="5" t="s">
        <v>1820</v>
      </c>
      <c r="E289" s="5" t="s">
        <v>1862</v>
      </c>
      <c r="F289" s="5" t="str">
        <f t="shared" si="36"/>
        <v>Finance-Billing Officer</v>
      </c>
      <c r="G289" s="5" t="s">
        <v>40</v>
      </c>
      <c r="H289" s="9">
        <v>44700.67763888889</v>
      </c>
      <c r="I289" s="9">
        <v>44701.67763888889</v>
      </c>
      <c r="J289" s="9" t="e">
        <f>I289+#REF!</f>
        <v>#REF!</v>
      </c>
      <c r="K289" s="9" t="e">
        <f>J289+#REF!</f>
        <v>#REF!</v>
      </c>
      <c r="L289" s="10" t="s">
        <v>41</v>
      </c>
      <c r="M289" s="11">
        <v>44709.67763888889</v>
      </c>
      <c r="N289" s="5" t="s">
        <v>48</v>
      </c>
      <c r="O289" s="5"/>
      <c r="P289" s="9">
        <v>44712.67763888889</v>
      </c>
      <c r="Q289" s="5" t="s">
        <v>48</v>
      </c>
      <c r="R289" s="5"/>
      <c r="S289" s="5"/>
      <c r="T289" s="9">
        <v>44710.67763888889</v>
      </c>
      <c r="U289" s="5"/>
      <c r="V289" s="5">
        <v>0</v>
      </c>
      <c r="W289" s="5"/>
      <c r="X289" s="5"/>
      <c r="Y289" s="5"/>
      <c r="Z289" s="5"/>
      <c r="AA289" s="5"/>
      <c r="AC289">
        <f t="shared" si="37"/>
        <v>8</v>
      </c>
      <c r="AD289" t="str">
        <f t="shared" si="38"/>
        <v/>
      </c>
      <c r="AE289">
        <f t="shared" si="39"/>
        <v>1</v>
      </c>
      <c r="AF289" t="str">
        <f t="shared" si="40"/>
        <v/>
      </c>
      <c r="AG289" t="str">
        <f t="shared" si="41"/>
        <v/>
      </c>
      <c r="AH289">
        <f t="shared" si="42"/>
        <v>1</v>
      </c>
      <c r="AI289" t="str">
        <f t="shared" si="43"/>
        <v/>
      </c>
      <c r="AJ289" t="str">
        <f t="shared" si="44"/>
        <v/>
      </c>
    </row>
    <row r="290" spans="1:36">
      <c r="A290" s="5">
        <v>289</v>
      </c>
      <c r="B290" s="5" t="s">
        <v>1969</v>
      </c>
      <c r="C290" s="5" t="s">
        <v>1540</v>
      </c>
      <c r="D290" s="5" t="s">
        <v>1925</v>
      </c>
      <c r="E290" s="5" t="s">
        <v>1939</v>
      </c>
      <c r="F290" s="5" t="str">
        <f t="shared" si="36"/>
        <v>Finance-Principal Officer</v>
      </c>
      <c r="G290" s="5" t="s">
        <v>56</v>
      </c>
      <c r="H290" s="9">
        <v>44698.67763888889</v>
      </c>
      <c r="I290" s="9">
        <v>44700.67763888889</v>
      </c>
      <c r="J290" s="9" t="e">
        <f>I290+#REF!</f>
        <v>#REF!</v>
      </c>
      <c r="K290" s="9" t="e">
        <f>J290+#REF!</f>
        <v>#REF!</v>
      </c>
      <c r="L290" s="10" t="s">
        <v>41</v>
      </c>
      <c r="M290" s="11">
        <v>44723.67763888889</v>
      </c>
      <c r="N290" s="5" t="s">
        <v>64</v>
      </c>
      <c r="O290" s="5"/>
      <c r="P290" s="9">
        <v>44727.67763888889</v>
      </c>
      <c r="Q290" s="5" t="s">
        <v>64</v>
      </c>
      <c r="R290" s="9">
        <v>44724.67763888889</v>
      </c>
      <c r="S290" s="9">
        <v>44728.67763888889</v>
      </c>
      <c r="T290" s="9">
        <v>44726.67763888889</v>
      </c>
      <c r="U290" s="9">
        <v>44735.67763888889</v>
      </c>
      <c r="V290" s="12">
        <v>1</v>
      </c>
      <c r="W290" s="9">
        <v>44738.67763888889</v>
      </c>
      <c r="X290" s="9">
        <v>44739.67763888889</v>
      </c>
      <c r="Y290" s="9">
        <v>44742.67763888889</v>
      </c>
      <c r="Z290" s="5"/>
      <c r="AA290" s="5"/>
      <c r="AB290" s="13">
        <v>44756.67763888889</v>
      </c>
      <c r="AC290">
        <f t="shared" si="37"/>
        <v>23</v>
      </c>
      <c r="AD290">
        <f t="shared" si="38"/>
        <v>28</v>
      </c>
      <c r="AE290">
        <f t="shared" si="39"/>
        <v>3</v>
      </c>
      <c r="AF290">
        <f t="shared" si="40"/>
        <v>4</v>
      </c>
      <c r="AG290">
        <f t="shared" si="41"/>
        <v>3</v>
      </c>
      <c r="AH290">
        <f t="shared" si="42"/>
        <v>2</v>
      </c>
      <c r="AI290" t="str">
        <f t="shared" si="43"/>
        <v/>
      </c>
      <c r="AJ290" t="str">
        <f t="shared" si="44"/>
        <v/>
      </c>
    </row>
    <row r="291" spans="1:36">
      <c r="A291" s="5">
        <v>290</v>
      </c>
      <c r="B291" s="5" t="s">
        <v>1912</v>
      </c>
      <c r="C291" s="5" t="s">
        <v>1540</v>
      </c>
      <c r="D291" s="5" t="s">
        <v>1820</v>
      </c>
      <c r="E291" s="5" t="s">
        <v>1862</v>
      </c>
      <c r="F291" s="5" t="str">
        <f t="shared" si="36"/>
        <v>Finance-Billing Officer</v>
      </c>
      <c r="G291" s="5" t="s">
        <v>40</v>
      </c>
      <c r="H291" s="9">
        <v>44700.67763888889</v>
      </c>
      <c r="I291" s="9">
        <v>44704.67763888889</v>
      </c>
      <c r="J291" s="9" t="e">
        <f>I291+#REF!</f>
        <v>#REF!</v>
      </c>
      <c r="K291" s="9" t="e">
        <f>J291+#REF!</f>
        <v>#REF!</v>
      </c>
      <c r="L291" s="10" t="s">
        <v>41</v>
      </c>
      <c r="M291" s="11">
        <v>44715.67763888889</v>
      </c>
      <c r="N291" s="5" t="s">
        <v>48</v>
      </c>
      <c r="O291" s="5"/>
      <c r="P291" s="9">
        <v>44722.67763888889</v>
      </c>
      <c r="Q291" s="5" t="s">
        <v>48</v>
      </c>
      <c r="R291" s="5"/>
      <c r="S291" s="5"/>
      <c r="T291" s="9">
        <v>44718.67763888889</v>
      </c>
      <c r="U291" s="5"/>
      <c r="V291" s="5">
        <v>0</v>
      </c>
      <c r="W291" s="5"/>
      <c r="X291" s="5"/>
      <c r="Y291" s="5"/>
      <c r="Z291" s="5"/>
      <c r="AA291" s="5"/>
      <c r="AC291">
        <f t="shared" si="37"/>
        <v>11</v>
      </c>
      <c r="AD291" t="str">
        <f t="shared" si="38"/>
        <v/>
      </c>
      <c r="AE291">
        <f t="shared" si="39"/>
        <v>3</v>
      </c>
      <c r="AF291" t="str">
        <f t="shared" si="40"/>
        <v/>
      </c>
      <c r="AG291" t="str">
        <f t="shared" si="41"/>
        <v/>
      </c>
      <c r="AH291">
        <f t="shared" si="42"/>
        <v>4</v>
      </c>
      <c r="AI291" t="str">
        <f t="shared" si="43"/>
        <v/>
      </c>
      <c r="AJ291" t="str">
        <f t="shared" si="44"/>
        <v/>
      </c>
    </row>
    <row r="292" spans="1:36">
      <c r="A292" s="5">
        <v>291</v>
      </c>
      <c r="B292" s="5" t="s">
        <v>732</v>
      </c>
      <c r="C292" s="10" t="s">
        <v>671</v>
      </c>
      <c r="D292" s="5" t="s">
        <v>708</v>
      </c>
      <c r="E292" s="5" t="s">
        <v>55</v>
      </c>
      <c r="F292" s="5" t="str">
        <f t="shared" si="36"/>
        <v>Operations-Director</v>
      </c>
      <c r="G292" s="5" t="s">
        <v>56</v>
      </c>
      <c r="H292" s="9">
        <v>45129.740011574075</v>
      </c>
      <c r="I292" s="9">
        <v>45132.740011574075</v>
      </c>
      <c r="J292" s="9" t="e">
        <f>I292+#REF!</f>
        <v>#REF!</v>
      </c>
      <c r="K292" s="9" t="e">
        <f>J292+#REF!</f>
        <v>#REF!</v>
      </c>
      <c r="L292" s="10" t="s">
        <v>41</v>
      </c>
      <c r="M292" s="11">
        <v>45142.740011574075</v>
      </c>
      <c r="N292" s="5" t="s">
        <v>64</v>
      </c>
      <c r="O292" s="5"/>
      <c r="P292" s="9">
        <v>45147.740011574075</v>
      </c>
      <c r="Q292" s="5" t="s">
        <v>64</v>
      </c>
      <c r="R292" s="9">
        <v>45144.740011574075</v>
      </c>
      <c r="S292" s="9">
        <v>45146.740011574075</v>
      </c>
      <c r="T292" s="9">
        <v>45144.740011574075</v>
      </c>
      <c r="U292" s="9">
        <v>45147.740011574075</v>
      </c>
      <c r="V292" s="12">
        <v>1</v>
      </c>
      <c r="W292" s="9">
        <v>45151.740011574075</v>
      </c>
      <c r="X292" s="9">
        <v>45152.740011574075</v>
      </c>
      <c r="Y292" s="9">
        <v>45155.740011574075</v>
      </c>
      <c r="Z292" s="5"/>
      <c r="AA292" s="5"/>
      <c r="AB292" s="13">
        <v>45168.740011574075</v>
      </c>
      <c r="AC292">
        <f t="shared" si="37"/>
        <v>10</v>
      </c>
      <c r="AD292">
        <f t="shared" si="38"/>
        <v>14</v>
      </c>
      <c r="AE292">
        <f t="shared" si="39"/>
        <v>2</v>
      </c>
      <c r="AF292">
        <f t="shared" si="40"/>
        <v>5</v>
      </c>
      <c r="AG292">
        <f t="shared" si="41"/>
        <v>4</v>
      </c>
      <c r="AH292">
        <f t="shared" si="42"/>
        <v>3</v>
      </c>
      <c r="AI292" t="str">
        <f t="shared" si="43"/>
        <v/>
      </c>
      <c r="AJ292" t="str">
        <f t="shared" si="44"/>
        <v/>
      </c>
    </row>
    <row r="293" spans="1:36">
      <c r="A293" s="5">
        <v>292</v>
      </c>
      <c r="B293" s="5" t="s">
        <v>786</v>
      </c>
      <c r="C293" s="10" t="s">
        <v>671</v>
      </c>
      <c r="D293" s="5" t="s">
        <v>747</v>
      </c>
      <c r="E293" s="5" t="s">
        <v>55</v>
      </c>
      <c r="F293" s="5" t="str">
        <f t="shared" si="36"/>
        <v>Operations-Director</v>
      </c>
      <c r="G293" s="5" t="s">
        <v>47</v>
      </c>
      <c r="H293" s="9">
        <v>45134.740011574075</v>
      </c>
      <c r="I293" s="9">
        <v>45136.740011574075</v>
      </c>
      <c r="J293" s="9" t="e">
        <f>I293+#REF!</f>
        <v>#REF!</v>
      </c>
      <c r="K293" s="9" t="e">
        <f>J293+#REF!</f>
        <v>#REF!</v>
      </c>
      <c r="L293" s="10" t="s">
        <v>41</v>
      </c>
      <c r="M293" s="11">
        <v>45156.740011574075</v>
      </c>
      <c r="N293" s="5" t="s">
        <v>42</v>
      </c>
      <c r="O293" s="5" t="s">
        <v>73</v>
      </c>
      <c r="P293" s="9"/>
      <c r="Q293" s="5"/>
      <c r="R293" s="5"/>
      <c r="S293" s="5"/>
      <c r="T293" s="9"/>
      <c r="U293" s="5"/>
      <c r="V293" s="5">
        <v>0</v>
      </c>
      <c r="W293" s="5"/>
      <c r="X293" s="5"/>
      <c r="Y293" s="5"/>
      <c r="Z293" s="5"/>
      <c r="AA293" s="5" t="s">
        <v>44</v>
      </c>
      <c r="AC293">
        <f t="shared" si="37"/>
        <v>20</v>
      </c>
      <c r="AD293" t="str">
        <f t="shared" si="38"/>
        <v/>
      </c>
      <c r="AE293" t="str">
        <f t="shared" si="39"/>
        <v/>
      </c>
      <c r="AF293" t="str">
        <f t="shared" si="40"/>
        <v/>
      </c>
      <c r="AG293" t="str">
        <f t="shared" si="41"/>
        <v/>
      </c>
      <c r="AH293">
        <f t="shared" si="42"/>
        <v>2</v>
      </c>
      <c r="AI293" t="str">
        <f t="shared" si="43"/>
        <v/>
      </c>
      <c r="AJ293" t="str">
        <f t="shared" si="44"/>
        <v/>
      </c>
    </row>
    <row r="294" spans="1:36">
      <c r="A294" s="5">
        <v>293</v>
      </c>
      <c r="B294" s="5" t="s">
        <v>2152</v>
      </c>
      <c r="C294" s="10" t="s">
        <v>2089</v>
      </c>
      <c r="D294" s="5" t="s">
        <v>2114</v>
      </c>
      <c r="E294" s="5" t="s">
        <v>1146</v>
      </c>
      <c r="F294" s="5" t="str">
        <f t="shared" si="36"/>
        <v>Communication and Advocacy-Quality Assurance</v>
      </c>
      <c r="G294" s="5" t="s">
        <v>147</v>
      </c>
      <c r="H294" s="9">
        <v>45134.740011574075</v>
      </c>
      <c r="I294" s="9">
        <v>45137.740011574075</v>
      </c>
      <c r="J294" s="9" t="e">
        <f>I294+#REF!</f>
        <v>#REF!</v>
      </c>
      <c r="K294" s="9" t="e">
        <f>J294+#REF!</f>
        <v>#REF!</v>
      </c>
      <c r="L294" s="10" t="s">
        <v>41</v>
      </c>
      <c r="M294" s="11">
        <v>45143.740011574075</v>
      </c>
      <c r="N294" s="5" t="s">
        <v>42</v>
      </c>
      <c r="O294" s="5" t="s">
        <v>98</v>
      </c>
      <c r="P294" s="9"/>
      <c r="Q294" s="5"/>
      <c r="R294" s="5"/>
      <c r="S294" s="5"/>
      <c r="T294" s="9"/>
      <c r="U294" s="5"/>
      <c r="V294" s="5">
        <v>0</v>
      </c>
      <c r="W294" s="5"/>
      <c r="X294" s="5"/>
      <c r="Y294" s="5"/>
      <c r="Z294" s="5"/>
      <c r="AA294" s="5" t="s">
        <v>62</v>
      </c>
      <c r="AC294">
        <f t="shared" si="37"/>
        <v>6</v>
      </c>
      <c r="AD294" t="str">
        <f t="shared" si="38"/>
        <v/>
      </c>
      <c r="AE294" t="str">
        <f t="shared" si="39"/>
        <v/>
      </c>
      <c r="AF294" t="str">
        <f t="shared" si="40"/>
        <v/>
      </c>
      <c r="AG294" t="str">
        <f t="shared" si="41"/>
        <v/>
      </c>
      <c r="AH294">
        <f t="shared" si="42"/>
        <v>3</v>
      </c>
      <c r="AI294" t="str">
        <f t="shared" si="43"/>
        <v/>
      </c>
      <c r="AJ294" t="str">
        <f t="shared" si="44"/>
        <v/>
      </c>
    </row>
    <row r="295" spans="1:36">
      <c r="A295" s="5">
        <v>294</v>
      </c>
      <c r="B295" s="5" t="s">
        <v>785</v>
      </c>
      <c r="C295" s="10" t="s">
        <v>671</v>
      </c>
      <c r="D295" s="5" t="s">
        <v>747</v>
      </c>
      <c r="E295" s="5" t="s">
        <v>55</v>
      </c>
      <c r="F295" s="5" t="str">
        <f t="shared" si="36"/>
        <v>Operations-Director</v>
      </c>
      <c r="G295" s="5" t="s">
        <v>47</v>
      </c>
      <c r="H295" s="9">
        <v>45130.740011574075</v>
      </c>
      <c r="I295" s="9">
        <v>45132.740011574075</v>
      </c>
      <c r="J295" s="9" t="e">
        <f>I295+#REF!</f>
        <v>#REF!</v>
      </c>
      <c r="K295" s="9" t="e">
        <f>J295+#REF!</f>
        <v>#REF!</v>
      </c>
      <c r="L295" s="10" t="s">
        <v>52</v>
      </c>
      <c r="M295" s="11"/>
      <c r="N295" s="5"/>
      <c r="O295" s="5"/>
      <c r="P295" s="9"/>
      <c r="Q295" s="5"/>
      <c r="R295" s="5"/>
      <c r="S295" s="5"/>
      <c r="T295" s="9"/>
      <c r="U295" s="5"/>
      <c r="V295" s="5">
        <v>0</v>
      </c>
      <c r="W295" s="5"/>
      <c r="X295" s="5"/>
      <c r="Y295" s="5"/>
      <c r="Z295" s="5"/>
      <c r="AA295" s="5"/>
      <c r="AC295" t="str">
        <f t="shared" si="37"/>
        <v/>
      </c>
      <c r="AD295" t="str">
        <f t="shared" si="38"/>
        <v/>
      </c>
      <c r="AE295" t="str">
        <f t="shared" si="39"/>
        <v/>
      </c>
      <c r="AF295" t="str">
        <f t="shared" si="40"/>
        <v/>
      </c>
      <c r="AG295" t="str">
        <f t="shared" si="41"/>
        <v/>
      </c>
      <c r="AH295">
        <f t="shared" si="42"/>
        <v>2</v>
      </c>
      <c r="AI295" t="str">
        <f t="shared" si="43"/>
        <v/>
      </c>
      <c r="AJ295" t="str">
        <f t="shared" si="44"/>
        <v/>
      </c>
    </row>
    <row r="296" spans="1:36">
      <c r="A296" s="5">
        <v>295</v>
      </c>
      <c r="B296" s="5" t="s">
        <v>784</v>
      </c>
      <c r="C296" s="10" t="s">
        <v>671</v>
      </c>
      <c r="D296" s="5" t="s">
        <v>747</v>
      </c>
      <c r="E296" s="5" t="s">
        <v>55</v>
      </c>
      <c r="F296" s="5" t="str">
        <f t="shared" si="36"/>
        <v>Operations-Director</v>
      </c>
      <c r="G296" s="5" t="s">
        <v>47</v>
      </c>
      <c r="H296" s="9">
        <v>45132.740011574075</v>
      </c>
      <c r="I296" s="9">
        <v>45133.740011574075</v>
      </c>
      <c r="J296" s="9" t="e">
        <f>I296+#REF!</f>
        <v>#REF!</v>
      </c>
      <c r="K296" s="9" t="e">
        <f>J296+#REF!</f>
        <v>#REF!</v>
      </c>
      <c r="L296" s="10" t="s">
        <v>52</v>
      </c>
      <c r="M296" s="11"/>
      <c r="N296" s="5"/>
      <c r="O296" s="5"/>
      <c r="P296" s="9"/>
      <c r="Q296" s="5"/>
      <c r="R296" s="5"/>
      <c r="S296" s="5"/>
      <c r="T296" s="9"/>
      <c r="U296" s="5"/>
      <c r="V296" s="5">
        <v>0</v>
      </c>
      <c r="W296" s="5"/>
      <c r="X296" s="5"/>
      <c r="Y296" s="5"/>
      <c r="Z296" s="5"/>
      <c r="AA296" s="5"/>
      <c r="AC296" t="str">
        <f t="shared" si="37"/>
        <v/>
      </c>
      <c r="AD296" t="str">
        <f t="shared" si="38"/>
        <v/>
      </c>
      <c r="AE296" t="str">
        <f t="shared" si="39"/>
        <v/>
      </c>
      <c r="AF296" t="str">
        <f t="shared" si="40"/>
        <v/>
      </c>
      <c r="AG296" t="str">
        <f t="shared" si="41"/>
        <v/>
      </c>
      <c r="AH296">
        <f t="shared" si="42"/>
        <v>1</v>
      </c>
      <c r="AI296" t="str">
        <f t="shared" si="43"/>
        <v/>
      </c>
      <c r="AJ296" t="str">
        <f t="shared" si="44"/>
        <v/>
      </c>
    </row>
    <row r="297" spans="1:36">
      <c r="A297" s="5">
        <v>296</v>
      </c>
      <c r="B297" s="5" t="s">
        <v>2213</v>
      </c>
      <c r="C297" s="10" t="s">
        <v>2089</v>
      </c>
      <c r="D297" s="5" t="s">
        <v>2211</v>
      </c>
      <c r="E297" s="5" t="s">
        <v>39</v>
      </c>
      <c r="F297" s="5" t="str">
        <f t="shared" si="36"/>
        <v>Communication and Advocacy-Analyst</v>
      </c>
      <c r="G297" s="5" t="s">
        <v>40</v>
      </c>
      <c r="H297" s="9">
        <v>45130.740011574075</v>
      </c>
      <c r="I297" s="9">
        <v>45133.740011574075</v>
      </c>
      <c r="J297" s="9" t="e">
        <f>I297+#REF!</f>
        <v>#REF!</v>
      </c>
      <c r="K297" s="9" t="e">
        <f>J297+#REF!</f>
        <v>#REF!</v>
      </c>
      <c r="L297" s="10" t="s">
        <v>41</v>
      </c>
      <c r="M297" s="11">
        <v>45150.740011574075</v>
      </c>
      <c r="N297" s="5" t="s">
        <v>42</v>
      </c>
      <c r="O297" s="5" t="s">
        <v>98</v>
      </c>
      <c r="P297" s="9"/>
      <c r="Q297" s="5"/>
      <c r="R297" s="5"/>
      <c r="S297" s="5"/>
      <c r="T297" s="9"/>
      <c r="U297" s="5"/>
      <c r="V297" s="5">
        <v>0</v>
      </c>
      <c r="W297" s="5"/>
      <c r="X297" s="5"/>
      <c r="Y297" s="5"/>
      <c r="Z297" s="5"/>
      <c r="AA297" s="5" t="s">
        <v>44</v>
      </c>
      <c r="AC297">
        <f t="shared" si="37"/>
        <v>17</v>
      </c>
      <c r="AD297" t="str">
        <f t="shared" si="38"/>
        <v/>
      </c>
      <c r="AE297" t="str">
        <f t="shared" si="39"/>
        <v/>
      </c>
      <c r="AF297" t="str">
        <f t="shared" si="40"/>
        <v/>
      </c>
      <c r="AG297" t="str">
        <f t="shared" si="41"/>
        <v/>
      </c>
      <c r="AH297">
        <f t="shared" si="42"/>
        <v>3</v>
      </c>
      <c r="AI297" t="str">
        <f t="shared" si="43"/>
        <v/>
      </c>
      <c r="AJ297" t="str">
        <f t="shared" si="44"/>
        <v/>
      </c>
    </row>
    <row r="298" spans="1:36">
      <c r="A298" s="5">
        <v>297</v>
      </c>
      <c r="B298" s="5" t="s">
        <v>2100</v>
      </c>
      <c r="C298" s="10" t="s">
        <v>2089</v>
      </c>
      <c r="D298" s="5" t="s">
        <v>2090</v>
      </c>
      <c r="E298" s="5" t="s">
        <v>102</v>
      </c>
      <c r="F298" s="5" t="str">
        <f t="shared" si="36"/>
        <v>Communication and Advocacy-Senior Manager</v>
      </c>
      <c r="G298" s="5" t="s">
        <v>103</v>
      </c>
      <c r="H298" s="9">
        <v>45134.740011574075</v>
      </c>
      <c r="I298" s="9">
        <v>45137.740011574075</v>
      </c>
      <c r="J298" s="9" t="e">
        <f>I298+#REF!</f>
        <v>#REF!</v>
      </c>
      <c r="K298" s="9" t="e">
        <f>J298+#REF!</f>
        <v>#REF!</v>
      </c>
      <c r="L298" s="10" t="s">
        <v>41</v>
      </c>
      <c r="M298" s="11">
        <v>45149.740011574075</v>
      </c>
      <c r="N298" s="5" t="s">
        <v>48</v>
      </c>
      <c r="O298" s="5"/>
      <c r="P298" s="9">
        <v>45154.740011574075</v>
      </c>
      <c r="Q298" s="5" t="s">
        <v>48</v>
      </c>
      <c r="R298" s="5"/>
      <c r="S298" s="5"/>
      <c r="T298" s="9">
        <v>45152.740011574075</v>
      </c>
      <c r="U298" s="5"/>
      <c r="V298" s="5">
        <v>0</v>
      </c>
      <c r="W298" s="5"/>
      <c r="X298" s="5"/>
      <c r="Y298" s="5"/>
      <c r="Z298" s="5"/>
      <c r="AA298" s="5"/>
      <c r="AC298">
        <f t="shared" si="37"/>
        <v>12</v>
      </c>
      <c r="AD298" t="str">
        <f t="shared" si="38"/>
        <v/>
      </c>
      <c r="AE298">
        <f t="shared" si="39"/>
        <v>3</v>
      </c>
      <c r="AF298" t="str">
        <f t="shared" si="40"/>
        <v/>
      </c>
      <c r="AG298" t="str">
        <f t="shared" si="41"/>
        <v/>
      </c>
      <c r="AH298">
        <f t="shared" si="42"/>
        <v>3</v>
      </c>
      <c r="AI298" t="str">
        <f t="shared" si="43"/>
        <v/>
      </c>
      <c r="AJ298" t="str">
        <f t="shared" si="44"/>
        <v/>
      </c>
    </row>
    <row r="299" spans="1:36">
      <c r="A299" s="5">
        <v>298</v>
      </c>
      <c r="B299" s="5" t="s">
        <v>2199</v>
      </c>
      <c r="C299" s="10" t="s">
        <v>2089</v>
      </c>
      <c r="D299" s="5" t="s">
        <v>2167</v>
      </c>
      <c r="E299" s="5" t="s">
        <v>269</v>
      </c>
      <c r="F299" s="5" t="str">
        <f t="shared" si="36"/>
        <v>Communication and Advocacy-Manager</v>
      </c>
      <c r="G299" s="5" t="s">
        <v>270</v>
      </c>
      <c r="H299" s="9">
        <v>45132.740011574075</v>
      </c>
      <c r="I299" s="9">
        <v>45133.740011574075</v>
      </c>
      <c r="J299" s="9" t="e">
        <f>I299+#REF!</f>
        <v>#REF!</v>
      </c>
      <c r="K299" s="9" t="e">
        <f>J299+#REF!</f>
        <v>#REF!</v>
      </c>
      <c r="L299" s="10" t="s">
        <v>41</v>
      </c>
      <c r="M299" s="11">
        <v>45152.740011574075</v>
      </c>
      <c r="N299" s="5" t="s">
        <v>64</v>
      </c>
      <c r="O299" s="5"/>
      <c r="P299" s="9">
        <v>45157.740011574075</v>
      </c>
      <c r="Q299" s="5" t="s">
        <v>64</v>
      </c>
      <c r="R299" s="9">
        <v>45154.740011574075</v>
      </c>
      <c r="S299" s="9">
        <v>45158.740011574075</v>
      </c>
      <c r="T299" s="9">
        <v>45156.740011574075</v>
      </c>
      <c r="U299" s="9">
        <v>45159.740011574075</v>
      </c>
      <c r="V299" s="12">
        <v>1</v>
      </c>
      <c r="W299" s="9">
        <v>45161.740011574075</v>
      </c>
      <c r="X299" s="9">
        <v>45163.740011574075</v>
      </c>
      <c r="Y299" s="9">
        <v>45164.740011574075</v>
      </c>
      <c r="Z299" s="5"/>
      <c r="AA299" s="5"/>
      <c r="AB299" s="13">
        <v>45183.740011574075</v>
      </c>
      <c r="AC299">
        <f t="shared" si="37"/>
        <v>19</v>
      </c>
      <c r="AD299">
        <f t="shared" si="38"/>
        <v>25</v>
      </c>
      <c r="AE299">
        <f t="shared" si="39"/>
        <v>4</v>
      </c>
      <c r="AF299">
        <f t="shared" si="40"/>
        <v>4</v>
      </c>
      <c r="AG299">
        <f t="shared" si="41"/>
        <v>2</v>
      </c>
      <c r="AH299">
        <f t="shared" si="42"/>
        <v>1</v>
      </c>
      <c r="AI299" t="str">
        <f t="shared" si="43"/>
        <v/>
      </c>
      <c r="AJ299" t="str">
        <f t="shared" si="44"/>
        <v/>
      </c>
    </row>
    <row r="300" spans="1:36">
      <c r="A300" s="5">
        <v>299</v>
      </c>
      <c r="B300" s="5" t="s">
        <v>783</v>
      </c>
      <c r="C300" s="10" t="s">
        <v>671</v>
      </c>
      <c r="D300" s="5" t="s">
        <v>747</v>
      </c>
      <c r="E300" s="5" t="s">
        <v>69</v>
      </c>
      <c r="F300" s="5" t="str">
        <f t="shared" si="36"/>
        <v>Operations-Head of Department</v>
      </c>
      <c r="G300" s="5" t="s">
        <v>47</v>
      </c>
      <c r="H300" s="9">
        <v>45133.740011574075</v>
      </c>
      <c r="I300" s="9">
        <v>45137.740011574075</v>
      </c>
      <c r="J300" s="9" t="e">
        <f>I300+#REF!</f>
        <v>#REF!</v>
      </c>
      <c r="K300" s="9" t="e">
        <f>J300+#REF!</f>
        <v>#REF!</v>
      </c>
      <c r="L300" s="10" t="s">
        <v>41</v>
      </c>
      <c r="M300" s="11">
        <v>45142.740011574075</v>
      </c>
      <c r="N300" s="5" t="s">
        <v>167</v>
      </c>
      <c r="O300" s="5"/>
      <c r="P300" s="9">
        <v>45145.740011574075</v>
      </c>
      <c r="Q300" s="5" t="s">
        <v>167</v>
      </c>
      <c r="R300" s="5"/>
      <c r="S300" s="5"/>
      <c r="T300" s="9">
        <v>45144.740011574075</v>
      </c>
      <c r="U300" s="5"/>
      <c r="V300" s="5">
        <v>0</v>
      </c>
      <c r="W300" s="5"/>
      <c r="X300" s="5"/>
      <c r="Y300" s="5"/>
      <c r="Z300" s="5"/>
      <c r="AA300" s="5"/>
      <c r="AC300">
        <f t="shared" si="37"/>
        <v>5</v>
      </c>
      <c r="AD300" t="str">
        <f t="shared" si="38"/>
        <v/>
      </c>
      <c r="AE300">
        <f t="shared" si="39"/>
        <v>2</v>
      </c>
      <c r="AF300" t="str">
        <f t="shared" si="40"/>
        <v/>
      </c>
      <c r="AG300" t="str">
        <f t="shared" si="41"/>
        <v/>
      </c>
      <c r="AH300">
        <f t="shared" si="42"/>
        <v>4</v>
      </c>
      <c r="AI300" t="str">
        <f t="shared" si="43"/>
        <v/>
      </c>
      <c r="AJ300" t="str">
        <f t="shared" si="44"/>
        <v/>
      </c>
    </row>
    <row r="301" spans="1:36">
      <c r="A301" s="5">
        <v>300</v>
      </c>
      <c r="B301" s="5" t="s">
        <v>782</v>
      </c>
      <c r="C301" s="10" t="s">
        <v>671</v>
      </c>
      <c r="D301" s="5" t="s">
        <v>747</v>
      </c>
      <c r="E301" s="5" t="s">
        <v>69</v>
      </c>
      <c r="F301" s="5" t="str">
        <f t="shared" si="36"/>
        <v>Operations-Head of Department</v>
      </c>
      <c r="G301" s="5" t="s">
        <v>47</v>
      </c>
      <c r="H301" s="9">
        <v>45132.740011574075</v>
      </c>
      <c r="I301" s="9">
        <v>45136.740011574075</v>
      </c>
      <c r="J301" s="9" t="e">
        <f>I301+#REF!</f>
        <v>#REF!</v>
      </c>
      <c r="K301" s="9" t="e">
        <f>J301+#REF!</f>
        <v>#REF!</v>
      </c>
      <c r="L301" s="10" t="s">
        <v>41</v>
      </c>
      <c r="M301" s="11">
        <v>45145.740011574075</v>
      </c>
      <c r="N301" s="5" t="s">
        <v>42</v>
      </c>
      <c r="O301" s="5" t="s">
        <v>43</v>
      </c>
      <c r="P301" s="9"/>
      <c r="Q301" s="5"/>
      <c r="R301" s="5"/>
      <c r="S301" s="5"/>
      <c r="T301" s="9"/>
      <c r="U301" s="5"/>
      <c r="V301" s="5">
        <v>0</v>
      </c>
      <c r="W301" s="5"/>
      <c r="X301" s="5"/>
      <c r="Y301" s="5"/>
      <c r="Z301" s="5"/>
      <c r="AA301" s="5" t="s">
        <v>44</v>
      </c>
      <c r="AC301">
        <f t="shared" si="37"/>
        <v>9</v>
      </c>
      <c r="AD301" t="str">
        <f t="shared" si="38"/>
        <v/>
      </c>
      <c r="AE301" t="str">
        <f t="shared" si="39"/>
        <v/>
      </c>
      <c r="AF301" t="str">
        <f t="shared" si="40"/>
        <v/>
      </c>
      <c r="AG301" t="str">
        <f t="shared" si="41"/>
        <v/>
      </c>
      <c r="AH301">
        <f t="shared" si="42"/>
        <v>4</v>
      </c>
      <c r="AI301" t="str">
        <f t="shared" si="43"/>
        <v/>
      </c>
      <c r="AJ301" t="str">
        <f t="shared" si="44"/>
        <v/>
      </c>
    </row>
    <row r="302" spans="1:36">
      <c r="A302" s="5">
        <v>301</v>
      </c>
      <c r="B302" s="5" t="s">
        <v>2518</v>
      </c>
      <c r="C302" s="5" t="s">
        <v>2494</v>
      </c>
      <c r="D302" s="5" t="s">
        <v>2504</v>
      </c>
      <c r="E302" s="5" t="s">
        <v>51</v>
      </c>
      <c r="F302" s="5" t="str">
        <f t="shared" si="36"/>
        <v>Administation-Supervisor</v>
      </c>
      <c r="G302" s="5" t="s">
        <v>147</v>
      </c>
      <c r="H302" s="9">
        <v>45026.892650462964</v>
      </c>
      <c r="I302" s="9">
        <v>45029.892650462964</v>
      </c>
      <c r="J302" s="9" t="e">
        <f>I302+#REF!</f>
        <v>#REF!</v>
      </c>
      <c r="K302" s="9" t="e">
        <f>J302+#REF!</f>
        <v>#REF!</v>
      </c>
      <c r="L302" s="10" t="s">
        <v>41</v>
      </c>
      <c r="M302" s="11">
        <v>45043.892650462964</v>
      </c>
      <c r="N302" s="5" t="s">
        <v>42</v>
      </c>
      <c r="O302" s="5" t="s">
        <v>113</v>
      </c>
      <c r="P302" s="9"/>
      <c r="Q302" s="5"/>
      <c r="R302" s="5"/>
      <c r="S302" s="5"/>
      <c r="T302" s="9">
        <v>45046.892650462964</v>
      </c>
      <c r="U302" s="5"/>
      <c r="V302" s="5">
        <v>0</v>
      </c>
      <c r="W302" s="5"/>
      <c r="X302" s="5"/>
      <c r="Y302" s="5"/>
      <c r="Z302" s="5"/>
      <c r="AA302" s="5" t="s">
        <v>44</v>
      </c>
      <c r="AC302">
        <f t="shared" si="37"/>
        <v>14</v>
      </c>
      <c r="AD302" t="str">
        <f t="shared" si="38"/>
        <v/>
      </c>
      <c r="AE302">
        <f t="shared" si="39"/>
        <v>3</v>
      </c>
      <c r="AF302" t="str">
        <f t="shared" si="40"/>
        <v/>
      </c>
      <c r="AG302" t="str">
        <f t="shared" si="41"/>
        <v/>
      </c>
      <c r="AH302">
        <f t="shared" si="42"/>
        <v>3</v>
      </c>
      <c r="AI302" t="str">
        <f t="shared" si="43"/>
        <v/>
      </c>
      <c r="AJ302" t="str">
        <f t="shared" si="44"/>
        <v/>
      </c>
    </row>
    <row r="303" spans="1:36">
      <c r="A303" s="5">
        <v>302</v>
      </c>
      <c r="B303" s="5" t="s">
        <v>2517</v>
      </c>
      <c r="C303" s="5" t="s">
        <v>2494</v>
      </c>
      <c r="D303" s="5" t="s">
        <v>2504</v>
      </c>
      <c r="E303" s="5" t="s">
        <v>51</v>
      </c>
      <c r="F303" s="5" t="str">
        <f t="shared" si="36"/>
        <v>Administation-Supervisor</v>
      </c>
      <c r="G303" s="5" t="s">
        <v>147</v>
      </c>
      <c r="H303" s="9">
        <v>45028.892650462964</v>
      </c>
      <c r="I303" s="9">
        <v>45032.892650462964</v>
      </c>
      <c r="J303" s="9" t="e">
        <f>I303+#REF!</f>
        <v>#REF!</v>
      </c>
      <c r="K303" s="9" t="e">
        <f>J303+#REF!</f>
        <v>#REF!</v>
      </c>
      <c r="L303" s="10" t="s">
        <v>41</v>
      </c>
      <c r="M303" s="11">
        <v>45042.892650462964</v>
      </c>
      <c r="N303" s="5" t="s">
        <v>42</v>
      </c>
      <c r="O303" s="5" t="s">
        <v>43</v>
      </c>
      <c r="P303" s="9"/>
      <c r="Q303" s="5"/>
      <c r="R303" s="5"/>
      <c r="S303" s="5"/>
      <c r="T303" s="9">
        <v>45044.892650462964</v>
      </c>
      <c r="U303" s="5"/>
      <c r="V303" s="5">
        <v>0</v>
      </c>
      <c r="W303" s="5"/>
      <c r="X303" s="5"/>
      <c r="Y303" s="5"/>
      <c r="Z303" s="5"/>
      <c r="AA303" s="5" t="s">
        <v>62</v>
      </c>
      <c r="AC303">
        <f t="shared" si="37"/>
        <v>10</v>
      </c>
      <c r="AD303" t="str">
        <f t="shared" si="38"/>
        <v/>
      </c>
      <c r="AE303">
        <f t="shared" si="39"/>
        <v>2</v>
      </c>
      <c r="AF303" t="str">
        <f t="shared" si="40"/>
        <v/>
      </c>
      <c r="AG303" t="str">
        <f t="shared" si="41"/>
        <v/>
      </c>
      <c r="AH303">
        <f t="shared" si="42"/>
        <v>4</v>
      </c>
      <c r="AI303" t="str">
        <f t="shared" si="43"/>
        <v/>
      </c>
      <c r="AJ303" t="str">
        <f t="shared" si="44"/>
        <v/>
      </c>
    </row>
    <row r="304" spans="1:36">
      <c r="A304" s="5">
        <v>303</v>
      </c>
      <c r="B304" s="5" t="s">
        <v>2534</v>
      </c>
      <c r="C304" s="5" t="s">
        <v>2494</v>
      </c>
      <c r="D304" s="5" t="s">
        <v>2523</v>
      </c>
      <c r="E304" s="5" t="s">
        <v>269</v>
      </c>
      <c r="F304" s="5" t="str">
        <f t="shared" si="36"/>
        <v>Administation-Manager</v>
      </c>
      <c r="G304" s="5" t="s">
        <v>270</v>
      </c>
      <c r="H304" s="9">
        <v>45030.892650462964</v>
      </c>
      <c r="I304" s="9">
        <v>45032.892650462964</v>
      </c>
      <c r="J304" s="9" t="e">
        <f>I304+#REF!</f>
        <v>#REF!</v>
      </c>
      <c r="K304" s="9" t="e">
        <f>J304+#REF!</f>
        <v>#REF!</v>
      </c>
      <c r="L304" s="10" t="s">
        <v>41</v>
      </c>
      <c r="M304" s="11">
        <v>45039.892650462964</v>
      </c>
      <c r="N304" s="5" t="s">
        <v>64</v>
      </c>
      <c r="O304" s="5"/>
      <c r="P304" s="9">
        <v>45041.892650462964</v>
      </c>
      <c r="Q304" s="5" t="s">
        <v>64</v>
      </c>
      <c r="R304" s="9">
        <v>45040.892650462964</v>
      </c>
      <c r="S304" s="9">
        <v>45044.892650462964</v>
      </c>
      <c r="T304" s="9">
        <v>45040.892650462964</v>
      </c>
      <c r="U304" s="9">
        <v>45043.892650462964</v>
      </c>
      <c r="V304" s="12">
        <v>1</v>
      </c>
      <c r="W304" s="9">
        <v>45046.892650462964</v>
      </c>
      <c r="X304" s="9">
        <v>45048.892650462964</v>
      </c>
      <c r="Y304" s="9">
        <v>45049.892650462964</v>
      </c>
      <c r="Z304" s="5"/>
      <c r="AA304" s="5"/>
      <c r="AB304" s="13">
        <v>45072.892650462964</v>
      </c>
      <c r="AC304">
        <f t="shared" si="37"/>
        <v>7</v>
      </c>
      <c r="AD304">
        <f t="shared" si="38"/>
        <v>12</v>
      </c>
      <c r="AE304">
        <f t="shared" si="39"/>
        <v>1</v>
      </c>
      <c r="AF304">
        <f t="shared" si="40"/>
        <v>5</v>
      </c>
      <c r="AG304">
        <f t="shared" si="41"/>
        <v>3</v>
      </c>
      <c r="AH304">
        <f t="shared" si="42"/>
        <v>2</v>
      </c>
      <c r="AI304" t="str">
        <f t="shared" si="43"/>
        <v/>
      </c>
      <c r="AJ304" t="str">
        <f t="shared" si="44"/>
        <v/>
      </c>
    </row>
    <row r="305" spans="1:36">
      <c r="A305" s="5">
        <v>304</v>
      </c>
      <c r="B305" s="5" t="s">
        <v>96</v>
      </c>
      <c r="C305" s="5" t="s">
        <v>37</v>
      </c>
      <c r="D305" s="5" t="s">
        <v>54</v>
      </c>
      <c r="E305" s="5" t="s">
        <v>69</v>
      </c>
      <c r="F305" s="5" t="str">
        <f t="shared" si="36"/>
        <v>Risk Management-Head of Department</v>
      </c>
      <c r="G305" s="5" t="s">
        <v>56</v>
      </c>
      <c r="H305" s="9">
        <v>45027.892650462964</v>
      </c>
      <c r="I305" s="9">
        <v>45031.892650462964</v>
      </c>
      <c r="J305" s="9" t="e">
        <f>I305+#REF!</f>
        <v>#REF!</v>
      </c>
      <c r="K305" s="9" t="e">
        <f>J305+#REF!</f>
        <v>#REF!</v>
      </c>
      <c r="L305" s="10" t="s">
        <v>41</v>
      </c>
      <c r="M305" s="11">
        <v>45040.892650462964</v>
      </c>
      <c r="N305" s="5" t="s">
        <v>42</v>
      </c>
      <c r="O305" s="5" t="s">
        <v>58</v>
      </c>
      <c r="P305" s="9"/>
      <c r="Q305" s="5"/>
      <c r="R305" s="5"/>
      <c r="S305" s="5"/>
      <c r="T305" s="9">
        <v>45042.892650462964</v>
      </c>
      <c r="U305" s="5"/>
      <c r="V305" s="5">
        <v>0</v>
      </c>
      <c r="W305" s="5"/>
      <c r="X305" s="5"/>
      <c r="Y305" s="5"/>
      <c r="Z305" s="5"/>
      <c r="AA305" s="5" t="s">
        <v>62</v>
      </c>
      <c r="AC305">
        <f t="shared" si="37"/>
        <v>9</v>
      </c>
      <c r="AD305" t="str">
        <f t="shared" si="38"/>
        <v/>
      </c>
      <c r="AE305">
        <f t="shared" si="39"/>
        <v>2</v>
      </c>
      <c r="AF305" t="str">
        <f t="shared" si="40"/>
        <v/>
      </c>
      <c r="AG305" t="str">
        <f t="shared" si="41"/>
        <v/>
      </c>
      <c r="AH305">
        <f t="shared" si="42"/>
        <v>4</v>
      </c>
      <c r="AI305" t="str">
        <f t="shared" si="43"/>
        <v/>
      </c>
      <c r="AJ305" t="str">
        <f t="shared" si="44"/>
        <v/>
      </c>
    </row>
    <row r="306" spans="1:36">
      <c r="A306" s="5">
        <v>305</v>
      </c>
      <c r="B306" s="5" t="s">
        <v>97</v>
      </c>
      <c r="C306" s="5" t="s">
        <v>37</v>
      </c>
      <c r="D306" s="5" t="s">
        <v>38</v>
      </c>
      <c r="E306" s="5" t="s">
        <v>39</v>
      </c>
      <c r="F306" s="5" t="str">
        <f t="shared" si="36"/>
        <v>Risk Management-Analyst</v>
      </c>
      <c r="G306" s="5" t="s">
        <v>40</v>
      </c>
      <c r="H306" s="9">
        <v>45028.892650462964</v>
      </c>
      <c r="I306" s="9">
        <v>45031.892650462964</v>
      </c>
      <c r="J306" s="9" t="e">
        <f>I306+#REF!</f>
        <v>#REF!</v>
      </c>
      <c r="K306" s="9" t="e">
        <f>J306+#REF!</f>
        <v>#REF!</v>
      </c>
      <c r="L306" s="10" t="s">
        <v>41</v>
      </c>
      <c r="M306" s="11">
        <v>45049.892650462964</v>
      </c>
      <c r="N306" s="5" t="s">
        <v>42</v>
      </c>
      <c r="O306" s="5" t="s">
        <v>98</v>
      </c>
      <c r="P306" s="9"/>
      <c r="Q306" s="5"/>
      <c r="R306" s="5"/>
      <c r="S306" s="5"/>
      <c r="T306" s="9"/>
      <c r="U306" s="5"/>
      <c r="V306" s="5">
        <v>0</v>
      </c>
      <c r="W306" s="5"/>
      <c r="X306" s="5"/>
      <c r="Y306" s="5"/>
      <c r="Z306" s="5"/>
      <c r="AA306" s="5" t="s">
        <v>62</v>
      </c>
      <c r="AC306">
        <f t="shared" si="37"/>
        <v>18</v>
      </c>
      <c r="AD306" t="str">
        <f t="shared" si="38"/>
        <v/>
      </c>
      <c r="AE306" t="str">
        <f t="shared" si="39"/>
        <v/>
      </c>
      <c r="AF306" t="str">
        <f t="shared" si="40"/>
        <v/>
      </c>
      <c r="AG306" t="str">
        <f t="shared" si="41"/>
        <v/>
      </c>
      <c r="AH306">
        <f t="shared" si="42"/>
        <v>3</v>
      </c>
      <c r="AI306" t="str">
        <f t="shared" si="43"/>
        <v/>
      </c>
      <c r="AJ306" t="str">
        <f t="shared" si="44"/>
        <v/>
      </c>
    </row>
    <row r="307" spans="1:36">
      <c r="A307" s="5">
        <v>306</v>
      </c>
      <c r="B307" s="5" t="s">
        <v>95</v>
      </c>
      <c r="C307" s="5" t="s">
        <v>37</v>
      </c>
      <c r="D307" s="5" t="s">
        <v>54</v>
      </c>
      <c r="E307" s="5" t="s">
        <v>55</v>
      </c>
      <c r="F307" s="5" t="str">
        <f t="shared" si="36"/>
        <v>Risk Management-Director</v>
      </c>
      <c r="G307" s="5" t="s">
        <v>56</v>
      </c>
      <c r="H307" s="9">
        <v>45026.892650462964</v>
      </c>
      <c r="I307" s="9">
        <v>45029.892650462964</v>
      </c>
      <c r="J307" s="9" t="e">
        <f>I307+#REF!</f>
        <v>#REF!</v>
      </c>
      <c r="K307" s="9" t="e">
        <f>J307+#REF!</f>
        <v>#REF!</v>
      </c>
      <c r="L307" s="10" t="s">
        <v>41</v>
      </c>
      <c r="M307" s="11">
        <v>45041.892650462964</v>
      </c>
      <c r="N307" s="5" t="s">
        <v>42</v>
      </c>
      <c r="O307" s="5" t="s">
        <v>58</v>
      </c>
      <c r="P307" s="9"/>
      <c r="Q307" s="5"/>
      <c r="R307" s="5"/>
      <c r="S307" s="5"/>
      <c r="T307" s="9"/>
      <c r="U307" s="5"/>
      <c r="V307" s="5">
        <v>0</v>
      </c>
      <c r="W307" s="5"/>
      <c r="X307" s="5"/>
      <c r="Y307" s="5"/>
      <c r="Z307" s="5"/>
      <c r="AA307" s="5" t="s">
        <v>62</v>
      </c>
      <c r="AC307">
        <f t="shared" si="37"/>
        <v>12</v>
      </c>
      <c r="AD307" t="str">
        <f t="shared" si="38"/>
        <v/>
      </c>
      <c r="AE307" t="str">
        <f t="shared" si="39"/>
        <v/>
      </c>
      <c r="AF307" t="str">
        <f t="shared" si="40"/>
        <v/>
      </c>
      <c r="AG307" t="str">
        <f t="shared" si="41"/>
        <v/>
      </c>
      <c r="AH307">
        <f t="shared" si="42"/>
        <v>3</v>
      </c>
      <c r="AI307" t="str">
        <f t="shared" si="43"/>
        <v/>
      </c>
      <c r="AJ307" t="str">
        <f t="shared" si="44"/>
        <v/>
      </c>
    </row>
    <row r="308" spans="1:36">
      <c r="A308" s="5">
        <v>307</v>
      </c>
      <c r="B308" s="5" t="s">
        <v>2516</v>
      </c>
      <c r="C308" s="5" t="s">
        <v>2494</v>
      </c>
      <c r="D308" s="5" t="s">
        <v>2504</v>
      </c>
      <c r="E308" s="5" t="s">
        <v>51</v>
      </c>
      <c r="F308" s="5" t="str">
        <f t="shared" si="36"/>
        <v>Administation-Supervisor</v>
      </c>
      <c r="G308" s="5" t="s">
        <v>147</v>
      </c>
      <c r="H308" s="9">
        <v>45026.892650462964</v>
      </c>
      <c r="I308" s="9">
        <v>45029.892650462964</v>
      </c>
      <c r="J308" s="9" t="e">
        <f>I308+#REF!</f>
        <v>#REF!</v>
      </c>
      <c r="K308" s="9" t="e">
        <f>J308+#REF!</f>
        <v>#REF!</v>
      </c>
      <c r="L308" s="10" t="s">
        <v>41</v>
      </c>
      <c r="M308" s="11">
        <v>45041.892650462964</v>
      </c>
      <c r="N308" s="5" t="s">
        <v>42</v>
      </c>
      <c r="O308" s="5" t="s">
        <v>113</v>
      </c>
      <c r="P308" s="9"/>
      <c r="Q308" s="5"/>
      <c r="R308" s="5"/>
      <c r="S308" s="5"/>
      <c r="T308" s="9"/>
      <c r="U308" s="5"/>
      <c r="V308" s="5">
        <v>0</v>
      </c>
      <c r="W308" s="5"/>
      <c r="X308" s="5"/>
      <c r="Y308" s="5"/>
      <c r="Z308" s="5"/>
      <c r="AA308" s="5" t="s">
        <v>44</v>
      </c>
      <c r="AC308">
        <f t="shared" si="37"/>
        <v>12</v>
      </c>
      <c r="AD308" t="str">
        <f t="shared" si="38"/>
        <v/>
      </c>
      <c r="AE308" t="str">
        <f t="shared" si="39"/>
        <v/>
      </c>
      <c r="AF308" t="str">
        <f t="shared" si="40"/>
        <v/>
      </c>
      <c r="AG308" t="str">
        <f t="shared" si="41"/>
        <v/>
      </c>
      <c r="AH308">
        <f t="shared" si="42"/>
        <v>3</v>
      </c>
      <c r="AI308" t="str">
        <f t="shared" si="43"/>
        <v/>
      </c>
      <c r="AJ308" t="str">
        <f t="shared" si="44"/>
        <v/>
      </c>
    </row>
    <row r="309" spans="1:36">
      <c r="A309" s="5">
        <v>308</v>
      </c>
      <c r="B309" s="5" t="s">
        <v>2515</v>
      </c>
      <c r="C309" s="5" t="s">
        <v>2494</v>
      </c>
      <c r="D309" s="5" t="s">
        <v>2504</v>
      </c>
      <c r="E309" s="5" t="s">
        <v>51</v>
      </c>
      <c r="F309" s="5" t="str">
        <f t="shared" si="36"/>
        <v>Administation-Supervisor</v>
      </c>
      <c r="G309" s="5" t="s">
        <v>147</v>
      </c>
      <c r="H309" s="9">
        <v>45030.892650462964</v>
      </c>
      <c r="I309" s="9">
        <v>45034.892650462964</v>
      </c>
      <c r="J309" s="9" t="e">
        <f>I309+#REF!</f>
        <v>#REF!</v>
      </c>
      <c r="K309" s="9" t="e">
        <f>J309+#REF!</f>
        <v>#REF!</v>
      </c>
      <c r="L309" s="10" t="s">
        <v>41</v>
      </c>
      <c r="M309" s="11">
        <v>45044.892650462964</v>
      </c>
      <c r="N309" s="5" t="s">
        <v>48</v>
      </c>
      <c r="O309" s="5"/>
      <c r="P309" s="9">
        <v>45050.892650462964</v>
      </c>
      <c r="Q309" s="5" t="s">
        <v>48</v>
      </c>
      <c r="R309" s="5"/>
      <c r="S309" s="5"/>
      <c r="T309" s="9">
        <v>45046.892650462964</v>
      </c>
      <c r="U309" s="5"/>
      <c r="V309" s="5">
        <v>0</v>
      </c>
      <c r="W309" s="5"/>
      <c r="X309" s="5"/>
      <c r="Y309" s="5"/>
      <c r="Z309" s="5"/>
      <c r="AA309" s="5"/>
      <c r="AC309">
        <f t="shared" si="37"/>
        <v>10</v>
      </c>
      <c r="AD309" t="str">
        <f t="shared" si="38"/>
        <v/>
      </c>
      <c r="AE309">
        <f t="shared" si="39"/>
        <v>2</v>
      </c>
      <c r="AF309" t="str">
        <f t="shared" si="40"/>
        <v/>
      </c>
      <c r="AG309" t="str">
        <f t="shared" si="41"/>
        <v/>
      </c>
      <c r="AH309">
        <f t="shared" si="42"/>
        <v>4</v>
      </c>
      <c r="AI309" t="str">
        <f t="shared" si="43"/>
        <v/>
      </c>
      <c r="AJ309" t="str">
        <f t="shared" si="44"/>
        <v/>
      </c>
    </row>
    <row r="310" spans="1:36">
      <c r="A310" s="5">
        <v>309</v>
      </c>
      <c r="B310" s="5" t="s">
        <v>2533</v>
      </c>
      <c r="C310" s="5" t="s">
        <v>2494</v>
      </c>
      <c r="D310" s="5" t="s">
        <v>2523</v>
      </c>
      <c r="E310" s="5" t="s">
        <v>269</v>
      </c>
      <c r="F310" s="5" t="str">
        <f t="shared" si="36"/>
        <v>Administation-Manager</v>
      </c>
      <c r="G310" s="5" t="s">
        <v>270</v>
      </c>
      <c r="H310" s="9">
        <v>45029.892650462964</v>
      </c>
      <c r="I310" s="9">
        <v>45033.892650462964</v>
      </c>
      <c r="J310" s="9" t="e">
        <f>I310+#REF!</f>
        <v>#REF!</v>
      </c>
      <c r="K310" s="9" t="e">
        <f>J310+#REF!</f>
        <v>#REF!</v>
      </c>
      <c r="L310" s="10" t="s">
        <v>52</v>
      </c>
      <c r="M310" s="11"/>
      <c r="N310" s="5"/>
      <c r="O310" s="5"/>
      <c r="P310" s="9"/>
      <c r="Q310" s="5"/>
      <c r="R310" s="5"/>
      <c r="S310" s="5"/>
      <c r="T310" s="9"/>
      <c r="U310" s="5"/>
      <c r="V310" s="5">
        <v>0</v>
      </c>
      <c r="W310" s="5"/>
      <c r="X310" s="5"/>
      <c r="Y310" s="5"/>
      <c r="Z310" s="5"/>
      <c r="AA310" s="5"/>
      <c r="AC310" t="str">
        <f t="shared" si="37"/>
        <v/>
      </c>
      <c r="AD310" t="str">
        <f t="shared" si="38"/>
        <v/>
      </c>
      <c r="AE310" t="str">
        <f t="shared" si="39"/>
        <v/>
      </c>
      <c r="AF310" t="str">
        <f t="shared" si="40"/>
        <v/>
      </c>
      <c r="AG310" t="str">
        <f t="shared" si="41"/>
        <v/>
      </c>
      <c r="AH310">
        <f t="shared" si="42"/>
        <v>4</v>
      </c>
      <c r="AI310" t="str">
        <f t="shared" si="43"/>
        <v/>
      </c>
      <c r="AJ310" t="str">
        <f t="shared" si="44"/>
        <v/>
      </c>
    </row>
    <row r="311" spans="1:36">
      <c r="A311" s="5">
        <v>310</v>
      </c>
      <c r="B311" s="5" t="s">
        <v>2500</v>
      </c>
      <c r="C311" s="5" t="s">
        <v>2494</v>
      </c>
      <c r="D311" s="5" t="s">
        <v>2495</v>
      </c>
      <c r="E311" s="5" t="s">
        <v>102</v>
      </c>
      <c r="F311" s="5" t="str">
        <f t="shared" si="36"/>
        <v>Administation-Senior Manager</v>
      </c>
      <c r="G311" s="5" t="s">
        <v>103</v>
      </c>
      <c r="H311" s="9">
        <v>45029.892650462964</v>
      </c>
      <c r="I311" s="9">
        <v>45033.892650462964</v>
      </c>
      <c r="J311" s="9" t="e">
        <f>I311+#REF!</f>
        <v>#REF!</v>
      </c>
      <c r="K311" s="9" t="e">
        <f>J311+#REF!</f>
        <v>#REF!</v>
      </c>
      <c r="L311" s="10" t="s">
        <v>41</v>
      </c>
      <c r="M311" s="11">
        <v>45047.892650462964</v>
      </c>
      <c r="N311" s="5" t="s">
        <v>167</v>
      </c>
      <c r="O311" s="5"/>
      <c r="P311" s="9">
        <v>45054.892650462964</v>
      </c>
      <c r="Q311" s="5" t="s">
        <v>167</v>
      </c>
      <c r="R311" s="5"/>
      <c r="S311" s="5"/>
      <c r="T311" s="9">
        <v>45050.892650462964</v>
      </c>
      <c r="U311" s="5"/>
      <c r="V311" s="5">
        <v>0</v>
      </c>
      <c r="W311" s="5"/>
      <c r="X311" s="5"/>
      <c r="Y311" s="5"/>
      <c r="Z311" s="5"/>
      <c r="AA311" s="5"/>
      <c r="AC311">
        <f t="shared" si="37"/>
        <v>14</v>
      </c>
      <c r="AD311" t="str">
        <f t="shared" si="38"/>
        <v/>
      </c>
      <c r="AE311">
        <f t="shared" si="39"/>
        <v>3</v>
      </c>
      <c r="AF311" t="str">
        <f t="shared" si="40"/>
        <v/>
      </c>
      <c r="AG311" t="str">
        <f t="shared" si="41"/>
        <v/>
      </c>
      <c r="AH311">
        <f t="shared" si="42"/>
        <v>4</v>
      </c>
      <c r="AI311" t="str">
        <f t="shared" si="43"/>
        <v/>
      </c>
      <c r="AJ311" t="str">
        <f t="shared" si="44"/>
        <v/>
      </c>
    </row>
    <row r="312" spans="1:36">
      <c r="A312" s="5">
        <v>311</v>
      </c>
      <c r="B312" s="5" t="s">
        <v>138</v>
      </c>
      <c r="C312" s="5" t="s">
        <v>100</v>
      </c>
      <c r="D312" s="5" t="s">
        <v>101</v>
      </c>
      <c r="E312" s="5" t="s">
        <v>132</v>
      </c>
      <c r="F312" s="5" t="str">
        <f t="shared" si="36"/>
        <v>Program Office-Senior Supervisory Manager</v>
      </c>
      <c r="G312" s="5" t="s">
        <v>103</v>
      </c>
      <c r="H312" s="9">
        <v>44981.608946759261</v>
      </c>
      <c r="I312" s="9">
        <v>44985.608946759261</v>
      </c>
      <c r="J312" s="9" t="e">
        <f>I312+#REF!</f>
        <v>#REF!</v>
      </c>
      <c r="K312" s="9" t="e">
        <f>J312+#REF!</f>
        <v>#REF!</v>
      </c>
      <c r="L312" s="10" t="s">
        <v>41</v>
      </c>
      <c r="M312" s="11">
        <v>45007.608946759261</v>
      </c>
      <c r="N312" s="5" t="s">
        <v>64</v>
      </c>
      <c r="O312" s="5"/>
      <c r="P312" s="9">
        <v>45014.608946759261</v>
      </c>
      <c r="Q312" s="5" t="s">
        <v>64</v>
      </c>
      <c r="R312" s="9">
        <v>45009.608946759261</v>
      </c>
      <c r="S312" s="9">
        <v>45013.608946759261</v>
      </c>
      <c r="T312" s="9">
        <v>45010.608946759261</v>
      </c>
      <c r="U312" s="9">
        <v>45013.608946759261</v>
      </c>
      <c r="V312" s="12">
        <v>1</v>
      </c>
      <c r="W312" s="9">
        <v>45015.608946759261</v>
      </c>
      <c r="X312" s="9">
        <v>45018.608946759261</v>
      </c>
      <c r="Y312" s="9">
        <v>45021.608946759261</v>
      </c>
      <c r="Z312" s="5"/>
      <c r="AA312" s="5"/>
      <c r="AB312" s="13">
        <v>45028.608946759261</v>
      </c>
      <c r="AC312">
        <f t="shared" si="37"/>
        <v>22</v>
      </c>
      <c r="AD312">
        <f t="shared" si="38"/>
        <v>28</v>
      </c>
      <c r="AE312">
        <f t="shared" si="39"/>
        <v>3</v>
      </c>
      <c r="AF312">
        <f t="shared" si="40"/>
        <v>5</v>
      </c>
      <c r="AG312">
        <f t="shared" si="41"/>
        <v>2</v>
      </c>
      <c r="AH312">
        <f t="shared" si="42"/>
        <v>4</v>
      </c>
      <c r="AI312" t="str">
        <f t="shared" si="43"/>
        <v/>
      </c>
      <c r="AJ312" t="str">
        <f t="shared" si="44"/>
        <v/>
      </c>
    </row>
    <row r="313" spans="1:36">
      <c r="A313" s="5">
        <v>312</v>
      </c>
      <c r="B313" s="5" t="s">
        <v>497</v>
      </c>
      <c r="C313" s="5" t="s">
        <v>100</v>
      </c>
      <c r="D313" s="5" t="s">
        <v>387</v>
      </c>
      <c r="E313" s="5" t="s">
        <v>473</v>
      </c>
      <c r="F313" s="5" t="str">
        <f t="shared" si="36"/>
        <v>Program Office-Officer</v>
      </c>
      <c r="G313" s="5" t="s">
        <v>40</v>
      </c>
      <c r="H313" s="9">
        <v>44986.608946759261</v>
      </c>
      <c r="I313" s="9">
        <v>44989.608946759261</v>
      </c>
      <c r="J313" s="9" t="e">
        <f>I313+#REF!</f>
        <v>#REF!</v>
      </c>
      <c r="K313" s="9" t="e">
        <f>J313+#REF!</f>
        <v>#REF!</v>
      </c>
      <c r="L313" s="10" t="s">
        <v>41</v>
      </c>
      <c r="M313" s="11">
        <v>45006.608946759261</v>
      </c>
      <c r="N313" s="5" t="s">
        <v>48</v>
      </c>
      <c r="O313" s="5"/>
      <c r="P313" s="9">
        <v>45011.608946759261</v>
      </c>
      <c r="Q313" s="5" t="s">
        <v>48</v>
      </c>
      <c r="R313" s="5"/>
      <c r="S313" s="5"/>
      <c r="T313" s="9">
        <v>45010.608946759261</v>
      </c>
      <c r="U313" s="5"/>
      <c r="V313" s="5">
        <v>0</v>
      </c>
      <c r="W313" s="5"/>
      <c r="X313" s="5"/>
      <c r="Y313" s="5"/>
      <c r="Z313" s="5"/>
      <c r="AA313" s="5"/>
      <c r="AC313">
        <f t="shared" si="37"/>
        <v>17</v>
      </c>
      <c r="AD313" t="str">
        <f t="shared" si="38"/>
        <v/>
      </c>
      <c r="AE313">
        <f t="shared" si="39"/>
        <v>4</v>
      </c>
      <c r="AF313" t="str">
        <f t="shared" si="40"/>
        <v/>
      </c>
      <c r="AG313" t="str">
        <f t="shared" si="41"/>
        <v/>
      </c>
      <c r="AH313">
        <f t="shared" si="42"/>
        <v>3</v>
      </c>
      <c r="AI313" t="str">
        <f t="shared" si="43"/>
        <v/>
      </c>
      <c r="AJ313" t="str">
        <f t="shared" si="44"/>
        <v/>
      </c>
    </row>
    <row r="314" spans="1:36">
      <c r="A314" s="5">
        <v>313</v>
      </c>
      <c r="B314" s="5" t="s">
        <v>662</v>
      </c>
      <c r="C314" s="5" t="s">
        <v>100</v>
      </c>
      <c r="D314" s="5" t="s">
        <v>554</v>
      </c>
      <c r="E314" s="5" t="s">
        <v>597</v>
      </c>
      <c r="F314" s="5" t="str">
        <f t="shared" si="36"/>
        <v>Program Office-Business Partner</v>
      </c>
      <c r="G314" s="5" t="s">
        <v>47</v>
      </c>
      <c r="H314" s="9">
        <v>44985.608946759261</v>
      </c>
      <c r="I314" s="9">
        <v>44986.608946759261</v>
      </c>
      <c r="J314" s="9" t="e">
        <f>I314+#REF!</f>
        <v>#REF!</v>
      </c>
      <c r="K314" s="9" t="e">
        <f>J314+#REF!</f>
        <v>#REF!</v>
      </c>
      <c r="L314" s="10" t="s">
        <v>41</v>
      </c>
      <c r="M314" s="11">
        <v>45005.608946759261</v>
      </c>
      <c r="N314" s="5" t="s">
        <v>48</v>
      </c>
      <c r="O314" s="5"/>
      <c r="P314" s="9">
        <v>45008.608946759261</v>
      </c>
      <c r="Q314" s="5" t="s">
        <v>48</v>
      </c>
      <c r="R314" s="5"/>
      <c r="S314" s="5"/>
      <c r="T314" s="9">
        <v>45006.608946759261</v>
      </c>
      <c r="U314" s="5"/>
      <c r="V314" s="5">
        <v>0</v>
      </c>
      <c r="W314" s="5"/>
      <c r="X314" s="5"/>
      <c r="Y314" s="5"/>
      <c r="Z314" s="5"/>
      <c r="AA314" s="5"/>
      <c r="AC314">
        <f t="shared" si="37"/>
        <v>19</v>
      </c>
      <c r="AD314" t="str">
        <f t="shared" si="38"/>
        <v/>
      </c>
      <c r="AE314">
        <f t="shared" si="39"/>
        <v>1</v>
      </c>
      <c r="AF314" t="str">
        <f t="shared" si="40"/>
        <v/>
      </c>
      <c r="AG314" t="str">
        <f t="shared" si="41"/>
        <v/>
      </c>
      <c r="AH314">
        <f t="shared" si="42"/>
        <v>1</v>
      </c>
      <c r="AI314" t="str">
        <f t="shared" si="43"/>
        <v/>
      </c>
      <c r="AJ314" t="str">
        <f t="shared" si="44"/>
        <v/>
      </c>
    </row>
    <row r="315" spans="1:36">
      <c r="A315" s="5">
        <v>314</v>
      </c>
      <c r="B315" s="5" t="s">
        <v>496</v>
      </c>
      <c r="C315" s="5" t="s">
        <v>100</v>
      </c>
      <c r="D315" s="5" t="s">
        <v>387</v>
      </c>
      <c r="E315" s="5" t="s">
        <v>473</v>
      </c>
      <c r="F315" s="5" t="str">
        <f t="shared" si="36"/>
        <v>Program Office-Officer</v>
      </c>
      <c r="G315" s="5" t="s">
        <v>40</v>
      </c>
      <c r="H315" s="9">
        <v>44986.608946759261</v>
      </c>
      <c r="I315" s="9">
        <v>44989.608946759261</v>
      </c>
      <c r="J315" s="9" t="e">
        <f>I315+#REF!</f>
        <v>#REF!</v>
      </c>
      <c r="K315" s="9" t="e">
        <f>J315+#REF!</f>
        <v>#REF!</v>
      </c>
      <c r="L315" s="10" t="s">
        <v>41</v>
      </c>
      <c r="M315" s="11">
        <v>45008.608946759261</v>
      </c>
      <c r="N315" s="5" t="s">
        <v>64</v>
      </c>
      <c r="O315" s="5"/>
      <c r="P315" s="9">
        <v>45011.608946759261</v>
      </c>
      <c r="Q315" s="5" t="s">
        <v>64</v>
      </c>
      <c r="R315" s="9">
        <v>45009.608946759261</v>
      </c>
      <c r="S315" s="9">
        <v>45013.608946759261</v>
      </c>
      <c r="T315" s="9">
        <v>45010.608946759261</v>
      </c>
      <c r="U315" s="9">
        <v>45018.608946759261</v>
      </c>
      <c r="V315" s="12">
        <v>1</v>
      </c>
      <c r="W315" s="9">
        <v>45021.608946759261</v>
      </c>
      <c r="X315" s="9">
        <v>45024.608946759261</v>
      </c>
      <c r="Y315" s="9">
        <v>45025.608946759261</v>
      </c>
      <c r="Z315" s="5"/>
      <c r="AA315" s="5"/>
      <c r="AB315" s="13">
        <v>45042.608946759261</v>
      </c>
      <c r="AC315">
        <f t="shared" si="37"/>
        <v>19</v>
      </c>
      <c r="AD315">
        <f t="shared" si="38"/>
        <v>24</v>
      </c>
      <c r="AE315">
        <f t="shared" si="39"/>
        <v>2</v>
      </c>
      <c r="AF315">
        <f t="shared" si="40"/>
        <v>6</v>
      </c>
      <c r="AG315">
        <f t="shared" si="41"/>
        <v>3</v>
      </c>
      <c r="AH315">
        <f t="shared" si="42"/>
        <v>3</v>
      </c>
      <c r="AI315" t="str">
        <f t="shared" si="43"/>
        <v/>
      </c>
      <c r="AJ315" t="str">
        <f t="shared" si="44"/>
        <v/>
      </c>
    </row>
    <row r="316" spans="1:36">
      <c r="A316" s="5">
        <v>315</v>
      </c>
      <c r="B316" s="5" t="s">
        <v>545</v>
      </c>
      <c r="C316" s="5" t="s">
        <v>100</v>
      </c>
      <c r="D316" s="5" t="s">
        <v>506</v>
      </c>
      <c r="E316" s="5" t="s">
        <v>69</v>
      </c>
      <c r="F316" s="5" t="str">
        <f t="shared" si="36"/>
        <v>Program Office-Head of Department</v>
      </c>
      <c r="G316" s="5" t="s">
        <v>56</v>
      </c>
      <c r="H316" s="9">
        <v>44988.608946759261</v>
      </c>
      <c r="I316" s="9">
        <v>44989.608946759261</v>
      </c>
      <c r="J316" s="9" t="e">
        <f>I316+#REF!</f>
        <v>#REF!</v>
      </c>
      <c r="K316" s="9" t="e">
        <f>J316+#REF!</f>
        <v>#REF!</v>
      </c>
      <c r="L316" s="10" t="s">
        <v>52</v>
      </c>
      <c r="M316" s="11"/>
      <c r="N316" s="5"/>
      <c r="O316" s="5"/>
      <c r="P316" s="9"/>
      <c r="Q316" s="5"/>
      <c r="R316" s="5"/>
      <c r="S316" s="5"/>
      <c r="T316" s="9"/>
      <c r="U316" s="5"/>
      <c r="V316" s="5">
        <v>0</v>
      </c>
      <c r="W316" s="5"/>
      <c r="X316" s="5"/>
      <c r="Y316" s="5"/>
      <c r="Z316" s="5"/>
      <c r="AA316" s="5"/>
      <c r="AC316" t="str">
        <f t="shared" si="37"/>
        <v/>
      </c>
      <c r="AD316" t="str">
        <f t="shared" si="38"/>
        <v/>
      </c>
      <c r="AE316" t="str">
        <f t="shared" si="39"/>
        <v/>
      </c>
      <c r="AF316" t="str">
        <f t="shared" si="40"/>
        <v/>
      </c>
      <c r="AG316" t="str">
        <f t="shared" si="41"/>
        <v/>
      </c>
      <c r="AH316">
        <f t="shared" si="42"/>
        <v>1</v>
      </c>
      <c r="AI316" t="str">
        <f t="shared" si="43"/>
        <v/>
      </c>
      <c r="AJ316" t="str">
        <f t="shared" si="44"/>
        <v/>
      </c>
    </row>
    <row r="317" spans="1:36">
      <c r="A317" s="5">
        <v>316</v>
      </c>
      <c r="B317" s="5" t="s">
        <v>495</v>
      </c>
      <c r="C317" s="5" t="s">
        <v>100</v>
      </c>
      <c r="D317" s="5" t="s">
        <v>387</v>
      </c>
      <c r="E317" s="5" t="s">
        <v>473</v>
      </c>
      <c r="F317" s="5" t="str">
        <f t="shared" si="36"/>
        <v>Program Office-Officer</v>
      </c>
      <c r="G317" s="5" t="s">
        <v>40</v>
      </c>
      <c r="H317" s="9">
        <v>44985.608946759261</v>
      </c>
      <c r="I317" s="9">
        <v>44987.608946759261</v>
      </c>
      <c r="J317" s="9" t="e">
        <f>I317+#REF!</f>
        <v>#REF!</v>
      </c>
      <c r="K317" s="9" t="e">
        <f>J317+#REF!</f>
        <v>#REF!</v>
      </c>
      <c r="L317" s="10" t="s">
        <v>41</v>
      </c>
      <c r="M317" s="11">
        <v>44996.608946759261</v>
      </c>
      <c r="N317" s="5" t="s">
        <v>42</v>
      </c>
      <c r="O317" s="5" t="s">
        <v>98</v>
      </c>
      <c r="P317" s="9"/>
      <c r="Q317" s="5"/>
      <c r="R317" s="5"/>
      <c r="S317" s="5"/>
      <c r="T317" s="9">
        <v>45000.608946759261</v>
      </c>
      <c r="U317" s="5"/>
      <c r="V317" s="5">
        <v>0</v>
      </c>
      <c r="W317" s="5"/>
      <c r="X317" s="5"/>
      <c r="Y317" s="5"/>
      <c r="Z317" s="5"/>
      <c r="AA317" s="5" t="s">
        <v>44</v>
      </c>
      <c r="AC317">
        <f t="shared" si="37"/>
        <v>9</v>
      </c>
      <c r="AD317" t="str">
        <f t="shared" si="38"/>
        <v/>
      </c>
      <c r="AE317">
        <f t="shared" si="39"/>
        <v>4</v>
      </c>
      <c r="AF317" t="str">
        <f t="shared" si="40"/>
        <v/>
      </c>
      <c r="AG317" t="str">
        <f t="shared" si="41"/>
        <v/>
      </c>
      <c r="AH317">
        <f t="shared" si="42"/>
        <v>2</v>
      </c>
      <c r="AI317" t="str">
        <f t="shared" si="43"/>
        <v/>
      </c>
      <c r="AJ317" t="str">
        <f t="shared" si="44"/>
        <v/>
      </c>
    </row>
    <row r="318" spans="1:36">
      <c r="A318" s="5">
        <v>317</v>
      </c>
      <c r="B318" s="5" t="s">
        <v>258</v>
      </c>
      <c r="C318" s="5" t="s">
        <v>100</v>
      </c>
      <c r="D318" s="5" t="s">
        <v>146</v>
      </c>
      <c r="E318" s="5" t="s">
        <v>51</v>
      </c>
      <c r="F318" s="5" t="str">
        <f t="shared" si="36"/>
        <v>Program Office-Supervisor</v>
      </c>
      <c r="G318" s="5" t="s">
        <v>147</v>
      </c>
      <c r="H318" s="9">
        <v>44984.608946759261</v>
      </c>
      <c r="I318" s="9">
        <v>44987.608946759261</v>
      </c>
      <c r="J318" s="9" t="e">
        <f>I318+#REF!</f>
        <v>#REF!</v>
      </c>
      <c r="K318" s="9" t="e">
        <f>J318+#REF!</f>
        <v>#REF!</v>
      </c>
      <c r="L318" s="10" t="s">
        <v>41</v>
      </c>
      <c r="M318" s="11">
        <v>45000.608946759261</v>
      </c>
      <c r="N318" s="5" t="s">
        <v>48</v>
      </c>
      <c r="O318" s="5"/>
      <c r="P318" s="9">
        <v>45005.608946759261</v>
      </c>
      <c r="Q318" s="5" t="s">
        <v>48</v>
      </c>
      <c r="R318" s="5"/>
      <c r="S318" s="5"/>
      <c r="T318" s="9">
        <v>45004.608946759261</v>
      </c>
      <c r="U318" s="5"/>
      <c r="V318" s="5">
        <v>0</v>
      </c>
      <c r="W318" s="5"/>
      <c r="X318" s="5"/>
      <c r="Y318" s="5"/>
      <c r="Z318" s="5"/>
      <c r="AA318" s="5"/>
      <c r="AC318">
        <f t="shared" si="37"/>
        <v>13</v>
      </c>
      <c r="AD318" t="str">
        <f t="shared" si="38"/>
        <v/>
      </c>
      <c r="AE318">
        <f t="shared" si="39"/>
        <v>4</v>
      </c>
      <c r="AF318" t="str">
        <f t="shared" si="40"/>
        <v/>
      </c>
      <c r="AG318" t="str">
        <f t="shared" si="41"/>
        <v/>
      </c>
      <c r="AH318">
        <f t="shared" si="42"/>
        <v>3</v>
      </c>
      <c r="AI318" t="str">
        <f t="shared" si="43"/>
        <v/>
      </c>
      <c r="AJ318" t="str">
        <f t="shared" si="44"/>
        <v/>
      </c>
    </row>
    <row r="319" spans="1:36">
      <c r="A319" s="5">
        <v>318</v>
      </c>
      <c r="B319" s="5" t="s">
        <v>494</v>
      </c>
      <c r="C319" s="5" t="s">
        <v>100</v>
      </c>
      <c r="D319" s="5" t="s">
        <v>387</v>
      </c>
      <c r="E319" s="5" t="s">
        <v>473</v>
      </c>
      <c r="F319" s="5" t="str">
        <f t="shared" si="36"/>
        <v>Program Office-Officer</v>
      </c>
      <c r="G319" s="5" t="s">
        <v>40</v>
      </c>
      <c r="H319" s="9">
        <v>44982.608946759261</v>
      </c>
      <c r="I319" s="9">
        <v>44986.608946759261</v>
      </c>
      <c r="J319" s="9" t="e">
        <f>I319+#REF!</f>
        <v>#REF!</v>
      </c>
      <c r="K319" s="9" t="e">
        <f>J319+#REF!</f>
        <v>#REF!</v>
      </c>
      <c r="L319" s="10" t="s">
        <v>41</v>
      </c>
      <c r="M319" s="11">
        <v>45001.608946759261</v>
      </c>
      <c r="N319" s="5" t="s">
        <v>48</v>
      </c>
      <c r="O319" s="5"/>
      <c r="P319" s="9">
        <v>45008.608946759261</v>
      </c>
      <c r="Q319" s="5" t="s">
        <v>48</v>
      </c>
      <c r="R319" s="5"/>
      <c r="S319" s="5"/>
      <c r="T319" s="9">
        <v>45005.608946759261</v>
      </c>
      <c r="U319" s="5"/>
      <c r="V319" s="5">
        <v>0</v>
      </c>
      <c r="W319" s="5"/>
      <c r="X319" s="5"/>
      <c r="Y319" s="5"/>
      <c r="Z319" s="5"/>
      <c r="AA319" s="5"/>
      <c r="AC319">
        <f t="shared" si="37"/>
        <v>15</v>
      </c>
      <c r="AD319" t="str">
        <f t="shared" si="38"/>
        <v/>
      </c>
      <c r="AE319">
        <f t="shared" si="39"/>
        <v>4</v>
      </c>
      <c r="AF319" t="str">
        <f t="shared" si="40"/>
        <v/>
      </c>
      <c r="AG319" t="str">
        <f t="shared" si="41"/>
        <v/>
      </c>
      <c r="AH319">
        <f t="shared" si="42"/>
        <v>4</v>
      </c>
      <c r="AI319" t="str">
        <f t="shared" si="43"/>
        <v/>
      </c>
      <c r="AJ319" t="str">
        <f t="shared" si="44"/>
        <v/>
      </c>
    </row>
    <row r="320" spans="1:36">
      <c r="A320" s="5">
        <v>319</v>
      </c>
      <c r="B320" s="5" t="s">
        <v>257</v>
      </c>
      <c r="C320" s="5" t="s">
        <v>100</v>
      </c>
      <c r="D320" s="5" t="s">
        <v>146</v>
      </c>
      <c r="E320" s="5" t="s">
        <v>51</v>
      </c>
      <c r="F320" s="5" t="str">
        <f t="shared" si="36"/>
        <v>Program Office-Supervisor</v>
      </c>
      <c r="G320" s="5" t="s">
        <v>147</v>
      </c>
      <c r="H320" s="9">
        <v>44986.608946759261</v>
      </c>
      <c r="I320" s="9">
        <v>44990.608946759261</v>
      </c>
      <c r="J320" s="9" t="e">
        <f>I320+#REF!</f>
        <v>#REF!</v>
      </c>
      <c r="K320" s="9" t="e">
        <f>J320+#REF!</f>
        <v>#REF!</v>
      </c>
      <c r="L320" s="10" t="s">
        <v>41</v>
      </c>
      <c r="M320" s="11">
        <v>45005.608946759261</v>
      </c>
      <c r="N320" s="5" t="s">
        <v>42</v>
      </c>
      <c r="O320" s="5" t="s">
        <v>43</v>
      </c>
      <c r="P320" s="9"/>
      <c r="Q320" s="5"/>
      <c r="R320" s="5"/>
      <c r="S320" s="5"/>
      <c r="T320" s="9"/>
      <c r="U320" s="5"/>
      <c r="V320" s="5">
        <v>0</v>
      </c>
      <c r="W320" s="5"/>
      <c r="X320" s="5"/>
      <c r="Y320" s="5"/>
      <c r="Z320" s="5"/>
      <c r="AA320" s="5" t="s">
        <v>44</v>
      </c>
      <c r="AC320">
        <f t="shared" si="37"/>
        <v>15</v>
      </c>
      <c r="AD320" t="str">
        <f t="shared" si="38"/>
        <v/>
      </c>
      <c r="AE320" t="str">
        <f t="shared" si="39"/>
        <v/>
      </c>
      <c r="AF320" t="str">
        <f t="shared" si="40"/>
        <v/>
      </c>
      <c r="AG320" t="str">
        <f t="shared" si="41"/>
        <v/>
      </c>
      <c r="AH320">
        <f t="shared" si="42"/>
        <v>4</v>
      </c>
      <c r="AI320" t="str">
        <f t="shared" si="43"/>
        <v/>
      </c>
      <c r="AJ320" t="str">
        <f t="shared" si="44"/>
        <v/>
      </c>
    </row>
    <row r="321" spans="1:36">
      <c r="A321" s="5">
        <v>320</v>
      </c>
      <c r="B321" s="5" t="s">
        <v>256</v>
      </c>
      <c r="C321" s="5" t="s">
        <v>100</v>
      </c>
      <c r="D321" s="5" t="s">
        <v>146</v>
      </c>
      <c r="E321" s="5" t="s">
        <v>51</v>
      </c>
      <c r="F321" s="5" t="str">
        <f t="shared" si="36"/>
        <v>Program Office-Supervisor</v>
      </c>
      <c r="G321" s="5" t="s">
        <v>147</v>
      </c>
      <c r="H321" s="9">
        <v>44987.608946759261</v>
      </c>
      <c r="I321" s="9">
        <v>44990.608946759261</v>
      </c>
      <c r="J321" s="9" t="e">
        <f>I321+#REF!</f>
        <v>#REF!</v>
      </c>
      <c r="K321" s="9" t="e">
        <f>J321+#REF!</f>
        <v>#REF!</v>
      </c>
      <c r="L321" s="10" t="s">
        <v>52</v>
      </c>
      <c r="M321" s="11"/>
      <c r="N321" s="5"/>
      <c r="O321" s="5"/>
      <c r="P321" s="9"/>
      <c r="Q321" s="5"/>
      <c r="R321" s="5"/>
      <c r="S321" s="5"/>
      <c r="T321" s="9"/>
      <c r="U321" s="5"/>
      <c r="V321" s="5">
        <v>0</v>
      </c>
      <c r="W321" s="5"/>
      <c r="X321" s="5"/>
      <c r="Y321" s="5"/>
      <c r="Z321" s="5"/>
      <c r="AA321" s="5"/>
      <c r="AC321" t="str">
        <f t="shared" si="37"/>
        <v/>
      </c>
      <c r="AD321" t="str">
        <f t="shared" si="38"/>
        <v/>
      </c>
      <c r="AE321" t="str">
        <f t="shared" si="39"/>
        <v/>
      </c>
      <c r="AF321" t="str">
        <f t="shared" si="40"/>
        <v/>
      </c>
      <c r="AG321" t="str">
        <f t="shared" si="41"/>
        <v/>
      </c>
      <c r="AH321">
        <f t="shared" si="42"/>
        <v>3</v>
      </c>
      <c r="AI321" t="str">
        <f t="shared" si="43"/>
        <v/>
      </c>
      <c r="AJ321" t="str">
        <f t="shared" si="44"/>
        <v/>
      </c>
    </row>
    <row r="322" spans="1:36">
      <c r="A322" s="5">
        <v>321</v>
      </c>
      <c r="B322" s="5" t="s">
        <v>731</v>
      </c>
      <c r="C322" s="10" t="s">
        <v>671</v>
      </c>
      <c r="D322" s="5" t="s">
        <v>708</v>
      </c>
      <c r="E322" s="5" t="s">
        <v>55</v>
      </c>
      <c r="F322" s="5" t="str">
        <f t="shared" ref="F322:F385" si="45">_xlfn.CONCAT(C322,"-",E322)</f>
        <v>Operations-Director</v>
      </c>
      <c r="G322" s="5" t="s">
        <v>56</v>
      </c>
      <c r="H322" s="9">
        <v>44578.917696759258</v>
      </c>
      <c r="I322" s="9">
        <v>44581.917696759258</v>
      </c>
      <c r="J322" s="9" t="e">
        <f>I322+#REF!</f>
        <v>#REF!</v>
      </c>
      <c r="K322" s="9" t="e">
        <f>J322+#REF!</f>
        <v>#REF!</v>
      </c>
      <c r="L322" s="10" t="s">
        <v>52</v>
      </c>
      <c r="M322" s="11"/>
      <c r="N322" s="5"/>
      <c r="O322" s="5"/>
      <c r="P322" s="9"/>
      <c r="Q322" s="5"/>
      <c r="R322" s="5"/>
      <c r="S322" s="5"/>
      <c r="T322" s="9"/>
      <c r="U322" s="5"/>
      <c r="V322" s="5">
        <v>0</v>
      </c>
      <c r="W322" s="5"/>
      <c r="X322" s="5"/>
      <c r="Y322" s="5"/>
      <c r="Z322" s="5"/>
      <c r="AA322" s="5"/>
      <c r="AC322" t="str">
        <f t="shared" ref="AC322:AC385" si="46">IF(AND(ISNUMBER(M322), ISNUMBER(I322)), M322 - I322, "")</f>
        <v/>
      </c>
      <c r="AD322" t="str">
        <f t="shared" si="38"/>
        <v/>
      </c>
      <c r="AE322" t="str">
        <f t="shared" si="39"/>
        <v/>
      </c>
      <c r="AF322" t="str">
        <f t="shared" si="40"/>
        <v/>
      </c>
      <c r="AG322" t="str">
        <f t="shared" si="41"/>
        <v/>
      </c>
      <c r="AH322">
        <f t="shared" si="42"/>
        <v>3</v>
      </c>
      <c r="AI322" t="str">
        <f t="shared" si="43"/>
        <v/>
      </c>
      <c r="AJ322" t="str">
        <f t="shared" si="44"/>
        <v/>
      </c>
    </row>
    <row r="323" spans="1:36">
      <c r="A323" s="5">
        <v>322</v>
      </c>
      <c r="B323" s="5" t="s">
        <v>730</v>
      </c>
      <c r="C323" s="10" t="s">
        <v>671</v>
      </c>
      <c r="D323" s="5" t="s">
        <v>708</v>
      </c>
      <c r="E323" s="5" t="s">
        <v>55</v>
      </c>
      <c r="F323" s="5" t="str">
        <f t="shared" si="45"/>
        <v>Operations-Director</v>
      </c>
      <c r="G323" s="5" t="s">
        <v>56</v>
      </c>
      <c r="H323" s="9">
        <v>44572.917696759258</v>
      </c>
      <c r="I323" s="9">
        <v>44576.917696759258</v>
      </c>
      <c r="J323" s="9" t="e">
        <f>I323+#REF!</f>
        <v>#REF!</v>
      </c>
      <c r="K323" s="9" t="e">
        <f>J323+#REF!</f>
        <v>#REF!</v>
      </c>
      <c r="L323" s="10" t="s">
        <v>41</v>
      </c>
      <c r="M323" s="11">
        <v>44586.917696759258</v>
      </c>
      <c r="N323" s="5" t="s">
        <v>42</v>
      </c>
      <c r="O323" s="5" t="s">
        <v>98</v>
      </c>
      <c r="P323" s="9"/>
      <c r="Q323" s="5"/>
      <c r="R323" s="5"/>
      <c r="S323" s="5"/>
      <c r="T323" s="9">
        <v>44590.917696759258</v>
      </c>
      <c r="U323" s="5"/>
      <c r="V323" s="5">
        <v>0</v>
      </c>
      <c r="W323" s="5"/>
      <c r="X323" s="5"/>
      <c r="Y323" s="5"/>
      <c r="Z323" s="5"/>
      <c r="AA323" s="5" t="s">
        <v>62</v>
      </c>
      <c r="AC323">
        <f t="shared" si="46"/>
        <v>10</v>
      </c>
      <c r="AD323" t="str">
        <f t="shared" ref="AD323:AD386" si="47">IF(AND(ISNUMBER(S323), ISNUMBER(I323)), S323 - I323, "")</f>
        <v/>
      </c>
      <c r="AE323">
        <f t="shared" ref="AE323:AE386" si="48">IF(AND(ISNUMBER(T323), ISNUMBER(M323)), T323-M323, "")</f>
        <v>4</v>
      </c>
      <c r="AF323" t="str">
        <f t="shared" ref="AF323:AF386" si="49">IF(AND(ISNUMBER(X323), ISNUMBER(U323)), X323-U323,"")</f>
        <v/>
      </c>
      <c r="AG323" t="str">
        <f t="shared" ref="AG323:AG386" si="50">IF(AND(ISNUMBER(W323), ISNUMBER(U323)), W323-U323, "")</f>
        <v/>
      </c>
      <c r="AH323">
        <f t="shared" ref="AH323:AH386" si="51">IF(AND(ISNUMBER(I323), ISNUMBER(H323)), I323-H323,"")</f>
        <v>4</v>
      </c>
      <c r="AI323" t="str">
        <f t="shared" ref="AI323:AI386" si="52">IF(AND(ISNUMBER(J323),ISNUMBER(K323)),K323-J323,"")</f>
        <v/>
      </c>
      <c r="AJ323" t="str">
        <f t="shared" ref="AJ323:AJ386" si="53">IF(AND(ISNUMBER(J323),ISNUMBER(I323)), J323-I323,"")</f>
        <v/>
      </c>
    </row>
    <row r="324" spans="1:36">
      <c r="A324" s="5">
        <v>323</v>
      </c>
      <c r="B324" s="5" t="s">
        <v>2099</v>
      </c>
      <c r="C324" s="10" t="s">
        <v>2089</v>
      </c>
      <c r="D324" s="5" t="s">
        <v>2090</v>
      </c>
      <c r="E324" s="5" t="s">
        <v>102</v>
      </c>
      <c r="F324" s="5" t="str">
        <f t="shared" si="45"/>
        <v>Communication and Advocacy-Senior Manager</v>
      </c>
      <c r="G324" s="5" t="s">
        <v>103</v>
      </c>
      <c r="H324" s="9">
        <v>44576.917696759258</v>
      </c>
      <c r="I324" s="9">
        <v>44578.917696759258</v>
      </c>
      <c r="J324" s="9" t="e">
        <f>I324+#REF!</f>
        <v>#REF!</v>
      </c>
      <c r="K324" s="9" t="e">
        <f>J324+#REF!</f>
        <v>#REF!</v>
      </c>
      <c r="L324" s="10" t="s">
        <v>41</v>
      </c>
      <c r="M324" s="11">
        <v>44594.917696759258</v>
      </c>
      <c r="N324" s="5" t="s">
        <v>167</v>
      </c>
      <c r="O324" s="5"/>
      <c r="P324" s="9">
        <v>44597.917696759258</v>
      </c>
      <c r="Q324" s="5" t="s">
        <v>167</v>
      </c>
      <c r="R324" s="5"/>
      <c r="S324" s="5"/>
      <c r="T324" s="9">
        <v>44595.917696759258</v>
      </c>
      <c r="U324" s="5"/>
      <c r="V324" s="5">
        <v>0</v>
      </c>
      <c r="W324" s="5"/>
      <c r="X324" s="5"/>
      <c r="Y324" s="5"/>
      <c r="Z324" s="5"/>
      <c r="AA324" s="5"/>
      <c r="AC324">
        <f t="shared" si="46"/>
        <v>16</v>
      </c>
      <c r="AD324" t="str">
        <f t="shared" si="47"/>
        <v/>
      </c>
      <c r="AE324">
        <f t="shared" si="48"/>
        <v>1</v>
      </c>
      <c r="AF324" t="str">
        <f t="shared" si="49"/>
        <v/>
      </c>
      <c r="AG324" t="str">
        <f t="shared" si="50"/>
        <v/>
      </c>
      <c r="AH324">
        <f t="shared" si="51"/>
        <v>2</v>
      </c>
      <c r="AI324" t="str">
        <f t="shared" si="52"/>
        <v/>
      </c>
      <c r="AJ324" t="str">
        <f t="shared" si="53"/>
        <v/>
      </c>
    </row>
    <row r="325" spans="1:36">
      <c r="A325" s="5">
        <v>324</v>
      </c>
      <c r="B325" s="5" t="s">
        <v>2098</v>
      </c>
      <c r="C325" s="10" t="s">
        <v>2089</v>
      </c>
      <c r="D325" s="5" t="s">
        <v>2090</v>
      </c>
      <c r="E325" s="5" t="s">
        <v>102</v>
      </c>
      <c r="F325" s="5" t="str">
        <f t="shared" si="45"/>
        <v>Communication and Advocacy-Senior Manager</v>
      </c>
      <c r="G325" s="5" t="s">
        <v>103</v>
      </c>
      <c r="H325" s="9">
        <v>44580.917696759258</v>
      </c>
      <c r="I325" s="9">
        <v>44581.917696759258</v>
      </c>
      <c r="J325" s="9" t="e">
        <f>I325+#REF!</f>
        <v>#REF!</v>
      </c>
      <c r="K325" s="9" t="e">
        <f>J325+#REF!</f>
        <v>#REF!</v>
      </c>
      <c r="L325" s="10" t="s">
        <v>41</v>
      </c>
      <c r="M325" s="11">
        <v>44585.917696759258</v>
      </c>
      <c r="N325" s="5" t="s">
        <v>64</v>
      </c>
      <c r="O325" s="5"/>
      <c r="P325" s="9">
        <v>44591.917696759258</v>
      </c>
      <c r="Q325" s="5" t="s">
        <v>64</v>
      </c>
      <c r="R325" s="9">
        <v>44586.917696759258</v>
      </c>
      <c r="S325" s="9">
        <v>44590.917696759258</v>
      </c>
      <c r="T325" s="9">
        <v>44587.917696759258</v>
      </c>
      <c r="U325" s="9">
        <v>44592.917696759258</v>
      </c>
      <c r="V325" s="12">
        <v>1</v>
      </c>
      <c r="W325" s="9">
        <v>44593.917696759258</v>
      </c>
      <c r="X325" s="9">
        <v>44594.917696759258</v>
      </c>
      <c r="Y325" s="9">
        <v>44595.917696759258</v>
      </c>
      <c r="Z325" s="5"/>
      <c r="AA325" s="5"/>
      <c r="AB325" s="13">
        <v>44618.917696759258</v>
      </c>
      <c r="AC325">
        <f t="shared" si="46"/>
        <v>4</v>
      </c>
      <c r="AD325">
        <f t="shared" si="47"/>
        <v>9</v>
      </c>
      <c r="AE325">
        <f t="shared" si="48"/>
        <v>2</v>
      </c>
      <c r="AF325">
        <f t="shared" si="49"/>
        <v>2</v>
      </c>
      <c r="AG325">
        <f t="shared" si="50"/>
        <v>1</v>
      </c>
      <c r="AH325">
        <f t="shared" si="51"/>
        <v>1</v>
      </c>
      <c r="AI325" t="str">
        <f t="shared" si="52"/>
        <v/>
      </c>
      <c r="AJ325" t="str">
        <f t="shared" si="53"/>
        <v/>
      </c>
    </row>
    <row r="326" spans="1:36">
      <c r="A326" s="5">
        <v>325</v>
      </c>
      <c r="B326" s="5" t="s">
        <v>781</v>
      </c>
      <c r="C326" s="10" t="s">
        <v>671</v>
      </c>
      <c r="D326" s="5" t="s">
        <v>747</v>
      </c>
      <c r="E326" s="5" t="s">
        <v>69</v>
      </c>
      <c r="F326" s="5" t="str">
        <f t="shared" si="45"/>
        <v>Operations-Head of Department</v>
      </c>
      <c r="G326" s="5" t="s">
        <v>47</v>
      </c>
      <c r="H326" s="9">
        <v>44577.917696759258</v>
      </c>
      <c r="I326" s="9">
        <v>44578.917696759258</v>
      </c>
      <c r="J326" s="9" t="e">
        <f>I326+#REF!</f>
        <v>#REF!</v>
      </c>
      <c r="K326" s="9" t="e">
        <f>J326+#REF!</f>
        <v>#REF!</v>
      </c>
      <c r="L326" s="10" t="s">
        <v>41</v>
      </c>
      <c r="M326" s="11">
        <v>44584.917696759258</v>
      </c>
      <c r="N326" s="5" t="s">
        <v>42</v>
      </c>
      <c r="O326" s="5" t="s">
        <v>113</v>
      </c>
      <c r="P326" s="9"/>
      <c r="Q326" s="5"/>
      <c r="R326" s="5"/>
      <c r="S326" s="5"/>
      <c r="T326" s="9"/>
      <c r="U326" s="5"/>
      <c r="V326" s="5">
        <v>0</v>
      </c>
      <c r="W326" s="5"/>
      <c r="X326" s="5"/>
      <c r="Y326" s="5"/>
      <c r="Z326" s="5"/>
      <c r="AA326" s="5" t="s">
        <v>62</v>
      </c>
      <c r="AC326">
        <f t="shared" si="46"/>
        <v>6</v>
      </c>
      <c r="AD326" t="str">
        <f t="shared" si="47"/>
        <v/>
      </c>
      <c r="AE326" t="str">
        <f t="shared" si="48"/>
        <v/>
      </c>
      <c r="AF326" t="str">
        <f t="shared" si="49"/>
        <v/>
      </c>
      <c r="AG326" t="str">
        <f t="shared" si="50"/>
        <v/>
      </c>
      <c r="AH326">
        <f t="shared" si="51"/>
        <v>1</v>
      </c>
      <c r="AI326" t="str">
        <f t="shared" si="52"/>
        <v/>
      </c>
      <c r="AJ326" t="str">
        <f t="shared" si="53"/>
        <v/>
      </c>
    </row>
    <row r="327" spans="1:36">
      <c r="A327" s="5">
        <v>326</v>
      </c>
      <c r="B327" s="5" t="s">
        <v>2097</v>
      </c>
      <c r="C327" s="10" t="s">
        <v>2089</v>
      </c>
      <c r="D327" s="5" t="s">
        <v>2090</v>
      </c>
      <c r="E327" s="5" t="s">
        <v>102</v>
      </c>
      <c r="F327" s="5" t="str">
        <f t="shared" si="45"/>
        <v>Communication and Advocacy-Senior Manager</v>
      </c>
      <c r="G327" s="5" t="s">
        <v>103</v>
      </c>
      <c r="H327" s="9">
        <v>44577.917696759258</v>
      </c>
      <c r="I327" s="9">
        <v>44578.917696759258</v>
      </c>
      <c r="J327" s="9" t="e">
        <f>I327+#REF!</f>
        <v>#REF!</v>
      </c>
      <c r="K327" s="9" t="e">
        <f>J327+#REF!</f>
        <v>#REF!</v>
      </c>
      <c r="L327" s="10" t="s">
        <v>41</v>
      </c>
      <c r="M327" s="11">
        <v>44584.917696759258</v>
      </c>
      <c r="N327" s="5" t="s">
        <v>48</v>
      </c>
      <c r="O327" s="5"/>
      <c r="P327" s="9">
        <v>44586.917696759258</v>
      </c>
      <c r="Q327" s="5" t="s">
        <v>48</v>
      </c>
      <c r="R327" s="5"/>
      <c r="S327" s="5"/>
      <c r="T327" s="9">
        <v>44585.917696759258</v>
      </c>
      <c r="U327" s="5"/>
      <c r="V327" s="5">
        <v>0</v>
      </c>
      <c r="W327" s="5"/>
      <c r="X327" s="5"/>
      <c r="Y327" s="5"/>
      <c r="Z327" s="5"/>
      <c r="AA327" s="5"/>
      <c r="AC327">
        <f t="shared" si="46"/>
        <v>6</v>
      </c>
      <c r="AD327" t="str">
        <f t="shared" si="47"/>
        <v/>
      </c>
      <c r="AE327">
        <f t="shared" si="48"/>
        <v>1</v>
      </c>
      <c r="AF327" t="str">
        <f t="shared" si="49"/>
        <v/>
      </c>
      <c r="AG327" t="str">
        <f t="shared" si="50"/>
        <v/>
      </c>
      <c r="AH327">
        <f t="shared" si="51"/>
        <v>1</v>
      </c>
      <c r="AI327" t="str">
        <f t="shared" si="52"/>
        <v/>
      </c>
      <c r="AJ327" t="str">
        <f t="shared" si="53"/>
        <v/>
      </c>
    </row>
    <row r="328" spans="1:36">
      <c r="A328" s="5">
        <v>327</v>
      </c>
      <c r="B328" s="5" t="s">
        <v>2198</v>
      </c>
      <c r="C328" s="10" t="s">
        <v>2089</v>
      </c>
      <c r="D328" s="5" t="s">
        <v>2167</v>
      </c>
      <c r="E328" s="5" t="s">
        <v>269</v>
      </c>
      <c r="F328" s="5" t="str">
        <f t="shared" si="45"/>
        <v>Communication and Advocacy-Manager</v>
      </c>
      <c r="G328" s="5" t="s">
        <v>270</v>
      </c>
      <c r="H328" s="9">
        <v>44578.917696759258</v>
      </c>
      <c r="I328" s="9">
        <v>44580.917696759258</v>
      </c>
      <c r="J328" s="9" t="e">
        <f>I328+#REF!</f>
        <v>#REF!</v>
      </c>
      <c r="K328" s="9" t="e">
        <f>J328+#REF!</f>
        <v>#REF!</v>
      </c>
      <c r="L328" s="10" t="s">
        <v>41</v>
      </c>
      <c r="M328" s="11">
        <v>44587.917696759258</v>
      </c>
      <c r="N328" s="5" t="s">
        <v>48</v>
      </c>
      <c r="O328" s="5"/>
      <c r="P328" s="9">
        <v>44590.917696759258</v>
      </c>
      <c r="Q328" s="5" t="s">
        <v>48</v>
      </c>
      <c r="R328" s="5"/>
      <c r="S328" s="5"/>
      <c r="T328" s="9">
        <v>44588.917696759258</v>
      </c>
      <c r="U328" s="5"/>
      <c r="V328" s="5">
        <v>0</v>
      </c>
      <c r="W328" s="5"/>
      <c r="X328" s="5"/>
      <c r="Y328" s="5"/>
      <c r="Z328" s="5"/>
      <c r="AA328" s="5"/>
      <c r="AC328">
        <f t="shared" si="46"/>
        <v>7</v>
      </c>
      <c r="AD328" t="str">
        <f t="shared" si="47"/>
        <v/>
      </c>
      <c r="AE328">
        <f t="shared" si="48"/>
        <v>1</v>
      </c>
      <c r="AF328" t="str">
        <f t="shared" si="49"/>
        <v/>
      </c>
      <c r="AG328" t="str">
        <f t="shared" si="50"/>
        <v/>
      </c>
      <c r="AH328">
        <f t="shared" si="51"/>
        <v>2</v>
      </c>
      <c r="AI328" t="str">
        <f t="shared" si="52"/>
        <v/>
      </c>
      <c r="AJ328" t="str">
        <f t="shared" si="53"/>
        <v/>
      </c>
    </row>
    <row r="329" spans="1:36">
      <c r="A329" s="5">
        <v>328</v>
      </c>
      <c r="B329" s="5" t="s">
        <v>729</v>
      </c>
      <c r="C329" s="10" t="s">
        <v>671</v>
      </c>
      <c r="D329" s="5" t="s">
        <v>708</v>
      </c>
      <c r="E329" s="5" t="s">
        <v>55</v>
      </c>
      <c r="F329" s="5" t="str">
        <f t="shared" si="45"/>
        <v>Operations-Director</v>
      </c>
      <c r="G329" s="5" t="s">
        <v>56</v>
      </c>
      <c r="H329" s="9">
        <v>44580.917696759258</v>
      </c>
      <c r="I329" s="9">
        <v>44581.917696759258</v>
      </c>
      <c r="J329" s="9" t="e">
        <f>I329+#REF!</f>
        <v>#REF!</v>
      </c>
      <c r="K329" s="9" t="e">
        <f>J329+#REF!</f>
        <v>#REF!</v>
      </c>
      <c r="L329" s="10" t="s">
        <v>41</v>
      </c>
      <c r="M329" s="11">
        <v>44592.917696759258</v>
      </c>
      <c r="N329" s="5" t="s">
        <v>48</v>
      </c>
      <c r="O329" s="5"/>
      <c r="P329" s="9">
        <v>44597.917696759258</v>
      </c>
      <c r="Q329" s="5" t="s">
        <v>48</v>
      </c>
      <c r="R329" s="5"/>
      <c r="S329" s="5"/>
      <c r="T329" s="9">
        <v>44596.917696759258</v>
      </c>
      <c r="U329" s="5"/>
      <c r="V329" s="5">
        <v>0</v>
      </c>
      <c r="W329" s="5"/>
      <c r="X329" s="5"/>
      <c r="Y329" s="5"/>
      <c r="Z329" s="5"/>
      <c r="AA329" s="5"/>
      <c r="AC329">
        <f t="shared" si="46"/>
        <v>11</v>
      </c>
      <c r="AD329" t="str">
        <f t="shared" si="47"/>
        <v/>
      </c>
      <c r="AE329">
        <f t="shared" si="48"/>
        <v>4</v>
      </c>
      <c r="AF329" t="str">
        <f t="shared" si="49"/>
        <v/>
      </c>
      <c r="AG329" t="str">
        <f t="shared" si="50"/>
        <v/>
      </c>
      <c r="AH329">
        <f t="shared" si="51"/>
        <v>1</v>
      </c>
      <c r="AI329" t="str">
        <f t="shared" si="52"/>
        <v/>
      </c>
      <c r="AJ329" t="str">
        <f t="shared" si="53"/>
        <v/>
      </c>
    </row>
    <row r="330" spans="1:36">
      <c r="A330" s="5">
        <v>329</v>
      </c>
      <c r="B330" s="5" t="s">
        <v>2151</v>
      </c>
      <c r="C330" s="10" t="s">
        <v>2089</v>
      </c>
      <c r="D330" s="5" t="s">
        <v>2114</v>
      </c>
      <c r="E330" s="5" t="s">
        <v>1146</v>
      </c>
      <c r="F330" s="5" t="str">
        <f t="shared" si="45"/>
        <v>Communication and Advocacy-Quality Assurance</v>
      </c>
      <c r="G330" s="5" t="s">
        <v>147</v>
      </c>
      <c r="H330" s="9">
        <v>44577.917696759258</v>
      </c>
      <c r="I330" s="9">
        <v>44579.917696759258</v>
      </c>
      <c r="J330" s="9" t="e">
        <f>I330+#REF!</f>
        <v>#REF!</v>
      </c>
      <c r="K330" s="9" t="e">
        <f>J330+#REF!</f>
        <v>#REF!</v>
      </c>
      <c r="L330" s="10" t="s">
        <v>41</v>
      </c>
      <c r="M330" s="11">
        <v>44598.917696759258</v>
      </c>
      <c r="N330" s="5" t="s">
        <v>64</v>
      </c>
      <c r="O330" s="5"/>
      <c r="P330" s="9">
        <v>44600.917696759258</v>
      </c>
      <c r="Q330" s="5" t="s">
        <v>64</v>
      </c>
      <c r="R330" s="9">
        <v>44600.917696759258</v>
      </c>
      <c r="S330" s="9">
        <v>44604.917696759258</v>
      </c>
      <c r="T330" s="9">
        <v>44599.917696759258</v>
      </c>
      <c r="U330" s="9">
        <v>44606.917696759258</v>
      </c>
      <c r="V330" s="12">
        <v>1</v>
      </c>
      <c r="W330" s="9">
        <v>44609.917696759258</v>
      </c>
      <c r="X330" s="9">
        <v>44612.917696759258</v>
      </c>
      <c r="Y330" s="9">
        <v>44615.917696759258</v>
      </c>
      <c r="Z330" s="5"/>
      <c r="AA330" s="5"/>
      <c r="AB330" s="13">
        <v>44625.917696759258</v>
      </c>
      <c r="AC330">
        <f t="shared" si="46"/>
        <v>19</v>
      </c>
      <c r="AD330">
        <f t="shared" si="47"/>
        <v>25</v>
      </c>
      <c r="AE330">
        <f t="shared" si="48"/>
        <v>1</v>
      </c>
      <c r="AF330">
        <f t="shared" si="49"/>
        <v>6</v>
      </c>
      <c r="AG330">
        <f t="shared" si="50"/>
        <v>3</v>
      </c>
      <c r="AH330">
        <f t="shared" si="51"/>
        <v>2</v>
      </c>
      <c r="AI330" t="str">
        <f t="shared" si="52"/>
        <v/>
      </c>
      <c r="AJ330" t="str">
        <f t="shared" si="53"/>
        <v/>
      </c>
    </row>
    <row r="331" spans="1:36">
      <c r="A331" s="5">
        <v>330</v>
      </c>
      <c r="B331" s="5" t="s">
        <v>2212</v>
      </c>
      <c r="C331" s="10" t="s">
        <v>2089</v>
      </c>
      <c r="D331" s="5" t="s">
        <v>2211</v>
      </c>
      <c r="E331" s="5" t="s">
        <v>39</v>
      </c>
      <c r="F331" s="5" t="str">
        <f t="shared" si="45"/>
        <v>Communication and Advocacy-Analyst</v>
      </c>
      <c r="G331" s="5" t="s">
        <v>40</v>
      </c>
      <c r="H331" s="9">
        <v>44573.917696759258</v>
      </c>
      <c r="I331" s="9">
        <v>44576.917696759258</v>
      </c>
      <c r="J331" s="9" t="e">
        <f>I331+#REF!</f>
        <v>#REF!</v>
      </c>
      <c r="K331" s="9" t="e">
        <f>J331+#REF!</f>
        <v>#REF!</v>
      </c>
      <c r="L331" s="10" t="s">
        <v>41</v>
      </c>
      <c r="M331" s="11">
        <v>44590.917696759258</v>
      </c>
      <c r="N331" s="5" t="s">
        <v>42</v>
      </c>
      <c r="O331" s="5" t="s">
        <v>73</v>
      </c>
      <c r="P331" s="9"/>
      <c r="Q331" s="5"/>
      <c r="R331" s="5"/>
      <c r="S331" s="5"/>
      <c r="T331" s="9">
        <v>44593.917696759258</v>
      </c>
      <c r="U331" s="5"/>
      <c r="V331" s="5">
        <v>0</v>
      </c>
      <c r="W331" s="5"/>
      <c r="X331" s="5"/>
      <c r="Y331" s="5"/>
      <c r="Z331" s="5"/>
      <c r="AA331" s="5" t="s">
        <v>44</v>
      </c>
      <c r="AC331">
        <f t="shared" si="46"/>
        <v>14</v>
      </c>
      <c r="AD331" t="str">
        <f t="shared" si="47"/>
        <v/>
      </c>
      <c r="AE331">
        <f t="shared" si="48"/>
        <v>3</v>
      </c>
      <c r="AF331" t="str">
        <f t="shared" si="49"/>
        <v/>
      </c>
      <c r="AG331" t="str">
        <f t="shared" si="50"/>
        <v/>
      </c>
      <c r="AH331">
        <f t="shared" si="51"/>
        <v>3</v>
      </c>
      <c r="AI331" t="str">
        <f t="shared" si="52"/>
        <v/>
      </c>
      <c r="AJ331" t="str">
        <f t="shared" si="53"/>
        <v/>
      </c>
    </row>
    <row r="332" spans="1:36">
      <c r="A332" s="5">
        <v>331</v>
      </c>
      <c r="B332" s="5" t="s">
        <v>2514</v>
      </c>
      <c r="C332" s="5" t="s">
        <v>2494</v>
      </c>
      <c r="D332" s="5" t="s">
        <v>2504</v>
      </c>
      <c r="E332" s="5" t="s">
        <v>1862</v>
      </c>
      <c r="F332" s="5" t="str">
        <f t="shared" si="45"/>
        <v>Administation-Billing Officer</v>
      </c>
      <c r="G332" s="5" t="s">
        <v>147</v>
      </c>
      <c r="H332" s="9">
        <v>44719.822210648148</v>
      </c>
      <c r="I332" s="9">
        <v>44721.822210648148</v>
      </c>
      <c r="J332" s="9" t="e">
        <f>I332+#REF!</f>
        <v>#REF!</v>
      </c>
      <c r="K332" s="9" t="e">
        <f>J332+#REF!</f>
        <v>#REF!</v>
      </c>
      <c r="L332" s="10" t="s">
        <v>41</v>
      </c>
      <c r="M332" s="11">
        <v>44737.822210648148</v>
      </c>
      <c r="N332" s="5" t="s">
        <v>42</v>
      </c>
      <c r="O332" s="5" t="s">
        <v>98</v>
      </c>
      <c r="P332" s="9"/>
      <c r="Q332" s="5"/>
      <c r="R332" s="5"/>
      <c r="S332" s="5"/>
      <c r="T332" s="9">
        <v>44740.822210648148</v>
      </c>
      <c r="U332" s="5"/>
      <c r="V332" s="5">
        <v>0</v>
      </c>
      <c r="W332" s="5"/>
      <c r="X332" s="5"/>
      <c r="Y332" s="5"/>
      <c r="Z332" s="5"/>
      <c r="AA332" s="5" t="s">
        <v>62</v>
      </c>
      <c r="AC332">
        <f t="shared" si="46"/>
        <v>16</v>
      </c>
      <c r="AD332" t="str">
        <f t="shared" si="47"/>
        <v/>
      </c>
      <c r="AE332">
        <f t="shared" si="48"/>
        <v>3</v>
      </c>
      <c r="AF332" t="str">
        <f t="shared" si="49"/>
        <v/>
      </c>
      <c r="AG332" t="str">
        <f t="shared" si="50"/>
        <v/>
      </c>
      <c r="AH332">
        <f t="shared" si="51"/>
        <v>2</v>
      </c>
      <c r="AI332" t="str">
        <f t="shared" si="52"/>
        <v/>
      </c>
      <c r="AJ332" t="str">
        <f t="shared" si="53"/>
        <v/>
      </c>
    </row>
    <row r="333" spans="1:36">
      <c r="A333" s="5">
        <v>332</v>
      </c>
      <c r="B333" s="5" t="s">
        <v>2513</v>
      </c>
      <c r="C333" s="5" t="s">
        <v>2494</v>
      </c>
      <c r="D333" s="5" t="s">
        <v>2504</v>
      </c>
      <c r="E333" s="5" t="s">
        <v>1862</v>
      </c>
      <c r="F333" s="5" t="str">
        <f t="shared" si="45"/>
        <v>Administation-Billing Officer</v>
      </c>
      <c r="G333" s="5" t="s">
        <v>147</v>
      </c>
      <c r="H333" s="9">
        <v>44721.822210648148</v>
      </c>
      <c r="I333" s="9">
        <v>44724.822210648148</v>
      </c>
      <c r="J333" s="9" t="e">
        <f>I333+#REF!</f>
        <v>#REF!</v>
      </c>
      <c r="K333" s="9" t="e">
        <f>J333+#REF!</f>
        <v>#REF!</v>
      </c>
      <c r="L333" s="10" t="s">
        <v>41</v>
      </c>
      <c r="M333" s="11">
        <v>44739.822210648148</v>
      </c>
      <c r="N333" s="5" t="s">
        <v>64</v>
      </c>
      <c r="O333" s="5"/>
      <c r="P333" s="9">
        <v>44743.822210648148</v>
      </c>
      <c r="Q333" s="5" t="s">
        <v>64</v>
      </c>
      <c r="R333" s="9">
        <v>44741.822210648148</v>
      </c>
      <c r="S333" s="9">
        <v>44745.822210648148</v>
      </c>
      <c r="T333" s="9">
        <v>44740.822210648148</v>
      </c>
      <c r="U333" s="9">
        <v>44745.822210648148</v>
      </c>
      <c r="V333" s="12">
        <v>1</v>
      </c>
      <c r="W333" s="9">
        <v>44748.822210648148</v>
      </c>
      <c r="X333" s="9">
        <v>44749.822210648148</v>
      </c>
      <c r="Y333" s="9">
        <v>44752.822210648148</v>
      </c>
      <c r="Z333" s="5"/>
      <c r="AA333" s="5"/>
      <c r="AB333" s="13">
        <v>44766.822210648148</v>
      </c>
      <c r="AC333">
        <f t="shared" si="46"/>
        <v>15</v>
      </c>
      <c r="AD333">
        <f t="shared" si="47"/>
        <v>21</v>
      </c>
      <c r="AE333">
        <f t="shared" si="48"/>
        <v>1</v>
      </c>
      <c r="AF333">
        <f t="shared" si="49"/>
        <v>4</v>
      </c>
      <c r="AG333">
        <f t="shared" si="50"/>
        <v>3</v>
      </c>
      <c r="AH333">
        <f t="shared" si="51"/>
        <v>3</v>
      </c>
      <c r="AI333" t="str">
        <f t="shared" si="52"/>
        <v/>
      </c>
      <c r="AJ333" t="str">
        <f t="shared" si="53"/>
        <v/>
      </c>
    </row>
    <row r="334" spans="1:36">
      <c r="A334" s="5">
        <v>333</v>
      </c>
      <c r="B334" s="5" t="s">
        <v>2499</v>
      </c>
      <c r="C334" s="5" t="s">
        <v>2494</v>
      </c>
      <c r="D334" s="5" t="s">
        <v>2495</v>
      </c>
      <c r="E334" s="5" t="s">
        <v>102</v>
      </c>
      <c r="F334" s="5" t="str">
        <f t="shared" si="45"/>
        <v>Administation-Senior Manager</v>
      </c>
      <c r="G334" s="5" t="s">
        <v>103</v>
      </c>
      <c r="H334" s="9">
        <v>44719.822210648148</v>
      </c>
      <c r="I334" s="9">
        <v>44722.822210648148</v>
      </c>
      <c r="J334" s="9" t="e">
        <f>I334+#REF!</f>
        <v>#REF!</v>
      </c>
      <c r="K334" s="9" t="e">
        <f>J334+#REF!</f>
        <v>#REF!</v>
      </c>
      <c r="L334" s="10" t="s">
        <v>41</v>
      </c>
      <c r="M334" s="11">
        <v>44741.822210648148</v>
      </c>
      <c r="N334" s="5" t="s">
        <v>64</v>
      </c>
      <c r="O334" s="5"/>
      <c r="P334" s="9">
        <v>44747.822210648148</v>
      </c>
      <c r="Q334" s="5" t="s">
        <v>64</v>
      </c>
      <c r="R334" s="9">
        <v>44742.822210648148</v>
      </c>
      <c r="S334" s="9">
        <v>44745.822210648148</v>
      </c>
      <c r="T334" s="9">
        <v>44745.822210648148</v>
      </c>
      <c r="U334" s="9">
        <v>44749.822210648148</v>
      </c>
      <c r="V334" s="12">
        <v>1</v>
      </c>
      <c r="W334" s="9">
        <v>44752.822210648148</v>
      </c>
      <c r="X334" s="9">
        <v>44753.822210648148</v>
      </c>
      <c r="Y334" s="9">
        <v>44756.822210648148</v>
      </c>
      <c r="Z334" s="5"/>
      <c r="AA334" s="5"/>
      <c r="AB334" s="13">
        <v>44774.822210648148</v>
      </c>
      <c r="AC334">
        <f t="shared" si="46"/>
        <v>19</v>
      </c>
      <c r="AD334">
        <f t="shared" si="47"/>
        <v>23</v>
      </c>
      <c r="AE334">
        <f t="shared" si="48"/>
        <v>4</v>
      </c>
      <c r="AF334">
        <f t="shared" si="49"/>
        <v>4</v>
      </c>
      <c r="AG334">
        <f t="shared" si="50"/>
        <v>3</v>
      </c>
      <c r="AH334">
        <f t="shared" si="51"/>
        <v>3</v>
      </c>
      <c r="AI334" t="str">
        <f t="shared" si="52"/>
        <v/>
      </c>
      <c r="AJ334" t="str">
        <f t="shared" si="53"/>
        <v/>
      </c>
    </row>
    <row r="335" spans="1:36">
      <c r="A335" s="5">
        <v>334</v>
      </c>
      <c r="B335" s="5" t="s">
        <v>2532</v>
      </c>
      <c r="C335" s="5" t="s">
        <v>2494</v>
      </c>
      <c r="D335" s="5" t="s">
        <v>2523</v>
      </c>
      <c r="E335" s="5" t="s">
        <v>51</v>
      </c>
      <c r="F335" s="5" t="str">
        <f t="shared" si="45"/>
        <v>Administation-Supervisor</v>
      </c>
      <c r="G335" s="5" t="s">
        <v>270</v>
      </c>
      <c r="H335" s="9">
        <v>44717.822210648148</v>
      </c>
      <c r="I335" s="9">
        <v>44721.822210648148</v>
      </c>
      <c r="J335" s="9" t="e">
        <f>I335+#REF!</f>
        <v>#REF!</v>
      </c>
      <c r="K335" s="9" t="e">
        <f>J335+#REF!</f>
        <v>#REF!</v>
      </c>
      <c r="L335" s="10" t="s">
        <v>41</v>
      </c>
      <c r="M335" s="11">
        <v>44741.822210648148</v>
      </c>
      <c r="N335" s="5" t="s">
        <v>42</v>
      </c>
      <c r="O335" s="5" t="s">
        <v>113</v>
      </c>
      <c r="P335" s="9"/>
      <c r="Q335" s="5"/>
      <c r="R335" s="5"/>
      <c r="S335" s="5"/>
      <c r="T335" s="9">
        <v>44743.822210648148</v>
      </c>
      <c r="U335" s="5"/>
      <c r="V335" s="5">
        <v>0</v>
      </c>
      <c r="W335" s="5"/>
      <c r="X335" s="5"/>
      <c r="Y335" s="5"/>
      <c r="Z335" s="5"/>
      <c r="AA335" s="5" t="s">
        <v>62</v>
      </c>
      <c r="AC335">
        <f t="shared" si="46"/>
        <v>20</v>
      </c>
      <c r="AD335" t="str">
        <f t="shared" si="47"/>
        <v/>
      </c>
      <c r="AE335">
        <f t="shared" si="48"/>
        <v>2</v>
      </c>
      <c r="AF335" t="str">
        <f t="shared" si="49"/>
        <v/>
      </c>
      <c r="AG335" t="str">
        <f t="shared" si="50"/>
        <v/>
      </c>
      <c r="AH335">
        <f t="shared" si="51"/>
        <v>4</v>
      </c>
      <c r="AI335" t="str">
        <f t="shared" si="52"/>
        <v/>
      </c>
      <c r="AJ335" t="str">
        <f t="shared" si="53"/>
        <v/>
      </c>
    </row>
    <row r="336" spans="1:36">
      <c r="A336" s="5">
        <v>335</v>
      </c>
      <c r="B336" s="5" t="s">
        <v>75</v>
      </c>
      <c r="C336" s="5" t="s">
        <v>37</v>
      </c>
      <c r="D336" s="5" t="s">
        <v>54</v>
      </c>
      <c r="E336" s="5" t="s">
        <v>55</v>
      </c>
      <c r="F336" s="5" t="str">
        <f t="shared" si="45"/>
        <v>Risk Management-Director</v>
      </c>
      <c r="G336" s="5" t="s">
        <v>56</v>
      </c>
      <c r="H336" s="9">
        <v>44723.822210648148</v>
      </c>
      <c r="I336" s="9">
        <v>44724.822210648148</v>
      </c>
      <c r="J336" s="9" t="e">
        <f>I336+#REF!</f>
        <v>#REF!</v>
      </c>
      <c r="K336" s="9" t="e">
        <f>J336+#REF!</f>
        <v>#REF!</v>
      </c>
      <c r="L336" s="10" t="s">
        <v>41</v>
      </c>
      <c r="M336" s="11">
        <v>44729.822210648148</v>
      </c>
      <c r="N336" s="5" t="s">
        <v>48</v>
      </c>
      <c r="O336" s="5"/>
      <c r="P336" s="9">
        <v>44734.822210648148</v>
      </c>
      <c r="Q336" s="5" t="s">
        <v>48</v>
      </c>
      <c r="R336" s="5"/>
      <c r="S336" s="5"/>
      <c r="T336" s="9">
        <v>44731.822210648148</v>
      </c>
      <c r="U336" s="5"/>
      <c r="V336" s="5">
        <v>0</v>
      </c>
      <c r="W336" s="5"/>
      <c r="X336" s="5"/>
      <c r="Y336" s="5"/>
      <c r="Z336" s="5"/>
      <c r="AA336" s="5"/>
      <c r="AC336">
        <f t="shared" si="46"/>
        <v>5</v>
      </c>
      <c r="AD336" t="str">
        <f t="shared" si="47"/>
        <v/>
      </c>
      <c r="AE336">
        <f t="shared" si="48"/>
        <v>2</v>
      </c>
      <c r="AF336" t="str">
        <f t="shared" si="49"/>
        <v/>
      </c>
      <c r="AG336" t="str">
        <f t="shared" si="50"/>
        <v/>
      </c>
      <c r="AH336">
        <f t="shared" si="51"/>
        <v>1</v>
      </c>
      <c r="AI336" t="str">
        <f t="shared" si="52"/>
        <v/>
      </c>
      <c r="AJ336" t="str">
        <f t="shared" si="53"/>
        <v/>
      </c>
    </row>
    <row r="337" spans="1:36">
      <c r="A337" s="5">
        <v>336</v>
      </c>
      <c r="B337" s="5" t="s">
        <v>2498</v>
      </c>
      <c r="C337" s="5" t="s">
        <v>2494</v>
      </c>
      <c r="D337" s="5" t="s">
        <v>2495</v>
      </c>
      <c r="E337" s="5" t="s">
        <v>102</v>
      </c>
      <c r="F337" s="5" t="str">
        <f t="shared" si="45"/>
        <v>Administation-Senior Manager</v>
      </c>
      <c r="G337" s="5" t="s">
        <v>103</v>
      </c>
      <c r="H337" s="9">
        <v>44716.822210648148</v>
      </c>
      <c r="I337" s="9">
        <v>44720.822210648148</v>
      </c>
      <c r="J337" s="9" t="e">
        <f>I337+#REF!</f>
        <v>#REF!</v>
      </c>
      <c r="K337" s="9" t="e">
        <f>J337+#REF!</f>
        <v>#REF!</v>
      </c>
      <c r="L337" s="10" t="s">
        <v>41</v>
      </c>
      <c r="M337" s="11">
        <v>44735.822210648148</v>
      </c>
      <c r="N337" s="5" t="s">
        <v>48</v>
      </c>
      <c r="O337" s="5"/>
      <c r="P337" s="9">
        <v>44741.822210648148</v>
      </c>
      <c r="Q337" s="5" t="s">
        <v>48</v>
      </c>
      <c r="R337" s="5"/>
      <c r="S337" s="5"/>
      <c r="T337" s="9">
        <v>44739.822210648148</v>
      </c>
      <c r="U337" s="5"/>
      <c r="V337" s="5">
        <v>0</v>
      </c>
      <c r="W337" s="5"/>
      <c r="X337" s="5"/>
      <c r="Y337" s="5"/>
      <c r="Z337" s="5"/>
      <c r="AA337" s="5"/>
      <c r="AC337">
        <f t="shared" si="46"/>
        <v>15</v>
      </c>
      <c r="AD337" t="str">
        <f t="shared" si="47"/>
        <v/>
      </c>
      <c r="AE337">
        <f t="shared" si="48"/>
        <v>4</v>
      </c>
      <c r="AF337" t="str">
        <f t="shared" si="49"/>
        <v/>
      </c>
      <c r="AG337" t="str">
        <f t="shared" si="50"/>
        <v/>
      </c>
      <c r="AH337">
        <f t="shared" si="51"/>
        <v>4</v>
      </c>
      <c r="AI337" t="str">
        <f t="shared" si="52"/>
        <v/>
      </c>
      <c r="AJ337" t="str">
        <f t="shared" si="53"/>
        <v/>
      </c>
    </row>
    <row r="338" spans="1:36">
      <c r="A338" s="5">
        <v>337</v>
      </c>
      <c r="B338" s="5" t="s">
        <v>2497</v>
      </c>
      <c r="C338" s="5" t="s">
        <v>2494</v>
      </c>
      <c r="D338" s="5" t="s">
        <v>2495</v>
      </c>
      <c r="E338" s="5" t="s">
        <v>102</v>
      </c>
      <c r="F338" s="5" t="str">
        <f t="shared" si="45"/>
        <v>Administation-Senior Manager</v>
      </c>
      <c r="G338" s="5" t="s">
        <v>103</v>
      </c>
      <c r="H338" s="9">
        <v>44722.822210648148</v>
      </c>
      <c r="I338" s="9">
        <v>44724.822210648148</v>
      </c>
      <c r="J338" s="9" t="e">
        <f>I338+#REF!</f>
        <v>#REF!</v>
      </c>
      <c r="K338" s="9" t="e">
        <f>J338+#REF!</f>
        <v>#REF!</v>
      </c>
      <c r="L338" s="10" t="s">
        <v>41</v>
      </c>
      <c r="M338" s="11">
        <v>44737.822210648148</v>
      </c>
      <c r="N338" s="5" t="s">
        <v>42</v>
      </c>
      <c r="O338" s="5" t="s">
        <v>43</v>
      </c>
      <c r="P338" s="9"/>
      <c r="Q338" s="5"/>
      <c r="R338" s="5"/>
      <c r="S338" s="5"/>
      <c r="T338" s="9"/>
      <c r="U338" s="5"/>
      <c r="V338" s="5">
        <v>0</v>
      </c>
      <c r="W338" s="5"/>
      <c r="X338" s="5"/>
      <c r="Y338" s="5"/>
      <c r="Z338" s="5"/>
      <c r="AA338" s="5" t="s">
        <v>44</v>
      </c>
      <c r="AC338">
        <f t="shared" si="46"/>
        <v>13</v>
      </c>
      <c r="AD338" t="str">
        <f t="shared" si="47"/>
        <v/>
      </c>
      <c r="AE338" t="str">
        <f t="shared" si="48"/>
        <v/>
      </c>
      <c r="AF338" t="str">
        <f t="shared" si="49"/>
        <v/>
      </c>
      <c r="AG338" t="str">
        <f t="shared" si="50"/>
        <v/>
      </c>
      <c r="AH338">
        <f t="shared" si="51"/>
        <v>2</v>
      </c>
      <c r="AI338" t="str">
        <f t="shared" si="52"/>
        <v/>
      </c>
      <c r="AJ338" t="str">
        <f t="shared" si="53"/>
        <v/>
      </c>
    </row>
    <row r="339" spans="1:36">
      <c r="A339" s="5">
        <v>338</v>
      </c>
      <c r="B339" s="5" t="s">
        <v>74</v>
      </c>
      <c r="C339" s="5" t="s">
        <v>37</v>
      </c>
      <c r="D339" s="5" t="s">
        <v>46</v>
      </c>
      <c r="E339" s="5" t="s">
        <v>51</v>
      </c>
      <c r="F339" s="5" t="str">
        <f t="shared" si="45"/>
        <v>Risk Management-Supervisor</v>
      </c>
      <c r="G339" s="5" t="s">
        <v>47</v>
      </c>
      <c r="H339" s="9">
        <v>44720.822210648148</v>
      </c>
      <c r="I339" s="9">
        <v>44722.822210648148</v>
      </c>
      <c r="J339" s="9" t="e">
        <f>I339+#REF!</f>
        <v>#REF!</v>
      </c>
      <c r="K339" s="9" t="e">
        <f>J339+#REF!</f>
        <v>#REF!</v>
      </c>
      <c r="L339" s="10" t="s">
        <v>41</v>
      </c>
      <c r="M339" s="11">
        <v>44729.822210648148</v>
      </c>
      <c r="N339" s="5" t="s">
        <v>48</v>
      </c>
      <c r="O339" s="5"/>
      <c r="P339" s="9">
        <v>44732.822210648148</v>
      </c>
      <c r="Q339" s="5" t="s">
        <v>48</v>
      </c>
      <c r="R339" s="5"/>
      <c r="S339" s="5"/>
      <c r="T339" s="9">
        <v>44731.822210648148</v>
      </c>
      <c r="U339" s="5"/>
      <c r="V339" s="5">
        <v>0</v>
      </c>
      <c r="W339" s="5"/>
      <c r="X339" s="5"/>
      <c r="Y339" s="5"/>
      <c r="Z339" s="5"/>
      <c r="AA339" s="5"/>
      <c r="AC339">
        <f t="shared" si="46"/>
        <v>7</v>
      </c>
      <c r="AD339" t="str">
        <f t="shared" si="47"/>
        <v/>
      </c>
      <c r="AE339">
        <f t="shared" si="48"/>
        <v>2</v>
      </c>
      <c r="AF339" t="str">
        <f t="shared" si="49"/>
        <v/>
      </c>
      <c r="AG339" t="str">
        <f t="shared" si="50"/>
        <v/>
      </c>
      <c r="AH339">
        <f t="shared" si="51"/>
        <v>2</v>
      </c>
      <c r="AI339" t="str">
        <f t="shared" si="52"/>
        <v/>
      </c>
      <c r="AJ339" t="str">
        <f t="shared" si="53"/>
        <v/>
      </c>
    </row>
    <row r="340" spans="1:36">
      <c r="A340" s="5">
        <v>339</v>
      </c>
      <c r="B340" s="5" t="s">
        <v>72</v>
      </c>
      <c r="C340" s="5" t="s">
        <v>37</v>
      </c>
      <c r="D340" s="5" t="s">
        <v>38</v>
      </c>
      <c r="E340" s="5" t="s">
        <v>39</v>
      </c>
      <c r="F340" s="5" t="str">
        <f t="shared" si="45"/>
        <v>Risk Management-Analyst</v>
      </c>
      <c r="G340" s="5" t="s">
        <v>40</v>
      </c>
      <c r="H340" s="9">
        <v>44719.822210648148</v>
      </c>
      <c r="I340" s="9">
        <v>44723.822210648148</v>
      </c>
      <c r="J340" s="9" t="e">
        <f>I340+#REF!</f>
        <v>#REF!</v>
      </c>
      <c r="K340" s="9" t="e">
        <f>J340+#REF!</f>
        <v>#REF!</v>
      </c>
      <c r="L340" s="10" t="s">
        <v>41</v>
      </c>
      <c r="M340" s="11">
        <v>44737.822210648148</v>
      </c>
      <c r="N340" s="5" t="s">
        <v>42</v>
      </c>
      <c r="O340" s="5" t="s">
        <v>73</v>
      </c>
      <c r="P340" s="9"/>
      <c r="Q340" s="5"/>
      <c r="R340" s="5"/>
      <c r="S340" s="5"/>
      <c r="T340" s="9"/>
      <c r="U340" s="5"/>
      <c r="V340" s="5">
        <v>0</v>
      </c>
      <c r="W340" s="5"/>
      <c r="X340" s="5"/>
      <c r="Y340" s="5"/>
      <c r="Z340" s="5"/>
      <c r="AA340" s="5" t="s">
        <v>44</v>
      </c>
      <c r="AC340">
        <f t="shared" si="46"/>
        <v>14</v>
      </c>
      <c r="AD340" t="str">
        <f t="shared" si="47"/>
        <v/>
      </c>
      <c r="AE340" t="str">
        <f t="shared" si="48"/>
        <v/>
      </c>
      <c r="AF340" t="str">
        <f t="shared" si="49"/>
        <v/>
      </c>
      <c r="AG340" t="str">
        <f t="shared" si="50"/>
        <v/>
      </c>
      <c r="AH340">
        <f t="shared" si="51"/>
        <v>4</v>
      </c>
      <c r="AI340" t="str">
        <f t="shared" si="52"/>
        <v/>
      </c>
      <c r="AJ340" t="str">
        <f t="shared" si="53"/>
        <v/>
      </c>
    </row>
    <row r="341" spans="1:36">
      <c r="A341" s="5">
        <v>340</v>
      </c>
      <c r="B341" s="5" t="s">
        <v>2531</v>
      </c>
      <c r="C341" s="5" t="s">
        <v>2494</v>
      </c>
      <c r="D341" s="5" t="s">
        <v>2523</v>
      </c>
      <c r="E341" s="5" t="s">
        <v>51</v>
      </c>
      <c r="F341" s="5" t="str">
        <f t="shared" si="45"/>
        <v>Administation-Supervisor</v>
      </c>
      <c r="G341" s="5" t="s">
        <v>270</v>
      </c>
      <c r="H341" s="9">
        <v>44723.822210648148</v>
      </c>
      <c r="I341" s="9">
        <v>44724.822210648148</v>
      </c>
      <c r="J341" s="9" t="e">
        <f>I341+#REF!</f>
        <v>#REF!</v>
      </c>
      <c r="K341" s="9" t="e">
        <f>J341+#REF!</f>
        <v>#REF!</v>
      </c>
      <c r="L341" s="10" t="s">
        <v>41</v>
      </c>
      <c r="M341" s="11">
        <v>44732.822210648148</v>
      </c>
      <c r="N341" s="5" t="s">
        <v>64</v>
      </c>
      <c r="O341" s="5"/>
      <c r="P341" s="9">
        <v>44738.822210648148</v>
      </c>
      <c r="Q341" s="5" t="s">
        <v>64</v>
      </c>
      <c r="R341" s="9">
        <v>44733.822210648148</v>
      </c>
      <c r="S341" s="9">
        <v>44735.822210648148</v>
      </c>
      <c r="T341" s="9">
        <v>44735.822210648148</v>
      </c>
      <c r="U341" s="9">
        <v>44740.822210648148</v>
      </c>
      <c r="V341" s="12">
        <v>1</v>
      </c>
      <c r="W341" s="9">
        <v>44741.822210648148</v>
      </c>
      <c r="X341" s="9">
        <v>44742.822210648148</v>
      </c>
      <c r="Y341" s="9">
        <v>44744.822210648148</v>
      </c>
      <c r="Z341" s="5"/>
      <c r="AA341" s="5"/>
      <c r="AB341" s="13">
        <v>44762.822210648148</v>
      </c>
      <c r="AC341">
        <f t="shared" si="46"/>
        <v>8</v>
      </c>
      <c r="AD341">
        <f t="shared" si="47"/>
        <v>11</v>
      </c>
      <c r="AE341">
        <f t="shared" si="48"/>
        <v>3</v>
      </c>
      <c r="AF341">
        <f t="shared" si="49"/>
        <v>2</v>
      </c>
      <c r="AG341">
        <f t="shared" si="50"/>
        <v>1</v>
      </c>
      <c r="AH341">
        <f t="shared" si="51"/>
        <v>1</v>
      </c>
      <c r="AI341" t="str">
        <f t="shared" si="52"/>
        <v/>
      </c>
      <c r="AJ341" t="str">
        <f t="shared" si="53"/>
        <v/>
      </c>
    </row>
    <row r="342" spans="1:36">
      <c r="A342" s="5">
        <v>341</v>
      </c>
      <c r="B342" s="5" t="s">
        <v>1693</v>
      </c>
      <c r="C342" s="5" t="s">
        <v>1540</v>
      </c>
      <c r="D342" s="5" t="s">
        <v>1588</v>
      </c>
      <c r="E342" s="5" t="s">
        <v>1360</v>
      </c>
      <c r="F342" s="5" t="str">
        <f t="shared" si="45"/>
        <v>Finance-Fund Administrator</v>
      </c>
      <c r="G342" s="5" t="s">
        <v>147</v>
      </c>
      <c r="H342" s="9">
        <v>44685.644375000003</v>
      </c>
      <c r="I342" s="9">
        <v>44687.644375000003</v>
      </c>
      <c r="J342" s="9" t="e">
        <f>I342+#REF!</f>
        <v>#REF!</v>
      </c>
      <c r="K342" s="9" t="e">
        <f>J342+#REF!</f>
        <v>#REF!</v>
      </c>
      <c r="L342" s="10" t="s">
        <v>41</v>
      </c>
      <c r="M342" s="11">
        <v>44693.644375000003</v>
      </c>
      <c r="N342" s="5" t="s">
        <v>167</v>
      </c>
      <c r="O342" s="5"/>
      <c r="P342" s="9">
        <v>44696.644375000003</v>
      </c>
      <c r="Q342" s="5" t="s">
        <v>167</v>
      </c>
      <c r="R342" s="5"/>
      <c r="S342" s="5"/>
      <c r="T342" s="9">
        <v>44695.644375000003</v>
      </c>
      <c r="U342" s="5"/>
      <c r="V342" s="5">
        <v>0</v>
      </c>
      <c r="W342" s="5"/>
      <c r="X342" s="5"/>
      <c r="Y342" s="5"/>
      <c r="Z342" s="5"/>
      <c r="AA342" s="5"/>
      <c r="AC342">
        <f t="shared" si="46"/>
        <v>6</v>
      </c>
      <c r="AD342" t="str">
        <f t="shared" si="47"/>
        <v/>
      </c>
      <c r="AE342">
        <f t="shared" si="48"/>
        <v>2</v>
      </c>
      <c r="AF342" t="str">
        <f t="shared" si="49"/>
        <v/>
      </c>
      <c r="AG342" t="str">
        <f t="shared" si="50"/>
        <v/>
      </c>
      <c r="AH342">
        <f t="shared" si="51"/>
        <v>2</v>
      </c>
      <c r="AI342" t="str">
        <f t="shared" si="52"/>
        <v/>
      </c>
      <c r="AJ342" t="str">
        <f t="shared" si="53"/>
        <v/>
      </c>
    </row>
    <row r="343" spans="1:36">
      <c r="A343" s="5">
        <v>342</v>
      </c>
      <c r="B343" s="5" t="s">
        <v>1802</v>
      </c>
      <c r="C343" s="5" t="s">
        <v>1540</v>
      </c>
      <c r="D343" s="5" t="s">
        <v>1706</v>
      </c>
      <c r="E343" s="5" t="s">
        <v>269</v>
      </c>
      <c r="F343" s="5" t="str">
        <f t="shared" si="45"/>
        <v>Finance-Manager</v>
      </c>
      <c r="G343" s="5" t="s">
        <v>270</v>
      </c>
      <c r="H343" s="9">
        <v>44686.644375000003</v>
      </c>
      <c r="I343" s="9">
        <v>44689.644375000003</v>
      </c>
      <c r="J343" s="9" t="e">
        <f>I343+#REF!</f>
        <v>#REF!</v>
      </c>
      <c r="K343" s="9" t="e">
        <f>J343+#REF!</f>
        <v>#REF!</v>
      </c>
      <c r="L343" s="10" t="s">
        <v>41</v>
      </c>
      <c r="M343" s="11">
        <v>44697.644375000003</v>
      </c>
      <c r="N343" s="5" t="s">
        <v>42</v>
      </c>
      <c r="O343" s="5" t="s">
        <v>113</v>
      </c>
      <c r="P343" s="9"/>
      <c r="Q343" s="5"/>
      <c r="R343" s="5"/>
      <c r="S343" s="5"/>
      <c r="T343" s="9">
        <v>44700.644375000003</v>
      </c>
      <c r="U343" s="5"/>
      <c r="V343" s="5">
        <v>0</v>
      </c>
      <c r="W343" s="5"/>
      <c r="X343" s="5"/>
      <c r="Y343" s="5"/>
      <c r="Z343" s="5"/>
      <c r="AA343" s="5" t="s">
        <v>62</v>
      </c>
      <c r="AC343">
        <f t="shared" si="46"/>
        <v>8</v>
      </c>
      <c r="AD343" t="str">
        <f t="shared" si="47"/>
        <v/>
      </c>
      <c r="AE343">
        <f t="shared" si="48"/>
        <v>3</v>
      </c>
      <c r="AF343" t="str">
        <f t="shared" si="49"/>
        <v/>
      </c>
      <c r="AG343" t="str">
        <f t="shared" si="50"/>
        <v/>
      </c>
      <c r="AH343">
        <f t="shared" si="51"/>
        <v>3</v>
      </c>
      <c r="AI343" t="str">
        <f t="shared" si="52"/>
        <v/>
      </c>
      <c r="AJ343" t="str">
        <f t="shared" si="53"/>
        <v/>
      </c>
    </row>
    <row r="344" spans="1:36">
      <c r="A344" s="5">
        <v>343</v>
      </c>
      <c r="B344" s="5" t="s">
        <v>1968</v>
      </c>
      <c r="C344" s="5" t="s">
        <v>1540</v>
      </c>
      <c r="D344" s="5" t="s">
        <v>1925</v>
      </c>
      <c r="E344" s="5" t="s">
        <v>1939</v>
      </c>
      <c r="F344" s="5" t="str">
        <f t="shared" si="45"/>
        <v>Finance-Principal Officer</v>
      </c>
      <c r="G344" s="5" t="s">
        <v>56</v>
      </c>
      <c r="H344" s="9">
        <v>44688.644375000003</v>
      </c>
      <c r="I344" s="9">
        <v>44689.644375000003</v>
      </c>
      <c r="J344" s="9" t="e">
        <f>I344+#REF!</f>
        <v>#REF!</v>
      </c>
      <c r="K344" s="9" t="e">
        <f>J344+#REF!</f>
        <v>#REF!</v>
      </c>
      <c r="L344" s="10" t="s">
        <v>41</v>
      </c>
      <c r="M344" s="11">
        <v>44706.644375000003</v>
      </c>
      <c r="N344" s="5" t="s">
        <v>42</v>
      </c>
      <c r="O344" s="5" t="s">
        <v>113</v>
      </c>
      <c r="P344" s="9"/>
      <c r="Q344" s="5"/>
      <c r="R344" s="5"/>
      <c r="S344" s="5"/>
      <c r="T344" s="9">
        <v>44707.644375000003</v>
      </c>
      <c r="U344" s="5"/>
      <c r="V344" s="5">
        <v>0</v>
      </c>
      <c r="W344" s="5"/>
      <c r="X344" s="5"/>
      <c r="Y344" s="5"/>
      <c r="Z344" s="5"/>
      <c r="AA344" s="5" t="s">
        <v>62</v>
      </c>
      <c r="AC344">
        <f t="shared" si="46"/>
        <v>17</v>
      </c>
      <c r="AD344" t="str">
        <f t="shared" si="47"/>
        <v/>
      </c>
      <c r="AE344">
        <f t="shared" si="48"/>
        <v>1</v>
      </c>
      <c r="AF344" t="str">
        <f t="shared" si="49"/>
        <v/>
      </c>
      <c r="AG344" t="str">
        <f t="shared" si="50"/>
        <v/>
      </c>
      <c r="AH344">
        <f t="shared" si="51"/>
        <v>1</v>
      </c>
      <c r="AI344" t="str">
        <f t="shared" si="52"/>
        <v/>
      </c>
      <c r="AJ344" t="str">
        <f t="shared" si="53"/>
        <v/>
      </c>
    </row>
    <row r="345" spans="1:36">
      <c r="A345" s="5">
        <v>344</v>
      </c>
      <c r="B345" s="5" t="s">
        <v>1967</v>
      </c>
      <c r="C345" s="5" t="s">
        <v>1540</v>
      </c>
      <c r="D345" s="5" t="s">
        <v>1925</v>
      </c>
      <c r="E345" s="5" t="s">
        <v>1939</v>
      </c>
      <c r="F345" s="5" t="str">
        <f t="shared" si="45"/>
        <v>Finance-Principal Officer</v>
      </c>
      <c r="G345" s="5" t="s">
        <v>56</v>
      </c>
      <c r="H345" s="9">
        <v>44681.644375000003</v>
      </c>
      <c r="I345" s="9">
        <v>44685.644375000003</v>
      </c>
      <c r="J345" s="9" t="e">
        <f>I345+#REF!</f>
        <v>#REF!</v>
      </c>
      <c r="K345" s="9" t="e">
        <f>J345+#REF!</f>
        <v>#REF!</v>
      </c>
      <c r="L345" s="10" t="s">
        <v>52</v>
      </c>
      <c r="M345" s="11"/>
      <c r="N345" s="5"/>
      <c r="O345" s="5"/>
      <c r="P345" s="9"/>
      <c r="Q345" s="5"/>
      <c r="R345" s="5"/>
      <c r="S345" s="5"/>
      <c r="T345" s="9"/>
      <c r="U345" s="5"/>
      <c r="V345" s="5">
        <v>0</v>
      </c>
      <c r="W345" s="5"/>
      <c r="X345" s="5"/>
      <c r="Y345" s="5"/>
      <c r="Z345" s="5"/>
      <c r="AA345" s="5"/>
      <c r="AC345" t="str">
        <f t="shared" si="46"/>
        <v/>
      </c>
      <c r="AD345" t="str">
        <f t="shared" si="47"/>
        <v/>
      </c>
      <c r="AE345" t="str">
        <f t="shared" si="48"/>
        <v/>
      </c>
      <c r="AF345" t="str">
        <f t="shared" si="49"/>
        <v/>
      </c>
      <c r="AG345" t="str">
        <f t="shared" si="50"/>
        <v/>
      </c>
      <c r="AH345">
        <f t="shared" si="51"/>
        <v>4</v>
      </c>
      <c r="AI345" t="str">
        <f t="shared" si="52"/>
        <v/>
      </c>
      <c r="AJ345" t="str">
        <f t="shared" si="53"/>
        <v/>
      </c>
    </row>
    <row r="346" spans="1:36">
      <c r="A346" s="5">
        <v>345</v>
      </c>
      <c r="B346" s="5" t="s">
        <v>1692</v>
      </c>
      <c r="C346" s="5" t="s">
        <v>1540</v>
      </c>
      <c r="D346" s="5" t="s">
        <v>1588</v>
      </c>
      <c r="E346" s="5" t="s">
        <v>1360</v>
      </c>
      <c r="F346" s="5" t="str">
        <f t="shared" si="45"/>
        <v>Finance-Fund Administrator</v>
      </c>
      <c r="G346" s="5" t="s">
        <v>147</v>
      </c>
      <c r="H346" s="9">
        <v>44686.644375000003</v>
      </c>
      <c r="I346" s="9">
        <v>44688.644375000003</v>
      </c>
      <c r="J346" s="9" t="e">
        <f>I346+#REF!</f>
        <v>#REF!</v>
      </c>
      <c r="K346" s="9" t="e">
        <f>J346+#REF!</f>
        <v>#REF!</v>
      </c>
      <c r="L346" s="10" t="s">
        <v>41</v>
      </c>
      <c r="M346" s="11">
        <v>44700.644375000003</v>
      </c>
      <c r="N346" s="5" t="s">
        <v>48</v>
      </c>
      <c r="O346" s="5"/>
      <c r="P346" s="9">
        <v>44704.644375000003</v>
      </c>
      <c r="Q346" s="5" t="s">
        <v>48</v>
      </c>
      <c r="R346" s="5"/>
      <c r="S346" s="5"/>
      <c r="T346" s="9">
        <v>44703.644375000003</v>
      </c>
      <c r="U346" s="5"/>
      <c r="V346" s="5">
        <v>0</v>
      </c>
      <c r="W346" s="5"/>
      <c r="X346" s="5"/>
      <c r="Y346" s="5"/>
      <c r="Z346" s="5"/>
      <c r="AA346" s="5"/>
      <c r="AC346">
        <f t="shared" si="46"/>
        <v>12</v>
      </c>
      <c r="AD346" t="str">
        <f t="shared" si="47"/>
        <v/>
      </c>
      <c r="AE346">
        <f t="shared" si="48"/>
        <v>3</v>
      </c>
      <c r="AF346" t="str">
        <f t="shared" si="49"/>
        <v/>
      </c>
      <c r="AG346" t="str">
        <f t="shared" si="50"/>
        <v/>
      </c>
      <c r="AH346">
        <f t="shared" si="51"/>
        <v>2</v>
      </c>
      <c r="AI346" t="str">
        <f t="shared" si="52"/>
        <v/>
      </c>
      <c r="AJ346" t="str">
        <f t="shared" si="53"/>
        <v/>
      </c>
    </row>
    <row r="347" spans="1:36">
      <c r="A347" s="5">
        <v>346</v>
      </c>
      <c r="B347" s="5" t="s">
        <v>1801</v>
      </c>
      <c r="C347" s="5" t="s">
        <v>1540</v>
      </c>
      <c r="D347" s="5" t="s">
        <v>1706</v>
      </c>
      <c r="E347" s="5" t="s">
        <v>269</v>
      </c>
      <c r="F347" s="5" t="str">
        <f t="shared" si="45"/>
        <v>Finance-Manager</v>
      </c>
      <c r="G347" s="5" t="s">
        <v>270</v>
      </c>
      <c r="H347" s="9">
        <v>44683.644375000003</v>
      </c>
      <c r="I347" s="9">
        <v>44686.644375000003</v>
      </c>
      <c r="J347" s="9" t="e">
        <f>I347+#REF!</f>
        <v>#REF!</v>
      </c>
      <c r="K347" s="9" t="e">
        <f>J347+#REF!</f>
        <v>#REF!</v>
      </c>
      <c r="L347" s="10" t="s">
        <v>41</v>
      </c>
      <c r="M347" s="11">
        <v>44699.644375000003</v>
      </c>
      <c r="N347" s="5" t="s">
        <v>42</v>
      </c>
      <c r="O347" s="5" t="s">
        <v>73</v>
      </c>
      <c r="P347" s="9"/>
      <c r="Q347" s="5"/>
      <c r="R347" s="5"/>
      <c r="S347" s="5"/>
      <c r="T347" s="9"/>
      <c r="U347" s="5"/>
      <c r="V347" s="5">
        <v>0</v>
      </c>
      <c r="W347" s="5"/>
      <c r="X347" s="5"/>
      <c r="Y347" s="5"/>
      <c r="Z347" s="5"/>
      <c r="AA347" s="5" t="s">
        <v>44</v>
      </c>
      <c r="AC347">
        <f t="shared" si="46"/>
        <v>13</v>
      </c>
      <c r="AD347" t="str">
        <f t="shared" si="47"/>
        <v/>
      </c>
      <c r="AE347" t="str">
        <f t="shared" si="48"/>
        <v/>
      </c>
      <c r="AF347" t="str">
        <f t="shared" si="49"/>
        <v/>
      </c>
      <c r="AG347" t="str">
        <f t="shared" si="50"/>
        <v/>
      </c>
      <c r="AH347">
        <f t="shared" si="51"/>
        <v>3</v>
      </c>
      <c r="AI347" t="str">
        <f t="shared" si="52"/>
        <v/>
      </c>
      <c r="AJ347" t="str">
        <f t="shared" si="53"/>
        <v/>
      </c>
    </row>
    <row r="348" spans="1:36">
      <c r="A348" s="5">
        <v>347</v>
      </c>
      <c r="B348" s="5" t="s">
        <v>1800</v>
      </c>
      <c r="C348" s="5" t="s">
        <v>1540</v>
      </c>
      <c r="D348" s="5" t="s">
        <v>1706</v>
      </c>
      <c r="E348" s="5" t="s">
        <v>269</v>
      </c>
      <c r="F348" s="5" t="str">
        <f t="shared" si="45"/>
        <v>Finance-Manager</v>
      </c>
      <c r="G348" s="5" t="s">
        <v>270</v>
      </c>
      <c r="H348" s="9">
        <v>44683.644375000003</v>
      </c>
      <c r="I348" s="9">
        <v>44687.644375000003</v>
      </c>
      <c r="J348" s="9" t="e">
        <f>I348+#REF!</f>
        <v>#REF!</v>
      </c>
      <c r="K348" s="9" t="e">
        <f>J348+#REF!</f>
        <v>#REF!</v>
      </c>
      <c r="L348" s="10" t="s">
        <v>41</v>
      </c>
      <c r="M348" s="11">
        <v>44694.644375000003</v>
      </c>
      <c r="N348" s="5" t="s">
        <v>42</v>
      </c>
      <c r="O348" s="5" t="s">
        <v>113</v>
      </c>
      <c r="P348" s="9"/>
      <c r="Q348" s="5"/>
      <c r="R348" s="5"/>
      <c r="S348" s="5"/>
      <c r="T348" s="9">
        <v>44698.644375000003</v>
      </c>
      <c r="U348" s="5"/>
      <c r="V348" s="5">
        <v>0</v>
      </c>
      <c r="W348" s="5"/>
      <c r="X348" s="5"/>
      <c r="Y348" s="5"/>
      <c r="Z348" s="5"/>
      <c r="AA348" s="5" t="s">
        <v>44</v>
      </c>
      <c r="AC348">
        <f t="shared" si="46"/>
        <v>7</v>
      </c>
      <c r="AD348" t="str">
        <f t="shared" si="47"/>
        <v/>
      </c>
      <c r="AE348">
        <f t="shared" si="48"/>
        <v>4</v>
      </c>
      <c r="AF348" t="str">
        <f t="shared" si="49"/>
        <v/>
      </c>
      <c r="AG348" t="str">
        <f t="shared" si="50"/>
        <v/>
      </c>
      <c r="AH348">
        <f t="shared" si="51"/>
        <v>4</v>
      </c>
      <c r="AI348" t="str">
        <f t="shared" si="52"/>
        <v/>
      </c>
      <c r="AJ348" t="str">
        <f t="shared" si="53"/>
        <v/>
      </c>
    </row>
    <row r="349" spans="1:36">
      <c r="A349" s="5">
        <v>348</v>
      </c>
      <c r="B349" s="5" t="s">
        <v>1966</v>
      </c>
      <c r="C349" s="5" t="s">
        <v>1540</v>
      </c>
      <c r="D349" s="5" t="s">
        <v>1925</v>
      </c>
      <c r="E349" s="5" t="s">
        <v>1939</v>
      </c>
      <c r="F349" s="5" t="str">
        <f t="shared" si="45"/>
        <v>Finance-Principal Officer</v>
      </c>
      <c r="G349" s="5" t="s">
        <v>56</v>
      </c>
      <c r="H349" s="9">
        <v>44682.644375000003</v>
      </c>
      <c r="I349" s="9">
        <v>44685.644375000003</v>
      </c>
      <c r="J349" s="9" t="e">
        <f>I349+#REF!</f>
        <v>#REF!</v>
      </c>
      <c r="K349" s="9" t="e">
        <f>J349+#REF!</f>
        <v>#REF!</v>
      </c>
      <c r="L349" s="10" t="s">
        <v>41</v>
      </c>
      <c r="M349" s="11">
        <v>44693.644375000003</v>
      </c>
      <c r="N349" s="5" t="s">
        <v>64</v>
      </c>
      <c r="O349" s="5"/>
      <c r="P349" s="9">
        <v>44697.644375000003</v>
      </c>
      <c r="Q349" s="5" t="s">
        <v>64</v>
      </c>
      <c r="R349" s="9">
        <v>44694.644375000003</v>
      </c>
      <c r="S349" s="9">
        <v>44698.644375000003</v>
      </c>
      <c r="T349" s="9">
        <v>44696.644375000003</v>
      </c>
      <c r="U349" s="9">
        <v>44703.644375000003</v>
      </c>
      <c r="V349" s="12">
        <v>1</v>
      </c>
      <c r="W349" s="9">
        <v>44705.644375000003</v>
      </c>
      <c r="X349" s="9">
        <v>44706.644375000003</v>
      </c>
      <c r="Y349" s="9">
        <v>44708.644375000003</v>
      </c>
      <c r="Z349" s="5"/>
      <c r="AA349" s="5"/>
      <c r="AB349" s="13">
        <v>44725.644375000003</v>
      </c>
      <c r="AC349">
        <f t="shared" si="46"/>
        <v>8</v>
      </c>
      <c r="AD349">
        <f t="shared" si="47"/>
        <v>13</v>
      </c>
      <c r="AE349">
        <f t="shared" si="48"/>
        <v>3</v>
      </c>
      <c r="AF349">
        <f t="shared" si="49"/>
        <v>3</v>
      </c>
      <c r="AG349">
        <f t="shared" si="50"/>
        <v>2</v>
      </c>
      <c r="AH349">
        <f t="shared" si="51"/>
        <v>3</v>
      </c>
      <c r="AI349" t="str">
        <f t="shared" si="52"/>
        <v/>
      </c>
      <c r="AJ349" t="str">
        <f t="shared" si="53"/>
        <v/>
      </c>
    </row>
    <row r="350" spans="1:36">
      <c r="A350" s="5">
        <v>349</v>
      </c>
      <c r="B350" s="5" t="s">
        <v>1799</v>
      </c>
      <c r="C350" s="5" t="s">
        <v>1540</v>
      </c>
      <c r="D350" s="5" t="s">
        <v>1706</v>
      </c>
      <c r="E350" s="5" t="s">
        <v>269</v>
      </c>
      <c r="F350" s="5" t="str">
        <f t="shared" si="45"/>
        <v>Finance-Manager</v>
      </c>
      <c r="G350" s="5" t="s">
        <v>270</v>
      </c>
      <c r="H350" s="9">
        <v>44684.644375000003</v>
      </c>
      <c r="I350" s="9">
        <v>44685.644375000003</v>
      </c>
      <c r="J350" s="9" t="e">
        <f>I350+#REF!</f>
        <v>#REF!</v>
      </c>
      <c r="K350" s="9" t="e">
        <f>J350+#REF!</f>
        <v>#REF!</v>
      </c>
      <c r="L350" s="10" t="s">
        <v>41</v>
      </c>
      <c r="M350" s="11">
        <v>44702.644375000003</v>
      </c>
      <c r="N350" s="5" t="s">
        <v>64</v>
      </c>
      <c r="O350" s="5"/>
      <c r="P350" s="9">
        <v>44708.644375000003</v>
      </c>
      <c r="Q350" s="5" t="s">
        <v>64</v>
      </c>
      <c r="R350" s="9">
        <v>44703.644375000003</v>
      </c>
      <c r="S350" s="9">
        <v>44707.644375000003</v>
      </c>
      <c r="T350" s="9">
        <v>44706.644375000003</v>
      </c>
      <c r="U350" s="9">
        <v>44716.644375000003</v>
      </c>
      <c r="V350" s="12">
        <v>1</v>
      </c>
      <c r="W350" s="9">
        <v>44719.644375000003</v>
      </c>
      <c r="X350" s="9">
        <v>44721.644375000003</v>
      </c>
      <c r="Y350" s="9">
        <v>44723.644375000003</v>
      </c>
      <c r="Z350" s="5"/>
      <c r="AA350" s="5"/>
      <c r="AB350" s="13">
        <v>44734.644375000003</v>
      </c>
      <c r="AC350">
        <f t="shared" si="46"/>
        <v>17</v>
      </c>
      <c r="AD350">
        <f t="shared" si="47"/>
        <v>22</v>
      </c>
      <c r="AE350">
        <f t="shared" si="48"/>
        <v>4</v>
      </c>
      <c r="AF350">
        <f t="shared" si="49"/>
        <v>5</v>
      </c>
      <c r="AG350">
        <f t="shared" si="50"/>
        <v>3</v>
      </c>
      <c r="AH350">
        <f t="shared" si="51"/>
        <v>1</v>
      </c>
      <c r="AI350" t="str">
        <f t="shared" si="52"/>
        <v/>
      </c>
      <c r="AJ350" t="str">
        <f t="shared" si="53"/>
        <v/>
      </c>
    </row>
    <row r="351" spans="1:36">
      <c r="A351" s="5">
        <v>350</v>
      </c>
      <c r="B351" s="5" t="s">
        <v>1911</v>
      </c>
      <c r="C351" s="5" t="s">
        <v>1540</v>
      </c>
      <c r="D351" s="5" t="s">
        <v>1820</v>
      </c>
      <c r="E351" s="5" t="s">
        <v>1862</v>
      </c>
      <c r="F351" s="5" t="str">
        <f t="shared" si="45"/>
        <v>Finance-Billing Officer</v>
      </c>
      <c r="G351" s="5" t="s">
        <v>40</v>
      </c>
      <c r="H351" s="9">
        <v>44683.644375000003</v>
      </c>
      <c r="I351" s="9">
        <v>44684.644375000003</v>
      </c>
      <c r="J351" s="9" t="e">
        <f>I351+#REF!</f>
        <v>#REF!</v>
      </c>
      <c r="K351" s="9" t="e">
        <f>J351+#REF!</f>
        <v>#REF!</v>
      </c>
      <c r="L351" s="10" t="s">
        <v>52</v>
      </c>
      <c r="M351" s="11"/>
      <c r="N351" s="5"/>
      <c r="O351" s="5"/>
      <c r="P351" s="9"/>
      <c r="Q351" s="5"/>
      <c r="R351" s="5"/>
      <c r="S351" s="5"/>
      <c r="T351" s="9"/>
      <c r="U351" s="5"/>
      <c r="V351" s="5">
        <v>0</v>
      </c>
      <c r="W351" s="5"/>
      <c r="X351" s="5"/>
      <c r="Y351" s="5"/>
      <c r="Z351" s="5"/>
      <c r="AA351" s="5"/>
      <c r="AC351" t="str">
        <f t="shared" si="46"/>
        <v/>
      </c>
      <c r="AD351" t="str">
        <f t="shared" si="47"/>
        <v/>
      </c>
      <c r="AE351" t="str">
        <f t="shared" si="48"/>
        <v/>
      </c>
      <c r="AF351" t="str">
        <f t="shared" si="49"/>
        <v/>
      </c>
      <c r="AG351" t="str">
        <f t="shared" si="50"/>
        <v/>
      </c>
      <c r="AH351">
        <f t="shared" si="51"/>
        <v>1</v>
      </c>
      <c r="AI351" t="str">
        <f t="shared" si="52"/>
        <v/>
      </c>
      <c r="AJ351" t="str">
        <f t="shared" si="53"/>
        <v/>
      </c>
    </row>
    <row r="352" spans="1:36">
      <c r="A352" s="5">
        <v>351</v>
      </c>
      <c r="B352" s="5" t="s">
        <v>780</v>
      </c>
      <c r="C352" s="10" t="s">
        <v>671</v>
      </c>
      <c r="D352" s="5" t="s">
        <v>747</v>
      </c>
      <c r="E352" s="5" t="s">
        <v>69</v>
      </c>
      <c r="F352" s="5" t="str">
        <f t="shared" si="45"/>
        <v>Operations-Head of Department</v>
      </c>
      <c r="G352" s="5" t="s">
        <v>47</v>
      </c>
      <c r="H352" s="9">
        <v>44836.176585648151</v>
      </c>
      <c r="I352" s="9">
        <v>44840.176585648151</v>
      </c>
      <c r="J352" s="9" t="e">
        <f>I352+#REF!</f>
        <v>#REF!</v>
      </c>
      <c r="K352" s="9" t="e">
        <f>J352+#REF!</f>
        <v>#REF!</v>
      </c>
      <c r="L352" s="10" t="s">
        <v>41</v>
      </c>
      <c r="M352" s="11">
        <v>44848.176585648151</v>
      </c>
      <c r="N352" s="5" t="s">
        <v>42</v>
      </c>
      <c r="O352" s="5" t="s">
        <v>113</v>
      </c>
      <c r="P352" s="9"/>
      <c r="Q352" s="5"/>
      <c r="R352" s="5"/>
      <c r="S352" s="5"/>
      <c r="T352" s="9"/>
      <c r="U352" s="5"/>
      <c r="V352" s="5">
        <v>0</v>
      </c>
      <c r="W352" s="5"/>
      <c r="X352" s="5"/>
      <c r="Y352" s="5"/>
      <c r="Z352" s="5"/>
      <c r="AA352" s="5" t="s">
        <v>62</v>
      </c>
      <c r="AC352">
        <f t="shared" si="46"/>
        <v>8</v>
      </c>
      <c r="AD352" t="str">
        <f t="shared" si="47"/>
        <v/>
      </c>
      <c r="AE352" t="str">
        <f t="shared" si="48"/>
        <v/>
      </c>
      <c r="AF352" t="str">
        <f t="shared" si="49"/>
        <v/>
      </c>
      <c r="AG352" t="str">
        <f t="shared" si="50"/>
        <v/>
      </c>
      <c r="AH352">
        <f t="shared" si="51"/>
        <v>4</v>
      </c>
      <c r="AI352" t="str">
        <f t="shared" si="52"/>
        <v/>
      </c>
      <c r="AJ352" t="str">
        <f t="shared" si="53"/>
        <v/>
      </c>
    </row>
    <row r="353" spans="1:36">
      <c r="A353" s="5">
        <v>352</v>
      </c>
      <c r="B353" s="5" t="s">
        <v>2197</v>
      </c>
      <c r="C353" s="10" t="s">
        <v>2089</v>
      </c>
      <c r="D353" s="5" t="s">
        <v>2167</v>
      </c>
      <c r="E353" s="5" t="s">
        <v>269</v>
      </c>
      <c r="F353" s="5" t="str">
        <f t="shared" si="45"/>
        <v>Communication and Advocacy-Manager</v>
      </c>
      <c r="G353" s="5" t="s">
        <v>270</v>
      </c>
      <c r="H353" s="9">
        <v>44842.176585648151</v>
      </c>
      <c r="I353" s="9">
        <v>44843.176585648151</v>
      </c>
      <c r="J353" s="9" t="e">
        <f>I353+#REF!</f>
        <v>#REF!</v>
      </c>
      <c r="K353" s="9" t="e">
        <f>J353+#REF!</f>
        <v>#REF!</v>
      </c>
      <c r="L353" s="10" t="s">
        <v>41</v>
      </c>
      <c r="M353" s="11">
        <v>44849.176585648151</v>
      </c>
      <c r="N353" s="5" t="s">
        <v>48</v>
      </c>
      <c r="O353" s="5"/>
      <c r="P353" s="9">
        <v>44856.176585648151</v>
      </c>
      <c r="Q353" s="5" t="s">
        <v>48</v>
      </c>
      <c r="R353" s="5"/>
      <c r="S353" s="5"/>
      <c r="T353" s="9">
        <v>44852.176585648151</v>
      </c>
      <c r="U353" s="5"/>
      <c r="V353" s="5">
        <v>0</v>
      </c>
      <c r="W353" s="5"/>
      <c r="X353" s="5"/>
      <c r="Y353" s="5"/>
      <c r="Z353" s="5"/>
      <c r="AA353" s="5"/>
      <c r="AC353">
        <f t="shared" si="46"/>
        <v>6</v>
      </c>
      <c r="AD353" t="str">
        <f t="shared" si="47"/>
        <v/>
      </c>
      <c r="AE353">
        <f t="shared" si="48"/>
        <v>3</v>
      </c>
      <c r="AF353" t="str">
        <f t="shared" si="49"/>
        <v/>
      </c>
      <c r="AG353" t="str">
        <f t="shared" si="50"/>
        <v/>
      </c>
      <c r="AH353">
        <f t="shared" si="51"/>
        <v>1</v>
      </c>
      <c r="AI353" t="str">
        <f t="shared" si="52"/>
        <v/>
      </c>
      <c r="AJ353" t="str">
        <f t="shared" si="53"/>
        <v/>
      </c>
    </row>
    <row r="354" spans="1:36">
      <c r="A354" s="5">
        <v>353</v>
      </c>
      <c r="B354" s="5" t="s">
        <v>2196</v>
      </c>
      <c r="C354" s="10" t="s">
        <v>2089</v>
      </c>
      <c r="D354" s="5" t="s">
        <v>2167</v>
      </c>
      <c r="E354" s="5" t="s">
        <v>269</v>
      </c>
      <c r="F354" s="5" t="str">
        <f t="shared" si="45"/>
        <v>Communication and Advocacy-Manager</v>
      </c>
      <c r="G354" s="5" t="s">
        <v>270</v>
      </c>
      <c r="H354" s="9">
        <v>44836.176585648151</v>
      </c>
      <c r="I354" s="9">
        <v>44839.176585648151</v>
      </c>
      <c r="J354" s="9" t="e">
        <f>I354+#REF!</f>
        <v>#REF!</v>
      </c>
      <c r="K354" s="9" t="e">
        <f>J354+#REF!</f>
        <v>#REF!</v>
      </c>
      <c r="L354" s="10" t="s">
        <v>41</v>
      </c>
      <c r="M354" s="11">
        <v>44858.176585648151</v>
      </c>
      <c r="N354" s="5" t="s">
        <v>42</v>
      </c>
      <c r="O354" s="5" t="s">
        <v>43</v>
      </c>
      <c r="P354" s="9"/>
      <c r="Q354" s="5"/>
      <c r="R354" s="5"/>
      <c r="S354" s="5"/>
      <c r="T354" s="9"/>
      <c r="U354" s="5"/>
      <c r="V354" s="5">
        <v>0</v>
      </c>
      <c r="W354" s="5"/>
      <c r="X354" s="5"/>
      <c r="Y354" s="5"/>
      <c r="Z354" s="5"/>
      <c r="AA354" s="5" t="s">
        <v>62</v>
      </c>
      <c r="AC354">
        <f t="shared" si="46"/>
        <v>19</v>
      </c>
      <c r="AD354" t="str">
        <f t="shared" si="47"/>
        <v/>
      </c>
      <c r="AE354" t="str">
        <f t="shared" si="48"/>
        <v/>
      </c>
      <c r="AF354" t="str">
        <f t="shared" si="49"/>
        <v/>
      </c>
      <c r="AG354" t="str">
        <f t="shared" si="50"/>
        <v/>
      </c>
      <c r="AH354">
        <f t="shared" si="51"/>
        <v>3</v>
      </c>
      <c r="AI354" t="str">
        <f t="shared" si="52"/>
        <v/>
      </c>
      <c r="AJ354" t="str">
        <f t="shared" si="53"/>
        <v/>
      </c>
    </row>
    <row r="355" spans="1:36">
      <c r="A355" s="5">
        <v>354</v>
      </c>
      <c r="B355" s="5" t="s">
        <v>2096</v>
      </c>
      <c r="C355" s="10" t="s">
        <v>2089</v>
      </c>
      <c r="D355" s="5" t="s">
        <v>2090</v>
      </c>
      <c r="E355" s="5" t="s">
        <v>102</v>
      </c>
      <c r="F355" s="5" t="str">
        <f t="shared" si="45"/>
        <v>Communication and Advocacy-Senior Manager</v>
      </c>
      <c r="G355" s="5" t="s">
        <v>103</v>
      </c>
      <c r="H355" s="9">
        <v>44835.176585648151</v>
      </c>
      <c r="I355" s="9">
        <v>44838.176585648151</v>
      </c>
      <c r="J355" s="9" t="e">
        <f>I355+#REF!</f>
        <v>#REF!</v>
      </c>
      <c r="K355" s="9" t="e">
        <f>J355+#REF!</f>
        <v>#REF!</v>
      </c>
      <c r="L355" s="10" t="s">
        <v>41</v>
      </c>
      <c r="M355" s="11">
        <v>44851.176585648151</v>
      </c>
      <c r="N355" s="5" t="s">
        <v>48</v>
      </c>
      <c r="O355" s="5"/>
      <c r="P355" s="9">
        <v>44853.176585648151</v>
      </c>
      <c r="Q355" s="5" t="s">
        <v>48</v>
      </c>
      <c r="R355" s="5"/>
      <c r="S355" s="5"/>
      <c r="T355" s="9">
        <v>44852.176585648151</v>
      </c>
      <c r="U355" s="5"/>
      <c r="V355" s="5">
        <v>0</v>
      </c>
      <c r="W355" s="5"/>
      <c r="X355" s="5"/>
      <c r="Y355" s="5"/>
      <c r="Z355" s="5"/>
      <c r="AA355" s="5"/>
      <c r="AC355">
        <f t="shared" si="46"/>
        <v>13</v>
      </c>
      <c r="AD355" t="str">
        <f t="shared" si="47"/>
        <v/>
      </c>
      <c r="AE355">
        <f t="shared" si="48"/>
        <v>1</v>
      </c>
      <c r="AF355" t="str">
        <f t="shared" si="49"/>
        <v/>
      </c>
      <c r="AG355" t="str">
        <f t="shared" si="50"/>
        <v/>
      </c>
      <c r="AH355">
        <f t="shared" si="51"/>
        <v>3</v>
      </c>
      <c r="AI355" t="str">
        <f t="shared" si="52"/>
        <v/>
      </c>
      <c r="AJ355" t="str">
        <f t="shared" si="53"/>
        <v/>
      </c>
    </row>
    <row r="356" spans="1:36">
      <c r="A356" s="5">
        <v>355</v>
      </c>
      <c r="B356" s="5" t="s">
        <v>2210</v>
      </c>
      <c r="C356" s="10" t="s">
        <v>2089</v>
      </c>
      <c r="D356" s="5" t="s">
        <v>2211</v>
      </c>
      <c r="E356" s="5" t="s">
        <v>39</v>
      </c>
      <c r="F356" s="5" t="str">
        <f t="shared" si="45"/>
        <v>Communication and Advocacy-Analyst</v>
      </c>
      <c r="G356" s="5" t="s">
        <v>40</v>
      </c>
      <c r="H356" s="9">
        <v>44835.176585648151</v>
      </c>
      <c r="I356" s="9">
        <v>44838.176585648151</v>
      </c>
      <c r="J356" s="9" t="e">
        <f>I356+#REF!</f>
        <v>#REF!</v>
      </c>
      <c r="K356" s="9" t="e">
        <f>J356+#REF!</f>
        <v>#REF!</v>
      </c>
      <c r="L356" s="10" t="s">
        <v>41</v>
      </c>
      <c r="M356" s="11">
        <v>44850.176585648151</v>
      </c>
      <c r="N356" s="5" t="s">
        <v>42</v>
      </c>
      <c r="O356" s="5" t="s">
        <v>43</v>
      </c>
      <c r="P356" s="9"/>
      <c r="Q356" s="5"/>
      <c r="R356" s="5"/>
      <c r="S356" s="5"/>
      <c r="T356" s="9"/>
      <c r="U356" s="5"/>
      <c r="V356" s="5">
        <v>0</v>
      </c>
      <c r="W356" s="5"/>
      <c r="X356" s="5"/>
      <c r="Y356" s="5"/>
      <c r="Z356" s="5"/>
      <c r="AA356" s="5" t="s">
        <v>62</v>
      </c>
      <c r="AC356">
        <f t="shared" si="46"/>
        <v>12</v>
      </c>
      <c r="AD356" t="str">
        <f t="shared" si="47"/>
        <v/>
      </c>
      <c r="AE356" t="str">
        <f t="shared" si="48"/>
        <v/>
      </c>
      <c r="AF356" t="str">
        <f t="shared" si="49"/>
        <v/>
      </c>
      <c r="AG356" t="str">
        <f t="shared" si="50"/>
        <v/>
      </c>
      <c r="AH356">
        <f t="shared" si="51"/>
        <v>3</v>
      </c>
      <c r="AI356" t="str">
        <f t="shared" si="52"/>
        <v/>
      </c>
      <c r="AJ356" t="str">
        <f t="shared" si="53"/>
        <v/>
      </c>
    </row>
    <row r="357" spans="1:36">
      <c r="A357" s="5">
        <v>356</v>
      </c>
      <c r="B357" s="5" t="s">
        <v>779</v>
      </c>
      <c r="C357" s="10" t="s">
        <v>671</v>
      </c>
      <c r="D357" s="5" t="s">
        <v>747</v>
      </c>
      <c r="E357" s="5" t="s">
        <v>69</v>
      </c>
      <c r="F357" s="5" t="str">
        <f t="shared" si="45"/>
        <v>Operations-Head of Department</v>
      </c>
      <c r="G357" s="5" t="s">
        <v>47</v>
      </c>
      <c r="H357" s="9">
        <v>44834.176585648151</v>
      </c>
      <c r="I357" s="9">
        <v>44838.176585648151</v>
      </c>
      <c r="J357" s="9" t="e">
        <f>I357+#REF!</f>
        <v>#REF!</v>
      </c>
      <c r="K357" s="9" t="e">
        <f>J357+#REF!</f>
        <v>#REF!</v>
      </c>
      <c r="L357" s="10" t="s">
        <v>41</v>
      </c>
      <c r="M357" s="11">
        <v>44857.176585648151</v>
      </c>
      <c r="N357" s="5" t="s">
        <v>64</v>
      </c>
      <c r="O357" s="5"/>
      <c r="P357" s="9">
        <v>44864.176585648151</v>
      </c>
      <c r="Q357" s="5" t="s">
        <v>64</v>
      </c>
      <c r="R357" s="9">
        <v>44859.176585648151</v>
      </c>
      <c r="S357" s="9">
        <v>44863.176585648151</v>
      </c>
      <c r="T357" s="9">
        <v>44861.176585648151</v>
      </c>
      <c r="U357" s="9">
        <v>44866.176585648151</v>
      </c>
      <c r="V357" s="12">
        <v>1</v>
      </c>
      <c r="W357" s="9">
        <v>44868.176585648151</v>
      </c>
      <c r="X357" s="9">
        <v>44871.176585648151</v>
      </c>
      <c r="Y357" s="9">
        <v>44874.176585648151</v>
      </c>
      <c r="Z357" s="5"/>
      <c r="AA357" s="5"/>
      <c r="AB357" s="13">
        <v>44895.176585648151</v>
      </c>
      <c r="AC357">
        <f t="shared" si="46"/>
        <v>19</v>
      </c>
      <c r="AD357">
        <f t="shared" si="47"/>
        <v>25</v>
      </c>
      <c r="AE357">
        <f t="shared" si="48"/>
        <v>4</v>
      </c>
      <c r="AF357">
        <f t="shared" si="49"/>
        <v>5</v>
      </c>
      <c r="AG357">
        <f t="shared" si="50"/>
        <v>2</v>
      </c>
      <c r="AH357">
        <f t="shared" si="51"/>
        <v>4</v>
      </c>
      <c r="AI357" t="str">
        <f t="shared" si="52"/>
        <v/>
      </c>
      <c r="AJ357" t="str">
        <f t="shared" si="53"/>
        <v/>
      </c>
    </row>
    <row r="358" spans="1:36">
      <c r="A358" s="5">
        <v>357</v>
      </c>
      <c r="B358" s="5" t="s">
        <v>2150</v>
      </c>
      <c r="C358" s="10" t="s">
        <v>2089</v>
      </c>
      <c r="D358" s="5" t="s">
        <v>2114</v>
      </c>
      <c r="E358" s="5" t="s">
        <v>388</v>
      </c>
      <c r="F358" s="5" t="str">
        <f t="shared" si="45"/>
        <v>Communication and Advocacy-Extension Officer</v>
      </c>
      <c r="G358" s="5" t="s">
        <v>147</v>
      </c>
      <c r="H358" s="9">
        <v>44839.176585648151</v>
      </c>
      <c r="I358" s="9">
        <v>44842.176585648151</v>
      </c>
      <c r="J358" s="9" t="e">
        <f>I358+#REF!</f>
        <v>#REF!</v>
      </c>
      <c r="K358" s="9" t="e">
        <f>J358+#REF!</f>
        <v>#REF!</v>
      </c>
      <c r="L358" s="10" t="s">
        <v>41</v>
      </c>
      <c r="M358" s="11">
        <v>44854.176585648151</v>
      </c>
      <c r="N358" s="5" t="s">
        <v>64</v>
      </c>
      <c r="O358" s="5"/>
      <c r="P358" s="9">
        <v>44858.176585648151</v>
      </c>
      <c r="Q358" s="5" t="s">
        <v>64</v>
      </c>
      <c r="R358" s="9">
        <v>44855.176585648151</v>
      </c>
      <c r="S358" s="9">
        <v>44858.176585648151</v>
      </c>
      <c r="T358" s="9">
        <v>44856.176585648151</v>
      </c>
      <c r="U358" s="9">
        <v>44861.176585648151</v>
      </c>
      <c r="V358" s="12">
        <v>1</v>
      </c>
      <c r="W358" s="9">
        <v>44864.176585648151</v>
      </c>
      <c r="X358" s="9">
        <v>44865.176585648151</v>
      </c>
      <c r="Y358" s="9">
        <v>44867.176585648151</v>
      </c>
      <c r="Z358" s="5"/>
      <c r="AA358" s="5"/>
      <c r="AB358" s="13">
        <v>44878.176585648151</v>
      </c>
      <c r="AC358">
        <f t="shared" si="46"/>
        <v>12</v>
      </c>
      <c r="AD358">
        <f t="shared" si="47"/>
        <v>16</v>
      </c>
      <c r="AE358">
        <f t="shared" si="48"/>
        <v>2</v>
      </c>
      <c r="AF358">
        <f t="shared" si="49"/>
        <v>4</v>
      </c>
      <c r="AG358">
        <f t="shared" si="50"/>
        <v>3</v>
      </c>
      <c r="AH358">
        <f t="shared" si="51"/>
        <v>3</v>
      </c>
      <c r="AI358" t="str">
        <f t="shared" si="52"/>
        <v/>
      </c>
      <c r="AJ358" t="str">
        <f t="shared" si="53"/>
        <v/>
      </c>
    </row>
    <row r="359" spans="1:36">
      <c r="A359" s="5">
        <v>358</v>
      </c>
      <c r="B359" s="5" t="s">
        <v>2095</v>
      </c>
      <c r="C359" s="10" t="s">
        <v>2089</v>
      </c>
      <c r="D359" s="5" t="s">
        <v>2090</v>
      </c>
      <c r="E359" s="5" t="s">
        <v>102</v>
      </c>
      <c r="F359" s="5" t="str">
        <f t="shared" si="45"/>
        <v>Communication and Advocacy-Senior Manager</v>
      </c>
      <c r="G359" s="5" t="s">
        <v>103</v>
      </c>
      <c r="H359" s="9">
        <v>44837.176585648151</v>
      </c>
      <c r="I359" s="9">
        <v>44841.176585648151</v>
      </c>
      <c r="J359" s="9" t="e">
        <f>I359+#REF!</f>
        <v>#REF!</v>
      </c>
      <c r="K359" s="9" t="e">
        <f>J359+#REF!</f>
        <v>#REF!</v>
      </c>
      <c r="L359" s="10" t="s">
        <v>41</v>
      </c>
      <c r="M359" s="11">
        <v>44850.176585648151</v>
      </c>
      <c r="N359" s="5" t="s">
        <v>42</v>
      </c>
      <c r="O359" s="5" t="s">
        <v>58</v>
      </c>
      <c r="P359" s="9"/>
      <c r="Q359" s="5"/>
      <c r="R359" s="5"/>
      <c r="S359" s="5"/>
      <c r="T359" s="9">
        <v>44854.176585648151</v>
      </c>
      <c r="U359" s="5"/>
      <c r="V359" s="5">
        <v>0</v>
      </c>
      <c r="W359" s="5"/>
      <c r="X359" s="5"/>
      <c r="Y359" s="5"/>
      <c r="Z359" s="5"/>
      <c r="AA359" s="5" t="s">
        <v>62</v>
      </c>
      <c r="AC359">
        <f t="shared" si="46"/>
        <v>9</v>
      </c>
      <c r="AD359" t="str">
        <f t="shared" si="47"/>
        <v/>
      </c>
      <c r="AE359">
        <f t="shared" si="48"/>
        <v>4</v>
      </c>
      <c r="AF359" t="str">
        <f t="shared" si="49"/>
        <v/>
      </c>
      <c r="AG359" t="str">
        <f t="shared" si="50"/>
        <v/>
      </c>
      <c r="AH359">
        <f t="shared" si="51"/>
        <v>4</v>
      </c>
      <c r="AI359" t="str">
        <f t="shared" si="52"/>
        <v/>
      </c>
      <c r="AJ359" t="str">
        <f t="shared" si="53"/>
        <v/>
      </c>
    </row>
    <row r="360" spans="1:36">
      <c r="A360" s="5">
        <v>359</v>
      </c>
      <c r="B360" s="5" t="s">
        <v>706</v>
      </c>
      <c r="C360" s="10" t="s">
        <v>671</v>
      </c>
      <c r="D360" s="5" t="s">
        <v>672</v>
      </c>
      <c r="E360" s="5" t="s">
        <v>597</v>
      </c>
      <c r="F360" s="5" t="str">
        <f t="shared" si="45"/>
        <v>Operations-Business Partner</v>
      </c>
      <c r="G360" s="5" t="s">
        <v>40</v>
      </c>
      <c r="H360" s="9">
        <v>44841.176585648151</v>
      </c>
      <c r="I360" s="9">
        <v>44842.176585648151</v>
      </c>
      <c r="J360" s="9" t="e">
        <f>I360+#REF!</f>
        <v>#REF!</v>
      </c>
      <c r="K360" s="9" t="e">
        <f>J360+#REF!</f>
        <v>#REF!</v>
      </c>
      <c r="L360" s="10" t="s">
        <v>41</v>
      </c>
      <c r="M360" s="11">
        <v>44852.176585648151</v>
      </c>
      <c r="N360" s="5" t="s">
        <v>48</v>
      </c>
      <c r="O360" s="5"/>
      <c r="P360" s="9">
        <v>44854.176585648151</v>
      </c>
      <c r="Q360" s="5" t="s">
        <v>48</v>
      </c>
      <c r="R360" s="5"/>
      <c r="S360" s="5"/>
      <c r="T360" s="9">
        <v>44853.176585648151</v>
      </c>
      <c r="U360" s="5"/>
      <c r="V360" s="5">
        <v>0</v>
      </c>
      <c r="W360" s="5"/>
      <c r="X360" s="5"/>
      <c r="Y360" s="5"/>
      <c r="Z360" s="5"/>
      <c r="AA360" s="5"/>
      <c r="AC360">
        <f t="shared" si="46"/>
        <v>10</v>
      </c>
      <c r="AD360" t="str">
        <f t="shared" si="47"/>
        <v/>
      </c>
      <c r="AE360">
        <f t="shared" si="48"/>
        <v>1</v>
      </c>
      <c r="AF360" t="str">
        <f t="shared" si="49"/>
        <v/>
      </c>
      <c r="AG360" t="str">
        <f t="shared" si="50"/>
        <v/>
      </c>
      <c r="AH360">
        <f t="shared" si="51"/>
        <v>1</v>
      </c>
      <c r="AI360" t="str">
        <f t="shared" si="52"/>
        <v/>
      </c>
      <c r="AJ360" t="str">
        <f t="shared" si="53"/>
        <v/>
      </c>
    </row>
    <row r="361" spans="1:36">
      <c r="A361" s="5">
        <v>360</v>
      </c>
      <c r="B361" s="5" t="s">
        <v>2094</v>
      </c>
      <c r="C361" s="10" t="s">
        <v>2089</v>
      </c>
      <c r="D361" s="5" t="s">
        <v>2090</v>
      </c>
      <c r="E361" s="5" t="s">
        <v>102</v>
      </c>
      <c r="F361" s="5" t="str">
        <f t="shared" si="45"/>
        <v>Communication and Advocacy-Senior Manager</v>
      </c>
      <c r="G361" s="5" t="s">
        <v>103</v>
      </c>
      <c r="H361" s="9">
        <v>44842.176585648151</v>
      </c>
      <c r="I361" s="9">
        <v>44843.176585648151</v>
      </c>
      <c r="J361" s="9" t="e">
        <f>I361+#REF!</f>
        <v>#REF!</v>
      </c>
      <c r="K361" s="9" t="e">
        <f>J361+#REF!</f>
        <v>#REF!</v>
      </c>
      <c r="L361" s="10" t="s">
        <v>41</v>
      </c>
      <c r="M361" s="11">
        <v>44852.176585648151</v>
      </c>
      <c r="N361" s="5" t="s">
        <v>42</v>
      </c>
      <c r="O361" s="5" t="s">
        <v>58</v>
      </c>
      <c r="P361" s="9"/>
      <c r="Q361" s="5"/>
      <c r="R361" s="5"/>
      <c r="S361" s="5"/>
      <c r="T361" s="9">
        <v>44854.176585648151</v>
      </c>
      <c r="U361" s="5"/>
      <c r="V361" s="5">
        <v>0</v>
      </c>
      <c r="W361" s="5"/>
      <c r="X361" s="5"/>
      <c r="Y361" s="5"/>
      <c r="Z361" s="5"/>
      <c r="AA361" s="5" t="s">
        <v>62</v>
      </c>
      <c r="AC361">
        <f t="shared" si="46"/>
        <v>9</v>
      </c>
      <c r="AD361" t="str">
        <f t="shared" si="47"/>
        <v/>
      </c>
      <c r="AE361">
        <f t="shared" si="48"/>
        <v>2</v>
      </c>
      <c r="AF361" t="str">
        <f t="shared" si="49"/>
        <v/>
      </c>
      <c r="AG361" t="str">
        <f t="shared" si="50"/>
        <v/>
      </c>
      <c r="AH361">
        <f t="shared" si="51"/>
        <v>1</v>
      </c>
      <c r="AI361" t="str">
        <f t="shared" si="52"/>
        <v/>
      </c>
      <c r="AJ361" t="str">
        <f t="shared" si="53"/>
        <v/>
      </c>
    </row>
    <row r="362" spans="1:36">
      <c r="A362" s="5">
        <v>361</v>
      </c>
      <c r="B362" s="5" t="s">
        <v>705</v>
      </c>
      <c r="C362" s="10" t="s">
        <v>671</v>
      </c>
      <c r="D362" s="5" t="s">
        <v>672</v>
      </c>
      <c r="E362" s="5" t="s">
        <v>597</v>
      </c>
      <c r="F362" s="5" t="str">
        <f t="shared" si="45"/>
        <v>Operations-Business Partner</v>
      </c>
      <c r="G362" s="5" t="s">
        <v>40</v>
      </c>
      <c r="H362" s="9">
        <v>44682.751585648148</v>
      </c>
      <c r="I362" s="9">
        <v>44683.751585648148</v>
      </c>
      <c r="J362" s="9" t="e">
        <f>I362+#REF!</f>
        <v>#REF!</v>
      </c>
      <c r="K362" s="9" t="e">
        <f>J362+#REF!</f>
        <v>#REF!</v>
      </c>
      <c r="L362" s="10" t="s">
        <v>52</v>
      </c>
      <c r="M362" s="11"/>
      <c r="N362" s="5"/>
      <c r="O362" s="5"/>
      <c r="P362" s="9"/>
      <c r="Q362" s="5"/>
      <c r="R362" s="5"/>
      <c r="S362" s="5"/>
      <c r="T362" s="9"/>
      <c r="U362" s="5"/>
      <c r="V362" s="5">
        <v>0</v>
      </c>
      <c r="W362" s="5"/>
      <c r="X362" s="5"/>
      <c r="Y362" s="5"/>
      <c r="Z362" s="5"/>
      <c r="AA362" s="5"/>
      <c r="AC362" t="str">
        <f t="shared" si="46"/>
        <v/>
      </c>
      <c r="AD362" t="str">
        <f t="shared" si="47"/>
        <v/>
      </c>
      <c r="AE362" t="str">
        <f t="shared" si="48"/>
        <v/>
      </c>
      <c r="AF362" t="str">
        <f t="shared" si="49"/>
        <v/>
      </c>
      <c r="AG362" t="str">
        <f t="shared" si="50"/>
        <v/>
      </c>
      <c r="AH362">
        <f t="shared" si="51"/>
        <v>1</v>
      </c>
      <c r="AI362" t="str">
        <f t="shared" si="52"/>
        <v/>
      </c>
      <c r="AJ362" t="str">
        <f t="shared" si="53"/>
        <v/>
      </c>
    </row>
    <row r="363" spans="1:36">
      <c r="A363" s="5">
        <v>362</v>
      </c>
      <c r="B363" s="5" t="s">
        <v>778</v>
      </c>
      <c r="C363" s="10" t="s">
        <v>671</v>
      </c>
      <c r="D363" s="5" t="s">
        <v>747</v>
      </c>
      <c r="E363" s="5" t="s">
        <v>69</v>
      </c>
      <c r="F363" s="5" t="str">
        <f t="shared" si="45"/>
        <v>Operations-Head of Department</v>
      </c>
      <c r="G363" s="5" t="s">
        <v>47</v>
      </c>
      <c r="H363" s="9">
        <v>44681.751585648148</v>
      </c>
      <c r="I363" s="9">
        <v>44685.751585648148</v>
      </c>
      <c r="J363" s="9" t="e">
        <f>I363+#REF!</f>
        <v>#REF!</v>
      </c>
      <c r="K363" s="9" t="e">
        <f>J363+#REF!</f>
        <v>#REF!</v>
      </c>
      <c r="L363" s="10" t="s">
        <v>41</v>
      </c>
      <c r="M363" s="11">
        <v>44695.751585648148</v>
      </c>
      <c r="N363" s="5" t="s">
        <v>48</v>
      </c>
      <c r="O363" s="5"/>
      <c r="P363" s="9">
        <v>44702.751585648148</v>
      </c>
      <c r="Q363" s="5" t="s">
        <v>48</v>
      </c>
      <c r="R363" s="5"/>
      <c r="S363" s="5"/>
      <c r="T363" s="9">
        <v>44699.751585648148</v>
      </c>
      <c r="U363" s="5"/>
      <c r="V363" s="5">
        <v>0</v>
      </c>
      <c r="W363" s="5"/>
      <c r="X363" s="5"/>
      <c r="Y363" s="5"/>
      <c r="Z363" s="5"/>
      <c r="AA363" s="5"/>
      <c r="AC363">
        <f t="shared" si="46"/>
        <v>10</v>
      </c>
      <c r="AD363" t="str">
        <f t="shared" si="47"/>
        <v/>
      </c>
      <c r="AE363">
        <f t="shared" si="48"/>
        <v>4</v>
      </c>
      <c r="AF363" t="str">
        <f t="shared" si="49"/>
        <v/>
      </c>
      <c r="AG363" t="str">
        <f t="shared" si="50"/>
        <v/>
      </c>
      <c r="AH363">
        <f t="shared" si="51"/>
        <v>4</v>
      </c>
      <c r="AI363" t="str">
        <f t="shared" si="52"/>
        <v/>
      </c>
      <c r="AJ363" t="str">
        <f t="shared" si="53"/>
        <v/>
      </c>
    </row>
    <row r="364" spans="1:36">
      <c r="A364" s="5">
        <v>363</v>
      </c>
      <c r="B364" s="5" t="s">
        <v>2149</v>
      </c>
      <c r="C364" s="10" t="s">
        <v>2089</v>
      </c>
      <c r="D364" s="5" t="s">
        <v>2114</v>
      </c>
      <c r="E364" s="5" t="s">
        <v>388</v>
      </c>
      <c r="F364" s="5" t="str">
        <f t="shared" si="45"/>
        <v>Communication and Advocacy-Extension Officer</v>
      </c>
      <c r="G364" s="5" t="s">
        <v>147</v>
      </c>
      <c r="H364" s="9">
        <v>44682.751585648148</v>
      </c>
      <c r="I364" s="9">
        <v>44684.751585648148</v>
      </c>
      <c r="J364" s="9" t="e">
        <f>I364+#REF!</f>
        <v>#REF!</v>
      </c>
      <c r="K364" s="9" t="e">
        <f>J364+#REF!</f>
        <v>#REF!</v>
      </c>
      <c r="L364" s="10" t="s">
        <v>41</v>
      </c>
      <c r="M364" s="11">
        <v>44694.751585648148</v>
      </c>
      <c r="N364" s="5" t="s">
        <v>48</v>
      </c>
      <c r="O364" s="5"/>
      <c r="P364" s="9">
        <v>44699.751585648148</v>
      </c>
      <c r="Q364" s="5" t="s">
        <v>48</v>
      </c>
      <c r="R364" s="5"/>
      <c r="S364" s="5"/>
      <c r="T364" s="9">
        <v>44696.751585648148</v>
      </c>
      <c r="U364" s="5"/>
      <c r="V364" s="5">
        <v>0</v>
      </c>
      <c r="W364" s="5"/>
      <c r="X364" s="5"/>
      <c r="Y364" s="5"/>
      <c r="Z364" s="5"/>
      <c r="AA364" s="5"/>
      <c r="AC364">
        <f t="shared" si="46"/>
        <v>10</v>
      </c>
      <c r="AD364" t="str">
        <f t="shared" si="47"/>
        <v/>
      </c>
      <c r="AE364">
        <f t="shared" si="48"/>
        <v>2</v>
      </c>
      <c r="AF364" t="str">
        <f t="shared" si="49"/>
        <v/>
      </c>
      <c r="AG364" t="str">
        <f t="shared" si="50"/>
        <v/>
      </c>
      <c r="AH364">
        <f t="shared" si="51"/>
        <v>2</v>
      </c>
      <c r="AI364" t="str">
        <f t="shared" si="52"/>
        <v/>
      </c>
      <c r="AJ364" t="str">
        <f t="shared" si="53"/>
        <v/>
      </c>
    </row>
    <row r="365" spans="1:36">
      <c r="A365" s="5">
        <v>364</v>
      </c>
      <c r="B365" s="5" t="s">
        <v>2093</v>
      </c>
      <c r="C365" s="10" t="s">
        <v>2089</v>
      </c>
      <c r="D365" s="5" t="s">
        <v>2090</v>
      </c>
      <c r="E365" s="5" t="s">
        <v>102</v>
      </c>
      <c r="F365" s="5" t="str">
        <f t="shared" si="45"/>
        <v>Communication and Advocacy-Senior Manager</v>
      </c>
      <c r="G365" s="5" t="s">
        <v>103</v>
      </c>
      <c r="H365" s="9">
        <v>44682.751585648148</v>
      </c>
      <c r="I365" s="9">
        <v>44685.751585648148</v>
      </c>
      <c r="J365" s="9" t="e">
        <f>I365+#REF!</f>
        <v>#REF!</v>
      </c>
      <c r="K365" s="9" t="e">
        <f>J365+#REF!</f>
        <v>#REF!</v>
      </c>
      <c r="L365" s="10" t="s">
        <v>41</v>
      </c>
      <c r="M365" s="11">
        <v>44702.751585648148</v>
      </c>
      <c r="N365" s="5" t="s">
        <v>64</v>
      </c>
      <c r="O365" s="5"/>
      <c r="P365" s="9">
        <v>44706.751585648148</v>
      </c>
      <c r="Q365" s="5" t="s">
        <v>64</v>
      </c>
      <c r="R365" s="9">
        <v>44704.751585648148</v>
      </c>
      <c r="S365" s="9">
        <v>44708.751585648148</v>
      </c>
      <c r="T365" s="9">
        <v>44703.751585648148</v>
      </c>
      <c r="U365" s="9">
        <v>44705.751585648148</v>
      </c>
      <c r="V365" s="12">
        <v>1</v>
      </c>
      <c r="W365" s="9">
        <v>44708.751585648148</v>
      </c>
      <c r="X365" s="9">
        <v>44711.751585648148</v>
      </c>
      <c r="Y365" s="9">
        <v>44712.751585648148</v>
      </c>
      <c r="Z365" s="5"/>
      <c r="AA365" s="5"/>
      <c r="AB365" s="13">
        <v>44732.751585648148</v>
      </c>
      <c r="AC365">
        <f t="shared" si="46"/>
        <v>17</v>
      </c>
      <c r="AD365">
        <f t="shared" si="47"/>
        <v>23</v>
      </c>
      <c r="AE365">
        <f t="shared" si="48"/>
        <v>1</v>
      </c>
      <c r="AF365">
        <f t="shared" si="49"/>
        <v>6</v>
      </c>
      <c r="AG365">
        <f t="shared" si="50"/>
        <v>3</v>
      </c>
      <c r="AH365">
        <f t="shared" si="51"/>
        <v>3</v>
      </c>
      <c r="AI365" t="str">
        <f t="shared" si="52"/>
        <v/>
      </c>
      <c r="AJ365" t="str">
        <f t="shared" si="53"/>
        <v/>
      </c>
    </row>
    <row r="366" spans="1:36">
      <c r="A366" s="5">
        <v>365</v>
      </c>
      <c r="B366" s="5" t="s">
        <v>2092</v>
      </c>
      <c r="C366" s="10" t="s">
        <v>2089</v>
      </c>
      <c r="D366" s="5" t="s">
        <v>2090</v>
      </c>
      <c r="E366" s="5" t="s">
        <v>102</v>
      </c>
      <c r="F366" s="5" t="str">
        <f t="shared" si="45"/>
        <v>Communication and Advocacy-Senior Manager</v>
      </c>
      <c r="G366" s="5" t="s">
        <v>103</v>
      </c>
      <c r="H366" s="9">
        <v>44679.751585648148</v>
      </c>
      <c r="I366" s="9">
        <v>44683.751585648148</v>
      </c>
      <c r="J366" s="9" t="e">
        <f>I366+#REF!</f>
        <v>#REF!</v>
      </c>
      <c r="K366" s="9" t="e">
        <f>J366+#REF!</f>
        <v>#REF!</v>
      </c>
      <c r="L366" s="10" t="s">
        <v>41</v>
      </c>
      <c r="M366" s="11">
        <v>44696.751585648148</v>
      </c>
      <c r="N366" s="5" t="s">
        <v>48</v>
      </c>
      <c r="O366" s="5"/>
      <c r="P366" s="9">
        <v>44702.751585648148</v>
      </c>
      <c r="Q366" s="5" t="s">
        <v>48</v>
      </c>
      <c r="R366" s="5"/>
      <c r="S366" s="5"/>
      <c r="T366" s="9">
        <v>44698.751585648148</v>
      </c>
      <c r="U366" s="5"/>
      <c r="V366" s="5">
        <v>0</v>
      </c>
      <c r="W366" s="5"/>
      <c r="X366" s="5"/>
      <c r="Y366" s="5"/>
      <c r="Z366" s="5"/>
      <c r="AA366" s="5"/>
      <c r="AC366">
        <f t="shared" si="46"/>
        <v>13</v>
      </c>
      <c r="AD366" t="str">
        <f t="shared" si="47"/>
        <v/>
      </c>
      <c r="AE366">
        <f t="shared" si="48"/>
        <v>2</v>
      </c>
      <c r="AF366" t="str">
        <f t="shared" si="49"/>
        <v/>
      </c>
      <c r="AG366" t="str">
        <f t="shared" si="50"/>
        <v/>
      </c>
      <c r="AH366">
        <f t="shared" si="51"/>
        <v>4</v>
      </c>
      <c r="AI366" t="str">
        <f t="shared" si="52"/>
        <v/>
      </c>
      <c r="AJ366" t="str">
        <f t="shared" si="53"/>
        <v/>
      </c>
    </row>
    <row r="367" spans="1:36">
      <c r="A367" s="5">
        <v>366</v>
      </c>
      <c r="B367" s="5" t="s">
        <v>2148</v>
      </c>
      <c r="C367" s="10" t="s">
        <v>2089</v>
      </c>
      <c r="D367" s="5" t="s">
        <v>2114</v>
      </c>
      <c r="E367" s="5" t="s">
        <v>388</v>
      </c>
      <c r="F367" s="5" t="str">
        <f t="shared" si="45"/>
        <v>Communication and Advocacy-Extension Officer</v>
      </c>
      <c r="G367" s="5" t="s">
        <v>147</v>
      </c>
      <c r="H367" s="9">
        <v>44685.751585648148</v>
      </c>
      <c r="I367" s="9">
        <v>44688.751585648148</v>
      </c>
      <c r="J367" s="9" t="e">
        <f>I367+#REF!</f>
        <v>#REF!</v>
      </c>
      <c r="K367" s="9" t="e">
        <f>J367+#REF!</f>
        <v>#REF!</v>
      </c>
      <c r="L367" s="10" t="s">
        <v>41</v>
      </c>
      <c r="M367" s="11">
        <v>44696.751585648148</v>
      </c>
      <c r="N367" s="5" t="s">
        <v>48</v>
      </c>
      <c r="O367" s="5"/>
      <c r="P367" s="9">
        <v>44700.751585648148</v>
      </c>
      <c r="Q367" s="5" t="s">
        <v>48</v>
      </c>
      <c r="R367" s="5"/>
      <c r="S367" s="5"/>
      <c r="T367" s="9">
        <v>44699.751585648148</v>
      </c>
      <c r="U367" s="5"/>
      <c r="V367" s="5">
        <v>0</v>
      </c>
      <c r="W367" s="5"/>
      <c r="X367" s="5"/>
      <c r="Y367" s="5"/>
      <c r="Z367" s="5"/>
      <c r="AA367" s="5"/>
      <c r="AC367">
        <f t="shared" si="46"/>
        <v>8</v>
      </c>
      <c r="AD367" t="str">
        <f t="shared" si="47"/>
        <v/>
      </c>
      <c r="AE367">
        <f t="shared" si="48"/>
        <v>3</v>
      </c>
      <c r="AF367" t="str">
        <f t="shared" si="49"/>
        <v/>
      </c>
      <c r="AG367" t="str">
        <f t="shared" si="50"/>
        <v/>
      </c>
      <c r="AH367">
        <f t="shared" si="51"/>
        <v>3</v>
      </c>
      <c r="AI367" t="str">
        <f t="shared" si="52"/>
        <v/>
      </c>
      <c r="AJ367" t="str">
        <f t="shared" si="53"/>
        <v/>
      </c>
    </row>
    <row r="368" spans="1:36">
      <c r="A368" s="5">
        <v>367</v>
      </c>
      <c r="B368" s="5" t="s">
        <v>777</v>
      </c>
      <c r="C368" s="10" t="s">
        <v>671</v>
      </c>
      <c r="D368" s="5" t="s">
        <v>747</v>
      </c>
      <c r="E368" s="5" t="s">
        <v>69</v>
      </c>
      <c r="F368" s="5" t="str">
        <f t="shared" si="45"/>
        <v>Operations-Head of Department</v>
      </c>
      <c r="G368" s="5" t="s">
        <v>47</v>
      </c>
      <c r="H368" s="9">
        <v>44686.751585648148</v>
      </c>
      <c r="I368" s="9">
        <v>44688.751585648148</v>
      </c>
      <c r="J368" s="9" t="e">
        <f>I368+#REF!</f>
        <v>#REF!</v>
      </c>
      <c r="K368" s="9" t="e">
        <f>J368+#REF!</f>
        <v>#REF!</v>
      </c>
      <c r="L368" s="10" t="s">
        <v>41</v>
      </c>
      <c r="M368" s="11">
        <v>44703.751585648148</v>
      </c>
      <c r="N368" s="5" t="s">
        <v>48</v>
      </c>
      <c r="O368" s="5"/>
      <c r="P368" s="9">
        <v>44708.751585648148</v>
      </c>
      <c r="Q368" s="5" t="s">
        <v>48</v>
      </c>
      <c r="R368" s="5"/>
      <c r="S368" s="5"/>
      <c r="T368" s="9">
        <v>44704.751585648148</v>
      </c>
      <c r="U368" s="5"/>
      <c r="V368" s="5">
        <v>0</v>
      </c>
      <c r="W368" s="5"/>
      <c r="X368" s="5"/>
      <c r="Y368" s="5"/>
      <c r="Z368" s="5"/>
      <c r="AA368" s="5"/>
      <c r="AC368">
        <f t="shared" si="46"/>
        <v>15</v>
      </c>
      <c r="AD368" t="str">
        <f t="shared" si="47"/>
        <v/>
      </c>
      <c r="AE368">
        <f t="shared" si="48"/>
        <v>1</v>
      </c>
      <c r="AF368" t="str">
        <f t="shared" si="49"/>
        <v/>
      </c>
      <c r="AG368" t="str">
        <f t="shared" si="50"/>
        <v/>
      </c>
      <c r="AH368">
        <f t="shared" si="51"/>
        <v>2</v>
      </c>
      <c r="AI368" t="str">
        <f t="shared" si="52"/>
        <v/>
      </c>
      <c r="AJ368" t="str">
        <f t="shared" si="53"/>
        <v/>
      </c>
    </row>
    <row r="369" spans="1:36">
      <c r="A369" s="5">
        <v>368</v>
      </c>
      <c r="B369" s="5" t="s">
        <v>776</v>
      </c>
      <c r="C369" s="10" t="s">
        <v>671</v>
      </c>
      <c r="D369" s="5" t="s">
        <v>747</v>
      </c>
      <c r="E369" s="5" t="s">
        <v>69</v>
      </c>
      <c r="F369" s="5" t="str">
        <f t="shared" si="45"/>
        <v>Operations-Head of Department</v>
      </c>
      <c r="G369" s="5" t="s">
        <v>47</v>
      </c>
      <c r="H369" s="9">
        <v>44687.751585648148</v>
      </c>
      <c r="I369" s="9">
        <v>44688.751585648148</v>
      </c>
      <c r="J369" s="9" t="e">
        <f>I369+#REF!</f>
        <v>#REF!</v>
      </c>
      <c r="K369" s="9" t="e">
        <f>J369+#REF!</f>
        <v>#REF!</v>
      </c>
      <c r="L369" s="10" t="s">
        <v>41</v>
      </c>
      <c r="M369" s="11">
        <v>44698.751585648148</v>
      </c>
      <c r="N369" s="5" t="s">
        <v>42</v>
      </c>
      <c r="O369" s="5" t="s">
        <v>73</v>
      </c>
      <c r="P369" s="9"/>
      <c r="Q369" s="5"/>
      <c r="R369" s="5"/>
      <c r="S369" s="5"/>
      <c r="T369" s="9"/>
      <c r="U369" s="5"/>
      <c r="V369" s="5">
        <v>0</v>
      </c>
      <c r="W369" s="5"/>
      <c r="X369" s="5"/>
      <c r="Y369" s="5"/>
      <c r="Z369" s="5"/>
      <c r="AA369" s="5" t="s">
        <v>44</v>
      </c>
      <c r="AC369">
        <f t="shared" si="46"/>
        <v>10</v>
      </c>
      <c r="AD369" t="str">
        <f t="shared" si="47"/>
        <v/>
      </c>
      <c r="AE369" t="str">
        <f t="shared" si="48"/>
        <v/>
      </c>
      <c r="AF369" t="str">
        <f t="shared" si="49"/>
        <v/>
      </c>
      <c r="AG369" t="str">
        <f t="shared" si="50"/>
        <v/>
      </c>
      <c r="AH369">
        <f t="shared" si="51"/>
        <v>1</v>
      </c>
      <c r="AI369" t="str">
        <f t="shared" si="52"/>
        <v/>
      </c>
      <c r="AJ369" t="str">
        <f t="shared" si="53"/>
        <v/>
      </c>
    </row>
    <row r="370" spans="1:36">
      <c r="A370" s="5">
        <v>369</v>
      </c>
      <c r="B370" s="5" t="s">
        <v>2147</v>
      </c>
      <c r="C370" s="10" t="s">
        <v>2089</v>
      </c>
      <c r="D370" s="5" t="s">
        <v>2114</v>
      </c>
      <c r="E370" s="5" t="s">
        <v>388</v>
      </c>
      <c r="F370" s="5" t="str">
        <f t="shared" si="45"/>
        <v>Communication and Advocacy-Extension Officer</v>
      </c>
      <c r="G370" s="5" t="s">
        <v>147</v>
      </c>
      <c r="H370" s="9">
        <v>44685.751585648148</v>
      </c>
      <c r="I370" s="9">
        <v>44687.751585648148</v>
      </c>
      <c r="J370" s="9" t="e">
        <f>I370+#REF!</f>
        <v>#REF!</v>
      </c>
      <c r="K370" s="9" t="e">
        <f>J370+#REF!</f>
        <v>#REF!</v>
      </c>
      <c r="L370" s="10" t="s">
        <v>41</v>
      </c>
      <c r="M370" s="11">
        <v>44706.751585648148</v>
      </c>
      <c r="N370" s="5" t="s">
        <v>42</v>
      </c>
      <c r="O370" s="5" t="s">
        <v>43</v>
      </c>
      <c r="P370" s="9"/>
      <c r="Q370" s="5"/>
      <c r="R370" s="5"/>
      <c r="S370" s="5"/>
      <c r="T370" s="9"/>
      <c r="U370" s="5"/>
      <c r="V370" s="5">
        <v>0</v>
      </c>
      <c r="W370" s="5"/>
      <c r="X370" s="5"/>
      <c r="Y370" s="5"/>
      <c r="Z370" s="5"/>
      <c r="AA370" s="5" t="s">
        <v>62</v>
      </c>
      <c r="AC370">
        <f t="shared" si="46"/>
        <v>19</v>
      </c>
      <c r="AD370" t="str">
        <f t="shared" si="47"/>
        <v/>
      </c>
      <c r="AE370" t="str">
        <f t="shared" si="48"/>
        <v/>
      </c>
      <c r="AF370" t="str">
        <f t="shared" si="49"/>
        <v/>
      </c>
      <c r="AG370" t="str">
        <f t="shared" si="50"/>
        <v/>
      </c>
      <c r="AH370">
        <f t="shared" si="51"/>
        <v>2</v>
      </c>
      <c r="AI370" t="str">
        <f t="shared" si="52"/>
        <v/>
      </c>
      <c r="AJ370" t="str">
        <f t="shared" si="53"/>
        <v/>
      </c>
    </row>
    <row r="371" spans="1:36">
      <c r="A371" s="5">
        <v>370</v>
      </c>
      <c r="B371" s="5" t="s">
        <v>704</v>
      </c>
      <c r="C371" s="10" t="s">
        <v>671</v>
      </c>
      <c r="D371" s="5" t="s">
        <v>672</v>
      </c>
      <c r="E371" s="5" t="s">
        <v>597</v>
      </c>
      <c r="F371" s="5" t="str">
        <f t="shared" si="45"/>
        <v>Operations-Business Partner</v>
      </c>
      <c r="G371" s="5" t="s">
        <v>40</v>
      </c>
      <c r="H371" s="9">
        <v>44684.751585648148</v>
      </c>
      <c r="I371" s="9">
        <v>44686.751585648148</v>
      </c>
      <c r="J371" s="9" t="e">
        <f>I371+#REF!</f>
        <v>#REF!</v>
      </c>
      <c r="K371" s="9" t="e">
        <f>J371+#REF!</f>
        <v>#REF!</v>
      </c>
      <c r="L371" s="10" t="s">
        <v>41</v>
      </c>
      <c r="M371" s="11">
        <v>44693.751585648148</v>
      </c>
      <c r="N371" s="5" t="s">
        <v>42</v>
      </c>
      <c r="O371" s="5" t="s">
        <v>58</v>
      </c>
      <c r="P371" s="9"/>
      <c r="Q371" s="5"/>
      <c r="R371" s="5"/>
      <c r="S371" s="5"/>
      <c r="T371" s="9">
        <v>44696.751585648148</v>
      </c>
      <c r="U371" s="5"/>
      <c r="V371" s="5">
        <v>0</v>
      </c>
      <c r="W371" s="5"/>
      <c r="X371" s="5"/>
      <c r="Y371" s="5"/>
      <c r="Z371" s="5"/>
      <c r="AA371" s="5" t="s">
        <v>62</v>
      </c>
      <c r="AC371">
        <f t="shared" si="46"/>
        <v>7</v>
      </c>
      <c r="AD371" t="str">
        <f t="shared" si="47"/>
        <v/>
      </c>
      <c r="AE371">
        <f t="shared" si="48"/>
        <v>3</v>
      </c>
      <c r="AF371" t="str">
        <f t="shared" si="49"/>
        <v/>
      </c>
      <c r="AG371" t="str">
        <f t="shared" si="50"/>
        <v/>
      </c>
      <c r="AH371">
        <f t="shared" si="51"/>
        <v>2</v>
      </c>
      <c r="AI371" t="str">
        <f t="shared" si="52"/>
        <v/>
      </c>
      <c r="AJ371" t="str">
        <f t="shared" si="53"/>
        <v/>
      </c>
    </row>
    <row r="372" spans="1:36">
      <c r="A372" s="5">
        <v>371</v>
      </c>
      <c r="B372" s="5" t="s">
        <v>380</v>
      </c>
      <c r="C372" s="5" t="s">
        <v>100</v>
      </c>
      <c r="D372" s="5" t="s">
        <v>268</v>
      </c>
      <c r="E372" s="5" t="s">
        <v>291</v>
      </c>
      <c r="F372" s="5" t="str">
        <f t="shared" si="45"/>
        <v>Program Office-Cordination Manager</v>
      </c>
      <c r="G372" s="5" t="s">
        <v>270</v>
      </c>
      <c r="H372" s="9">
        <v>44663.356712962966</v>
      </c>
      <c r="I372" s="9">
        <v>44665.356712962966</v>
      </c>
      <c r="J372" s="9" t="e">
        <f>I372+#REF!</f>
        <v>#REF!</v>
      </c>
      <c r="K372" s="9" t="e">
        <f>J372+#REF!</f>
        <v>#REF!</v>
      </c>
      <c r="L372" s="10" t="s">
        <v>41</v>
      </c>
      <c r="M372" s="11">
        <v>44685.356712962966</v>
      </c>
      <c r="N372" s="5" t="s">
        <v>48</v>
      </c>
      <c r="O372" s="5"/>
      <c r="P372" s="9">
        <v>44690.356712962966</v>
      </c>
      <c r="Q372" s="5" t="s">
        <v>48</v>
      </c>
      <c r="R372" s="5"/>
      <c r="S372" s="5"/>
      <c r="T372" s="9">
        <v>44689.356712962966</v>
      </c>
      <c r="U372" s="5"/>
      <c r="V372" s="5">
        <v>0</v>
      </c>
      <c r="W372" s="5"/>
      <c r="X372" s="5"/>
      <c r="Y372" s="5"/>
      <c r="Z372" s="5"/>
      <c r="AA372" s="5"/>
      <c r="AC372">
        <f t="shared" si="46"/>
        <v>20</v>
      </c>
      <c r="AD372" t="str">
        <f t="shared" si="47"/>
        <v/>
      </c>
      <c r="AE372">
        <f t="shared" si="48"/>
        <v>4</v>
      </c>
      <c r="AF372" t="str">
        <f t="shared" si="49"/>
        <v/>
      </c>
      <c r="AG372" t="str">
        <f t="shared" si="50"/>
        <v/>
      </c>
      <c r="AH372">
        <f t="shared" si="51"/>
        <v>2</v>
      </c>
      <c r="AI372" t="str">
        <f t="shared" si="52"/>
        <v/>
      </c>
      <c r="AJ372" t="str">
        <f t="shared" si="53"/>
        <v/>
      </c>
    </row>
    <row r="373" spans="1:36">
      <c r="A373" s="5">
        <v>372</v>
      </c>
      <c r="B373" s="5" t="s">
        <v>493</v>
      </c>
      <c r="C373" s="5" t="s">
        <v>100</v>
      </c>
      <c r="D373" s="5" t="s">
        <v>387</v>
      </c>
      <c r="E373" s="5" t="s">
        <v>473</v>
      </c>
      <c r="F373" s="5" t="str">
        <f t="shared" si="45"/>
        <v>Program Office-Officer</v>
      </c>
      <c r="G373" s="5" t="s">
        <v>40</v>
      </c>
      <c r="H373" s="9">
        <v>44663.356712962966</v>
      </c>
      <c r="I373" s="9">
        <v>44667.356712962966</v>
      </c>
      <c r="J373" s="9" t="e">
        <f>I373+#REF!</f>
        <v>#REF!</v>
      </c>
      <c r="K373" s="9" t="e">
        <f>J373+#REF!</f>
        <v>#REF!</v>
      </c>
      <c r="L373" s="10" t="s">
        <v>41</v>
      </c>
      <c r="M373" s="11">
        <v>44681.356712962966</v>
      </c>
      <c r="N373" s="5" t="s">
        <v>42</v>
      </c>
      <c r="O373" s="5" t="s">
        <v>43</v>
      </c>
      <c r="P373" s="9"/>
      <c r="Q373" s="5"/>
      <c r="R373" s="5"/>
      <c r="S373" s="5"/>
      <c r="T373" s="9"/>
      <c r="U373" s="5"/>
      <c r="V373" s="5">
        <v>0</v>
      </c>
      <c r="W373" s="5"/>
      <c r="X373" s="5"/>
      <c r="Y373" s="5"/>
      <c r="Z373" s="5"/>
      <c r="AA373" s="5" t="s">
        <v>62</v>
      </c>
      <c r="AC373">
        <f t="shared" si="46"/>
        <v>14</v>
      </c>
      <c r="AD373" t="str">
        <f t="shared" si="47"/>
        <v/>
      </c>
      <c r="AE373" t="str">
        <f t="shared" si="48"/>
        <v/>
      </c>
      <c r="AF373" t="str">
        <f t="shared" si="49"/>
        <v/>
      </c>
      <c r="AG373" t="str">
        <f t="shared" si="50"/>
        <v/>
      </c>
      <c r="AH373">
        <f t="shared" si="51"/>
        <v>4</v>
      </c>
      <c r="AI373" t="str">
        <f t="shared" si="52"/>
        <v/>
      </c>
      <c r="AJ373" t="str">
        <f t="shared" si="53"/>
        <v/>
      </c>
    </row>
    <row r="374" spans="1:36">
      <c r="A374" s="5">
        <v>373</v>
      </c>
      <c r="B374" s="5" t="s">
        <v>661</v>
      </c>
      <c r="C374" s="5" t="s">
        <v>100</v>
      </c>
      <c r="D374" s="5" t="s">
        <v>554</v>
      </c>
      <c r="E374" s="5" t="s">
        <v>597</v>
      </c>
      <c r="F374" s="5" t="str">
        <f t="shared" si="45"/>
        <v>Program Office-Business Partner</v>
      </c>
      <c r="G374" s="5" t="s">
        <v>47</v>
      </c>
      <c r="H374" s="9">
        <v>44664.356712962966</v>
      </c>
      <c r="I374" s="9">
        <v>44666.356712962966</v>
      </c>
      <c r="J374" s="9" t="e">
        <f>I374+#REF!</f>
        <v>#REF!</v>
      </c>
      <c r="K374" s="9" t="e">
        <f>J374+#REF!</f>
        <v>#REF!</v>
      </c>
      <c r="L374" s="10" t="s">
        <v>41</v>
      </c>
      <c r="M374" s="11">
        <v>44683.356712962966</v>
      </c>
      <c r="N374" s="5" t="s">
        <v>167</v>
      </c>
      <c r="O374" s="5"/>
      <c r="P374" s="9">
        <v>44687.356712962966</v>
      </c>
      <c r="Q374" s="5" t="s">
        <v>167</v>
      </c>
      <c r="R374" s="5"/>
      <c r="S374" s="5"/>
      <c r="T374" s="9">
        <v>44686.356712962966</v>
      </c>
      <c r="U374" s="5"/>
      <c r="V374" s="5">
        <v>0</v>
      </c>
      <c r="W374" s="5"/>
      <c r="X374" s="5"/>
      <c r="Y374" s="5"/>
      <c r="Z374" s="5"/>
      <c r="AA374" s="5"/>
      <c r="AC374">
        <f t="shared" si="46"/>
        <v>17</v>
      </c>
      <c r="AD374" t="str">
        <f t="shared" si="47"/>
        <v/>
      </c>
      <c r="AE374">
        <f t="shared" si="48"/>
        <v>3</v>
      </c>
      <c r="AF374" t="str">
        <f t="shared" si="49"/>
        <v/>
      </c>
      <c r="AG374" t="str">
        <f t="shared" si="50"/>
        <v/>
      </c>
      <c r="AH374">
        <f t="shared" si="51"/>
        <v>2</v>
      </c>
      <c r="AI374" t="str">
        <f t="shared" si="52"/>
        <v/>
      </c>
      <c r="AJ374" t="str">
        <f t="shared" si="53"/>
        <v/>
      </c>
    </row>
    <row r="375" spans="1:36">
      <c r="A375" s="5">
        <v>374</v>
      </c>
      <c r="B375" s="5" t="s">
        <v>379</v>
      </c>
      <c r="C375" s="5" t="s">
        <v>100</v>
      </c>
      <c r="D375" s="5" t="s">
        <v>268</v>
      </c>
      <c r="E375" s="5" t="s">
        <v>291</v>
      </c>
      <c r="F375" s="5" t="str">
        <f t="shared" si="45"/>
        <v>Program Office-Cordination Manager</v>
      </c>
      <c r="G375" s="5" t="s">
        <v>270</v>
      </c>
      <c r="H375" s="9">
        <v>44665.356712962966</v>
      </c>
      <c r="I375" s="9">
        <v>44669.356712962966</v>
      </c>
      <c r="J375" s="9" t="e">
        <f>I375+#REF!</f>
        <v>#REF!</v>
      </c>
      <c r="K375" s="9" t="e">
        <f>J375+#REF!</f>
        <v>#REF!</v>
      </c>
      <c r="L375" s="10" t="s">
        <v>41</v>
      </c>
      <c r="M375" s="11">
        <v>44682.356712962966</v>
      </c>
      <c r="N375" s="5" t="s">
        <v>64</v>
      </c>
      <c r="O375" s="5"/>
      <c r="P375" s="9">
        <v>44688.356712962966</v>
      </c>
      <c r="Q375" s="5" t="s">
        <v>64</v>
      </c>
      <c r="R375" s="9">
        <v>44683.356712962966</v>
      </c>
      <c r="S375" s="9">
        <v>44686.356712962966</v>
      </c>
      <c r="T375" s="9">
        <v>44684.356712962966</v>
      </c>
      <c r="U375" s="9">
        <v>44688.356712962966</v>
      </c>
      <c r="V375" s="12">
        <v>1</v>
      </c>
      <c r="W375" s="9">
        <v>44689.356712962966</v>
      </c>
      <c r="X375" s="9">
        <v>44690.356712962966</v>
      </c>
      <c r="Y375" s="9">
        <v>44692.356712962966</v>
      </c>
      <c r="Z375" s="5"/>
      <c r="AA375" s="5"/>
      <c r="AB375" s="13">
        <v>44702.356712962966</v>
      </c>
      <c r="AC375">
        <f t="shared" si="46"/>
        <v>13</v>
      </c>
      <c r="AD375">
        <f t="shared" si="47"/>
        <v>17</v>
      </c>
      <c r="AE375">
        <f t="shared" si="48"/>
        <v>2</v>
      </c>
      <c r="AF375">
        <f t="shared" si="49"/>
        <v>2</v>
      </c>
      <c r="AG375">
        <f t="shared" si="50"/>
        <v>1</v>
      </c>
      <c r="AH375">
        <f t="shared" si="51"/>
        <v>4</v>
      </c>
      <c r="AI375" t="str">
        <f t="shared" si="52"/>
        <v/>
      </c>
      <c r="AJ375" t="str">
        <f t="shared" si="53"/>
        <v/>
      </c>
    </row>
    <row r="376" spans="1:36">
      <c r="A376" s="5">
        <v>375</v>
      </c>
      <c r="B376" s="5" t="s">
        <v>544</v>
      </c>
      <c r="C376" s="5" t="s">
        <v>100</v>
      </c>
      <c r="D376" s="5" t="s">
        <v>506</v>
      </c>
      <c r="E376" s="5" t="s">
        <v>69</v>
      </c>
      <c r="F376" s="5" t="str">
        <f t="shared" si="45"/>
        <v>Program Office-Head of Department</v>
      </c>
      <c r="G376" s="5" t="s">
        <v>56</v>
      </c>
      <c r="H376" s="9">
        <v>44663.356712962966</v>
      </c>
      <c r="I376" s="9">
        <v>44665.356712962966</v>
      </c>
      <c r="J376" s="9" t="e">
        <f>I376+#REF!</f>
        <v>#REF!</v>
      </c>
      <c r="K376" s="9" t="e">
        <f>J376+#REF!</f>
        <v>#REF!</v>
      </c>
      <c r="L376" s="10" t="s">
        <v>41</v>
      </c>
      <c r="M376" s="11">
        <v>44682.356712962966</v>
      </c>
      <c r="N376" s="5" t="s">
        <v>64</v>
      </c>
      <c r="O376" s="5"/>
      <c r="P376" s="9">
        <v>44687.356712962966</v>
      </c>
      <c r="Q376" s="5" t="s">
        <v>64</v>
      </c>
      <c r="R376" s="9">
        <v>44683.356712962966</v>
      </c>
      <c r="S376" s="9">
        <v>44687.356712962966</v>
      </c>
      <c r="T376" s="9">
        <v>44685.356712962966</v>
      </c>
      <c r="U376" s="9">
        <v>44691.356712962966</v>
      </c>
      <c r="V376" s="12">
        <v>1</v>
      </c>
      <c r="W376" s="9">
        <v>44692.356712962966</v>
      </c>
      <c r="X376" s="9">
        <v>44693.356712962966</v>
      </c>
      <c r="Y376" s="9">
        <v>44696.356712962966</v>
      </c>
      <c r="Z376" s="5"/>
      <c r="AA376" s="5"/>
      <c r="AB376" s="13">
        <v>44703.356712962966</v>
      </c>
      <c r="AC376">
        <f t="shared" si="46"/>
        <v>17</v>
      </c>
      <c r="AD376">
        <f t="shared" si="47"/>
        <v>22</v>
      </c>
      <c r="AE376">
        <f t="shared" si="48"/>
        <v>3</v>
      </c>
      <c r="AF376">
        <f t="shared" si="49"/>
        <v>2</v>
      </c>
      <c r="AG376">
        <f t="shared" si="50"/>
        <v>1</v>
      </c>
      <c r="AH376">
        <f t="shared" si="51"/>
        <v>2</v>
      </c>
      <c r="AI376" t="str">
        <f t="shared" si="52"/>
        <v/>
      </c>
      <c r="AJ376" t="str">
        <f t="shared" si="53"/>
        <v/>
      </c>
    </row>
    <row r="377" spans="1:36">
      <c r="A377" s="5">
        <v>376</v>
      </c>
      <c r="B377" s="5" t="s">
        <v>255</v>
      </c>
      <c r="C377" s="5" t="s">
        <v>100</v>
      </c>
      <c r="D377" s="5" t="s">
        <v>146</v>
      </c>
      <c r="E377" s="5" t="s">
        <v>51</v>
      </c>
      <c r="F377" s="5" t="str">
        <f t="shared" si="45"/>
        <v>Program Office-Supervisor</v>
      </c>
      <c r="G377" s="5" t="s">
        <v>147</v>
      </c>
      <c r="H377" s="9">
        <v>44661.356712962966</v>
      </c>
      <c r="I377" s="9">
        <v>44664.356712962966</v>
      </c>
      <c r="J377" s="9" t="e">
        <f>I377+#REF!</f>
        <v>#REF!</v>
      </c>
      <c r="K377" s="9" t="e">
        <f>J377+#REF!</f>
        <v>#REF!</v>
      </c>
      <c r="L377" s="10" t="s">
        <v>52</v>
      </c>
      <c r="M377" s="11"/>
      <c r="N377" s="5"/>
      <c r="O377" s="5"/>
      <c r="P377" s="9"/>
      <c r="Q377" s="5"/>
      <c r="R377" s="5"/>
      <c r="S377" s="5"/>
      <c r="T377" s="9"/>
      <c r="U377" s="5"/>
      <c r="V377" s="5">
        <v>0</v>
      </c>
      <c r="W377" s="5"/>
      <c r="X377" s="5"/>
      <c r="Y377" s="5"/>
      <c r="Z377" s="5"/>
      <c r="AA377" s="5"/>
      <c r="AC377" t="str">
        <f t="shared" si="46"/>
        <v/>
      </c>
      <c r="AD377" t="str">
        <f t="shared" si="47"/>
        <v/>
      </c>
      <c r="AE377" t="str">
        <f t="shared" si="48"/>
        <v/>
      </c>
      <c r="AF377" t="str">
        <f t="shared" si="49"/>
        <v/>
      </c>
      <c r="AG377" t="str">
        <f t="shared" si="50"/>
        <v/>
      </c>
      <c r="AH377">
        <f t="shared" si="51"/>
        <v>3</v>
      </c>
      <c r="AI377" t="str">
        <f t="shared" si="52"/>
        <v/>
      </c>
      <c r="AJ377" t="str">
        <f t="shared" si="53"/>
        <v/>
      </c>
    </row>
    <row r="378" spans="1:36">
      <c r="A378" s="5">
        <v>377</v>
      </c>
      <c r="B378" s="5" t="s">
        <v>137</v>
      </c>
      <c r="C378" s="5" t="s">
        <v>100</v>
      </c>
      <c r="D378" s="5" t="s">
        <v>101</v>
      </c>
      <c r="E378" s="5" t="s">
        <v>132</v>
      </c>
      <c r="F378" s="5" t="str">
        <f t="shared" si="45"/>
        <v>Program Office-Senior Supervisory Manager</v>
      </c>
      <c r="G378" s="5" t="s">
        <v>103</v>
      </c>
      <c r="H378" s="9">
        <v>44663.356712962966</v>
      </c>
      <c r="I378" s="9">
        <v>44666.356712962966</v>
      </c>
      <c r="J378" s="9" t="e">
        <f>I378+#REF!</f>
        <v>#REF!</v>
      </c>
      <c r="K378" s="9" t="e">
        <f>J378+#REF!</f>
        <v>#REF!</v>
      </c>
      <c r="L378" s="10" t="s">
        <v>41</v>
      </c>
      <c r="M378" s="11">
        <v>44680.356712962966</v>
      </c>
      <c r="N378" s="5" t="s">
        <v>42</v>
      </c>
      <c r="O378" s="5" t="s">
        <v>43</v>
      </c>
      <c r="P378" s="9"/>
      <c r="Q378" s="5"/>
      <c r="R378" s="5"/>
      <c r="S378" s="5"/>
      <c r="T378" s="9">
        <v>44682.356712962966</v>
      </c>
      <c r="U378" s="5"/>
      <c r="V378" s="5">
        <v>0</v>
      </c>
      <c r="W378" s="5"/>
      <c r="X378" s="5"/>
      <c r="Y378" s="5"/>
      <c r="Z378" s="5"/>
      <c r="AA378" s="5" t="s">
        <v>44</v>
      </c>
      <c r="AC378">
        <f t="shared" si="46"/>
        <v>14</v>
      </c>
      <c r="AD378" t="str">
        <f t="shared" si="47"/>
        <v/>
      </c>
      <c r="AE378">
        <f t="shared" si="48"/>
        <v>2</v>
      </c>
      <c r="AF378" t="str">
        <f t="shared" si="49"/>
        <v/>
      </c>
      <c r="AG378" t="str">
        <f t="shared" si="50"/>
        <v/>
      </c>
      <c r="AH378">
        <f t="shared" si="51"/>
        <v>3</v>
      </c>
      <c r="AI378" t="str">
        <f t="shared" si="52"/>
        <v/>
      </c>
      <c r="AJ378" t="str">
        <f t="shared" si="53"/>
        <v/>
      </c>
    </row>
    <row r="379" spans="1:36">
      <c r="A379" s="5">
        <v>378</v>
      </c>
      <c r="B379" s="5" t="s">
        <v>543</v>
      </c>
      <c r="C379" s="5" t="s">
        <v>100</v>
      </c>
      <c r="D379" s="5" t="s">
        <v>506</v>
      </c>
      <c r="E379" s="5" t="s">
        <v>69</v>
      </c>
      <c r="F379" s="5" t="str">
        <f t="shared" si="45"/>
        <v>Program Office-Head of Department</v>
      </c>
      <c r="G379" s="5" t="s">
        <v>56</v>
      </c>
      <c r="H379" s="9">
        <v>44667.356712962966</v>
      </c>
      <c r="I379" s="9">
        <v>44668.356712962966</v>
      </c>
      <c r="J379" s="9" t="e">
        <f>I379+#REF!</f>
        <v>#REF!</v>
      </c>
      <c r="K379" s="9" t="e">
        <f>J379+#REF!</f>
        <v>#REF!</v>
      </c>
      <c r="L379" s="10" t="s">
        <v>41</v>
      </c>
      <c r="M379" s="11">
        <v>44678.356712962966</v>
      </c>
      <c r="N379" s="5" t="s">
        <v>42</v>
      </c>
      <c r="O379" s="5" t="s">
        <v>43</v>
      </c>
      <c r="P379" s="9"/>
      <c r="Q379" s="5"/>
      <c r="R379" s="5"/>
      <c r="S379" s="5"/>
      <c r="T379" s="9"/>
      <c r="U379" s="5"/>
      <c r="V379" s="5">
        <v>0</v>
      </c>
      <c r="W379" s="5"/>
      <c r="X379" s="5"/>
      <c r="Y379" s="5"/>
      <c r="Z379" s="5"/>
      <c r="AA379" s="5" t="s">
        <v>44</v>
      </c>
      <c r="AC379">
        <f t="shared" si="46"/>
        <v>10</v>
      </c>
      <c r="AD379" t="str">
        <f t="shared" si="47"/>
        <v/>
      </c>
      <c r="AE379" t="str">
        <f t="shared" si="48"/>
        <v/>
      </c>
      <c r="AF379" t="str">
        <f t="shared" si="49"/>
        <v/>
      </c>
      <c r="AG379" t="str">
        <f t="shared" si="50"/>
        <v/>
      </c>
      <c r="AH379">
        <f t="shared" si="51"/>
        <v>1</v>
      </c>
      <c r="AI379" t="str">
        <f t="shared" si="52"/>
        <v/>
      </c>
      <c r="AJ379" t="str">
        <f t="shared" si="53"/>
        <v/>
      </c>
    </row>
    <row r="380" spans="1:36">
      <c r="A380" s="5">
        <v>379</v>
      </c>
      <c r="B380" s="5" t="s">
        <v>660</v>
      </c>
      <c r="C380" s="5" t="s">
        <v>100</v>
      </c>
      <c r="D380" s="5" t="s">
        <v>554</v>
      </c>
      <c r="E380" s="5" t="s">
        <v>597</v>
      </c>
      <c r="F380" s="5" t="str">
        <f t="shared" si="45"/>
        <v>Program Office-Business Partner</v>
      </c>
      <c r="G380" s="5" t="s">
        <v>47</v>
      </c>
      <c r="H380" s="9">
        <v>44661.356712962966</v>
      </c>
      <c r="I380" s="9">
        <v>44664.356712962966</v>
      </c>
      <c r="J380" s="9" t="e">
        <f>I380+#REF!</f>
        <v>#REF!</v>
      </c>
      <c r="K380" s="9" t="e">
        <f>J380+#REF!</f>
        <v>#REF!</v>
      </c>
      <c r="L380" s="10" t="s">
        <v>41</v>
      </c>
      <c r="M380" s="11">
        <v>44678.356712962966</v>
      </c>
      <c r="N380" s="5" t="s">
        <v>64</v>
      </c>
      <c r="O380" s="5"/>
      <c r="P380" s="9">
        <v>44680.356712962966</v>
      </c>
      <c r="Q380" s="5" t="s">
        <v>64</v>
      </c>
      <c r="R380" s="9">
        <v>44679.356712962966</v>
      </c>
      <c r="S380" s="9">
        <v>44680.356712962966</v>
      </c>
      <c r="T380" s="9">
        <v>44679.356712962966</v>
      </c>
      <c r="U380" s="9">
        <v>44684.356712962966</v>
      </c>
      <c r="V380" s="12">
        <v>1</v>
      </c>
      <c r="W380" s="9">
        <v>44686.356712962966</v>
      </c>
      <c r="X380" s="9">
        <v>44689.356712962966</v>
      </c>
      <c r="Y380" s="9">
        <v>44692.356712962966</v>
      </c>
      <c r="Z380" s="5"/>
      <c r="AA380" s="5"/>
      <c r="AB380" s="13">
        <v>44706.356712962966</v>
      </c>
      <c r="AC380">
        <f t="shared" si="46"/>
        <v>14</v>
      </c>
      <c r="AD380">
        <f t="shared" si="47"/>
        <v>16</v>
      </c>
      <c r="AE380">
        <f t="shared" si="48"/>
        <v>1</v>
      </c>
      <c r="AF380">
        <f t="shared" si="49"/>
        <v>5</v>
      </c>
      <c r="AG380">
        <f t="shared" si="50"/>
        <v>2</v>
      </c>
      <c r="AH380">
        <f t="shared" si="51"/>
        <v>3</v>
      </c>
      <c r="AI380" t="str">
        <f t="shared" si="52"/>
        <v/>
      </c>
      <c r="AJ380" t="str">
        <f t="shared" si="53"/>
        <v/>
      </c>
    </row>
    <row r="381" spans="1:36">
      <c r="A381" s="5">
        <v>380</v>
      </c>
      <c r="B381" s="5" t="s">
        <v>254</v>
      </c>
      <c r="C381" s="5" t="s">
        <v>100</v>
      </c>
      <c r="D381" s="5" t="s">
        <v>146</v>
      </c>
      <c r="E381" s="5" t="s">
        <v>39</v>
      </c>
      <c r="F381" s="5" t="str">
        <f t="shared" si="45"/>
        <v>Program Office-Analyst</v>
      </c>
      <c r="G381" s="5" t="s">
        <v>147</v>
      </c>
      <c r="H381" s="9">
        <v>44664.356712962966</v>
      </c>
      <c r="I381" s="9">
        <v>44666.356712962966</v>
      </c>
      <c r="J381" s="9" t="e">
        <f>I381+#REF!</f>
        <v>#REF!</v>
      </c>
      <c r="K381" s="9" t="e">
        <f>J381+#REF!</f>
        <v>#REF!</v>
      </c>
      <c r="L381" s="10" t="s">
        <v>41</v>
      </c>
      <c r="M381" s="11">
        <v>44678.356712962966</v>
      </c>
      <c r="N381" s="5" t="s">
        <v>42</v>
      </c>
      <c r="O381" s="5" t="s">
        <v>58</v>
      </c>
      <c r="P381" s="9"/>
      <c r="Q381" s="5"/>
      <c r="R381" s="5"/>
      <c r="S381" s="5"/>
      <c r="T381" s="9"/>
      <c r="U381" s="5"/>
      <c r="V381" s="5">
        <v>0</v>
      </c>
      <c r="W381" s="5"/>
      <c r="X381" s="5"/>
      <c r="Y381" s="5"/>
      <c r="Z381" s="5"/>
      <c r="AA381" s="5" t="s">
        <v>44</v>
      </c>
      <c r="AC381">
        <f t="shared" si="46"/>
        <v>12</v>
      </c>
      <c r="AD381" t="str">
        <f t="shared" si="47"/>
        <v/>
      </c>
      <c r="AE381" t="str">
        <f t="shared" si="48"/>
        <v/>
      </c>
      <c r="AF381" t="str">
        <f t="shared" si="49"/>
        <v/>
      </c>
      <c r="AG381" t="str">
        <f t="shared" si="50"/>
        <v/>
      </c>
      <c r="AH381">
        <f t="shared" si="51"/>
        <v>2</v>
      </c>
      <c r="AI381" t="str">
        <f t="shared" si="52"/>
        <v/>
      </c>
      <c r="AJ381" t="str">
        <f t="shared" si="53"/>
        <v/>
      </c>
    </row>
    <row r="382" spans="1:36">
      <c r="A382" s="5">
        <v>381</v>
      </c>
      <c r="B382" s="5" t="s">
        <v>492</v>
      </c>
      <c r="C382" s="5" t="s">
        <v>100</v>
      </c>
      <c r="D382" s="5" t="s">
        <v>387</v>
      </c>
      <c r="E382" s="5" t="s">
        <v>473</v>
      </c>
      <c r="F382" s="5" t="str">
        <f t="shared" si="45"/>
        <v>Program Office-Officer</v>
      </c>
      <c r="G382" s="5" t="s">
        <v>40</v>
      </c>
      <c r="H382" s="9">
        <v>44871.3830787037</v>
      </c>
      <c r="I382" s="9">
        <v>44872.3830787037</v>
      </c>
      <c r="J382" s="9" t="e">
        <f>I382+#REF!</f>
        <v>#REF!</v>
      </c>
      <c r="K382" s="9" t="e">
        <f>J382+#REF!</f>
        <v>#REF!</v>
      </c>
      <c r="L382" s="10" t="s">
        <v>41</v>
      </c>
      <c r="M382" s="11">
        <v>44879.3830787037</v>
      </c>
      <c r="N382" s="5" t="s">
        <v>42</v>
      </c>
      <c r="O382" s="5" t="s">
        <v>43</v>
      </c>
      <c r="P382" s="9"/>
      <c r="Q382" s="5"/>
      <c r="R382" s="5"/>
      <c r="S382" s="5"/>
      <c r="T382" s="9"/>
      <c r="U382" s="5"/>
      <c r="V382" s="5">
        <v>0</v>
      </c>
      <c r="W382" s="5"/>
      <c r="X382" s="5"/>
      <c r="Y382" s="5"/>
      <c r="Z382" s="5"/>
      <c r="AA382" s="5" t="s">
        <v>62</v>
      </c>
      <c r="AC382">
        <f t="shared" si="46"/>
        <v>7</v>
      </c>
      <c r="AD382" t="str">
        <f t="shared" si="47"/>
        <v/>
      </c>
      <c r="AE382" t="str">
        <f t="shared" si="48"/>
        <v/>
      </c>
      <c r="AF382" t="str">
        <f t="shared" si="49"/>
        <v/>
      </c>
      <c r="AG382" t="str">
        <f t="shared" si="50"/>
        <v/>
      </c>
      <c r="AH382">
        <f t="shared" si="51"/>
        <v>1</v>
      </c>
      <c r="AI382" t="str">
        <f t="shared" si="52"/>
        <v/>
      </c>
      <c r="AJ382" t="str">
        <f t="shared" si="53"/>
        <v/>
      </c>
    </row>
    <row r="383" spans="1:36">
      <c r="A383" s="5">
        <v>382</v>
      </c>
      <c r="B383" s="5" t="s">
        <v>378</v>
      </c>
      <c r="C383" s="5" t="s">
        <v>100</v>
      </c>
      <c r="D383" s="5" t="s">
        <v>268</v>
      </c>
      <c r="E383" s="5" t="s">
        <v>291</v>
      </c>
      <c r="F383" s="5" t="str">
        <f t="shared" si="45"/>
        <v>Program Office-Cordination Manager</v>
      </c>
      <c r="G383" s="5" t="s">
        <v>270</v>
      </c>
      <c r="H383" s="9">
        <v>44872.3830787037</v>
      </c>
      <c r="I383" s="9">
        <v>44875.3830787037</v>
      </c>
      <c r="J383" s="9" t="e">
        <f>I383+#REF!</f>
        <v>#REF!</v>
      </c>
      <c r="K383" s="9" t="e">
        <f>J383+#REF!</f>
        <v>#REF!</v>
      </c>
      <c r="L383" s="10" t="s">
        <v>41</v>
      </c>
      <c r="M383" s="11">
        <v>44894.3830787037</v>
      </c>
      <c r="N383" s="5" t="s">
        <v>167</v>
      </c>
      <c r="O383" s="5"/>
      <c r="P383" s="9">
        <v>44900.3830787037</v>
      </c>
      <c r="Q383" s="5" t="s">
        <v>167</v>
      </c>
      <c r="R383" s="5"/>
      <c r="S383" s="5"/>
      <c r="T383" s="9">
        <v>44896.3830787037</v>
      </c>
      <c r="U383" s="5"/>
      <c r="V383" s="5">
        <v>0</v>
      </c>
      <c r="W383" s="5"/>
      <c r="X383" s="5"/>
      <c r="Y383" s="5"/>
      <c r="Z383" s="5"/>
      <c r="AA383" s="5"/>
      <c r="AC383">
        <f t="shared" si="46"/>
        <v>19</v>
      </c>
      <c r="AD383" t="str">
        <f t="shared" si="47"/>
        <v/>
      </c>
      <c r="AE383">
        <f t="shared" si="48"/>
        <v>2</v>
      </c>
      <c r="AF383" t="str">
        <f t="shared" si="49"/>
        <v/>
      </c>
      <c r="AG383" t="str">
        <f t="shared" si="50"/>
        <v/>
      </c>
      <c r="AH383">
        <f t="shared" si="51"/>
        <v>3</v>
      </c>
      <c r="AI383" t="str">
        <f t="shared" si="52"/>
        <v/>
      </c>
      <c r="AJ383" t="str">
        <f t="shared" si="53"/>
        <v/>
      </c>
    </row>
    <row r="384" spans="1:36">
      <c r="A384" s="5">
        <v>383</v>
      </c>
      <c r="B384" s="5" t="s">
        <v>659</v>
      </c>
      <c r="C384" s="5" t="s">
        <v>100</v>
      </c>
      <c r="D384" s="5" t="s">
        <v>554</v>
      </c>
      <c r="E384" s="5" t="s">
        <v>597</v>
      </c>
      <c r="F384" s="5" t="str">
        <f t="shared" si="45"/>
        <v>Program Office-Business Partner</v>
      </c>
      <c r="G384" s="5" t="s">
        <v>47</v>
      </c>
      <c r="H384" s="9">
        <v>44876.3830787037</v>
      </c>
      <c r="I384" s="9">
        <v>44877.3830787037</v>
      </c>
      <c r="J384" s="9" t="e">
        <f>I384+#REF!</f>
        <v>#REF!</v>
      </c>
      <c r="K384" s="9" t="e">
        <f>J384+#REF!</f>
        <v>#REF!</v>
      </c>
      <c r="L384" s="10" t="s">
        <v>41</v>
      </c>
      <c r="M384" s="11">
        <v>44888.3830787037</v>
      </c>
      <c r="N384" s="5" t="s">
        <v>48</v>
      </c>
      <c r="O384" s="5"/>
      <c r="P384" s="9">
        <v>44893.3830787037</v>
      </c>
      <c r="Q384" s="5" t="s">
        <v>48</v>
      </c>
      <c r="R384" s="5"/>
      <c r="S384" s="5"/>
      <c r="T384" s="9">
        <v>44890.3830787037</v>
      </c>
      <c r="U384" s="5"/>
      <c r="V384" s="5">
        <v>0</v>
      </c>
      <c r="W384" s="5"/>
      <c r="X384" s="5"/>
      <c r="Y384" s="5"/>
      <c r="Z384" s="5"/>
      <c r="AA384" s="5"/>
      <c r="AC384">
        <f t="shared" si="46"/>
        <v>11</v>
      </c>
      <c r="AD384" t="str">
        <f t="shared" si="47"/>
        <v/>
      </c>
      <c r="AE384">
        <f t="shared" si="48"/>
        <v>2</v>
      </c>
      <c r="AF384" t="str">
        <f t="shared" si="49"/>
        <v/>
      </c>
      <c r="AG384" t="str">
        <f t="shared" si="50"/>
        <v/>
      </c>
      <c r="AH384">
        <f t="shared" si="51"/>
        <v>1</v>
      </c>
      <c r="AI384" t="str">
        <f t="shared" si="52"/>
        <v/>
      </c>
      <c r="AJ384" t="str">
        <f t="shared" si="53"/>
        <v/>
      </c>
    </row>
    <row r="385" spans="1:36">
      <c r="A385" s="5">
        <v>384</v>
      </c>
      <c r="B385" s="5" t="s">
        <v>136</v>
      </c>
      <c r="C385" s="5" t="s">
        <v>100</v>
      </c>
      <c r="D385" s="5" t="s">
        <v>101</v>
      </c>
      <c r="E385" s="5" t="s">
        <v>132</v>
      </c>
      <c r="F385" s="5" t="str">
        <f t="shared" si="45"/>
        <v>Program Office-Senior Supervisory Manager</v>
      </c>
      <c r="G385" s="5" t="s">
        <v>103</v>
      </c>
      <c r="H385" s="9">
        <v>44872.3830787037</v>
      </c>
      <c r="I385" s="9">
        <v>44875.3830787037</v>
      </c>
      <c r="J385" s="9" t="e">
        <f>I385+#REF!</f>
        <v>#REF!</v>
      </c>
      <c r="K385" s="9" t="e">
        <f>J385+#REF!</f>
        <v>#REF!</v>
      </c>
      <c r="L385" s="10" t="s">
        <v>41</v>
      </c>
      <c r="M385" s="11">
        <v>44885.3830787037</v>
      </c>
      <c r="N385" s="5" t="s">
        <v>42</v>
      </c>
      <c r="O385" s="5" t="s">
        <v>58</v>
      </c>
      <c r="P385" s="9"/>
      <c r="Q385" s="5"/>
      <c r="R385" s="5"/>
      <c r="S385" s="5"/>
      <c r="T385" s="9"/>
      <c r="U385" s="5"/>
      <c r="V385" s="5">
        <v>0</v>
      </c>
      <c r="W385" s="5"/>
      <c r="X385" s="5"/>
      <c r="Y385" s="5"/>
      <c r="Z385" s="5"/>
      <c r="AA385" s="5" t="s">
        <v>44</v>
      </c>
      <c r="AC385">
        <f t="shared" si="46"/>
        <v>10</v>
      </c>
      <c r="AD385" t="str">
        <f t="shared" si="47"/>
        <v/>
      </c>
      <c r="AE385" t="str">
        <f t="shared" si="48"/>
        <v/>
      </c>
      <c r="AF385" t="str">
        <f t="shared" si="49"/>
        <v/>
      </c>
      <c r="AG385" t="str">
        <f t="shared" si="50"/>
        <v/>
      </c>
      <c r="AH385">
        <f t="shared" si="51"/>
        <v>3</v>
      </c>
      <c r="AI385" t="str">
        <f t="shared" si="52"/>
        <v/>
      </c>
      <c r="AJ385" t="str">
        <f t="shared" si="53"/>
        <v/>
      </c>
    </row>
    <row r="386" spans="1:36">
      <c r="A386" s="5">
        <v>385</v>
      </c>
      <c r="B386" s="5" t="s">
        <v>542</v>
      </c>
      <c r="C386" s="5" t="s">
        <v>100</v>
      </c>
      <c r="D386" s="5" t="s">
        <v>506</v>
      </c>
      <c r="E386" s="5" t="s">
        <v>69</v>
      </c>
      <c r="F386" s="5" t="str">
        <f t="shared" ref="F386:F449" si="54">_xlfn.CONCAT(C386,"-",E386)</f>
        <v>Program Office-Head of Department</v>
      </c>
      <c r="G386" s="5" t="s">
        <v>56</v>
      </c>
      <c r="H386" s="9">
        <v>44869.3830787037</v>
      </c>
      <c r="I386" s="9">
        <v>44873.3830787037</v>
      </c>
      <c r="J386" s="9" t="e">
        <f>I386+#REF!</f>
        <v>#REF!</v>
      </c>
      <c r="K386" s="9" t="e">
        <f>J386+#REF!</f>
        <v>#REF!</v>
      </c>
      <c r="L386" s="10" t="s">
        <v>41</v>
      </c>
      <c r="M386" s="11">
        <v>44887.3830787037</v>
      </c>
      <c r="N386" s="5" t="s">
        <v>48</v>
      </c>
      <c r="O386" s="5"/>
      <c r="P386" s="9">
        <v>44893.3830787037</v>
      </c>
      <c r="Q386" s="5" t="s">
        <v>48</v>
      </c>
      <c r="R386" s="5"/>
      <c r="S386" s="5"/>
      <c r="T386" s="9">
        <v>44890.3830787037</v>
      </c>
      <c r="U386" s="5"/>
      <c r="V386" s="5">
        <v>0</v>
      </c>
      <c r="W386" s="5"/>
      <c r="X386" s="5"/>
      <c r="Y386" s="5"/>
      <c r="Z386" s="5"/>
      <c r="AA386" s="5"/>
      <c r="AC386">
        <f t="shared" ref="AC386:AC449" si="55">IF(AND(ISNUMBER(M386), ISNUMBER(I386)), M386 - I386, "")</f>
        <v>14</v>
      </c>
      <c r="AD386" t="str">
        <f t="shared" si="47"/>
        <v/>
      </c>
      <c r="AE386">
        <f t="shared" si="48"/>
        <v>3</v>
      </c>
      <c r="AF386" t="str">
        <f t="shared" si="49"/>
        <v/>
      </c>
      <c r="AG386" t="str">
        <f t="shared" si="50"/>
        <v/>
      </c>
      <c r="AH386">
        <f t="shared" si="51"/>
        <v>4</v>
      </c>
      <c r="AI386" t="str">
        <f t="shared" si="52"/>
        <v/>
      </c>
      <c r="AJ386" t="str">
        <f t="shared" si="53"/>
        <v/>
      </c>
    </row>
    <row r="387" spans="1:36">
      <c r="A387" s="5">
        <v>386</v>
      </c>
      <c r="B387" s="5" t="s">
        <v>491</v>
      </c>
      <c r="C387" s="5" t="s">
        <v>100</v>
      </c>
      <c r="D387" s="5" t="s">
        <v>387</v>
      </c>
      <c r="E387" s="5" t="s">
        <v>473</v>
      </c>
      <c r="F387" s="5" t="str">
        <f t="shared" si="54"/>
        <v>Program Office-Officer</v>
      </c>
      <c r="G387" s="5" t="s">
        <v>40</v>
      </c>
      <c r="H387" s="9">
        <v>44874.3830787037</v>
      </c>
      <c r="I387" s="9">
        <v>44877.3830787037</v>
      </c>
      <c r="J387" s="9" t="e">
        <f>I387+#REF!</f>
        <v>#REF!</v>
      </c>
      <c r="K387" s="9" t="e">
        <f>J387+#REF!</f>
        <v>#REF!</v>
      </c>
      <c r="L387" s="10" t="s">
        <v>41</v>
      </c>
      <c r="M387" s="11">
        <v>44882.3830787037</v>
      </c>
      <c r="N387" s="5" t="s">
        <v>42</v>
      </c>
      <c r="O387" s="5" t="s">
        <v>98</v>
      </c>
      <c r="P387" s="9"/>
      <c r="Q387" s="5"/>
      <c r="R387" s="5"/>
      <c r="S387" s="5"/>
      <c r="T387" s="9"/>
      <c r="U387" s="5"/>
      <c r="V387" s="5">
        <v>0</v>
      </c>
      <c r="W387" s="5"/>
      <c r="X387" s="5"/>
      <c r="Y387" s="5"/>
      <c r="Z387" s="5"/>
      <c r="AA387" s="5" t="s">
        <v>44</v>
      </c>
      <c r="AC387">
        <f t="shared" si="55"/>
        <v>5</v>
      </c>
      <c r="AD387" t="str">
        <f t="shared" ref="AD387:AD450" si="56">IF(AND(ISNUMBER(S387), ISNUMBER(I387)), S387 - I387, "")</f>
        <v/>
      </c>
      <c r="AE387" t="str">
        <f t="shared" ref="AE387:AE450" si="57">IF(AND(ISNUMBER(T387), ISNUMBER(M387)), T387-M387, "")</f>
        <v/>
      </c>
      <c r="AF387" t="str">
        <f t="shared" ref="AF387:AF450" si="58">IF(AND(ISNUMBER(X387), ISNUMBER(U387)), X387-U387,"")</f>
        <v/>
      </c>
      <c r="AG387" t="str">
        <f t="shared" ref="AG387:AG450" si="59">IF(AND(ISNUMBER(W387), ISNUMBER(U387)), W387-U387, "")</f>
        <v/>
      </c>
      <c r="AH387">
        <f t="shared" ref="AH387:AH450" si="60">IF(AND(ISNUMBER(I387), ISNUMBER(H387)), I387-H387,"")</f>
        <v>3</v>
      </c>
      <c r="AI387" t="str">
        <f t="shared" ref="AI387:AI450" si="61">IF(AND(ISNUMBER(J387),ISNUMBER(K387)),K387-J387,"")</f>
        <v/>
      </c>
      <c r="AJ387" t="str">
        <f t="shared" ref="AJ387:AJ450" si="62">IF(AND(ISNUMBER(J387),ISNUMBER(I387)), J387-I387,"")</f>
        <v/>
      </c>
    </row>
    <row r="388" spans="1:36">
      <c r="A388" s="5">
        <v>387</v>
      </c>
      <c r="B388" s="5" t="s">
        <v>377</v>
      </c>
      <c r="C388" s="5" t="s">
        <v>100</v>
      </c>
      <c r="D388" s="5" t="s">
        <v>268</v>
      </c>
      <c r="E388" s="5" t="s">
        <v>291</v>
      </c>
      <c r="F388" s="5" t="str">
        <f t="shared" si="54"/>
        <v>Program Office-Cordination Manager</v>
      </c>
      <c r="G388" s="5" t="s">
        <v>270</v>
      </c>
      <c r="H388" s="9">
        <v>44874.3830787037</v>
      </c>
      <c r="I388" s="9">
        <v>44875.3830787037</v>
      </c>
      <c r="J388" s="9" t="e">
        <f>I388+#REF!</f>
        <v>#REF!</v>
      </c>
      <c r="K388" s="9" t="e">
        <f>J388+#REF!</f>
        <v>#REF!</v>
      </c>
      <c r="L388" s="10" t="s">
        <v>41</v>
      </c>
      <c r="M388" s="11">
        <v>44888.3830787037</v>
      </c>
      <c r="N388" s="5" t="s">
        <v>42</v>
      </c>
      <c r="O388" s="5" t="s">
        <v>113</v>
      </c>
      <c r="P388" s="9"/>
      <c r="Q388" s="5"/>
      <c r="R388" s="5"/>
      <c r="S388" s="5"/>
      <c r="T388" s="9">
        <v>44890.3830787037</v>
      </c>
      <c r="U388" s="5"/>
      <c r="V388" s="5">
        <v>0</v>
      </c>
      <c r="W388" s="5"/>
      <c r="X388" s="5"/>
      <c r="Y388" s="5"/>
      <c r="Z388" s="5"/>
      <c r="AA388" s="5" t="s">
        <v>62</v>
      </c>
      <c r="AC388">
        <f t="shared" si="55"/>
        <v>13</v>
      </c>
      <c r="AD388" t="str">
        <f t="shared" si="56"/>
        <v/>
      </c>
      <c r="AE388">
        <f t="shared" si="57"/>
        <v>2</v>
      </c>
      <c r="AF388" t="str">
        <f t="shared" si="58"/>
        <v/>
      </c>
      <c r="AG388" t="str">
        <f t="shared" si="59"/>
        <v/>
      </c>
      <c r="AH388">
        <f t="shared" si="60"/>
        <v>1</v>
      </c>
      <c r="AI388" t="str">
        <f t="shared" si="61"/>
        <v/>
      </c>
      <c r="AJ388" t="str">
        <f t="shared" si="62"/>
        <v/>
      </c>
    </row>
    <row r="389" spans="1:36">
      <c r="A389" s="5">
        <v>388</v>
      </c>
      <c r="B389" s="5" t="s">
        <v>490</v>
      </c>
      <c r="C389" s="5" t="s">
        <v>100</v>
      </c>
      <c r="D389" s="5" t="s">
        <v>387</v>
      </c>
      <c r="E389" s="5" t="s">
        <v>473</v>
      </c>
      <c r="F389" s="5" t="str">
        <f t="shared" si="54"/>
        <v>Program Office-Officer</v>
      </c>
      <c r="G389" s="5" t="s">
        <v>40</v>
      </c>
      <c r="H389" s="9">
        <v>44872.3830787037</v>
      </c>
      <c r="I389" s="9">
        <v>44874.3830787037</v>
      </c>
      <c r="J389" s="9" t="e">
        <f>I389+#REF!</f>
        <v>#REF!</v>
      </c>
      <c r="K389" s="9" t="e">
        <f>J389+#REF!</f>
        <v>#REF!</v>
      </c>
      <c r="L389" s="10" t="s">
        <v>41</v>
      </c>
      <c r="M389" s="11">
        <v>44891.3830787037</v>
      </c>
      <c r="N389" s="5" t="s">
        <v>42</v>
      </c>
      <c r="O389" s="5" t="s">
        <v>43</v>
      </c>
      <c r="P389" s="9"/>
      <c r="Q389" s="5"/>
      <c r="R389" s="5"/>
      <c r="S389" s="5"/>
      <c r="T389" s="9"/>
      <c r="U389" s="5"/>
      <c r="V389" s="5">
        <v>0</v>
      </c>
      <c r="W389" s="5"/>
      <c r="X389" s="5"/>
      <c r="Y389" s="5"/>
      <c r="Z389" s="5"/>
      <c r="AA389" s="5" t="s">
        <v>44</v>
      </c>
      <c r="AC389">
        <f t="shared" si="55"/>
        <v>17</v>
      </c>
      <c r="AD389" t="str">
        <f t="shared" si="56"/>
        <v/>
      </c>
      <c r="AE389" t="str">
        <f t="shared" si="57"/>
        <v/>
      </c>
      <c r="AF389" t="str">
        <f t="shared" si="58"/>
        <v/>
      </c>
      <c r="AG389" t="str">
        <f t="shared" si="59"/>
        <v/>
      </c>
      <c r="AH389">
        <f t="shared" si="60"/>
        <v>2</v>
      </c>
      <c r="AI389" t="str">
        <f t="shared" si="61"/>
        <v/>
      </c>
      <c r="AJ389" t="str">
        <f t="shared" si="62"/>
        <v/>
      </c>
    </row>
    <row r="390" spans="1:36">
      <c r="A390" s="5">
        <v>389</v>
      </c>
      <c r="B390" s="5" t="s">
        <v>253</v>
      </c>
      <c r="C390" s="5" t="s">
        <v>100</v>
      </c>
      <c r="D390" s="5" t="s">
        <v>146</v>
      </c>
      <c r="E390" s="5" t="s">
        <v>39</v>
      </c>
      <c r="F390" s="5" t="str">
        <f t="shared" si="54"/>
        <v>Program Office-Analyst</v>
      </c>
      <c r="G390" s="5" t="s">
        <v>147</v>
      </c>
      <c r="H390" s="9">
        <v>44873.3830787037</v>
      </c>
      <c r="I390" s="9">
        <v>44876.3830787037</v>
      </c>
      <c r="J390" s="9" t="e">
        <f>I390+#REF!</f>
        <v>#REF!</v>
      </c>
      <c r="K390" s="9" t="e">
        <f>J390+#REF!</f>
        <v>#REF!</v>
      </c>
      <c r="L390" s="10" t="s">
        <v>41</v>
      </c>
      <c r="M390" s="11">
        <v>44882.3830787037</v>
      </c>
      <c r="N390" s="5" t="s">
        <v>64</v>
      </c>
      <c r="O390" s="5"/>
      <c r="P390" s="9">
        <v>44884.3830787037</v>
      </c>
      <c r="Q390" s="5" t="s">
        <v>64</v>
      </c>
      <c r="R390" s="9">
        <v>44884.3830787037</v>
      </c>
      <c r="S390" s="9">
        <v>44885.3830787037</v>
      </c>
      <c r="T390" s="9">
        <v>44883.3830787037</v>
      </c>
      <c r="U390" s="9">
        <v>44888.3830787037</v>
      </c>
      <c r="V390" s="12">
        <v>1</v>
      </c>
      <c r="W390" s="9">
        <v>44891.3830787037</v>
      </c>
      <c r="X390" s="9">
        <v>44893.3830787037</v>
      </c>
      <c r="Y390" s="9">
        <v>44895.3830787037</v>
      </c>
      <c r="Z390" s="5"/>
      <c r="AA390" s="5"/>
      <c r="AB390" s="13">
        <v>44906.3830787037</v>
      </c>
      <c r="AC390">
        <f t="shared" si="55"/>
        <v>6</v>
      </c>
      <c r="AD390">
        <f t="shared" si="56"/>
        <v>9</v>
      </c>
      <c r="AE390">
        <f t="shared" si="57"/>
        <v>1</v>
      </c>
      <c r="AF390">
        <f t="shared" si="58"/>
        <v>5</v>
      </c>
      <c r="AG390">
        <f t="shared" si="59"/>
        <v>3</v>
      </c>
      <c r="AH390">
        <f t="shared" si="60"/>
        <v>3</v>
      </c>
      <c r="AI390" t="str">
        <f t="shared" si="61"/>
        <v/>
      </c>
      <c r="AJ390" t="str">
        <f t="shared" si="62"/>
        <v/>
      </c>
    </row>
    <row r="391" spans="1:36">
      <c r="A391" s="5">
        <v>390</v>
      </c>
      <c r="B391" s="5" t="s">
        <v>489</v>
      </c>
      <c r="C391" s="5" t="s">
        <v>100</v>
      </c>
      <c r="D391" s="5" t="s">
        <v>387</v>
      </c>
      <c r="E391" s="5" t="s">
        <v>473</v>
      </c>
      <c r="F391" s="5" t="str">
        <f t="shared" si="54"/>
        <v>Program Office-Officer</v>
      </c>
      <c r="G391" s="5" t="s">
        <v>40</v>
      </c>
      <c r="H391" s="9">
        <v>44874.3830787037</v>
      </c>
      <c r="I391" s="9">
        <v>44877.3830787037</v>
      </c>
      <c r="J391" s="9" t="e">
        <f>I391+#REF!</f>
        <v>#REF!</v>
      </c>
      <c r="K391" s="9" t="e">
        <f>J391+#REF!</f>
        <v>#REF!</v>
      </c>
      <c r="L391" s="10" t="s">
        <v>41</v>
      </c>
      <c r="M391" s="11">
        <v>44891.3830787037</v>
      </c>
      <c r="N391" s="5" t="s">
        <v>48</v>
      </c>
      <c r="O391" s="5"/>
      <c r="P391" s="9">
        <v>44893.3830787037</v>
      </c>
      <c r="Q391" s="5" t="s">
        <v>48</v>
      </c>
      <c r="R391" s="5"/>
      <c r="S391" s="5"/>
      <c r="T391" s="9">
        <v>44892.3830787037</v>
      </c>
      <c r="U391" s="5"/>
      <c r="V391" s="5">
        <v>0</v>
      </c>
      <c r="W391" s="5"/>
      <c r="X391" s="5"/>
      <c r="Y391" s="5"/>
      <c r="Z391" s="5"/>
      <c r="AA391" s="5"/>
      <c r="AC391">
        <f t="shared" si="55"/>
        <v>14</v>
      </c>
      <c r="AD391" t="str">
        <f t="shared" si="56"/>
        <v/>
      </c>
      <c r="AE391">
        <f t="shared" si="57"/>
        <v>1</v>
      </c>
      <c r="AF391" t="str">
        <f t="shared" si="58"/>
        <v/>
      </c>
      <c r="AG391" t="str">
        <f t="shared" si="59"/>
        <v/>
      </c>
      <c r="AH391">
        <f t="shared" si="60"/>
        <v>3</v>
      </c>
      <c r="AI391" t="str">
        <f t="shared" si="61"/>
        <v/>
      </c>
      <c r="AJ391" t="str">
        <f t="shared" si="62"/>
        <v/>
      </c>
    </row>
    <row r="392" spans="1:36">
      <c r="A392" s="5">
        <v>391</v>
      </c>
      <c r="B392" s="5" t="s">
        <v>1965</v>
      </c>
      <c r="C392" s="5" t="s">
        <v>1540</v>
      </c>
      <c r="D392" s="5" t="s">
        <v>1925</v>
      </c>
      <c r="E392" s="5" t="s">
        <v>1939</v>
      </c>
      <c r="F392" s="5" t="str">
        <f t="shared" si="54"/>
        <v>Finance-Principal Officer</v>
      </c>
      <c r="G392" s="5" t="s">
        <v>56</v>
      </c>
      <c r="H392" s="9">
        <v>44973.686574074076</v>
      </c>
      <c r="I392" s="9">
        <v>44976.686574074076</v>
      </c>
      <c r="J392" s="9" t="e">
        <f>I392+#REF!</f>
        <v>#REF!</v>
      </c>
      <c r="K392" s="9" t="e">
        <f>J392+#REF!</f>
        <v>#REF!</v>
      </c>
      <c r="L392" s="10" t="s">
        <v>41</v>
      </c>
      <c r="M392" s="11">
        <v>44986.686574074076</v>
      </c>
      <c r="N392" s="5" t="s">
        <v>42</v>
      </c>
      <c r="O392" s="5" t="s">
        <v>113</v>
      </c>
      <c r="P392" s="9"/>
      <c r="Q392" s="5"/>
      <c r="R392" s="5"/>
      <c r="S392" s="5"/>
      <c r="T392" s="9"/>
      <c r="U392" s="5"/>
      <c r="V392" s="5">
        <v>0</v>
      </c>
      <c r="W392" s="5"/>
      <c r="X392" s="5"/>
      <c r="Y392" s="5"/>
      <c r="Z392" s="5"/>
      <c r="AA392" s="5" t="s">
        <v>44</v>
      </c>
      <c r="AC392">
        <f t="shared" si="55"/>
        <v>10</v>
      </c>
      <c r="AD392" t="str">
        <f t="shared" si="56"/>
        <v/>
      </c>
      <c r="AE392" t="str">
        <f t="shared" si="57"/>
        <v/>
      </c>
      <c r="AF392" t="str">
        <f t="shared" si="58"/>
        <v/>
      </c>
      <c r="AG392" t="str">
        <f t="shared" si="59"/>
        <v/>
      </c>
      <c r="AH392">
        <f t="shared" si="60"/>
        <v>3</v>
      </c>
      <c r="AI392" t="str">
        <f t="shared" si="61"/>
        <v/>
      </c>
      <c r="AJ392" t="str">
        <f t="shared" si="62"/>
        <v/>
      </c>
    </row>
    <row r="393" spans="1:36">
      <c r="A393" s="5">
        <v>392</v>
      </c>
      <c r="B393" s="5" t="s">
        <v>1798</v>
      </c>
      <c r="C393" s="5" t="s">
        <v>1540</v>
      </c>
      <c r="D393" s="5" t="s">
        <v>1706</v>
      </c>
      <c r="E393" s="5" t="s">
        <v>269</v>
      </c>
      <c r="F393" s="5" t="str">
        <f t="shared" si="54"/>
        <v>Finance-Manager</v>
      </c>
      <c r="G393" s="5" t="s">
        <v>270</v>
      </c>
      <c r="H393" s="9">
        <v>44970.686574074076</v>
      </c>
      <c r="I393" s="9">
        <v>44972.686574074076</v>
      </c>
      <c r="J393" s="9" t="e">
        <f>I393+#REF!</f>
        <v>#REF!</v>
      </c>
      <c r="K393" s="9" t="e">
        <f>J393+#REF!</f>
        <v>#REF!</v>
      </c>
      <c r="L393" s="10" t="s">
        <v>41</v>
      </c>
      <c r="M393" s="11">
        <v>44983.686574074076</v>
      </c>
      <c r="N393" s="5" t="s">
        <v>42</v>
      </c>
      <c r="O393" s="5" t="s">
        <v>98</v>
      </c>
      <c r="P393" s="9"/>
      <c r="Q393" s="5"/>
      <c r="R393" s="5"/>
      <c r="S393" s="5"/>
      <c r="T393" s="9">
        <v>44984.686574074076</v>
      </c>
      <c r="U393" s="5"/>
      <c r="V393" s="5">
        <v>0</v>
      </c>
      <c r="W393" s="5"/>
      <c r="X393" s="5"/>
      <c r="Y393" s="5"/>
      <c r="Z393" s="5"/>
      <c r="AA393" s="5" t="s">
        <v>44</v>
      </c>
      <c r="AC393">
        <f t="shared" si="55"/>
        <v>11</v>
      </c>
      <c r="AD393" t="str">
        <f t="shared" si="56"/>
        <v/>
      </c>
      <c r="AE393">
        <f t="shared" si="57"/>
        <v>1</v>
      </c>
      <c r="AF393" t="str">
        <f t="shared" si="58"/>
        <v/>
      </c>
      <c r="AG393" t="str">
        <f t="shared" si="59"/>
        <v/>
      </c>
      <c r="AH393">
        <f t="shared" si="60"/>
        <v>2</v>
      </c>
      <c r="AI393" t="str">
        <f t="shared" si="61"/>
        <v/>
      </c>
      <c r="AJ393" t="str">
        <f t="shared" si="62"/>
        <v/>
      </c>
    </row>
    <row r="394" spans="1:36">
      <c r="A394" s="5">
        <v>393</v>
      </c>
      <c r="B394" s="5" t="s">
        <v>1691</v>
      </c>
      <c r="C394" s="5" t="s">
        <v>1540</v>
      </c>
      <c r="D394" s="5" t="s">
        <v>1588</v>
      </c>
      <c r="E394" s="5" t="s">
        <v>1360</v>
      </c>
      <c r="F394" s="5" t="str">
        <f t="shared" si="54"/>
        <v>Finance-Fund Administrator</v>
      </c>
      <c r="G394" s="5" t="s">
        <v>147</v>
      </c>
      <c r="H394" s="9">
        <v>44972.686574074076</v>
      </c>
      <c r="I394" s="9">
        <v>44973.686574074076</v>
      </c>
      <c r="J394" s="9" t="e">
        <f>I394+#REF!</f>
        <v>#REF!</v>
      </c>
      <c r="K394" s="9" t="e">
        <f>J394+#REF!</f>
        <v>#REF!</v>
      </c>
      <c r="L394" s="10" t="s">
        <v>41</v>
      </c>
      <c r="M394" s="11">
        <v>44987.686574074076</v>
      </c>
      <c r="N394" s="5" t="s">
        <v>48</v>
      </c>
      <c r="O394" s="5"/>
      <c r="P394" s="9">
        <v>44993.686574074076</v>
      </c>
      <c r="Q394" s="5" t="s">
        <v>48</v>
      </c>
      <c r="R394" s="5"/>
      <c r="S394" s="5"/>
      <c r="T394" s="9">
        <v>44990.686574074076</v>
      </c>
      <c r="U394" s="5"/>
      <c r="V394" s="5">
        <v>0</v>
      </c>
      <c r="W394" s="5"/>
      <c r="X394" s="5"/>
      <c r="Y394" s="5"/>
      <c r="Z394" s="5"/>
      <c r="AA394" s="5"/>
      <c r="AC394">
        <f t="shared" si="55"/>
        <v>14</v>
      </c>
      <c r="AD394" t="str">
        <f t="shared" si="56"/>
        <v/>
      </c>
      <c r="AE394">
        <f t="shared" si="57"/>
        <v>3</v>
      </c>
      <c r="AF394" t="str">
        <f t="shared" si="58"/>
        <v/>
      </c>
      <c r="AG394" t="str">
        <f t="shared" si="59"/>
        <v/>
      </c>
      <c r="AH394">
        <f t="shared" si="60"/>
        <v>1</v>
      </c>
      <c r="AI394" t="str">
        <f t="shared" si="61"/>
        <v/>
      </c>
      <c r="AJ394" t="str">
        <f t="shared" si="62"/>
        <v/>
      </c>
    </row>
    <row r="395" spans="1:36">
      <c r="A395" s="5">
        <v>394</v>
      </c>
      <c r="B395" s="5" t="s">
        <v>1910</v>
      </c>
      <c r="C395" s="5" t="s">
        <v>1540</v>
      </c>
      <c r="D395" s="5" t="s">
        <v>1820</v>
      </c>
      <c r="E395" s="5" t="s">
        <v>1862</v>
      </c>
      <c r="F395" s="5" t="str">
        <f t="shared" si="54"/>
        <v>Finance-Billing Officer</v>
      </c>
      <c r="G395" s="5" t="s">
        <v>40</v>
      </c>
      <c r="H395" s="9">
        <v>44973.686574074076</v>
      </c>
      <c r="I395" s="9">
        <v>44976.686574074076</v>
      </c>
      <c r="J395" s="9" t="e">
        <f>I395+#REF!</f>
        <v>#REF!</v>
      </c>
      <c r="K395" s="9" t="e">
        <f>J395+#REF!</f>
        <v>#REF!</v>
      </c>
      <c r="L395" s="10" t="s">
        <v>41</v>
      </c>
      <c r="M395" s="11">
        <v>44984.686574074076</v>
      </c>
      <c r="N395" s="5" t="s">
        <v>48</v>
      </c>
      <c r="O395" s="5"/>
      <c r="P395" s="9">
        <v>44986.686574074076</v>
      </c>
      <c r="Q395" s="5" t="s">
        <v>48</v>
      </c>
      <c r="R395" s="5"/>
      <c r="S395" s="5"/>
      <c r="T395" s="9">
        <v>44985.686574074076</v>
      </c>
      <c r="U395" s="5"/>
      <c r="V395" s="5">
        <v>0</v>
      </c>
      <c r="W395" s="5"/>
      <c r="X395" s="5"/>
      <c r="Y395" s="5"/>
      <c r="Z395" s="5"/>
      <c r="AA395" s="5"/>
      <c r="AC395">
        <f t="shared" si="55"/>
        <v>8</v>
      </c>
      <c r="AD395" t="str">
        <f t="shared" si="56"/>
        <v/>
      </c>
      <c r="AE395">
        <f t="shared" si="57"/>
        <v>1</v>
      </c>
      <c r="AF395" t="str">
        <f t="shared" si="58"/>
        <v/>
      </c>
      <c r="AG395" t="str">
        <f t="shared" si="59"/>
        <v/>
      </c>
      <c r="AH395">
        <f t="shared" si="60"/>
        <v>3</v>
      </c>
      <c r="AI395" t="str">
        <f t="shared" si="61"/>
        <v/>
      </c>
      <c r="AJ395" t="str">
        <f t="shared" si="62"/>
        <v/>
      </c>
    </row>
    <row r="396" spans="1:36">
      <c r="A396" s="5">
        <v>395</v>
      </c>
      <c r="B396" s="5" t="s">
        <v>2073</v>
      </c>
      <c r="C396" s="5" t="s">
        <v>1540</v>
      </c>
      <c r="D396" s="5" t="s">
        <v>1985</v>
      </c>
      <c r="E396" s="5" t="s">
        <v>2072</v>
      </c>
      <c r="F396" s="5" t="str">
        <f t="shared" si="54"/>
        <v>Finance-Collections Officer</v>
      </c>
      <c r="G396" s="5" t="s">
        <v>47</v>
      </c>
      <c r="H396" s="9">
        <v>44974.686574074076</v>
      </c>
      <c r="I396" s="9">
        <v>44975.686574074076</v>
      </c>
      <c r="J396" s="9" t="e">
        <f>I396+#REF!</f>
        <v>#REF!</v>
      </c>
      <c r="K396" s="9" t="e">
        <f>J396+#REF!</f>
        <v>#REF!</v>
      </c>
      <c r="L396" s="10" t="s">
        <v>52</v>
      </c>
      <c r="M396" s="11"/>
      <c r="N396" s="5"/>
      <c r="O396" s="5"/>
      <c r="P396" s="9"/>
      <c r="Q396" s="5"/>
      <c r="R396" s="5"/>
      <c r="S396" s="5"/>
      <c r="T396" s="9"/>
      <c r="U396" s="5"/>
      <c r="V396" s="5">
        <v>0</v>
      </c>
      <c r="W396" s="5"/>
      <c r="X396" s="5"/>
      <c r="Y396" s="5"/>
      <c r="Z396" s="5"/>
      <c r="AA396" s="5"/>
      <c r="AC396" t="str">
        <f t="shared" si="55"/>
        <v/>
      </c>
      <c r="AD396" t="str">
        <f t="shared" si="56"/>
        <v/>
      </c>
      <c r="AE396" t="str">
        <f t="shared" si="57"/>
        <v/>
      </c>
      <c r="AF396" t="str">
        <f t="shared" si="58"/>
        <v/>
      </c>
      <c r="AG396" t="str">
        <f t="shared" si="59"/>
        <v/>
      </c>
      <c r="AH396">
        <f t="shared" si="60"/>
        <v>1</v>
      </c>
      <c r="AI396" t="str">
        <f t="shared" si="61"/>
        <v/>
      </c>
      <c r="AJ396" t="str">
        <f t="shared" si="62"/>
        <v/>
      </c>
    </row>
    <row r="397" spans="1:36">
      <c r="A397" s="5">
        <v>396</v>
      </c>
      <c r="B397" s="5" t="s">
        <v>2071</v>
      </c>
      <c r="C397" s="5" t="s">
        <v>1540</v>
      </c>
      <c r="D397" s="5" t="s">
        <v>1985</v>
      </c>
      <c r="E397" s="5" t="s">
        <v>2072</v>
      </c>
      <c r="F397" s="5" t="str">
        <f t="shared" si="54"/>
        <v>Finance-Collections Officer</v>
      </c>
      <c r="G397" s="5" t="s">
        <v>47</v>
      </c>
      <c r="H397" s="9">
        <v>44970.686574074076</v>
      </c>
      <c r="I397" s="9">
        <v>44974.686574074076</v>
      </c>
      <c r="J397" s="9" t="e">
        <f>I397+#REF!</f>
        <v>#REF!</v>
      </c>
      <c r="K397" s="9" t="e">
        <f>J397+#REF!</f>
        <v>#REF!</v>
      </c>
      <c r="L397" s="10" t="s">
        <v>52</v>
      </c>
      <c r="M397" s="11"/>
      <c r="N397" s="5"/>
      <c r="O397" s="5"/>
      <c r="P397" s="9"/>
      <c r="Q397" s="5"/>
      <c r="R397" s="5"/>
      <c r="S397" s="5"/>
      <c r="T397" s="9"/>
      <c r="U397" s="5"/>
      <c r="V397" s="5">
        <v>0</v>
      </c>
      <c r="W397" s="5"/>
      <c r="X397" s="5"/>
      <c r="Y397" s="5"/>
      <c r="Z397" s="5"/>
      <c r="AA397" s="5"/>
      <c r="AC397" t="str">
        <f t="shared" si="55"/>
        <v/>
      </c>
      <c r="AD397" t="str">
        <f t="shared" si="56"/>
        <v/>
      </c>
      <c r="AE397" t="str">
        <f t="shared" si="57"/>
        <v/>
      </c>
      <c r="AF397" t="str">
        <f t="shared" si="58"/>
        <v/>
      </c>
      <c r="AG397" t="str">
        <f t="shared" si="59"/>
        <v/>
      </c>
      <c r="AH397">
        <f t="shared" si="60"/>
        <v>4</v>
      </c>
      <c r="AI397" t="str">
        <f t="shared" si="61"/>
        <v/>
      </c>
      <c r="AJ397" t="str">
        <f t="shared" si="62"/>
        <v/>
      </c>
    </row>
    <row r="398" spans="1:36">
      <c r="A398" s="5">
        <v>397</v>
      </c>
      <c r="B398" s="5" t="s">
        <v>1964</v>
      </c>
      <c r="C398" s="5" t="s">
        <v>1540</v>
      </c>
      <c r="D398" s="5" t="s">
        <v>1925</v>
      </c>
      <c r="E398" s="5" t="s">
        <v>1939</v>
      </c>
      <c r="F398" s="5" t="str">
        <f t="shared" si="54"/>
        <v>Finance-Principal Officer</v>
      </c>
      <c r="G398" s="5" t="s">
        <v>56</v>
      </c>
      <c r="H398" s="9">
        <v>44971.686574074076</v>
      </c>
      <c r="I398" s="9">
        <v>44973.686574074076</v>
      </c>
      <c r="J398" s="9" t="e">
        <f>I398+#REF!</f>
        <v>#REF!</v>
      </c>
      <c r="K398" s="9" t="e">
        <f>J398+#REF!</f>
        <v>#REF!</v>
      </c>
      <c r="L398" s="10" t="s">
        <v>52</v>
      </c>
      <c r="M398" s="11"/>
      <c r="N398" s="5"/>
      <c r="O398" s="5"/>
      <c r="P398" s="9"/>
      <c r="Q398" s="5"/>
      <c r="R398" s="5"/>
      <c r="S398" s="5"/>
      <c r="T398" s="9"/>
      <c r="U398" s="5"/>
      <c r="V398" s="5">
        <v>0</v>
      </c>
      <c r="W398" s="5"/>
      <c r="X398" s="5"/>
      <c r="Y398" s="5"/>
      <c r="Z398" s="5"/>
      <c r="AA398" s="5"/>
      <c r="AC398" t="str">
        <f t="shared" si="55"/>
        <v/>
      </c>
      <c r="AD398" t="str">
        <f t="shared" si="56"/>
        <v/>
      </c>
      <c r="AE398" t="str">
        <f t="shared" si="57"/>
        <v/>
      </c>
      <c r="AF398" t="str">
        <f t="shared" si="58"/>
        <v/>
      </c>
      <c r="AG398" t="str">
        <f t="shared" si="59"/>
        <v/>
      </c>
      <c r="AH398">
        <f t="shared" si="60"/>
        <v>2</v>
      </c>
      <c r="AI398" t="str">
        <f t="shared" si="61"/>
        <v/>
      </c>
      <c r="AJ398" t="str">
        <f t="shared" si="62"/>
        <v/>
      </c>
    </row>
    <row r="399" spans="1:36">
      <c r="A399" s="5">
        <v>398</v>
      </c>
      <c r="B399" s="5" t="s">
        <v>1963</v>
      </c>
      <c r="C399" s="5" t="s">
        <v>1540</v>
      </c>
      <c r="D399" s="5" t="s">
        <v>1925</v>
      </c>
      <c r="E399" s="5" t="s">
        <v>1939</v>
      </c>
      <c r="F399" s="5" t="str">
        <f t="shared" si="54"/>
        <v>Finance-Principal Officer</v>
      </c>
      <c r="G399" s="5" t="s">
        <v>56</v>
      </c>
      <c r="H399" s="9">
        <v>44969.686574074076</v>
      </c>
      <c r="I399" s="9">
        <v>44972.686574074076</v>
      </c>
      <c r="J399" s="9" t="e">
        <f>I399+#REF!</f>
        <v>#REF!</v>
      </c>
      <c r="K399" s="9" t="e">
        <f>J399+#REF!</f>
        <v>#REF!</v>
      </c>
      <c r="L399" s="10" t="s">
        <v>41</v>
      </c>
      <c r="M399" s="11">
        <v>44983.686574074076</v>
      </c>
      <c r="N399" s="5" t="s">
        <v>42</v>
      </c>
      <c r="O399" s="5" t="s">
        <v>43</v>
      </c>
      <c r="P399" s="9"/>
      <c r="Q399" s="5"/>
      <c r="R399" s="5"/>
      <c r="S399" s="5"/>
      <c r="T399" s="9">
        <v>44987.686574074076</v>
      </c>
      <c r="U399" s="5"/>
      <c r="V399" s="5">
        <v>0</v>
      </c>
      <c r="W399" s="5"/>
      <c r="X399" s="5"/>
      <c r="Y399" s="5"/>
      <c r="Z399" s="5"/>
      <c r="AA399" s="5" t="s">
        <v>44</v>
      </c>
      <c r="AC399">
        <f t="shared" si="55"/>
        <v>11</v>
      </c>
      <c r="AD399" t="str">
        <f t="shared" si="56"/>
        <v/>
      </c>
      <c r="AE399">
        <f t="shared" si="57"/>
        <v>4</v>
      </c>
      <c r="AF399" t="str">
        <f t="shared" si="58"/>
        <v/>
      </c>
      <c r="AG399" t="str">
        <f t="shared" si="59"/>
        <v/>
      </c>
      <c r="AH399">
        <f t="shared" si="60"/>
        <v>3</v>
      </c>
      <c r="AI399" t="str">
        <f t="shared" si="61"/>
        <v/>
      </c>
      <c r="AJ399" t="str">
        <f t="shared" si="62"/>
        <v/>
      </c>
    </row>
    <row r="400" spans="1:36">
      <c r="A400" s="5">
        <v>399</v>
      </c>
      <c r="B400" s="5" t="s">
        <v>2070</v>
      </c>
      <c r="C400" s="5" t="s">
        <v>1540</v>
      </c>
      <c r="D400" s="5" t="s">
        <v>1985</v>
      </c>
      <c r="E400" s="5" t="s">
        <v>1862</v>
      </c>
      <c r="F400" s="5" t="str">
        <f t="shared" si="54"/>
        <v>Finance-Billing Officer</v>
      </c>
      <c r="G400" s="5" t="s">
        <v>47</v>
      </c>
      <c r="H400" s="9">
        <v>44972.686574074076</v>
      </c>
      <c r="I400" s="9">
        <v>44976.686574074076</v>
      </c>
      <c r="J400" s="9" t="e">
        <f>I400+#REF!</f>
        <v>#REF!</v>
      </c>
      <c r="K400" s="9" t="e">
        <f>J400+#REF!</f>
        <v>#REF!</v>
      </c>
      <c r="L400" s="10" t="s">
        <v>41</v>
      </c>
      <c r="M400" s="11">
        <v>44981.686574074076</v>
      </c>
      <c r="N400" s="5" t="s">
        <v>42</v>
      </c>
      <c r="O400" s="5" t="s">
        <v>43</v>
      </c>
      <c r="P400" s="9"/>
      <c r="Q400" s="5"/>
      <c r="R400" s="5"/>
      <c r="S400" s="5"/>
      <c r="T400" s="9">
        <v>44983.686574074076</v>
      </c>
      <c r="U400" s="5"/>
      <c r="V400" s="5">
        <v>0</v>
      </c>
      <c r="W400" s="5"/>
      <c r="X400" s="5"/>
      <c r="Y400" s="5"/>
      <c r="Z400" s="5"/>
      <c r="AA400" s="5" t="s">
        <v>62</v>
      </c>
      <c r="AC400">
        <f t="shared" si="55"/>
        <v>5</v>
      </c>
      <c r="AD400" t="str">
        <f t="shared" si="56"/>
        <v/>
      </c>
      <c r="AE400">
        <f t="shared" si="57"/>
        <v>2</v>
      </c>
      <c r="AF400" t="str">
        <f t="shared" si="58"/>
        <v/>
      </c>
      <c r="AG400" t="str">
        <f t="shared" si="59"/>
        <v/>
      </c>
      <c r="AH400">
        <f t="shared" si="60"/>
        <v>4</v>
      </c>
      <c r="AI400" t="str">
        <f t="shared" si="61"/>
        <v/>
      </c>
      <c r="AJ400" t="str">
        <f t="shared" si="62"/>
        <v/>
      </c>
    </row>
    <row r="401" spans="1:36">
      <c r="A401" s="5">
        <v>400</v>
      </c>
      <c r="B401" s="5" t="s">
        <v>1690</v>
      </c>
      <c r="C401" s="5" t="s">
        <v>1540</v>
      </c>
      <c r="D401" s="5" t="s">
        <v>1588</v>
      </c>
      <c r="E401" s="5" t="s">
        <v>1360</v>
      </c>
      <c r="F401" s="5" t="str">
        <f t="shared" si="54"/>
        <v>Finance-Fund Administrator</v>
      </c>
      <c r="G401" s="5" t="s">
        <v>147</v>
      </c>
      <c r="H401" s="9">
        <v>44975.686574074076</v>
      </c>
      <c r="I401" s="9">
        <v>44976.686574074076</v>
      </c>
      <c r="J401" s="9" t="e">
        <f>I401+#REF!</f>
        <v>#REF!</v>
      </c>
      <c r="K401" s="9" t="e">
        <f>J401+#REF!</f>
        <v>#REF!</v>
      </c>
      <c r="L401" s="10" t="s">
        <v>41</v>
      </c>
      <c r="M401" s="11">
        <v>44992.686574074076</v>
      </c>
      <c r="N401" s="5" t="s">
        <v>42</v>
      </c>
      <c r="O401" s="5" t="s">
        <v>73</v>
      </c>
      <c r="P401" s="9"/>
      <c r="Q401" s="5"/>
      <c r="R401" s="5"/>
      <c r="S401" s="5"/>
      <c r="T401" s="9"/>
      <c r="U401" s="5"/>
      <c r="V401" s="5">
        <v>0</v>
      </c>
      <c r="W401" s="5"/>
      <c r="X401" s="5"/>
      <c r="Y401" s="5"/>
      <c r="Z401" s="5"/>
      <c r="AA401" s="5" t="s">
        <v>62</v>
      </c>
      <c r="AC401">
        <f t="shared" si="55"/>
        <v>16</v>
      </c>
      <c r="AD401" t="str">
        <f t="shared" si="56"/>
        <v/>
      </c>
      <c r="AE401" t="str">
        <f t="shared" si="57"/>
        <v/>
      </c>
      <c r="AF401" t="str">
        <f t="shared" si="58"/>
        <v/>
      </c>
      <c r="AG401" t="str">
        <f t="shared" si="59"/>
        <v/>
      </c>
      <c r="AH401">
        <f t="shared" si="60"/>
        <v>1</v>
      </c>
      <c r="AI401" t="str">
        <f t="shared" si="61"/>
        <v/>
      </c>
      <c r="AJ401" t="str">
        <f t="shared" si="62"/>
        <v/>
      </c>
    </row>
    <row r="402" spans="1:36">
      <c r="A402" s="5">
        <v>401</v>
      </c>
      <c r="B402" s="5" t="s">
        <v>53</v>
      </c>
      <c r="C402" s="5" t="s">
        <v>37</v>
      </c>
      <c r="D402" s="5" t="s">
        <v>54</v>
      </c>
      <c r="E402" s="5" t="s">
        <v>55</v>
      </c>
      <c r="F402" s="5" t="str">
        <f t="shared" si="54"/>
        <v>Risk Management-Director</v>
      </c>
      <c r="G402" s="5" t="s">
        <v>56</v>
      </c>
      <c r="H402" s="9">
        <v>44613.210798611108</v>
      </c>
      <c r="I402" s="9">
        <v>44616.210798611108</v>
      </c>
      <c r="J402" s="9" t="e">
        <f>I402+#REF!</f>
        <v>#REF!</v>
      </c>
      <c r="K402" s="9" t="e">
        <f>J402+#REF!</f>
        <v>#REF!</v>
      </c>
      <c r="L402" s="10" t="s">
        <v>41</v>
      </c>
      <c r="M402" s="11">
        <v>44626.210798611108</v>
      </c>
      <c r="N402" s="5" t="s">
        <v>48</v>
      </c>
      <c r="O402" s="5"/>
      <c r="P402" s="9">
        <v>44630.210798611108</v>
      </c>
      <c r="Q402" s="5" t="s">
        <v>48</v>
      </c>
      <c r="R402" s="5"/>
      <c r="S402" s="5"/>
      <c r="T402" s="9">
        <v>44627.210798611108</v>
      </c>
      <c r="U402" s="5"/>
      <c r="V402" s="5">
        <v>0</v>
      </c>
      <c r="W402" s="5"/>
      <c r="X402" s="5"/>
      <c r="Y402" s="5"/>
      <c r="Z402" s="5"/>
      <c r="AA402" s="5"/>
      <c r="AC402">
        <f t="shared" si="55"/>
        <v>10</v>
      </c>
      <c r="AD402" t="str">
        <f t="shared" si="56"/>
        <v/>
      </c>
      <c r="AE402">
        <f t="shared" si="57"/>
        <v>1</v>
      </c>
      <c r="AF402" t="str">
        <f t="shared" si="58"/>
        <v/>
      </c>
      <c r="AG402" t="str">
        <f t="shared" si="59"/>
        <v/>
      </c>
      <c r="AH402">
        <f t="shared" si="60"/>
        <v>3</v>
      </c>
      <c r="AI402" t="str">
        <f t="shared" si="61"/>
        <v/>
      </c>
      <c r="AJ402" t="str">
        <f t="shared" si="62"/>
        <v/>
      </c>
    </row>
    <row r="403" spans="1:36">
      <c r="A403" s="5">
        <v>402</v>
      </c>
      <c r="B403" s="5" t="s">
        <v>2512</v>
      </c>
      <c r="C403" s="5" t="s">
        <v>2494</v>
      </c>
      <c r="D403" s="5" t="s">
        <v>2504</v>
      </c>
      <c r="E403" s="5" t="s">
        <v>1862</v>
      </c>
      <c r="F403" s="5" t="str">
        <f t="shared" si="54"/>
        <v>Administation-Billing Officer</v>
      </c>
      <c r="G403" s="5" t="s">
        <v>147</v>
      </c>
      <c r="H403" s="9">
        <v>44615.210798611108</v>
      </c>
      <c r="I403" s="9">
        <v>44618.210798611108</v>
      </c>
      <c r="J403" s="9" t="e">
        <f>I403+#REF!</f>
        <v>#REF!</v>
      </c>
      <c r="K403" s="9" t="e">
        <f>J403+#REF!</f>
        <v>#REF!</v>
      </c>
      <c r="L403" s="10" t="s">
        <v>41</v>
      </c>
      <c r="M403" s="11">
        <v>44639.210798611108</v>
      </c>
      <c r="N403" s="5" t="s">
        <v>42</v>
      </c>
      <c r="O403" s="5" t="s">
        <v>98</v>
      </c>
      <c r="P403" s="9"/>
      <c r="Q403" s="5"/>
      <c r="R403" s="5"/>
      <c r="S403" s="5"/>
      <c r="T403" s="9">
        <v>44642.210798611108</v>
      </c>
      <c r="U403" s="5"/>
      <c r="V403" s="5">
        <v>0</v>
      </c>
      <c r="W403" s="5"/>
      <c r="X403" s="5"/>
      <c r="Y403" s="5"/>
      <c r="Z403" s="5"/>
      <c r="AA403" s="5" t="s">
        <v>44</v>
      </c>
      <c r="AC403">
        <f t="shared" si="55"/>
        <v>21</v>
      </c>
      <c r="AD403" t="str">
        <f t="shared" si="56"/>
        <v/>
      </c>
      <c r="AE403">
        <f t="shared" si="57"/>
        <v>3</v>
      </c>
      <c r="AF403" t="str">
        <f t="shared" si="58"/>
        <v/>
      </c>
      <c r="AG403" t="str">
        <f t="shared" si="59"/>
        <v/>
      </c>
      <c r="AH403">
        <f t="shared" si="60"/>
        <v>3</v>
      </c>
      <c r="AI403" t="str">
        <f t="shared" si="61"/>
        <v/>
      </c>
      <c r="AJ403" t="str">
        <f t="shared" si="62"/>
        <v/>
      </c>
    </row>
    <row r="404" spans="1:36">
      <c r="A404" s="5">
        <v>403</v>
      </c>
      <c r="B404" s="5" t="s">
        <v>59</v>
      </c>
      <c r="C404" s="5" t="s">
        <v>37</v>
      </c>
      <c r="D404" s="5" t="s">
        <v>54</v>
      </c>
      <c r="E404" s="5" t="s">
        <v>55</v>
      </c>
      <c r="F404" s="5" t="str">
        <f t="shared" si="54"/>
        <v>Risk Management-Director</v>
      </c>
      <c r="G404" s="5" t="s">
        <v>56</v>
      </c>
      <c r="H404" s="9">
        <v>44616.210798611108</v>
      </c>
      <c r="I404" s="9">
        <v>44619.210798611108</v>
      </c>
      <c r="J404" s="9" t="e">
        <f>I404+#REF!</f>
        <v>#REF!</v>
      </c>
      <c r="K404" s="9" t="e">
        <f>J404+#REF!</f>
        <v>#REF!</v>
      </c>
      <c r="L404" s="10" t="s">
        <v>41</v>
      </c>
      <c r="M404" s="11">
        <v>44629.210798611108</v>
      </c>
      <c r="N404" s="5" t="s">
        <v>42</v>
      </c>
      <c r="O404" s="5" t="s">
        <v>58</v>
      </c>
      <c r="P404" s="9"/>
      <c r="Q404" s="5"/>
      <c r="R404" s="5"/>
      <c r="S404" s="5"/>
      <c r="T404" s="9"/>
      <c r="U404" s="5"/>
      <c r="V404" s="5">
        <v>0</v>
      </c>
      <c r="W404" s="5"/>
      <c r="X404" s="5"/>
      <c r="Y404" s="5"/>
      <c r="Z404" s="5"/>
      <c r="AA404" s="5" t="s">
        <v>44</v>
      </c>
      <c r="AC404">
        <f t="shared" si="55"/>
        <v>10</v>
      </c>
      <c r="AD404" t="str">
        <f t="shared" si="56"/>
        <v/>
      </c>
      <c r="AE404" t="str">
        <f t="shared" si="57"/>
        <v/>
      </c>
      <c r="AF404" t="str">
        <f t="shared" si="58"/>
        <v/>
      </c>
      <c r="AG404" t="str">
        <f t="shared" si="59"/>
        <v/>
      </c>
      <c r="AH404">
        <f t="shared" si="60"/>
        <v>3</v>
      </c>
      <c r="AI404" t="str">
        <f t="shared" si="61"/>
        <v/>
      </c>
      <c r="AJ404" t="str">
        <f t="shared" si="62"/>
        <v/>
      </c>
    </row>
    <row r="405" spans="1:36">
      <c r="A405" s="5">
        <v>404</v>
      </c>
      <c r="B405" s="5" t="s">
        <v>57</v>
      </c>
      <c r="C405" s="5" t="s">
        <v>37</v>
      </c>
      <c r="D405" s="5" t="s">
        <v>54</v>
      </c>
      <c r="E405" s="5" t="s">
        <v>55</v>
      </c>
      <c r="F405" s="5" t="str">
        <f t="shared" si="54"/>
        <v>Risk Management-Director</v>
      </c>
      <c r="G405" s="5" t="s">
        <v>56</v>
      </c>
      <c r="H405" s="9">
        <v>44614.210798611108</v>
      </c>
      <c r="I405" s="9">
        <v>44616.210798611108</v>
      </c>
      <c r="J405" s="9" t="e">
        <f>I405+#REF!</f>
        <v>#REF!</v>
      </c>
      <c r="K405" s="9" t="e">
        <f>J405+#REF!</f>
        <v>#REF!</v>
      </c>
      <c r="L405" s="10" t="s">
        <v>41</v>
      </c>
      <c r="M405" s="11">
        <v>44634.210798611108</v>
      </c>
      <c r="N405" s="5" t="s">
        <v>42</v>
      </c>
      <c r="O405" s="5" t="s">
        <v>58</v>
      </c>
      <c r="P405" s="9"/>
      <c r="Q405" s="5"/>
      <c r="R405" s="5"/>
      <c r="S405" s="5"/>
      <c r="T405" s="9">
        <v>44637.210798611108</v>
      </c>
      <c r="U405" s="5"/>
      <c r="V405" s="5">
        <v>0</v>
      </c>
      <c r="W405" s="5"/>
      <c r="X405" s="5"/>
      <c r="Y405" s="5"/>
      <c r="Z405" s="5"/>
      <c r="AA405" s="5" t="s">
        <v>44</v>
      </c>
      <c r="AC405">
        <f t="shared" si="55"/>
        <v>18</v>
      </c>
      <c r="AD405" t="str">
        <f t="shared" si="56"/>
        <v/>
      </c>
      <c r="AE405">
        <f t="shared" si="57"/>
        <v>3</v>
      </c>
      <c r="AF405" t="str">
        <f t="shared" si="58"/>
        <v/>
      </c>
      <c r="AG405" t="str">
        <f t="shared" si="59"/>
        <v/>
      </c>
      <c r="AH405">
        <f t="shared" si="60"/>
        <v>2</v>
      </c>
      <c r="AI405" t="str">
        <f t="shared" si="61"/>
        <v/>
      </c>
      <c r="AJ405" t="str">
        <f t="shared" si="62"/>
        <v/>
      </c>
    </row>
    <row r="406" spans="1:36">
      <c r="A406" s="5">
        <v>405</v>
      </c>
      <c r="B406" s="5" t="s">
        <v>63</v>
      </c>
      <c r="C406" s="5" t="s">
        <v>37</v>
      </c>
      <c r="D406" s="5" t="s">
        <v>54</v>
      </c>
      <c r="E406" s="5" t="s">
        <v>55</v>
      </c>
      <c r="F406" s="5" t="str">
        <f t="shared" si="54"/>
        <v>Risk Management-Director</v>
      </c>
      <c r="G406" s="5" t="s">
        <v>56</v>
      </c>
      <c r="H406" s="9">
        <v>44617.210798611108</v>
      </c>
      <c r="I406" s="9">
        <v>44620.210798611108</v>
      </c>
      <c r="J406" s="9" t="e">
        <f>I406+#REF!</f>
        <v>#REF!</v>
      </c>
      <c r="K406" s="9" t="e">
        <f>J406+#REF!</f>
        <v>#REF!</v>
      </c>
      <c r="L406" s="10" t="s">
        <v>41</v>
      </c>
      <c r="M406" s="11">
        <v>44625.210798611108</v>
      </c>
      <c r="N406" s="5" t="s">
        <v>64</v>
      </c>
      <c r="O406" s="5"/>
      <c r="P406" s="9">
        <v>44627.210798611108</v>
      </c>
      <c r="Q406" s="5" t="s">
        <v>64</v>
      </c>
      <c r="R406" s="9">
        <v>44626.210798611108</v>
      </c>
      <c r="S406" s="9">
        <v>44629.210798611108</v>
      </c>
      <c r="T406" s="9">
        <v>44626.210798611108</v>
      </c>
      <c r="U406" s="9">
        <v>44628.210798611108</v>
      </c>
      <c r="V406" s="12">
        <v>1</v>
      </c>
      <c r="W406" s="9">
        <v>44631.210798611108</v>
      </c>
      <c r="X406" s="9">
        <v>44633.210798611108</v>
      </c>
      <c r="Y406" s="9">
        <v>44636.210798611108</v>
      </c>
      <c r="Z406" s="5"/>
      <c r="AA406" s="5"/>
      <c r="AB406" s="13">
        <v>44648.210798611108</v>
      </c>
      <c r="AC406">
        <f t="shared" si="55"/>
        <v>5</v>
      </c>
      <c r="AD406">
        <f t="shared" si="56"/>
        <v>9</v>
      </c>
      <c r="AE406">
        <f t="shared" si="57"/>
        <v>1</v>
      </c>
      <c r="AF406">
        <f t="shared" si="58"/>
        <v>5</v>
      </c>
      <c r="AG406">
        <f t="shared" si="59"/>
        <v>3</v>
      </c>
      <c r="AH406">
        <f t="shared" si="60"/>
        <v>3</v>
      </c>
      <c r="AI406" t="str">
        <f t="shared" si="61"/>
        <v/>
      </c>
      <c r="AJ406" t="str">
        <f t="shared" si="62"/>
        <v/>
      </c>
    </row>
    <row r="407" spans="1:36">
      <c r="A407" s="5">
        <v>406</v>
      </c>
      <c r="B407" s="5" t="s">
        <v>2530</v>
      </c>
      <c r="C407" s="5" t="s">
        <v>2494</v>
      </c>
      <c r="D407" s="5" t="s">
        <v>2523</v>
      </c>
      <c r="E407" s="5" t="s">
        <v>51</v>
      </c>
      <c r="F407" s="5" t="str">
        <f t="shared" si="54"/>
        <v>Administation-Supervisor</v>
      </c>
      <c r="G407" s="5" t="s">
        <v>270</v>
      </c>
      <c r="H407" s="9">
        <v>44617.210798611108</v>
      </c>
      <c r="I407" s="9">
        <v>44621.210798611108</v>
      </c>
      <c r="J407" s="9" t="e">
        <f>I407+#REF!</f>
        <v>#REF!</v>
      </c>
      <c r="K407" s="9" t="e">
        <f>J407+#REF!</f>
        <v>#REF!</v>
      </c>
      <c r="L407" s="10" t="s">
        <v>52</v>
      </c>
      <c r="M407" s="11"/>
      <c r="N407" s="5"/>
      <c r="O407" s="5"/>
      <c r="P407" s="9"/>
      <c r="Q407" s="5"/>
      <c r="R407" s="5"/>
      <c r="S407" s="5"/>
      <c r="T407" s="9"/>
      <c r="U407" s="5"/>
      <c r="V407" s="5">
        <v>0</v>
      </c>
      <c r="W407" s="5"/>
      <c r="X407" s="5"/>
      <c r="Y407" s="5"/>
      <c r="Z407" s="5"/>
      <c r="AA407" s="5"/>
      <c r="AC407" t="str">
        <f t="shared" si="55"/>
        <v/>
      </c>
      <c r="AD407" t="str">
        <f t="shared" si="56"/>
        <v/>
      </c>
      <c r="AE407" t="str">
        <f t="shared" si="57"/>
        <v/>
      </c>
      <c r="AF407" t="str">
        <f t="shared" si="58"/>
        <v/>
      </c>
      <c r="AG407" t="str">
        <f t="shared" si="59"/>
        <v/>
      </c>
      <c r="AH407">
        <f t="shared" si="60"/>
        <v>4</v>
      </c>
      <c r="AI407" t="str">
        <f t="shared" si="61"/>
        <v/>
      </c>
      <c r="AJ407" t="str">
        <f t="shared" si="62"/>
        <v/>
      </c>
    </row>
    <row r="408" spans="1:36">
      <c r="A408" s="5">
        <v>407</v>
      </c>
      <c r="B408" s="5" t="s">
        <v>50</v>
      </c>
      <c r="C408" s="5" t="s">
        <v>37</v>
      </c>
      <c r="D408" s="5" t="s">
        <v>46</v>
      </c>
      <c r="E408" s="5" t="s">
        <v>51</v>
      </c>
      <c r="F408" s="5" t="str">
        <f t="shared" si="54"/>
        <v>Risk Management-Supervisor</v>
      </c>
      <c r="G408" s="5" t="s">
        <v>47</v>
      </c>
      <c r="H408" s="9">
        <v>44612.210798611108</v>
      </c>
      <c r="I408" s="9">
        <v>44616.210798611108</v>
      </c>
      <c r="J408" s="9" t="e">
        <f>I408+#REF!</f>
        <v>#REF!</v>
      </c>
      <c r="K408" s="9" t="e">
        <f>J408+#REF!</f>
        <v>#REF!</v>
      </c>
      <c r="L408" s="10" t="s">
        <v>52</v>
      </c>
      <c r="M408" s="11"/>
      <c r="N408" s="5"/>
      <c r="O408" s="5"/>
      <c r="P408" s="9"/>
      <c r="Q408" s="5"/>
      <c r="R408" s="5"/>
      <c r="S408" s="5"/>
      <c r="T408" s="9"/>
      <c r="U408" s="5"/>
      <c r="V408" s="5">
        <v>0</v>
      </c>
      <c r="W408" s="5"/>
      <c r="X408" s="5"/>
      <c r="Y408" s="5"/>
      <c r="Z408" s="5"/>
      <c r="AA408" s="5"/>
      <c r="AC408" t="str">
        <f t="shared" si="55"/>
        <v/>
      </c>
      <c r="AD408" t="str">
        <f t="shared" si="56"/>
        <v/>
      </c>
      <c r="AE408" t="str">
        <f t="shared" si="57"/>
        <v/>
      </c>
      <c r="AF408" t="str">
        <f t="shared" si="58"/>
        <v/>
      </c>
      <c r="AG408" t="str">
        <f t="shared" si="59"/>
        <v/>
      </c>
      <c r="AH408">
        <f t="shared" si="60"/>
        <v>4</v>
      </c>
      <c r="AI408" t="str">
        <f t="shared" si="61"/>
        <v/>
      </c>
      <c r="AJ408" t="str">
        <f t="shared" si="62"/>
        <v/>
      </c>
    </row>
    <row r="409" spans="1:36">
      <c r="A409" s="5">
        <v>408</v>
      </c>
      <c r="B409" s="5" t="s">
        <v>60</v>
      </c>
      <c r="C409" s="5" t="s">
        <v>37</v>
      </c>
      <c r="D409" s="5" t="s">
        <v>38</v>
      </c>
      <c r="E409" s="5" t="s">
        <v>39</v>
      </c>
      <c r="F409" s="5" t="str">
        <f t="shared" si="54"/>
        <v>Risk Management-Analyst</v>
      </c>
      <c r="G409" s="5" t="s">
        <v>40</v>
      </c>
      <c r="H409" s="9">
        <v>44617.210798611108</v>
      </c>
      <c r="I409" s="9">
        <v>44620.210798611108</v>
      </c>
      <c r="J409" s="9" t="e">
        <f>I409+#REF!</f>
        <v>#REF!</v>
      </c>
      <c r="K409" s="9" t="e">
        <f>J409+#REF!</f>
        <v>#REF!</v>
      </c>
      <c r="L409" s="10" t="s">
        <v>41</v>
      </c>
      <c r="M409" s="11">
        <v>44627.210798611108</v>
      </c>
      <c r="N409" s="5" t="s">
        <v>48</v>
      </c>
      <c r="O409" s="5"/>
      <c r="P409" s="9">
        <v>44634.210798611108</v>
      </c>
      <c r="Q409" s="5" t="s">
        <v>48</v>
      </c>
      <c r="R409" s="5"/>
      <c r="S409" s="5"/>
      <c r="T409" s="9">
        <v>44631.210798611108</v>
      </c>
      <c r="U409" s="5"/>
      <c r="V409" s="5">
        <v>0</v>
      </c>
      <c r="W409" s="5"/>
      <c r="X409" s="5"/>
      <c r="Y409" s="5"/>
      <c r="Z409" s="5"/>
      <c r="AA409" s="5"/>
      <c r="AC409">
        <f t="shared" si="55"/>
        <v>7</v>
      </c>
      <c r="AD409" t="str">
        <f t="shared" si="56"/>
        <v/>
      </c>
      <c r="AE409">
        <f t="shared" si="57"/>
        <v>4</v>
      </c>
      <c r="AF409" t="str">
        <f t="shared" si="58"/>
        <v/>
      </c>
      <c r="AG409" t="str">
        <f t="shared" si="59"/>
        <v/>
      </c>
      <c r="AH409">
        <f t="shared" si="60"/>
        <v>3</v>
      </c>
      <c r="AI409" t="str">
        <f t="shared" si="61"/>
        <v/>
      </c>
      <c r="AJ409" t="str">
        <f t="shared" si="62"/>
        <v/>
      </c>
    </row>
    <row r="410" spans="1:36">
      <c r="A410" s="5">
        <v>409</v>
      </c>
      <c r="B410" s="5" t="s">
        <v>61</v>
      </c>
      <c r="C410" s="5" t="s">
        <v>37</v>
      </c>
      <c r="D410" s="5" t="s">
        <v>54</v>
      </c>
      <c r="E410" s="5" t="s">
        <v>55</v>
      </c>
      <c r="F410" s="5" t="str">
        <f t="shared" si="54"/>
        <v>Risk Management-Director</v>
      </c>
      <c r="G410" s="5" t="s">
        <v>56</v>
      </c>
      <c r="H410" s="9">
        <v>44617.210798611108</v>
      </c>
      <c r="I410" s="9">
        <v>44620.210798611108</v>
      </c>
      <c r="J410" s="9" t="e">
        <f>I410+#REF!</f>
        <v>#REF!</v>
      </c>
      <c r="K410" s="9" t="e">
        <f>J410+#REF!</f>
        <v>#REF!</v>
      </c>
      <c r="L410" s="10" t="s">
        <v>41</v>
      </c>
      <c r="M410" s="11">
        <v>44629.210798611108</v>
      </c>
      <c r="N410" s="5" t="s">
        <v>42</v>
      </c>
      <c r="O410" s="5" t="s">
        <v>43</v>
      </c>
      <c r="P410" s="9"/>
      <c r="Q410" s="5"/>
      <c r="R410" s="5"/>
      <c r="S410" s="5"/>
      <c r="T410" s="9"/>
      <c r="U410" s="5"/>
      <c r="V410" s="5">
        <v>0</v>
      </c>
      <c r="W410" s="5"/>
      <c r="X410" s="5"/>
      <c r="Y410" s="5"/>
      <c r="Z410" s="5"/>
      <c r="AA410" s="5" t="s">
        <v>62</v>
      </c>
      <c r="AC410">
        <f t="shared" si="55"/>
        <v>9</v>
      </c>
      <c r="AD410" t="str">
        <f t="shared" si="56"/>
        <v/>
      </c>
      <c r="AE410" t="str">
        <f t="shared" si="57"/>
        <v/>
      </c>
      <c r="AF410" t="str">
        <f t="shared" si="58"/>
        <v/>
      </c>
      <c r="AG410" t="str">
        <f t="shared" si="59"/>
        <v/>
      </c>
      <c r="AH410">
        <f t="shared" si="60"/>
        <v>3</v>
      </c>
      <c r="AI410" t="str">
        <f t="shared" si="61"/>
        <v/>
      </c>
      <c r="AJ410" t="str">
        <f t="shared" si="62"/>
        <v/>
      </c>
    </row>
    <row r="411" spans="1:36">
      <c r="A411" s="5">
        <v>410</v>
      </c>
      <c r="B411" s="5" t="s">
        <v>65</v>
      </c>
      <c r="C411" s="5" t="s">
        <v>37</v>
      </c>
      <c r="D411" s="5" t="s">
        <v>46</v>
      </c>
      <c r="E411" s="5" t="s">
        <v>51</v>
      </c>
      <c r="F411" s="5" t="str">
        <f t="shared" si="54"/>
        <v>Risk Management-Supervisor</v>
      </c>
      <c r="G411" s="5" t="s">
        <v>47</v>
      </c>
      <c r="H411" s="9">
        <v>44618.210798611108</v>
      </c>
      <c r="I411" s="9">
        <v>44620.210798611108</v>
      </c>
      <c r="J411" s="9" t="e">
        <f>I411+#REF!</f>
        <v>#REF!</v>
      </c>
      <c r="K411" s="9" t="e">
        <f>J411+#REF!</f>
        <v>#REF!</v>
      </c>
      <c r="L411" s="10" t="s">
        <v>41</v>
      </c>
      <c r="M411" s="11">
        <v>44624.210798611108</v>
      </c>
      <c r="N411" s="5" t="s">
        <v>48</v>
      </c>
      <c r="O411" s="5"/>
      <c r="P411" s="9">
        <v>44628.210798611108</v>
      </c>
      <c r="Q411" s="5" t="s">
        <v>48</v>
      </c>
      <c r="R411" s="5"/>
      <c r="S411" s="5"/>
      <c r="T411" s="9">
        <v>44625.210798611108</v>
      </c>
      <c r="U411" s="5"/>
      <c r="V411" s="5">
        <v>0</v>
      </c>
      <c r="W411" s="5"/>
      <c r="X411" s="5"/>
      <c r="Y411" s="5"/>
      <c r="Z411" s="5"/>
      <c r="AA411" s="5"/>
      <c r="AC411">
        <f t="shared" si="55"/>
        <v>4</v>
      </c>
      <c r="AD411" t="str">
        <f t="shared" si="56"/>
        <v/>
      </c>
      <c r="AE411">
        <f t="shared" si="57"/>
        <v>1</v>
      </c>
      <c r="AF411" t="str">
        <f t="shared" si="58"/>
        <v/>
      </c>
      <c r="AG411" t="str">
        <f t="shared" si="59"/>
        <v/>
      </c>
      <c r="AH411">
        <f t="shared" si="60"/>
        <v>2</v>
      </c>
      <c r="AI411" t="str">
        <f t="shared" si="61"/>
        <v/>
      </c>
      <c r="AJ411" t="str">
        <f t="shared" si="62"/>
        <v/>
      </c>
    </row>
    <row r="412" spans="1:36">
      <c r="A412" s="5">
        <v>411</v>
      </c>
      <c r="B412" s="5" t="s">
        <v>2284</v>
      </c>
      <c r="C412" s="5" t="s">
        <v>2229</v>
      </c>
      <c r="D412" s="5" t="s">
        <v>2250</v>
      </c>
      <c r="E412" s="5" t="s">
        <v>1146</v>
      </c>
      <c r="F412" s="5" t="str">
        <f t="shared" si="54"/>
        <v>Capacity Building-Quality Assurance</v>
      </c>
      <c r="G412" s="5" t="s">
        <v>147</v>
      </c>
      <c r="H412" s="9">
        <v>45092.637766203705</v>
      </c>
      <c r="I412" s="9">
        <v>45094.637766203705</v>
      </c>
      <c r="J412" s="9" t="e">
        <f>I412+#REF!</f>
        <v>#REF!</v>
      </c>
      <c r="K412" s="9" t="e">
        <f>J412+#REF!</f>
        <v>#REF!</v>
      </c>
      <c r="L412" s="10" t="s">
        <v>52</v>
      </c>
      <c r="M412" s="11"/>
      <c r="N412" s="5"/>
      <c r="O412" s="5"/>
      <c r="P412" s="9"/>
      <c r="Q412" s="5"/>
      <c r="R412" s="5"/>
      <c r="S412" s="5"/>
      <c r="T412" s="9"/>
      <c r="U412" s="5"/>
      <c r="V412" s="5">
        <v>0</v>
      </c>
      <c r="W412" s="5"/>
      <c r="X412" s="5"/>
      <c r="Y412" s="5"/>
      <c r="Z412" s="5"/>
      <c r="AA412" s="5"/>
      <c r="AC412" t="str">
        <f t="shared" si="55"/>
        <v/>
      </c>
      <c r="AD412" t="str">
        <f t="shared" si="56"/>
        <v/>
      </c>
      <c r="AE412" t="str">
        <f t="shared" si="57"/>
        <v/>
      </c>
      <c r="AF412" t="str">
        <f t="shared" si="58"/>
        <v/>
      </c>
      <c r="AG412" t="str">
        <f t="shared" si="59"/>
        <v/>
      </c>
      <c r="AH412">
        <f t="shared" si="60"/>
        <v>2</v>
      </c>
      <c r="AI412" t="str">
        <f t="shared" si="61"/>
        <v/>
      </c>
      <c r="AJ412" t="str">
        <f t="shared" si="62"/>
        <v/>
      </c>
    </row>
    <row r="413" spans="1:36">
      <c r="A413" s="5">
        <v>412</v>
      </c>
      <c r="B413" s="5" t="s">
        <v>2236</v>
      </c>
      <c r="C413" s="5" t="s">
        <v>2229</v>
      </c>
      <c r="D413" s="5" t="s">
        <v>2230</v>
      </c>
      <c r="E413" s="5" t="s">
        <v>102</v>
      </c>
      <c r="F413" s="5" t="str">
        <f t="shared" si="54"/>
        <v>Capacity Building-Senior Manager</v>
      </c>
      <c r="G413" s="5" t="s">
        <v>103</v>
      </c>
      <c r="H413" s="9">
        <v>45095.637766203705</v>
      </c>
      <c r="I413" s="9">
        <v>45096.637766203705</v>
      </c>
      <c r="J413" s="9" t="e">
        <f>I413+#REF!</f>
        <v>#REF!</v>
      </c>
      <c r="K413" s="9" t="e">
        <f>J413+#REF!</f>
        <v>#REF!</v>
      </c>
      <c r="L413" s="10" t="s">
        <v>41</v>
      </c>
      <c r="M413" s="11">
        <v>45113.637766203705</v>
      </c>
      <c r="N413" s="5" t="s">
        <v>42</v>
      </c>
      <c r="O413" s="5" t="s">
        <v>113</v>
      </c>
      <c r="P413" s="9"/>
      <c r="Q413" s="5"/>
      <c r="R413" s="5"/>
      <c r="S413" s="5"/>
      <c r="T413" s="9"/>
      <c r="U413" s="5"/>
      <c r="V413" s="5">
        <v>0</v>
      </c>
      <c r="W413" s="5"/>
      <c r="X413" s="5"/>
      <c r="Y413" s="5"/>
      <c r="Z413" s="5"/>
      <c r="AA413" s="5" t="s">
        <v>44</v>
      </c>
      <c r="AC413">
        <f t="shared" si="55"/>
        <v>17</v>
      </c>
      <c r="AD413" t="str">
        <f t="shared" si="56"/>
        <v/>
      </c>
      <c r="AE413" t="str">
        <f t="shared" si="57"/>
        <v/>
      </c>
      <c r="AF413" t="str">
        <f t="shared" si="58"/>
        <v/>
      </c>
      <c r="AG413" t="str">
        <f t="shared" si="59"/>
        <v/>
      </c>
      <c r="AH413">
        <f t="shared" si="60"/>
        <v>1</v>
      </c>
      <c r="AI413" t="str">
        <f t="shared" si="61"/>
        <v/>
      </c>
      <c r="AJ413" t="str">
        <f t="shared" si="62"/>
        <v/>
      </c>
    </row>
    <row r="414" spans="1:36">
      <c r="A414" s="5">
        <v>413</v>
      </c>
      <c r="B414" s="5" t="s">
        <v>2235</v>
      </c>
      <c r="C414" s="5" t="s">
        <v>2229</v>
      </c>
      <c r="D414" s="5" t="s">
        <v>2230</v>
      </c>
      <c r="E414" s="5" t="s">
        <v>102</v>
      </c>
      <c r="F414" s="5" t="str">
        <f t="shared" si="54"/>
        <v>Capacity Building-Senior Manager</v>
      </c>
      <c r="G414" s="5" t="s">
        <v>103</v>
      </c>
      <c r="H414" s="9">
        <v>45095.637766203705</v>
      </c>
      <c r="I414" s="9">
        <v>45098.637766203705</v>
      </c>
      <c r="J414" s="9" t="e">
        <f>I414+#REF!</f>
        <v>#REF!</v>
      </c>
      <c r="K414" s="9" t="e">
        <f>J414+#REF!</f>
        <v>#REF!</v>
      </c>
      <c r="L414" s="10" t="s">
        <v>41</v>
      </c>
      <c r="M414" s="11">
        <v>45102.637766203705</v>
      </c>
      <c r="N414" s="5" t="s">
        <v>42</v>
      </c>
      <c r="O414" s="5" t="s">
        <v>43</v>
      </c>
      <c r="P414" s="9"/>
      <c r="Q414" s="5"/>
      <c r="R414" s="5"/>
      <c r="S414" s="5"/>
      <c r="T414" s="9"/>
      <c r="U414" s="5"/>
      <c r="V414" s="5">
        <v>0</v>
      </c>
      <c r="W414" s="5"/>
      <c r="X414" s="5"/>
      <c r="Y414" s="5"/>
      <c r="Z414" s="5"/>
      <c r="AA414" s="5" t="s">
        <v>62</v>
      </c>
      <c r="AC414">
        <f t="shared" si="55"/>
        <v>4</v>
      </c>
      <c r="AD414" t="str">
        <f t="shared" si="56"/>
        <v/>
      </c>
      <c r="AE414" t="str">
        <f t="shared" si="57"/>
        <v/>
      </c>
      <c r="AF414" t="str">
        <f t="shared" si="58"/>
        <v/>
      </c>
      <c r="AG414" t="str">
        <f t="shared" si="59"/>
        <v/>
      </c>
      <c r="AH414">
        <f t="shared" si="60"/>
        <v>3</v>
      </c>
      <c r="AI414" t="str">
        <f t="shared" si="61"/>
        <v/>
      </c>
      <c r="AJ414" t="str">
        <f t="shared" si="62"/>
        <v/>
      </c>
    </row>
    <row r="415" spans="1:36">
      <c r="A415" s="5">
        <v>414</v>
      </c>
      <c r="B415" s="5" t="s">
        <v>2428</v>
      </c>
      <c r="C415" s="5" t="s">
        <v>2229</v>
      </c>
      <c r="D415" s="5" t="s">
        <v>2403</v>
      </c>
      <c r="E415" s="5" t="s">
        <v>1939</v>
      </c>
      <c r="F415" s="5" t="str">
        <f t="shared" si="54"/>
        <v>Capacity Building-Principal Officer</v>
      </c>
      <c r="G415" s="5" t="s">
        <v>56</v>
      </c>
      <c r="H415" s="9">
        <v>45094.637766203705</v>
      </c>
      <c r="I415" s="9">
        <v>45098.637766203705</v>
      </c>
      <c r="J415" s="9" t="e">
        <f>I415+#REF!</f>
        <v>#REF!</v>
      </c>
      <c r="K415" s="9" t="e">
        <f>J415+#REF!</f>
        <v>#REF!</v>
      </c>
      <c r="L415" s="10" t="s">
        <v>52</v>
      </c>
      <c r="M415" s="11"/>
      <c r="N415" s="5"/>
      <c r="O415" s="5"/>
      <c r="P415" s="9"/>
      <c r="Q415" s="5"/>
      <c r="R415" s="5"/>
      <c r="S415" s="5"/>
      <c r="T415" s="9"/>
      <c r="U415" s="5"/>
      <c r="V415" s="5">
        <v>0</v>
      </c>
      <c r="W415" s="5"/>
      <c r="X415" s="5"/>
      <c r="Y415" s="5"/>
      <c r="Z415" s="5"/>
      <c r="AA415" s="5"/>
      <c r="AC415" t="str">
        <f t="shared" si="55"/>
        <v/>
      </c>
      <c r="AD415" t="str">
        <f t="shared" si="56"/>
        <v/>
      </c>
      <c r="AE415" t="str">
        <f t="shared" si="57"/>
        <v/>
      </c>
      <c r="AF415" t="str">
        <f t="shared" si="58"/>
        <v/>
      </c>
      <c r="AG415" t="str">
        <f t="shared" si="59"/>
        <v/>
      </c>
      <c r="AH415">
        <f t="shared" si="60"/>
        <v>4</v>
      </c>
      <c r="AI415" t="str">
        <f t="shared" si="61"/>
        <v/>
      </c>
      <c r="AJ415" t="str">
        <f t="shared" si="62"/>
        <v/>
      </c>
    </row>
    <row r="416" spans="1:36">
      <c r="A416" s="5">
        <v>415</v>
      </c>
      <c r="B416" s="5" t="s">
        <v>2388</v>
      </c>
      <c r="C416" s="5" t="s">
        <v>2229</v>
      </c>
      <c r="D416" s="5" t="s">
        <v>2350</v>
      </c>
      <c r="E416" s="5" t="s">
        <v>2351</v>
      </c>
      <c r="F416" s="5" t="str">
        <f t="shared" si="54"/>
        <v>Capacity Building-Training Associate</v>
      </c>
      <c r="G416" s="5" t="s">
        <v>40</v>
      </c>
      <c r="H416" s="9">
        <v>45093.637766203705</v>
      </c>
      <c r="I416" s="9">
        <v>45096.637766203705</v>
      </c>
      <c r="J416" s="9" t="e">
        <f>I416+#REF!</f>
        <v>#REF!</v>
      </c>
      <c r="K416" s="9" t="e">
        <f>J416+#REF!</f>
        <v>#REF!</v>
      </c>
      <c r="L416" s="10" t="s">
        <v>52</v>
      </c>
      <c r="M416" s="11"/>
      <c r="N416" s="5"/>
      <c r="O416" s="5"/>
      <c r="P416" s="9"/>
      <c r="Q416" s="5"/>
      <c r="R416" s="5"/>
      <c r="S416" s="5"/>
      <c r="T416" s="9"/>
      <c r="U416" s="5"/>
      <c r="V416" s="5">
        <v>0</v>
      </c>
      <c r="W416" s="5"/>
      <c r="X416" s="5"/>
      <c r="Y416" s="5"/>
      <c r="Z416" s="5"/>
      <c r="AA416" s="5"/>
      <c r="AC416" t="str">
        <f t="shared" si="55"/>
        <v/>
      </c>
      <c r="AD416" t="str">
        <f t="shared" si="56"/>
        <v/>
      </c>
      <c r="AE416" t="str">
        <f t="shared" si="57"/>
        <v/>
      </c>
      <c r="AF416" t="str">
        <f t="shared" si="58"/>
        <v/>
      </c>
      <c r="AG416" t="str">
        <f t="shared" si="59"/>
        <v/>
      </c>
      <c r="AH416">
        <f t="shared" si="60"/>
        <v>3</v>
      </c>
      <c r="AI416" t="str">
        <f t="shared" si="61"/>
        <v/>
      </c>
      <c r="AJ416" t="str">
        <f t="shared" si="62"/>
        <v/>
      </c>
    </row>
    <row r="417" spans="1:36">
      <c r="A417" s="5">
        <v>416</v>
      </c>
      <c r="B417" s="5" t="s">
        <v>2234</v>
      </c>
      <c r="C417" s="5" t="s">
        <v>2229</v>
      </c>
      <c r="D417" s="5" t="s">
        <v>2230</v>
      </c>
      <c r="E417" s="5" t="s">
        <v>102</v>
      </c>
      <c r="F417" s="5" t="str">
        <f t="shared" si="54"/>
        <v>Capacity Building-Senior Manager</v>
      </c>
      <c r="G417" s="5" t="s">
        <v>103</v>
      </c>
      <c r="H417" s="9">
        <v>45094.637766203705</v>
      </c>
      <c r="I417" s="9">
        <v>45098.637766203705</v>
      </c>
      <c r="J417" s="9" t="e">
        <f>I417+#REF!</f>
        <v>#REF!</v>
      </c>
      <c r="K417" s="9" t="e">
        <f>J417+#REF!</f>
        <v>#REF!</v>
      </c>
      <c r="L417" s="10" t="s">
        <v>41</v>
      </c>
      <c r="M417" s="11">
        <v>45101.637766203705</v>
      </c>
      <c r="N417" s="5" t="s">
        <v>42</v>
      </c>
      <c r="O417" s="5" t="s">
        <v>43</v>
      </c>
      <c r="P417" s="9"/>
      <c r="Q417" s="5"/>
      <c r="R417" s="5"/>
      <c r="S417" s="5"/>
      <c r="T417" s="9">
        <v>45102.637766203705</v>
      </c>
      <c r="U417" s="5"/>
      <c r="V417" s="5">
        <v>0</v>
      </c>
      <c r="W417" s="5"/>
      <c r="X417" s="5"/>
      <c r="Y417" s="5"/>
      <c r="Z417" s="5"/>
      <c r="AA417" s="5" t="s">
        <v>44</v>
      </c>
      <c r="AC417">
        <f t="shared" si="55"/>
        <v>3</v>
      </c>
      <c r="AD417" t="str">
        <f t="shared" si="56"/>
        <v/>
      </c>
      <c r="AE417">
        <f t="shared" si="57"/>
        <v>1</v>
      </c>
      <c r="AF417" t="str">
        <f t="shared" si="58"/>
        <v/>
      </c>
      <c r="AG417" t="str">
        <f t="shared" si="59"/>
        <v/>
      </c>
      <c r="AH417">
        <f t="shared" si="60"/>
        <v>4</v>
      </c>
      <c r="AI417" t="str">
        <f t="shared" si="61"/>
        <v/>
      </c>
      <c r="AJ417" t="str">
        <f t="shared" si="62"/>
        <v/>
      </c>
    </row>
    <row r="418" spans="1:36">
      <c r="A418" s="5">
        <v>417</v>
      </c>
      <c r="B418" s="5" t="s">
        <v>2427</v>
      </c>
      <c r="C418" s="5" t="s">
        <v>2229</v>
      </c>
      <c r="D418" s="5" t="s">
        <v>2403</v>
      </c>
      <c r="E418" s="5" t="s">
        <v>1939</v>
      </c>
      <c r="F418" s="5" t="str">
        <f t="shared" si="54"/>
        <v>Capacity Building-Principal Officer</v>
      </c>
      <c r="G418" s="5" t="s">
        <v>56</v>
      </c>
      <c r="H418" s="9">
        <v>45094.637766203705</v>
      </c>
      <c r="I418" s="9">
        <v>45098.637766203705</v>
      </c>
      <c r="J418" s="9" t="e">
        <f>I418+#REF!</f>
        <v>#REF!</v>
      </c>
      <c r="K418" s="9" t="e">
        <f>J418+#REF!</f>
        <v>#REF!</v>
      </c>
      <c r="L418" s="10" t="s">
        <v>41</v>
      </c>
      <c r="M418" s="11">
        <v>45111.637766203705</v>
      </c>
      <c r="N418" s="5" t="s">
        <v>48</v>
      </c>
      <c r="O418" s="5"/>
      <c r="P418" s="9">
        <v>45116.637766203705</v>
      </c>
      <c r="Q418" s="5" t="s">
        <v>48</v>
      </c>
      <c r="R418" s="5"/>
      <c r="S418" s="5"/>
      <c r="T418" s="9">
        <v>45112.637766203705</v>
      </c>
      <c r="U418" s="5"/>
      <c r="V418" s="5">
        <v>0</v>
      </c>
      <c r="W418" s="5"/>
      <c r="X418" s="5"/>
      <c r="Y418" s="5"/>
      <c r="Z418" s="5"/>
      <c r="AA418" s="5"/>
      <c r="AC418">
        <f t="shared" si="55"/>
        <v>13</v>
      </c>
      <c r="AD418" t="str">
        <f t="shared" si="56"/>
        <v/>
      </c>
      <c r="AE418">
        <f t="shared" si="57"/>
        <v>1</v>
      </c>
      <c r="AF418" t="str">
        <f t="shared" si="58"/>
        <v/>
      </c>
      <c r="AG418" t="str">
        <f t="shared" si="59"/>
        <v/>
      </c>
      <c r="AH418">
        <f t="shared" si="60"/>
        <v>4</v>
      </c>
      <c r="AI418" t="str">
        <f t="shared" si="61"/>
        <v/>
      </c>
      <c r="AJ418" t="str">
        <f t="shared" si="62"/>
        <v/>
      </c>
    </row>
    <row r="419" spans="1:36">
      <c r="A419" s="5">
        <v>418</v>
      </c>
      <c r="B419" s="5" t="s">
        <v>2480</v>
      </c>
      <c r="C419" s="5" t="s">
        <v>2229</v>
      </c>
      <c r="D419" s="5" t="s">
        <v>2445</v>
      </c>
      <c r="E419" s="5" t="s">
        <v>39</v>
      </c>
      <c r="F419" s="5" t="str">
        <f t="shared" si="54"/>
        <v>Capacity Building-Analyst</v>
      </c>
      <c r="G419" s="5" t="s">
        <v>47</v>
      </c>
      <c r="H419" s="9">
        <v>45094.637766203705</v>
      </c>
      <c r="I419" s="9">
        <v>45096.637766203705</v>
      </c>
      <c r="J419" s="9" t="e">
        <f>I419+#REF!</f>
        <v>#REF!</v>
      </c>
      <c r="K419" s="9" t="e">
        <f>J419+#REF!</f>
        <v>#REF!</v>
      </c>
      <c r="L419" s="10" t="s">
        <v>52</v>
      </c>
      <c r="M419" s="11"/>
      <c r="N419" s="5"/>
      <c r="O419" s="5"/>
      <c r="P419" s="9"/>
      <c r="Q419" s="5"/>
      <c r="R419" s="5"/>
      <c r="S419" s="5"/>
      <c r="T419" s="9"/>
      <c r="U419" s="5"/>
      <c r="V419" s="5">
        <v>0</v>
      </c>
      <c r="W419" s="5"/>
      <c r="X419" s="5"/>
      <c r="Y419" s="5"/>
      <c r="Z419" s="5"/>
      <c r="AA419" s="5"/>
      <c r="AC419" t="str">
        <f t="shared" si="55"/>
        <v/>
      </c>
      <c r="AD419" t="str">
        <f t="shared" si="56"/>
        <v/>
      </c>
      <c r="AE419" t="str">
        <f t="shared" si="57"/>
        <v/>
      </c>
      <c r="AF419" t="str">
        <f t="shared" si="58"/>
        <v/>
      </c>
      <c r="AG419" t="str">
        <f t="shared" si="59"/>
        <v/>
      </c>
      <c r="AH419">
        <f t="shared" si="60"/>
        <v>2</v>
      </c>
      <c r="AI419" t="str">
        <f t="shared" si="61"/>
        <v/>
      </c>
      <c r="AJ419" t="str">
        <f t="shared" si="62"/>
        <v/>
      </c>
    </row>
    <row r="420" spans="1:36">
      <c r="A420" s="5">
        <v>419</v>
      </c>
      <c r="B420" s="5" t="s">
        <v>2479</v>
      </c>
      <c r="C420" s="5" t="s">
        <v>2229</v>
      </c>
      <c r="D420" s="5" t="s">
        <v>2445</v>
      </c>
      <c r="E420" s="5" t="s">
        <v>39</v>
      </c>
      <c r="F420" s="5" t="str">
        <f t="shared" si="54"/>
        <v>Capacity Building-Analyst</v>
      </c>
      <c r="G420" s="5" t="s">
        <v>47</v>
      </c>
      <c r="H420" s="9">
        <v>45094.637766203705</v>
      </c>
      <c r="I420" s="9">
        <v>45097.637766203705</v>
      </c>
      <c r="J420" s="9" t="e">
        <f>I420+#REF!</f>
        <v>#REF!</v>
      </c>
      <c r="K420" s="9" t="e">
        <f>J420+#REF!</f>
        <v>#REF!</v>
      </c>
      <c r="L420" s="10" t="s">
        <v>41</v>
      </c>
      <c r="M420" s="11">
        <v>45113.637766203705</v>
      </c>
      <c r="N420" s="5" t="s">
        <v>167</v>
      </c>
      <c r="O420" s="5"/>
      <c r="P420" s="9">
        <v>45116.637766203705</v>
      </c>
      <c r="Q420" s="5" t="s">
        <v>167</v>
      </c>
      <c r="R420" s="5"/>
      <c r="S420" s="5"/>
      <c r="T420" s="9">
        <v>45114.637766203705</v>
      </c>
      <c r="U420" s="5"/>
      <c r="V420" s="5">
        <v>0</v>
      </c>
      <c r="W420" s="5"/>
      <c r="X420" s="5"/>
      <c r="Y420" s="5"/>
      <c r="Z420" s="5"/>
      <c r="AA420" s="5"/>
      <c r="AC420">
        <f t="shared" si="55"/>
        <v>16</v>
      </c>
      <c r="AD420" t="str">
        <f t="shared" si="56"/>
        <v/>
      </c>
      <c r="AE420">
        <f t="shared" si="57"/>
        <v>1</v>
      </c>
      <c r="AF420" t="str">
        <f t="shared" si="58"/>
        <v/>
      </c>
      <c r="AG420" t="str">
        <f t="shared" si="59"/>
        <v/>
      </c>
      <c r="AH420">
        <f t="shared" si="60"/>
        <v>3</v>
      </c>
      <c r="AI420" t="str">
        <f t="shared" si="61"/>
        <v/>
      </c>
      <c r="AJ420" t="str">
        <f t="shared" si="62"/>
        <v/>
      </c>
    </row>
    <row r="421" spans="1:36">
      <c r="A421" s="5">
        <v>420</v>
      </c>
      <c r="B421" s="5" t="s">
        <v>2426</v>
      </c>
      <c r="C421" s="5" t="s">
        <v>2229</v>
      </c>
      <c r="D421" s="5" t="s">
        <v>2403</v>
      </c>
      <c r="E421" s="5" t="s">
        <v>1939</v>
      </c>
      <c r="F421" s="5" t="str">
        <f t="shared" si="54"/>
        <v>Capacity Building-Principal Officer</v>
      </c>
      <c r="G421" s="5" t="s">
        <v>56</v>
      </c>
      <c r="H421" s="9">
        <v>45095.637766203705</v>
      </c>
      <c r="I421" s="9">
        <v>45097.637766203705</v>
      </c>
      <c r="J421" s="9" t="e">
        <f>I421+#REF!</f>
        <v>#REF!</v>
      </c>
      <c r="K421" s="9" t="e">
        <f>J421+#REF!</f>
        <v>#REF!</v>
      </c>
      <c r="L421" s="10" t="s">
        <v>41</v>
      </c>
      <c r="M421" s="11">
        <v>45106.637766203705</v>
      </c>
      <c r="N421" s="5" t="s">
        <v>48</v>
      </c>
      <c r="O421" s="5"/>
      <c r="P421" s="9">
        <v>45114.637766203705</v>
      </c>
      <c r="Q421" s="5" t="s">
        <v>48</v>
      </c>
      <c r="R421" s="5"/>
      <c r="S421" s="5"/>
      <c r="T421" s="9">
        <v>45110.637766203705</v>
      </c>
      <c r="U421" s="5"/>
      <c r="V421" s="5">
        <v>0</v>
      </c>
      <c r="W421" s="5"/>
      <c r="X421" s="5"/>
      <c r="Y421" s="5"/>
      <c r="Z421" s="5"/>
      <c r="AA421" s="5"/>
      <c r="AC421">
        <f t="shared" si="55"/>
        <v>9</v>
      </c>
      <c r="AD421" t="str">
        <f t="shared" si="56"/>
        <v/>
      </c>
      <c r="AE421">
        <f t="shared" si="57"/>
        <v>4</v>
      </c>
      <c r="AF421" t="str">
        <f t="shared" si="58"/>
        <v/>
      </c>
      <c r="AG421" t="str">
        <f t="shared" si="59"/>
        <v/>
      </c>
      <c r="AH421">
        <f t="shared" si="60"/>
        <v>2</v>
      </c>
      <c r="AI421" t="str">
        <f t="shared" si="61"/>
        <v/>
      </c>
      <c r="AJ421" t="str">
        <f t="shared" si="62"/>
        <v/>
      </c>
    </row>
    <row r="422" spans="1:36">
      <c r="A422" s="5">
        <v>421</v>
      </c>
      <c r="B422" s="5" t="s">
        <v>2336</v>
      </c>
      <c r="C422" s="5" t="s">
        <v>2229</v>
      </c>
      <c r="D422" s="5" t="s">
        <v>2302</v>
      </c>
      <c r="E422" s="5" t="s">
        <v>269</v>
      </c>
      <c r="F422" s="5" t="str">
        <f t="shared" si="54"/>
        <v>Capacity Building-Manager</v>
      </c>
      <c r="G422" s="5" t="s">
        <v>270</v>
      </c>
      <c r="H422" s="9">
        <v>44982.544421296298</v>
      </c>
      <c r="I422" s="9">
        <v>44985.544421296298</v>
      </c>
      <c r="J422" s="9" t="e">
        <f>I422+#REF!</f>
        <v>#REF!</v>
      </c>
      <c r="K422" s="9" t="e">
        <f>J422+#REF!</f>
        <v>#REF!</v>
      </c>
      <c r="L422" s="10" t="s">
        <v>41</v>
      </c>
      <c r="M422" s="11">
        <v>44997.544421296298</v>
      </c>
      <c r="N422" s="5" t="s">
        <v>64</v>
      </c>
      <c r="O422" s="5"/>
      <c r="P422" s="9">
        <v>45001.544421296298</v>
      </c>
      <c r="Q422" s="5" t="s">
        <v>64</v>
      </c>
      <c r="R422" s="9">
        <v>44998.544421296298</v>
      </c>
      <c r="S422" s="9">
        <v>45001.544421296298</v>
      </c>
      <c r="T422" s="9">
        <v>44999.544421296298</v>
      </c>
      <c r="U422" s="9">
        <v>45005.544421296298</v>
      </c>
      <c r="V422" s="12">
        <v>1</v>
      </c>
      <c r="W422" s="9">
        <v>45007.544421296298</v>
      </c>
      <c r="X422" s="9">
        <v>45009.544421296298</v>
      </c>
      <c r="Y422" s="9">
        <v>45011.544421296298</v>
      </c>
      <c r="Z422" s="5"/>
      <c r="AA422" s="5"/>
      <c r="AB422" s="13">
        <v>45024.544421296298</v>
      </c>
      <c r="AC422">
        <f t="shared" si="55"/>
        <v>12</v>
      </c>
      <c r="AD422">
        <f t="shared" si="56"/>
        <v>16</v>
      </c>
      <c r="AE422">
        <f t="shared" si="57"/>
        <v>2</v>
      </c>
      <c r="AF422">
        <f t="shared" si="58"/>
        <v>4</v>
      </c>
      <c r="AG422">
        <f t="shared" si="59"/>
        <v>2</v>
      </c>
      <c r="AH422">
        <f t="shared" si="60"/>
        <v>3</v>
      </c>
      <c r="AI422" t="str">
        <f t="shared" si="61"/>
        <v/>
      </c>
      <c r="AJ422" t="str">
        <f t="shared" si="62"/>
        <v/>
      </c>
    </row>
    <row r="423" spans="1:36">
      <c r="A423" s="5">
        <v>422</v>
      </c>
      <c r="B423" s="5" t="s">
        <v>2283</v>
      </c>
      <c r="C423" s="5" t="s">
        <v>2229</v>
      </c>
      <c r="D423" s="5" t="s">
        <v>2250</v>
      </c>
      <c r="E423" s="5" t="s">
        <v>1146</v>
      </c>
      <c r="F423" s="5" t="str">
        <f t="shared" si="54"/>
        <v>Capacity Building-Quality Assurance</v>
      </c>
      <c r="G423" s="5" t="s">
        <v>147</v>
      </c>
      <c r="H423" s="9">
        <v>44984.544421296298</v>
      </c>
      <c r="I423" s="9">
        <v>44985.544421296298</v>
      </c>
      <c r="J423" s="9" t="e">
        <f>I423+#REF!</f>
        <v>#REF!</v>
      </c>
      <c r="K423" s="9" t="e">
        <f>J423+#REF!</f>
        <v>#REF!</v>
      </c>
      <c r="L423" s="10" t="s">
        <v>41</v>
      </c>
      <c r="M423" s="11">
        <v>44990.544421296298</v>
      </c>
      <c r="N423" s="5" t="s">
        <v>48</v>
      </c>
      <c r="O423" s="5"/>
      <c r="P423" s="9">
        <v>44998.544421296298</v>
      </c>
      <c r="Q423" s="5" t="s">
        <v>48</v>
      </c>
      <c r="R423" s="5"/>
      <c r="S423" s="5"/>
      <c r="T423" s="9">
        <v>44994.544421296298</v>
      </c>
      <c r="U423" s="5"/>
      <c r="V423" s="5">
        <v>0</v>
      </c>
      <c r="W423" s="5"/>
      <c r="X423" s="5"/>
      <c r="Y423" s="5"/>
      <c r="Z423" s="5"/>
      <c r="AA423" s="5"/>
      <c r="AC423">
        <f t="shared" si="55"/>
        <v>5</v>
      </c>
      <c r="AD423" t="str">
        <f t="shared" si="56"/>
        <v/>
      </c>
      <c r="AE423">
        <f t="shared" si="57"/>
        <v>4</v>
      </c>
      <c r="AF423" t="str">
        <f t="shared" si="58"/>
        <v/>
      </c>
      <c r="AG423" t="str">
        <f t="shared" si="59"/>
        <v/>
      </c>
      <c r="AH423">
        <f t="shared" si="60"/>
        <v>1</v>
      </c>
      <c r="AI423" t="str">
        <f t="shared" si="61"/>
        <v/>
      </c>
      <c r="AJ423" t="str">
        <f t="shared" si="62"/>
        <v/>
      </c>
    </row>
    <row r="424" spans="1:36">
      <c r="A424" s="5">
        <v>423</v>
      </c>
      <c r="B424" s="5" t="s">
        <v>2335</v>
      </c>
      <c r="C424" s="5" t="s">
        <v>2229</v>
      </c>
      <c r="D424" s="5" t="s">
        <v>2302</v>
      </c>
      <c r="E424" s="5" t="s">
        <v>269</v>
      </c>
      <c r="F424" s="5" t="str">
        <f t="shared" si="54"/>
        <v>Capacity Building-Manager</v>
      </c>
      <c r="G424" s="5" t="s">
        <v>270</v>
      </c>
      <c r="H424" s="9">
        <v>44979.544421296298</v>
      </c>
      <c r="I424" s="9">
        <v>44982.544421296298</v>
      </c>
      <c r="J424" s="9" t="e">
        <f>I424+#REF!</f>
        <v>#REF!</v>
      </c>
      <c r="K424" s="9" t="e">
        <f>J424+#REF!</f>
        <v>#REF!</v>
      </c>
      <c r="L424" s="10" t="s">
        <v>41</v>
      </c>
      <c r="M424" s="11">
        <v>44998.544421296298</v>
      </c>
      <c r="N424" s="5" t="s">
        <v>64</v>
      </c>
      <c r="O424" s="5"/>
      <c r="P424" s="9">
        <v>45006.544421296298</v>
      </c>
      <c r="Q424" s="5" t="s">
        <v>64</v>
      </c>
      <c r="R424" s="9">
        <v>44999.544421296298</v>
      </c>
      <c r="S424" s="9">
        <v>45002.544421296298</v>
      </c>
      <c r="T424" s="9">
        <v>45002.544421296298</v>
      </c>
      <c r="U424" s="9">
        <v>45005.544421296298</v>
      </c>
      <c r="V424" s="12">
        <v>1</v>
      </c>
      <c r="W424" s="9">
        <v>45008.544421296298</v>
      </c>
      <c r="X424" s="9">
        <v>45009.544421296298</v>
      </c>
      <c r="Y424" s="9">
        <v>45010.544421296298</v>
      </c>
      <c r="Z424" s="5"/>
      <c r="AA424" s="5"/>
      <c r="AB424" s="13">
        <v>45021.544421296298</v>
      </c>
      <c r="AC424">
        <f t="shared" si="55"/>
        <v>16</v>
      </c>
      <c r="AD424">
        <f t="shared" si="56"/>
        <v>20</v>
      </c>
      <c r="AE424">
        <f t="shared" si="57"/>
        <v>4</v>
      </c>
      <c r="AF424">
        <f t="shared" si="58"/>
        <v>4</v>
      </c>
      <c r="AG424">
        <f t="shared" si="59"/>
        <v>3</v>
      </c>
      <c r="AH424">
        <f t="shared" si="60"/>
        <v>3</v>
      </c>
      <c r="AI424" t="str">
        <f t="shared" si="61"/>
        <v/>
      </c>
      <c r="AJ424" t="str">
        <f t="shared" si="62"/>
        <v/>
      </c>
    </row>
    <row r="425" spans="1:36">
      <c r="A425" s="5">
        <v>424</v>
      </c>
      <c r="B425" s="5" t="s">
        <v>2425</v>
      </c>
      <c r="C425" s="5" t="s">
        <v>2229</v>
      </c>
      <c r="D425" s="5" t="s">
        <v>2403</v>
      </c>
      <c r="E425" s="5" t="s">
        <v>1939</v>
      </c>
      <c r="F425" s="5" t="str">
        <f t="shared" si="54"/>
        <v>Capacity Building-Principal Officer</v>
      </c>
      <c r="G425" s="5" t="s">
        <v>56</v>
      </c>
      <c r="H425" s="9">
        <v>44981.544421296298</v>
      </c>
      <c r="I425" s="9">
        <v>44984.544421296298</v>
      </c>
      <c r="J425" s="9" t="e">
        <f>I425+#REF!</f>
        <v>#REF!</v>
      </c>
      <c r="K425" s="9" t="e">
        <f>J425+#REF!</f>
        <v>#REF!</v>
      </c>
      <c r="L425" s="10" t="s">
        <v>52</v>
      </c>
      <c r="M425" s="11"/>
      <c r="N425" s="5"/>
      <c r="O425" s="5"/>
      <c r="P425" s="9"/>
      <c r="Q425" s="5"/>
      <c r="R425" s="5"/>
      <c r="S425" s="5"/>
      <c r="T425" s="9"/>
      <c r="U425" s="5"/>
      <c r="V425" s="5">
        <v>0</v>
      </c>
      <c r="W425" s="5"/>
      <c r="X425" s="5"/>
      <c r="Y425" s="5"/>
      <c r="Z425" s="5"/>
      <c r="AA425" s="5"/>
      <c r="AC425" t="str">
        <f t="shared" si="55"/>
        <v/>
      </c>
      <c r="AD425" t="str">
        <f t="shared" si="56"/>
        <v/>
      </c>
      <c r="AE425" t="str">
        <f t="shared" si="57"/>
        <v/>
      </c>
      <c r="AF425" t="str">
        <f t="shared" si="58"/>
        <v/>
      </c>
      <c r="AG425" t="str">
        <f t="shared" si="59"/>
        <v/>
      </c>
      <c r="AH425">
        <f t="shared" si="60"/>
        <v>3</v>
      </c>
      <c r="AI425" t="str">
        <f t="shared" si="61"/>
        <v/>
      </c>
      <c r="AJ425" t="str">
        <f t="shared" si="62"/>
        <v/>
      </c>
    </row>
    <row r="426" spans="1:36">
      <c r="A426" s="5">
        <v>425</v>
      </c>
      <c r="B426" s="5" t="s">
        <v>2478</v>
      </c>
      <c r="C426" s="5" t="s">
        <v>2229</v>
      </c>
      <c r="D426" s="5" t="s">
        <v>2445</v>
      </c>
      <c r="E426" s="5" t="s">
        <v>39</v>
      </c>
      <c r="F426" s="5" t="str">
        <f t="shared" si="54"/>
        <v>Capacity Building-Analyst</v>
      </c>
      <c r="G426" s="5" t="s">
        <v>47</v>
      </c>
      <c r="H426" s="9">
        <v>44980.544421296298</v>
      </c>
      <c r="I426" s="9">
        <v>44983.544421296298</v>
      </c>
      <c r="J426" s="9" t="e">
        <f>I426+#REF!</f>
        <v>#REF!</v>
      </c>
      <c r="K426" s="9" t="e">
        <f>J426+#REF!</f>
        <v>#REF!</v>
      </c>
      <c r="L426" s="10" t="s">
        <v>52</v>
      </c>
      <c r="M426" s="11"/>
      <c r="N426" s="5"/>
      <c r="O426" s="5"/>
      <c r="P426" s="9"/>
      <c r="Q426" s="5"/>
      <c r="R426" s="5"/>
      <c r="S426" s="5"/>
      <c r="T426" s="9"/>
      <c r="U426" s="5"/>
      <c r="V426" s="5">
        <v>0</v>
      </c>
      <c r="W426" s="5"/>
      <c r="X426" s="5"/>
      <c r="Y426" s="5"/>
      <c r="Z426" s="5"/>
      <c r="AA426" s="5"/>
      <c r="AC426" t="str">
        <f t="shared" si="55"/>
        <v/>
      </c>
      <c r="AD426" t="str">
        <f t="shared" si="56"/>
        <v/>
      </c>
      <c r="AE426" t="str">
        <f t="shared" si="57"/>
        <v/>
      </c>
      <c r="AF426" t="str">
        <f t="shared" si="58"/>
        <v/>
      </c>
      <c r="AG426" t="str">
        <f t="shared" si="59"/>
        <v/>
      </c>
      <c r="AH426">
        <f t="shared" si="60"/>
        <v>3</v>
      </c>
      <c r="AI426" t="str">
        <f t="shared" si="61"/>
        <v/>
      </c>
      <c r="AJ426" t="str">
        <f t="shared" si="62"/>
        <v/>
      </c>
    </row>
    <row r="427" spans="1:36">
      <c r="A427" s="5">
        <v>426</v>
      </c>
      <c r="B427" s="5" t="s">
        <v>2424</v>
      </c>
      <c r="C427" s="5" t="s">
        <v>2229</v>
      </c>
      <c r="D427" s="5" t="s">
        <v>2403</v>
      </c>
      <c r="E427" s="5" t="s">
        <v>1939</v>
      </c>
      <c r="F427" s="5" t="str">
        <f t="shared" si="54"/>
        <v>Capacity Building-Principal Officer</v>
      </c>
      <c r="G427" s="5" t="s">
        <v>56</v>
      </c>
      <c r="H427" s="9">
        <v>44983.544421296298</v>
      </c>
      <c r="I427" s="9">
        <v>44984.544421296298</v>
      </c>
      <c r="J427" s="9" t="e">
        <f>I427+#REF!</f>
        <v>#REF!</v>
      </c>
      <c r="K427" s="9" t="e">
        <f>J427+#REF!</f>
        <v>#REF!</v>
      </c>
      <c r="L427" s="10" t="s">
        <v>41</v>
      </c>
      <c r="M427" s="11">
        <v>44991.544421296298</v>
      </c>
      <c r="N427" s="5" t="s">
        <v>48</v>
      </c>
      <c r="O427" s="5"/>
      <c r="P427" s="9">
        <v>44994.544421296298</v>
      </c>
      <c r="Q427" s="5" t="s">
        <v>48</v>
      </c>
      <c r="R427" s="5"/>
      <c r="S427" s="5"/>
      <c r="T427" s="9">
        <v>44992.544421296298</v>
      </c>
      <c r="U427" s="5"/>
      <c r="V427" s="5">
        <v>0</v>
      </c>
      <c r="W427" s="5"/>
      <c r="X427" s="5"/>
      <c r="Y427" s="5"/>
      <c r="Z427" s="5"/>
      <c r="AA427" s="5"/>
      <c r="AC427">
        <f t="shared" si="55"/>
        <v>7</v>
      </c>
      <c r="AD427" t="str">
        <f t="shared" si="56"/>
        <v/>
      </c>
      <c r="AE427">
        <f t="shared" si="57"/>
        <v>1</v>
      </c>
      <c r="AF427" t="str">
        <f t="shared" si="58"/>
        <v/>
      </c>
      <c r="AG427" t="str">
        <f t="shared" si="59"/>
        <v/>
      </c>
      <c r="AH427">
        <f t="shared" si="60"/>
        <v>1</v>
      </c>
      <c r="AI427" t="str">
        <f t="shared" si="61"/>
        <v/>
      </c>
      <c r="AJ427" t="str">
        <f t="shared" si="62"/>
        <v/>
      </c>
    </row>
    <row r="428" spans="1:36">
      <c r="A428" s="5">
        <v>427</v>
      </c>
      <c r="B428" s="5" t="s">
        <v>2387</v>
      </c>
      <c r="C428" s="5" t="s">
        <v>2229</v>
      </c>
      <c r="D428" s="5" t="s">
        <v>2350</v>
      </c>
      <c r="E428" s="5" t="s">
        <v>2351</v>
      </c>
      <c r="F428" s="5" t="str">
        <f t="shared" si="54"/>
        <v>Capacity Building-Training Associate</v>
      </c>
      <c r="G428" s="5" t="s">
        <v>40</v>
      </c>
      <c r="H428" s="9">
        <v>44983.544421296298</v>
      </c>
      <c r="I428" s="9">
        <v>44985.544421296298</v>
      </c>
      <c r="J428" s="9" t="e">
        <f>I428+#REF!</f>
        <v>#REF!</v>
      </c>
      <c r="K428" s="9" t="e">
        <f>J428+#REF!</f>
        <v>#REF!</v>
      </c>
      <c r="L428" s="10" t="s">
        <v>41</v>
      </c>
      <c r="M428" s="11">
        <v>44999.544421296298</v>
      </c>
      <c r="N428" s="5" t="s">
        <v>42</v>
      </c>
      <c r="O428" s="5" t="s">
        <v>98</v>
      </c>
      <c r="P428" s="9"/>
      <c r="Q428" s="5"/>
      <c r="R428" s="5"/>
      <c r="S428" s="5"/>
      <c r="T428" s="9">
        <v>45003.544421296298</v>
      </c>
      <c r="U428" s="5"/>
      <c r="V428" s="5">
        <v>0</v>
      </c>
      <c r="W428" s="5"/>
      <c r="X428" s="5"/>
      <c r="Y428" s="5"/>
      <c r="Z428" s="5"/>
      <c r="AA428" s="5" t="s">
        <v>62</v>
      </c>
      <c r="AC428">
        <f t="shared" si="55"/>
        <v>14</v>
      </c>
      <c r="AD428" t="str">
        <f t="shared" si="56"/>
        <v/>
      </c>
      <c r="AE428">
        <f t="shared" si="57"/>
        <v>4</v>
      </c>
      <c r="AF428" t="str">
        <f t="shared" si="58"/>
        <v/>
      </c>
      <c r="AG428" t="str">
        <f t="shared" si="59"/>
        <v/>
      </c>
      <c r="AH428">
        <f t="shared" si="60"/>
        <v>2</v>
      </c>
      <c r="AI428" t="str">
        <f t="shared" si="61"/>
        <v/>
      </c>
      <c r="AJ428" t="str">
        <f t="shared" si="62"/>
        <v/>
      </c>
    </row>
    <row r="429" spans="1:36">
      <c r="A429" s="5">
        <v>428</v>
      </c>
      <c r="B429" s="5" t="s">
        <v>2334</v>
      </c>
      <c r="C429" s="5" t="s">
        <v>2229</v>
      </c>
      <c r="D429" s="5" t="s">
        <v>2302</v>
      </c>
      <c r="E429" s="5" t="s">
        <v>269</v>
      </c>
      <c r="F429" s="5" t="str">
        <f t="shared" si="54"/>
        <v>Capacity Building-Manager</v>
      </c>
      <c r="G429" s="5" t="s">
        <v>270</v>
      </c>
      <c r="H429" s="9">
        <v>44983.544421296298</v>
      </c>
      <c r="I429" s="9">
        <v>44985.544421296298</v>
      </c>
      <c r="J429" s="9" t="e">
        <f>I429+#REF!</f>
        <v>#REF!</v>
      </c>
      <c r="K429" s="9" t="e">
        <f>J429+#REF!</f>
        <v>#REF!</v>
      </c>
      <c r="L429" s="10" t="s">
        <v>41</v>
      </c>
      <c r="M429" s="11">
        <v>44998.544421296298</v>
      </c>
      <c r="N429" s="5" t="s">
        <v>42</v>
      </c>
      <c r="O429" s="5" t="s">
        <v>73</v>
      </c>
      <c r="P429" s="9"/>
      <c r="Q429" s="5"/>
      <c r="R429" s="5"/>
      <c r="S429" s="5"/>
      <c r="T429" s="9"/>
      <c r="U429" s="5"/>
      <c r="V429" s="5">
        <v>0</v>
      </c>
      <c r="W429" s="5"/>
      <c r="X429" s="5"/>
      <c r="Y429" s="5"/>
      <c r="Z429" s="5"/>
      <c r="AA429" s="5" t="s">
        <v>62</v>
      </c>
      <c r="AC429">
        <f t="shared" si="55"/>
        <v>13</v>
      </c>
      <c r="AD429" t="str">
        <f t="shared" si="56"/>
        <v/>
      </c>
      <c r="AE429" t="str">
        <f t="shared" si="57"/>
        <v/>
      </c>
      <c r="AF429" t="str">
        <f t="shared" si="58"/>
        <v/>
      </c>
      <c r="AG429" t="str">
        <f t="shared" si="59"/>
        <v/>
      </c>
      <c r="AH429">
        <f t="shared" si="60"/>
        <v>2</v>
      </c>
      <c r="AI429" t="str">
        <f t="shared" si="61"/>
        <v/>
      </c>
      <c r="AJ429" t="str">
        <f t="shared" si="62"/>
        <v/>
      </c>
    </row>
    <row r="430" spans="1:36">
      <c r="A430" s="5">
        <v>429</v>
      </c>
      <c r="B430" s="5" t="s">
        <v>2282</v>
      </c>
      <c r="C430" s="5" t="s">
        <v>2229</v>
      </c>
      <c r="D430" s="5" t="s">
        <v>2250</v>
      </c>
      <c r="E430" s="5" t="s">
        <v>1146</v>
      </c>
      <c r="F430" s="5" t="str">
        <f t="shared" si="54"/>
        <v>Capacity Building-Quality Assurance</v>
      </c>
      <c r="G430" s="5" t="s">
        <v>147</v>
      </c>
      <c r="H430" s="9">
        <v>44982.544421296298</v>
      </c>
      <c r="I430" s="9">
        <v>44986.544421296298</v>
      </c>
      <c r="J430" s="9" t="e">
        <f>I430+#REF!</f>
        <v>#REF!</v>
      </c>
      <c r="K430" s="9" t="e">
        <f>J430+#REF!</f>
        <v>#REF!</v>
      </c>
      <c r="L430" s="10" t="s">
        <v>52</v>
      </c>
      <c r="M430" s="11"/>
      <c r="N430" s="5"/>
      <c r="O430" s="5"/>
      <c r="P430" s="9"/>
      <c r="Q430" s="5"/>
      <c r="R430" s="5"/>
      <c r="S430" s="5"/>
      <c r="T430" s="9"/>
      <c r="U430" s="5"/>
      <c r="V430" s="5">
        <v>0</v>
      </c>
      <c r="W430" s="5"/>
      <c r="X430" s="5"/>
      <c r="Y430" s="5"/>
      <c r="Z430" s="5"/>
      <c r="AA430" s="5"/>
      <c r="AC430" t="str">
        <f t="shared" si="55"/>
        <v/>
      </c>
      <c r="AD430" t="str">
        <f t="shared" si="56"/>
        <v/>
      </c>
      <c r="AE430" t="str">
        <f t="shared" si="57"/>
        <v/>
      </c>
      <c r="AF430" t="str">
        <f t="shared" si="58"/>
        <v/>
      </c>
      <c r="AG430" t="str">
        <f t="shared" si="59"/>
        <v/>
      </c>
      <c r="AH430">
        <f t="shared" si="60"/>
        <v>4</v>
      </c>
      <c r="AI430" t="str">
        <f t="shared" si="61"/>
        <v/>
      </c>
      <c r="AJ430" t="str">
        <f t="shared" si="62"/>
        <v/>
      </c>
    </row>
    <row r="431" spans="1:36">
      <c r="A431" s="5">
        <v>430</v>
      </c>
      <c r="B431" s="5" t="s">
        <v>2477</v>
      </c>
      <c r="C431" s="5" t="s">
        <v>2229</v>
      </c>
      <c r="D431" s="5" t="s">
        <v>2445</v>
      </c>
      <c r="E431" s="5" t="s">
        <v>39</v>
      </c>
      <c r="F431" s="5" t="str">
        <f t="shared" si="54"/>
        <v>Capacity Building-Analyst</v>
      </c>
      <c r="G431" s="5" t="s">
        <v>47</v>
      </c>
      <c r="H431" s="9">
        <v>44979.544421296298</v>
      </c>
      <c r="I431" s="9">
        <v>44982.544421296298</v>
      </c>
      <c r="J431" s="9" t="e">
        <f>I431+#REF!</f>
        <v>#REF!</v>
      </c>
      <c r="K431" s="9" t="e">
        <f>J431+#REF!</f>
        <v>#REF!</v>
      </c>
      <c r="L431" s="10" t="s">
        <v>41</v>
      </c>
      <c r="M431" s="11">
        <v>44995.544421296298</v>
      </c>
      <c r="N431" s="5" t="s">
        <v>64</v>
      </c>
      <c r="O431" s="5"/>
      <c r="P431" s="9">
        <v>45000.544421296298</v>
      </c>
      <c r="Q431" s="5" t="s">
        <v>64</v>
      </c>
      <c r="R431" s="9">
        <v>44996.544421296298</v>
      </c>
      <c r="S431" s="9">
        <v>44998.544421296298</v>
      </c>
      <c r="T431" s="9">
        <v>44998.544421296298</v>
      </c>
      <c r="U431" s="9">
        <v>45007.544421296298</v>
      </c>
      <c r="V431" s="12">
        <v>1</v>
      </c>
      <c r="W431" s="9">
        <v>45009.544421296298</v>
      </c>
      <c r="X431" s="9">
        <v>45012.544421296298</v>
      </c>
      <c r="Y431" s="9">
        <v>45013.544421296298</v>
      </c>
      <c r="Z431" s="5"/>
      <c r="AA431" s="5"/>
      <c r="AB431" s="13">
        <v>45025.544421296298</v>
      </c>
      <c r="AC431">
        <f t="shared" si="55"/>
        <v>13</v>
      </c>
      <c r="AD431">
        <f t="shared" si="56"/>
        <v>16</v>
      </c>
      <c r="AE431">
        <f t="shared" si="57"/>
        <v>3</v>
      </c>
      <c r="AF431">
        <f t="shared" si="58"/>
        <v>5</v>
      </c>
      <c r="AG431">
        <f t="shared" si="59"/>
        <v>2</v>
      </c>
      <c r="AH431">
        <f t="shared" si="60"/>
        <v>3</v>
      </c>
      <c r="AI431" t="str">
        <f t="shared" si="61"/>
        <v/>
      </c>
      <c r="AJ431" t="str">
        <f t="shared" si="62"/>
        <v/>
      </c>
    </row>
    <row r="432" spans="1:36">
      <c r="A432" s="5">
        <v>431</v>
      </c>
      <c r="B432" s="5" t="s">
        <v>728</v>
      </c>
      <c r="C432" s="10" t="s">
        <v>671</v>
      </c>
      <c r="D432" s="5" t="s">
        <v>708</v>
      </c>
      <c r="E432" s="5" t="s">
        <v>55</v>
      </c>
      <c r="F432" s="5" t="str">
        <f t="shared" si="54"/>
        <v>Operations-Director</v>
      </c>
      <c r="G432" s="5" t="s">
        <v>56</v>
      </c>
      <c r="H432" s="9">
        <v>44732.315601851849</v>
      </c>
      <c r="I432" s="9">
        <v>44735.315601851849</v>
      </c>
      <c r="J432" s="9" t="e">
        <f>I432+#REF!</f>
        <v>#REF!</v>
      </c>
      <c r="K432" s="9" t="e">
        <f>J432+#REF!</f>
        <v>#REF!</v>
      </c>
      <c r="L432" s="10" t="s">
        <v>52</v>
      </c>
      <c r="M432" s="11"/>
      <c r="N432" s="5"/>
      <c r="O432" s="5"/>
      <c r="P432" s="9"/>
      <c r="Q432" s="5"/>
      <c r="R432" s="5"/>
      <c r="S432" s="5"/>
      <c r="T432" s="9"/>
      <c r="U432" s="5"/>
      <c r="V432" s="5">
        <v>0</v>
      </c>
      <c r="W432" s="5"/>
      <c r="X432" s="5"/>
      <c r="Y432" s="5"/>
      <c r="Z432" s="5"/>
      <c r="AA432" s="5"/>
      <c r="AC432" t="str">
        <f t="shared" si="55"/>
        <v/>
      </c>
      <c r="AD432" t="str">
        <f t="shared" si="56"/>
        <v/>
      </c>
      <c r="AE432" t="str">
        <f t="shared" si="57"/>
        <v/>
      </c>
      <c r="AF432" t="str">
        <f t="shared" si="58"/>
        <v/>
      </c>
      <c r="AG432" t="str">
        <f t="shared" si="59"/>
        <v/>
      </c>
      <c r="AH432">
        <f t="shared" si="60"/>
        <v>3</v>
      </c>
      <c r="AI432" t="str">
        <f t="shared" si="61"/>
        <v/>
      </c>
      <c r="AJ432" t="str">
        <f t="shared" si="62"/>
        <v/>
      </c>
    </row>
    <row r="433" spans="1:36">
      <c r="A433" s="5">
        <v>432</v>
      </c>
      <c r="B433" s="5" t="s">
        <v>2091</v>
      </c>
      <c r="C433" s="10" t="s">
        <v>2089</v>
      </c>
      <c r="D433" s="5" t="s">
        <v>2090</v>
      </c>
      <c r="E433" s="5" t="s">
        <v>102</v>
      </c>
      <c r="F433" s="5" t="str">
        <f t="shared" si="54"/>
        <v>Communication and Advocacy-Senior Manager</v>
      </c>
      <c r="G433" s="5" t="s">
        <v>103</v>
      </c>
      <c r="H433" s="9">
        <v>44735.315601851849</v>
      </c>
      <c r="I433" s="9">
        <v>44736.315601851849</v>
      </c>
      <c r="J433" s="9" t="e">
        <f>I433+#REF!</f>
        <v>#REF!</v>
      </c>
      <c r="K433" s="9" t="e">
        <f>J433+#REF!</f>
        <v>#REF!</v>
      </c>
      <c r="L433" s="10" t="s">
        <v>41</v>
      </c>
      <c r="M433" s="11">
        <v>44756.315601851849</v>
      </c>
      <c r="N433" s="5" t="s">
        <v>42</v>
      </c>
      <c r="O433" s="5" t="s">
        <v>58</v>
      </c>
      <c r="P433" s="9"/>
      <c r="Q433" s="5"/>
      <c r="R433" s="5"/>
      <c r="S433" s="5"/>
      <c r="T433" s="9"/>
      <c r="U433" s="5"/>
      <c r="V433" s="5">
        <v>0</v>
      </c>
      <c r="W433" s="5"/>
      <c r="X433" s="5"/>
      <c r="Y433" s="5"/>
      <c r="Z433" s="5"/>
      <c r="AA433" s="5" t="s">
        <v>44</v>
      </c>
      <c r="AC433">
        <f t="shared" si="55"/>
        <v>20</v>
      </c>
      <c r="AD433" t="str">
        <f t="shared" si="56"/>
        <v/>
      </c>
      <c r="AE433" t="str">
        <f t="shared" si="57"/>
        <v/>
      </c>
      <c r="AF433" t="str">
        <f t="shared" si="58"/>
        <v/>
      </c>
      <c r="AG433" t="str">
        <f t="shared" si="59"/>
        <v/>
      </c>
      <c r="AH433">
        <f t="shared" si="60"/>
        <v>1</v>
      </c>
      <c r="AI433" t="str">
        <f t="shared" si="61"/>
        <v/>
      </c>
      <c r="AJ433" t="str">
        <f t="shared" si="62"/>
        <v/>
      </c>
    </row>
    <row r="434" spans="1:36">
      <c r="A434" s="5">
        <v>433</v>
      </c>
      <c r="B434" s="5" t="s">
        <v>775</v>
      </c>
      <c r="C434" s="10" t="s">
        <v>671</v>
      </c>
      <c r="D434" s="5" t="s">
        <v>747</v>
      </c>
      <c r="E434" s="5" t="s">
        <v>69</v>
      </c>
      <c r="F434" s="5" t="str">
        <f t="shared" si="54"/>
        <v>Operations-Head of Department</v>
      </c>
      <c r="G434" s="5" t="s">
        <v>47</v>
      </c>
      <c r="H434" s="9">
        <v>44737.315601851849</v>
      </c>
      <c r="I434" s="9">
        <v>44740.315601851849</v>
      </c>
      <c r="J434" s="9" t="e">
        <f>I434+#REF!</f>
        <v>#REF!</v>
      </c>
      <c r="K434" s="9" t="e">
        <f>J434+#REF!</f>
        <v>#REF!</v>
      </c>
      <c r="L434" s="10" t="s">
        <v>52</v>
      </c>
      <c r="M434" s="11"/>
      <c r="N434" s="5"/>
      <c r="O434" s="5"/>
      <c r="P434" s="9"/>
      <c r="Q434" s="5"/>
      <c r="R434" s="5"/>
      <c r="S434" s="5"/>
      <c r="T434" s="9"/>
      <c r="U434" s="5"/>
      <c r="V434" s="5">
        <v>0</v>
      </c>
      <c r="W434" s="5"/>
      <c r="X434" s="5"/>
      <c r="Y434" s="5"/>
      <c r="Z434" s="5"/>
      <c r="AA434" s="5"/>
      <c r="AC434" t="str">
        <f t="shared" si="55"/>
        <v/>
      </c>
      <c r="AD434" t="str">
        <f t="shared" si="56"/>
        <v/>
      </c>
      <c r="AE434" t="str">
        <f t="shared" si="57"/>
        <v/>
      </c>
      <c r="AF434" t="str">
        <f t="shared" si="58"/>
        <v/>
      </c>
      <c r="AG434" t="str">
        <f t="shared" si="59"/>
        <v/>
      </c>
      <c r="AH434">
        <f t="shared" si="60"/>
        <v>3</v>
      </c>
      <c r="AI434" t="str">
        <f t="shared" si="61"/>
        <v/>
      </c>
      <c r="AJ434" t="str">
        <f t="shared" si="62"/>
        <v/>
      </c>
    </row>
    <row r="435" spans="1:36">
      <c r="A435" s="5">
        <v>434</v>
      </c>
      <c r="B435" s="5" t="s">
        <v>2195</v>
      </c>
      <c r="C435" s="10" t="s">
        <v>2089</v>
      </c>
      <c r="D435" s="5" t="s">
        <v>2167</v>
      </c>
      <c r="E435" s="5" t="s">
        <v>269</v>
      </c>
      <c r="F435" s="5" t="str">
        <f t="shared" si="54"/>
        <v>Communication and Advocacy-Manager</v>
      </c>
      <c r="G435" s="5" t="s">
        <v>270</v>
      </c>
      <c r="H435" s="9">
        <v>44735.315601851849</v>
      </c>
      <c r="I435" s="9">
        <v>44738.315601851849</v>
      </c>
      <c r="J435" s="9" t="e">
        <f>I435+#REF!</f>
        <v>#REF!</v>
      </c>
      <c r="K435" s="9" t="e">
        <f>J435+#REF!</f>
        <v>#REF!</v>
      </c>
      <c r="L435" s="10" t="s">
        <v>41</v>
      </c>
      <c r="M435" s="11">
        <v>44752.315601851849</v>
      </c>
      <c r="N435" s="5" t="s">
        <v>42</v>
      </c>
      <c r="O435" s="5" t="s">
        <v>58</v>
      </c>
      <c r="P435" s="9"/>
      <c r="Q435" s="5"/>
      <c r="R435" s="5"/>
      <c r="S435" s="5"/>
      <c r="T435" s="9">
        <v>44756.315601851849</v>
      </c>
      <c r="U435" s="5"/>
      <c r="V435" s="5">
        <v>0</v>
      </c>
      <c r="W435" s="5"/>
      <c r="X435" s="5"/>
      <c r="Y435" s="5"/>
      <c r="Z435" s="5"/>
      <c r="AA435" s="5" t="s">
        <v>44</v>
      </c>
      <c r="AC435">
        <f t="shared" si="55"/>
        <v>14</v>
      </c>
      <c r="AD435" t="str">
        <f t="shared" si="56"/>
        <v/>
      </c>
      <c r="AE435">
        <f t="shared" si="57"/>
        <v>4</v>
      </c>
      <c r="AF435" t="str">
        <f t="shared" si="58"/>
        <v/>
      </c>
      <c r="AG435" t="str">
        <f t="shared" si="59"/>
        <v/>
      </c>
      <c r="AH435">
        <f t="shared" si="60"/>
        <v>3</v>
      </c>
      <c r="AI435" t="str">
        <f t="shared" si="61"/>
        <v/>
      </c>
      <c r="AJ435" t="str">
        <f t="shared" si="62"/>
        <v/>
      </c>
    </row>
    <row r="436" spans="1:36">
      <c r="A436" s="5">
        <v>435</v>
      </c>
      <c r="B436" s="5" t="s">
        <v>703</v>
      </c>
      <c r="C436" s="10" t="s">
        <v>671</v>
      </c>
      <c r="D436" s="5" t="s">
        <v>672</v>
      </c>
      <c r="E436" s="5" t="s">
        <v>597</v>
      </c>
      <c r="F436" s="5" t="str">
        <f t="shared" si="54"/>
        <v>Operations-Business Partner</v>
      </c>
      <c r="G436" s="5" t="s">
        <v>40</v>
      </c>
      <c r="H436" s="9">
        <v>44737.315601851849</v>
      </c>
      <c r="I436" s="9">
        <v>44739.315601851849</v>
      </c>
      <c r="J436" s="9" t="e">
        <f>I436+#REF!</f>
        <v>#REF!</v>
      </c>
      <c r="K436" s="9" t="e">
        <f>J436+#REF!</f>
        <v>#REF!</v>
      </c>
      <c r="L436" s="10" t="s">
        <v>41</v>
      </c>
      <c r="M436" s="11">
        <v>44745.315601851849</v>
      </c>
      <c r="N436" s="5" t="s">
        <v>48</v>
      </c>
      <c r="O436" s="5"/>
      <c r="P436" s="9">
        <v>44752.315601851849</v>
      </c>
      <c r="Q436" s="5" t="s">
        <v>48</v>
      </c>
      <c r="R436" s="5"/>
      <c r="S436" s="5"/>
      <c r="T436" s="9">
        <v>44748.315601851849</v>
      </c>
      <c r="U436" s="5"/>
      <c r="V436" s="5">
        <v>0</v>
      </c>
      <c r="W436" s="5"/>
      <c r="X436" s="5"/>
      <c r="Y436" s="5"/>
      <c r="Z436" s="5"/>
      <c r="AA436" s="5"/>
      <c r="AC436">
        <f t="shared" si="55"/>
        <v>6</v>
      </c>
      <c r="AD436" t="str">
        <f t="shared" si="56"/>
        <v/>
      </c>
      <c r="AE436">
        <f t="shared" si="57"/>
        <v>3</v>
      </c>
      <c r="AF436" t="str">
        <f t="shared" si="58"/>
        <v/>
      </c>
      <c r="AG436" t="str">
        <f t="shared" si="59"/>
        <v/>
      </c>
      <c r="AH436">
        <f t="shared" si="60"/>
        <v>2</v>
      </c>
      <c r="AI436" t="str">
        <f t="shared" si="61"/>
        <v/>
      </c>
      <c r="AJ436" t="str">
        <f t="shared" si="62"/>
        <v/>
      </c>
    </row>
    <row r="437" spans="1:36">
      <c r="A437" s="5">
        <v>436</v>
      </c>
      <c r="B437" s="5" t="s">
        <v>774</v>
      </c>
      <c r="C437" s="10" t="s">
        <v>671</v>
      </c>
      <c r="D437" s="5" t="s">
        <v>747</v>
      </c>
      <c r="E437" s="5" t="s">
        <v>69</v>
      </c>
      <c r="F437" s="5" t="str">
        <f t="shared" si="54"/>
        <v>Operations-Head of Department</v>
      </c>
      <c r="G437" s="5" t="s">
        <v>47</v>
      </c>
      <c r="H437" s="9">
        <v>44734.315601851849</v>
      </c>
      <c r="I437" s="9">
        <v>44737.315601851849</v>
      </c>
      <c r="J437" s="9" t="e">
        <f>I437+#REF!</f>
        <v>#REF!</v>
      </c>
      <c r="K437" s="9" t="e">
        <f>J437+#REF!</f>
        <v>#REF!</v>
      </c>
      <c r="L437" s="10" t="s">
        <v>41</v>
      </c>
      <c r="M437" s="11">
        <v>44756.315601851849</v>
      </c>
      <c r="N437" s="5" t="s">
        <v>42</v>
      </c>
      <c r="O437" s="5" t="s">
        <v>98</v>
      </c>
      <c r="P437" s="9"/>
      <c r="Q437" s="5"/>
      <c r="R437" s="5"/>
      <c r="S437" s="5"/>
      <c r="T437" s="9">
        <v>44759.315601851849</v>
      </c>
      <c r="U437" s="5"/>
      <c r="V437" s="5">
        <v>0</v>
      </c>
      <c r="W437" s="5"/>
      <c r="X437" s="5"/>
      <c r="Y437" s="5"/>
      <c r="Z437" s="5"/>
      <c r="AA437" s="5" t="s">
        <v>44</v>
      </c>
      <c r="AC437">
        <f t="shared" si="55"/>
        <v>19</v>
      </c>
      <c r="AD437" t="str">
        <f t="shared" si="56"/>
        <v/>
      </c>
      <c r="AE437">
        <f t="shared" si="57"/>
        <v>3</v>
      </c>
      <c r="AF437" t="str">
        <f t="shared" si="58"/>
        <v/>
      </c>
      <c r="AG437" t="str">
        <f t="shared" si="59"/>
        <v/>
      </c>
      <c r="AH437">
        <f t="shared" si="60"/>
        <v>3</v>
      </c>
      <c r="AI437" t="str">
        <f t="shared" si="61"/>
        <v/>
      </c>
      <c r="AJ437" t="str">
        <f t="shared" si="62"/>
        <v/>
      </c>
    </row>
    <row r="438" spans="1:36">
      <c r="A438" s="5">
        <v>437</v>
      </c>
      <c r="B438" s="5" t="s">
        <v>2194</v>
      </c>
      <c r="C438" s="10" t="s">
        <v>2089</v>
      </c>
      <c r="D438" s="5" t="s">
        <v>2167</v>
      </c>
      <c r="E438" s="5" t="s">
        <v>269</v>
      </c>
      <c r="F438" s="5" t="str">
        <f t="shared" si="54"/>
        <v>Communication and Advocacy-Manager</v>
      </c>
      <c r="G438" s="5" t="s">
        <v>270</v>
      </c>
      <c r="H438" s="9">
        <v>44734.315601851849</v>
      </c>
      <c r="I438" s="9">
        <v>44736.315601851849</v>
      </c>
      <c r="J438" s="9" t="e">
        <f>I438+#REF!</f>
        <v>#REF!</v>
      </c>
      <c r="K438" s="9" t="e">
        <f>J438+#REF!</f>
        <v>#REF!</v>
      </c>
      <c r="L438" s="10" t="s">
        <v>41</v>
      </c>
      <c r="M438" s="11">
        <v>44744.315601851849</v>
      </c>
      <c r="N438" s="5" t="s">
        <v>167</v>
      </c>
      <c r="O438" s="5"/>
      <c r="P438" s="9">
        <v>44750.315601851849</v>
      </c>
      <c r="Q438" s="5" t="s">
        <v>167</v>
      </c>
      <c r="R438" s="5"/>
      <c r="S438" s="5"/>
      <c r="T438" s="9">
        <v>44748.315601851849</v>
      </c>
      <c r="U438" s="5"/>
      <c r="V438" s="5">
        <v>0</v>
      </c>
      <c r="W438" s="5"/>
      <c r="X438" s="5"/>
      <c r="Y438" s="5"/>
      <c r="Z438" s="5"/>
      <c r="AA438" s="5"/>
      <c r="AC438">
        <f t="shared" si="55"/>
        <v>8</v>
      </c>
      <c r="AD438" t="str">
        <f t="shared" si="56"/>
        <v/>
      </c>
      <c r="AE438">
        <f t="shared" si="57"/>
        <v>4</v>
      </c>
      <c r="AF438" t="str">
        <f t="shared" si="58"/>
        <v/>
      </c>
      <c r="AG438" t="str">
        <f t="shared" si="59"/>
        <v/>
      </c>
      <c r="AH438">
        <f t="shared" si="60"/>
        <v>2</v>
      </c>
      <c r="AI438" t="str">
        <f t="shared" si="61"/>
        <v/>
      </c>
      <c r="AJ438" t="str">
        <f t="shared" si="62"/>
        <v/>
      </c>
    </row>
    <row r="439" spans="1:36">
      <c r="A439" s="5">
        <v>438</v>
      </c>
      <c r="B439" s="5" t="s">
        <v>702</v>
      </c>
      <c r="C439" s="10" t="s">
        <v>671</v>
      </c>
      <c r="D439" s="5" t="s">
        <v>672</v>
      </c>
      <c r="E439" s="5" t="s">
        <v>597</v>
      </c>
      <c r="F439" s="5" t="str">
        <f t="shared" si="54"/>
        <v>Operations-Business Partner</v>
      </c>
      <c r="G439" s="5" t="s">
        <v>40</v>
      </c>
      <c r="H439" s="9">
        <v>44736.315601851849</v>
      </c>
      <c r="I439" s="9">
        <v>44740.315601851849</v>
      </c>
      <c r="J439" s="9" t="e">
        <f>I439+#REF!</f>
        <v>#REF!</v>
      </c>
      <c r="K439" s="9" t="e">
        <f>J439+#REF!</f>
        <v>#REF!</v>
      </c>
      <c r="L439" s="10" t="s">
        <v>41</v>
      </c>
      <c r="M439" s="11">
        <v>44745.315601851849</v>
      </c>
      <c r="N439" s="5" t="s">
        <v>48</v>
      </c>
      <c r="O439" s="5"/>
      <c r="P439" s="9">
        <v>44750.315601851849</v>
      </c>
      <c r="Q439" s="5" t="s">
        <v>48</v>
      </c>
      <c r="R439" s="5"/>
      <c r="S439" s="5"/>
      <c r="T439" s="9">
        <v>44746.315601851849</v>
      </c>
      <c r="U439" s="5"/>
      <c r="V439" s="5">
        <v>0</v>
      </c>
      <c r="W439" s="5"/>
      <c r="X439" s="5"/>
      <c r="Y439" s="5"/>
      <c r="Z439" s="5"/>
      <c r="AA439" s="5"/>
      <c r="AC439">
        <f t="shared" si="55"/>
        <v>5</v>
      </c>
      <c r="AD439" t="str">
        <f t="shared" si="56"/>
        <v/>
      </c>
      <c r="AE439">
        <f t="shared" si="57"/>
        <v>1</v>
      </c>
      <c r="AF439" t="str">
        <f t="shared" si="58"/>
        <v/>
      </c>
      <c r="AG439" t="str">
        <f t="shared" si="59"/>
        <v/>
      </c>
      <c r="AH439">
        <f t="shared" si="60"/>
        <v>4</v>
      </c>
      <c r="AI439" t="str">
        <f t="shared" si="61"/>
        <v/>
      </c>
      <c r="AJ439" t="str">
        <f t="shared" si="62"/>
        <v/>
      </c>
    </row>
    <row r="440" spans="1:36">
      <c r="A440" s="5">
        <v>439</v>
      </c>
      <c r="B440" s="5" t="s">
        <v>2088</v>
      </c>
      <c r="C440" s="10" t="s">
        <v>2089</v>
      </c>
      <c r="D440" s="5" t="s">
        <v>2090</v>
      </c>
      <c r="E440" s="5" t="s">
        <v>102</v>
      </c>
      <c r="F440" s="5" t="str">
        <f t="shared" si="54"/>
        <v>Communication and Advocacy-Senior Manager</v>
      </c>
      <c r="G440" s="5" t="s">
        <v>103</v>
      </c>
      <c r="H440" s="9">
        <v>44736.315601851849</v>
      </c>
      <c r="I440" s="9">
        <v>44738.315601851849</v>
      </c>
      <c r="J440" s="9" t="e">
        <f>I440+#REF!</f>
        <v>#REF!</v>
      </c>
      <c r="K440" s="9" t="e">
        <f>J440+#REF!</f>
        <v>#REF!</v>
      </c>
      <c r="L440" s="10" t="s">
        <v>41</v>
      </c>
      <c r="M440" s="11">
        <v>44754.315601851849</v>
      </c>
      <c r="N440" s="5" t="s">
        <v>42</v>
      </c>
      <c r="O440" s="5" t="s">
        <v>113</v>
      </c>
      <c r="P440" s="9"/>
      <c r="Q440" s="5"/>
      <c r="R440" s="5"/>
      <c r="S440" s="5"/>
      <c r="T440" s="9">
        <v>44755.315601851849</v>
      </c>
      <c r="U440" s="5"/>
      <c r="V440" s="5">
        <v>0</v>
      </c>
      <c r="W440" s="5"/>
      <c r="X440" s="5"/>
      <c r="Y440" s="5"/>
      <c r="Z440" s="5"/>
      <c r="AA440" s="5" t="s">
        <v>62</v>
      </c>
      <c r="AC440">
        <f t="shared" si="55"/>
        <v>16</v>
      </c>
      <c r="AD440" t="str">
        <f t="shared" si="56"/>
        <v/>
      </c>
      <c r="AE440">
        <f t="shared" si="57"/>
        <v>1</v>
      </c>
      <c r="AF440" t="str">
        <f t="shared" si="58"/>
        <v/>
      </c>
      <c r="AG440" t="str">
        <f t="shared" si="59"/>
        <v/>
      </c>
      <c r="AH440">
        <f t="shared" si="60"/>
        <v>2</v>
      </c>
      <c r="AI440" t="str">
        <f t="shared" si="61"/>
        <v/>
      </c>
      <c r="AJ440" t="str">
        <f t="shared" si="62"/>
        <v/>
      </c>
    </row>
    <row r="441" spans="1:36">
      <c r="A441" s="5">
        <v>440</v>
      </c>
      <c r="B441" s="5" t="s">
        <v>773</v>
      </c>
      <c r="C441" s="10" t="s">
        <v>671</v>
      </c>
      <c r="D441" s="5" t="s">
        <v>747</v>
      </c>
      <c r="E441" s="5" t="s">
        <v>69</v>
      </c>
      <c r="F441" s="5" t="str">
        <f t="shared" si="54"/>
        <v>Operations-Head of Department</v>
      </c>
      <c r="G441" s="5" t="s">
        <v>47</v>
      </c>
      <c r="H441" s="9">
        <v>44736.315601851849</v>
      </c>
      <c r="I441" s="9">
        <v>44737.315601851849</v>
      </c>
      <c r="J441" s="9" t="e">
        <f>I441+#REF!</f>
        <v>#REF!</v>
      </c>
      <c r="K441" s="9" t="e">
        <f>J441+#REF!</f>
        <v>#REF!</v>
      </c>
      <c r="L441" s="10" t="s">
        <v>52</v>
      </c>
      <c r="M441" s="11"/>
      <c r="N441" s="5"/>
      <c r="O441" s="5"/>
      <c r="P441" s="9"/>
      <c r="Q441" s="5"/>
      <c r="R441" s="5"/>
      <c r="S441" s="5"/>
      <c r="T441" s="9"/>
      <c r="U441" s="5"/>
      <c r="V441" s="5">
        <v>0</v>
      </c>
      <c r="W441" s="5"/>
      <c r="X441" s="5"/>
      <c r="Y441" s="5"/>
      <c r="Z441" s="5"/>
      <c r="AA441" s="5"/>
      <c r="AC441" t="str">
        <f t="shared" si="55"/>
        <v/>
      </c>
      <c r="AD441" t="str">
        <f t="shared" si="56"/>
        <v/>
      </c>
      <c r="AE441" t="str">
        <f t="shared" si="57"/>
        <v/>
      </c>
      <c r="AF441" t="str">
        <f t="shared" si="58"/>
        <v/>
      </c>
      <c r="AG441" t="str">
        <f t="shared" si="59"/>
        <v/>
      </c>
      <c r="AH441">
        <f t="shared" si="60"/>
        <v>1</v>
      </c>
      <c r="AI441" t="str">
        <f t="shared" si="61"/>
        <v/>
      </c>
      <c r="AJ441" t="str">
        <f t="shared" si="62"/>
        <v/>
      </c>
    </row>
    <row r="442" spans="1:36">
      <c r="A442" s="5">
        <v>441</v>
      </c>
      <c r="B442" s="5" t="s">
        <v>2496</v>
      </c>
      <c r="C442" s="5" t="s">
        <v>2494</v>
      </c>
      <c r="D442" s="5" t="s">
        <v>2495</v>
      </c>
      <c r="E442" s="5" t="s">
        <v>102</v>
      </c>
      <c r="F442" s="5" t="str">
        <f t="shared" si="54"/>
        <v>Administation-Senior Manager</v>
      </c>
      <c r="G442" s="5" t="s">
        <v>103</v>
      </c>
      <c r="H442" s="9">
        <v>44891.108344907407</v>
      </c>
      <c r="I442" s="9">
        <v>44892.108344907407</v>
      </c>
      <c r="J442" s="9" t="e">
        <f>I442+#REF!</f>
        <v>#REF!</v>
      </c>
      <c r="K442" s="9" t="e">
        <f>J442+#REF!</f>
        <v>#REF!</v>
      </c>
      <c r="L442" s="10" t="s">
        <v>41</v>
      </c>
      <c r="M442" s="11">
        <v>44908.108344907407</v>
      </c>
      <c r="N442" s="5" t="s">
        <v>64</v>
      </c>
      <c r="O442" s="5"/>
      <c r="P442" s="9">
        <v>44912.108344907407</v>
      </c>
      <c r="Q442" s="5" t="s">
        <v>64</v>
      </c>
      <c r="R442" s="9">
        <v>44909.108344907407</v>
      </c>
      <c r="S442" s="9">
        <v>44910.108344907407</v>
      </c>
      <c r="T442" s="9">
        <v>44911.108344907407</v>
      </c>
      <c r="U442" s="9">
        <v>44921.108344907407</v>
      </c>
      <c r="V442" s="12">
        <v>1</v>
      </c>
      <c r="W442" s="9">
        <v>44923.108344907407</v>
      </c>
      <c r="X442" s="9">
        <v>44925.108344907407</v>
      </c>
      <c r="Y442" s="9">
        <v>44928.108344907407</v>
      </c>
      <c r="Z442" s="5"/>
      <c r="AA442" s="5"/>
      <c r="AB442" s="13">
        <v>44935.108344907407</v>
      </c>
      <c r="AC442">
        <f t="shared" si="55"/>
        <v>16</v>
      </c>
      <c r="AD442">
        <f t="shared" si="56"/>
        <v>18</v>
      </c>
      <c r="AE442">
        <f t="shared" si="57"/>
        <v>3</v>
      </c>
      <c r="AF442">
        <f t="shared" si="58"/>
        <v>4</v>
      </c>
      <c r="AG442">
        <f t="shared" si="59"/>
        <v>2</v>
      </c>
      <c r="AH442">
        <f t="shared" si="60"/>
        <v>1</v>
      </c>
      <c r="AI442" t="str">
        <f t="shared" si="61"/>
        <v/>
      </c>
      <c r="AJ442" t="str">
        <f t="shared" si="62"/>
        <v/>
      </c>
    </row>
    <row r="443" spans="1:36">
      <c r="A443" s="5">
        <v>442</v>
      </c>
      <c r="B443" s="5" t="s">
        <v>86</v>
      </c>
      <c r="C443" s="5" t="s">
        <v>37</v>
      </c>
      <c r="D443" s="5" t="s">
        <v>38</v>
      </c>
      <c r="E443" s="5" t="s">
        <v>39</v>
      </c>
      <c r="F443" s="5" t="str">
        <f t="shared" si="54"/>
        <v>Risk Management-Analyst</v>
      </c>
      <c r="G443" s="5" t="s">
        <v>40</v>
      </c>
      <c r="H443" s="9">
        <v>44887.108344907407</v>
      </c>
      <c r="I443" s="9">
        <v>44890.108344907407</v>
      </c>
      <c r="J443" s="9" t="e">
        <f>I443+#REF!</f>
        <v>#REF!</v>
      </c>
      <c r="K443" s="9" t="e">
        <f>J443+#REF!</f>
        <v>#REF!</v>
      </c>
      <c r="L443" s="10" t="s">
        <v>41</v>
      </c>
      <c r="M443" s="11">
        <v>44898.108344907407</v>
      </c>
      <c r="N443" s="5" t="s">
        <v>42</v>
      </c>
      <c r="O443" s="5" t="s">
        <v>73</v>
      </c>
      <c r="P443" s="9"/>
      <c r="Q443" s="5"/>
      <c r="R443" s="5"/>
      <c r="S443" s="5"/>
      <c r="T443" s="9">
        <v>44902.108344907407</v>
      </c>
      <c r="U443" s="5"/>
      <c r="V443" s="5">
        <v>0</v>
      </c>
      <c r="W443" s="5"/>
      <c r="X443" s="5"/>
      <c r="Y443" s="5"/>
      <c r="Z443" s="5"/>
      <c r="AA443" s="5" t="s">
        <v>62</v>
      </c>
      <c r="AC443">
        <f t="shared" si="55"/>
        <v>8</v>
      </c>
      <c r="AD443" t="str">
        <f t="shared" si="56"/>
        <v/>
      </c>
      <c r="AE443">
        <f t="shared" si="57"/>
        <v>4</v>
      </c>
      <c r="AF443" t="str">
        <f t="shared" si="58"/>
        <v/>
      </c>
      <c r="AG443" t="str">
        <f t="shared" si="59"/>
        <v/>
      </c>
      <c r="AH443">
        <f t="shared" si="60"/>
        <v>3</v>
      </c>
      <c r="AI443" t="str">
        <f t="shared" si="61"/>
        <v/>
      </c>
      <c r="AJ443" t="str">
        <f t="shared" si="62"/>
        <v/>
      </c>
    </row>
    <row r="444" spans="1:36">
      <c r="A444" s="5">
        <v>443</v>
      </c>
      <c r="B444" s="5" t="s">
        <v>2511</v>
      </c>
      <c r="C444" s="5" t="s">
        <v>2494</v>
      </c>
      <c r="D444" s="5" t="s">
        <v>2504</v>
      </c>
      <c r="E444" s="5" t="s">
        <v>1862</v>
      </c>
      <c r="F444" s="5" t="str">
        <f t="shared" si="54"/>
        <v>Administation-Billing Officer</v>
      </c>
      <c r="G444" s="5" t="s">
        <v>147</v>
      </c>
      <c r="H444" s="9">
        <v>44891.108344907407</v>
      </c>
      <c r="I444" s="9">
        <v>44892.108344907407</v>
      </c>
      <c r="J444" s="9" t="e">
        <f>I444+#REF!</f>
        <v>#REF!</v>
      </c>
      <c r="K444" s="9" t="e">
        <f>J444+#REF!</f>
        <v>#REF!</v>
      </c>
      <c r="L444" s="10" t="s">
        <v>41</v>
      </c>
      <c r="M444" s="11">
        <v>44904.108344907407</v>
      </c>
      <c r="N444" s="5" t="s">
        <v>42</v>
      </c>
      <c r="O444" s="5" t="s">
        <v>73</v>
      </c>
      <c r="P444" s="9"/>
      <c r="Q444" s="5"/>
      <c r="R444" s="5"/>
      <c r="S444" s="5"/>
      <c r="T444" s="9"/>
      <c r="U444" s="5"/>
      <c r="V444" s="5">
        <v>0</v>
      </c>
      <c r="W444" s="5"/>
      <c r="X444" s="5"/>
      <c r="Y444" s="5"/>
      <c r="Z444" s="5"/>
      <c r="AA444" s="5" t="s">
        <v>62</v>
      </c>
      <c r="AC444">
        <f t="shared" si="55"/>
        <v>12</v>
      </c>
      <c r="AD444" t="str">
        <f t="shared" si="56"/>
        <v/>
      </c>
      <c r="AE444" t="str">
        <f t="shared" si="57"/>
        <v/>
      </c>
      <c r="AF444" t="str">
        <f t="shared" si="58"/>
        <v/>
      </c>
      <c r="AG444" t="str">
        <f t="shared" si="59"/>
        <v/>
      </c>
      <c r="AH444">
        <f t="shared" si="60"/>
        <v>1</v>
      </c>
      <c r="AI444" t="str">
        <f t="shared" si="61"/>
        <v/>
      </c>
      <c r="AJ444" t="str">
        <f t="shared" si="62"/>
        <v/>
      </c>
    </row>
    <row r="445" spans="1:36">
      <c r="A445" s="5">
        <v>444</v>
      </c>
      <c r="B445" s="5" t="s">
        <v>88</v>
      </c>
      <c r="C445" s="5" t="s">
        <v>37</v>
      </c>
      <c r="D445" s="5" t="s">
        <v>38</v>
      </c>
      <c r="E445" s="5" t="s">
        <v>39</v>
      </c>
      <c r="F445" s="5" t="str">
        <f t="shared" si="54"/>
        <v>Risk Management-Analyst</v>
      </c>
      <c r="G445" s="5" t="s">
        <v>40</v>
      </c>
      <c r="H445" s="9">
        <v>44889.108344907407</v>
      </c>
      <c r="I445" s="9">
        <v>44893.108344907407</v>
      </c>
      <c r="J445" s="9" t="e">
        <f>I445+#REF!</f>
        <v>#REF!</v>
      </c>
      <c r="K445" s="9" t="e">
        <f>J445+#REF!</f>
        <v>#REF!</v>
      </c>
      <c r="L445" s="10" t="s">
        <v>41</v>
      </c>
      <c r="M445" s="11">
        <v>44906.108344907407</v>
      </c>
      <c r="N445" s="5" t="s">
        <v>42</v>
      </c>
      <c r="O445" s="5" t="s">
        <v>58</v>
      </c>
      <c r="P445" s="9"/>
      <c r="Q445" s="5"/>
      <c r="R445" s="5"/>
      <c r="S445" s="5"/>
      <c r="T445" s="9">
        <v>44908.108344907407</v>
      </c>
      <c r="U445" s="5"/>
      <c r="V445" s="5">
        <v>0</v>
      </c>
      <c r="W445" s="5"/>
      <c r="X445" s="5"/>
      <c r="Y445" s="5"/>
      <c r="Z445" s="5"/>
      <c r="AA445" s="5" t="s">
        <v>62</v>
      </c>
      <c r="AC445">
        <f t="shared" si="55"/>
        <v>13</v>
      </c>
      <c r="AD445" t="str">
        <f t="shared" si="56"/>
        <v/>
      </c>
      <c r="AE445">
        <f t="shared" si="57"/>
        <v>2</v>
      </c>
      <c r="AF445" t="str">
        <f t="shared" si="58"/>
        <v/>
      </c>
      <c r="AG445" t="str">
        <f t="shared" si="59"/>
        <v/>
      </c>
      <c r="AH445">
        <f t="shared" si="60"/>
        <v>4</v>
      </c>
      <c r="AI445" t="str">
        <f t="shared" si="61"/>
        <v/>
      </c>
      <c r="AJ445" t="str">
        <f t="shared" si="62"/>
        <v/>
      </c>
    </row>
    <row r="446" spans="1:36">
      <c r="A446" s="5">
        <v>445</v>
      </c>
      <c r="B446" s="5" t="s">
        <v>2529</v>
      </c>
      <c r="C446" s="5" t="s">
        <v>2494</v>
      </c>
      <c r="D446" s="5" t="s">
        <v>2523</v>
      </c>
      <c r="E446" s="5" t="s">
        <v>51</v>
      </c>
      <c r="F446" s="5" t="str">
        <f t="shared" si="54"/>
        <v>Administation-Supervisor</v>
      </c>
      <c r="G446" s="5" t="s">
        <v>270</v>
      </c>
      <c r="H446" s="9">
        <v>44889.108344907407</v>
      </c>
      <c r="I446" s="9">
        <v>44892.108344907407</v>
      </c>
      <c r="J446" s="9" t="e">
        <f>I446+#REF!</f>
        <v>#REF!</v>
      </c>
      <c r="K446" s="9" t="e">
        <f>J446+#REF!</f>
        <v>#REF!</v>
      </c>
      <c r="L446" s="10" t="s">
        <v>41</v>
      </c>
      <c r="M446" s="11">
        <v>44906.108344907407</v>
      </c>
      <c r="N446" s="5" t="s">
        <v>64</v>
      </c>
      <c r="O446" s="5"/>
      <c r="P446" s="9">
        <v>44911.108344907407</v>
      </c>
      <c r="Q446" s="5" t="s">
        <v>64</v>
      </c>
      <c r="R446" s="9">
        <v>44907.108344907407</v>
      </c>
      <c r="S446" s="9">
        <v>44911.108344907407</v>
      </c>
      <c r="T446" s="9">
        <v>44908.108344907407</v>
      </c>
      <c r="U446" s="9">
        <v>44918.108344907407</v>
      </c>
      <c r="V446" s="12">
        <v>1</v>
      </c>
      <c r="W446" s="9">
        <v>44920.108344907407</v>
      </c>
      <c r="X446" s="9">
        <v>44921.108344907407</v>
      </c>
      <c r="Y446" s="9">
        <v>44923.108344907407</v>
      </c>
      <c r="Z446" s="5"/>
      <c r="AA446" s="5"/>
      <c r="AB446" s="13">
        <v>44941.108344907407</v>
      </c>
      <c r="AC446">
        <f t="shared" si="55"/>
        <v>14</v>
      </c>
      <c r="AD446">
        <f t="shared" si="56"/>
        <v>19</v>
      </c>
      <c r="AE446">
        <f t="shared" si="57"/>
        <v>2</v>
      </c>
      <c r="AF446">
        <f t="shared" si="58"/>
        <v>3</v>
      </c>
      <c r="AG446">
        <f t="shared" si="59"/>
        <v>2</v>
      </c>
      <c r="AH446">
        <f t="shared" si="60"/>
        <v>3</v>
      </c>
      <c r="AI446" t="str">
        <f t="shared" si="61"/>
        <v/>
      </c>
      <c r="AJ446" t="str">
        <f t="shared" si="62"/>
        <v/>
      </c>
    </row>
    <row r="447" spans="1:36">
      <c r="A447" s="5">
        <v>446</v>
      </c>
      <c r="B447" s="5" t="s">
        <v>2528</v>
      </c>
      <c r="C447" s="5" t="s">
        <v>2494</v>
      </c>
      <c r="D447" s="5" t="s">
        <v>2523</v>
      </c>
      <c r="E447" s="5" t="s">
        <v>51</v>
      </c>
      <c r="F447" s="5" t="str">
        <f t="shared" si="54"/>
        <v>Administation-Supervisor</v>
      </c>
      <c r="G447" s="5" t="s">
        <v>270</v>
      </c>
      <c r="H447" s="9">
        <v>44889.108344907407</v>
      </c>
      <c r="I447" s="9">
        <v>44890.108344907407</v>
      </c>
      <c r="J447" s="9" t="e">
        <f>I447+#REF!</f>
        <v>#REF!</v>
      </c>
      <c r="K447" s="9" t="e">
        <f>J447+#REF!</f>
        <v>#REF!</v>
      </c>
      <c r="L447" s="10" t="s">
        <v>41</v>
      </c>
      <c r="M447" s="11">
        <v>44906.108344907407</v>
      </c>
      <c r="N447" s="5" t="s">
        <v>42</v>
      </c>
      <c r="O447" s="5" t="s">
        <v>73</v>
      </c>
      <c r="P447" s="9"/>
      <c r="Q447" s="5"/>
      <c r="R447" s="5"/>
      <c r="S447" s="5"/>
      <c r="T447" s="9">
        <v>44909.108344907407</v>
      </c>
      <c r="U447" s="5"/>
      <c r="V447" s="5">
        <v>0</v>
      </c>
      <c r="W447" s="5"/>
      <c r="X447" s="5"/>
      <c r="Y447" s="5"/>
      <c r="Z447" s="5"/>
      <c r="AA447" s="5" t="s">
        <v>44</v>
      </c>
      <c r="AC447">
        <f t="shared" si="55"/>
        <v>16</v>
      </c>
      <c r="AD447" t="str">
        <f t="shared" si="56"/>
        <v/>
      </c>
      <c r="AE447">
        <f t="shared" si="57"/>
        <v>3</v>
      </c>
      <c r="AF447" t="str">
        <f t="shared" si="58"/>
        <v/>
      </c>
      <c r="AG447" t="str">
        <f t="shared" si="59"/>
        <v/>
      </c>
      <c r="AH447">
        <f t="shared" si="60"/>
        <v>1</v>
      </c>
      <c r="AI447" t="str">
        <f t="shared" si="61"/>
        <v/>
      </c>
      <c r="AJ447" t="str">
        <f t="shared" si="62"/>
        <v/>
      </c>
    </row>
    <row r="448" spans="1:36">
      <c r="A448" s="5">
        <v>447</v>
      </c>
      <c r="B448" s="5" t="s">
        <v>2510</v>
      </c>
      <c r="C448" s="5" t="s">
        <v>2494</v>
      </c>
      <c r="D448" s="5" t="s">
        <v>2504</v>
      </c>
      <c r="E448" s="5" t="s">
        <v>1862</v>
      </c>
      <c r="F448" s="5" t="str">
        <f t="shared" si="54"/>
        <v>Administation-Billing Officer</v>
      </c>
      <c r="G448" s="5" t="s">
        <v>147</v>
      </c>
      <c r="H448" s="9">
        <v>44888.108344907407</v>
      </c>
      <c r="I448" s="9">
        <v>44891.108344907407</v>
      </c>
      <c r="J448" s="9" t="e">
        <f>I448+#REF!</f>
        <v>#REF!</v>
      </c>
      <c r="K448" s="9" t="e">
        <f>J448+#REF!</f>
        <v>#REF!</v>
      </c>
      <c r="L448" s="10" t="s">
        <v>41</v>
      </c>
      <c r="M448" s="11">
        <v>44906.108344907407</v>
      </c>
      <c r="N448" s="5" t="s">
        <v>64</v>
      </c>
      <c r="O448" s="5"/>
      <c r="P448" s="9">
        <v>44910.108344907407</v>
      </c>
      <c r="Q448" s="5" t="s">
        <v>64</v>
      </c>
      <c r="R448" s="9">
        <v>44907.108344907407</v>
      </c>
      <c r="S448" s="9">
        <v>44910.108344907407</v>
      </c>
      <c r="T448" s="9">
        <v>44909.108344907407</v>
      </c>
      <c r="U448" s="9">
        <v>44912.108344907407</v>
      </c>
      <c r="V448" s="12">
        <v>1</v>
      </c>
      <c r="W448" s="9">
        <v>44916.108344907407</v>
      </c>
      <c r="X448" s="9">
        <v>44919.108344907407</v>
      </c>
      <c r="Y448" s="9">
        <v>44921.108344907407</v>
      </c>
      <c r="Z448" s="5"/>
      <c r="AA448" s="5"/>
      <c r="AB448" s="13">
        <v>44941.108344907407</v>
      </c>
      <c r="AC448">
        <f t="shared" si="55"/>
        <v>15</v>
      </c>
      <c r="AD448">
        <f t="shared" si="56"/>
        <v>19</v>
      </c>
      <c r="AE448">
        <f t="shared" si="57"/>
        <v>3</v>
      </c>
      <c r="AF448">
        <f t="shared" si="58"/>
        <v>7</v>
      </c>
      <c r="AG448">
        <f t="shared" si="59"/>
        <v>4</v>
      </c>
      <c r="AH448">
        <f t="shared" si="60"/>
        <v>3</v>
      </c>
      <c r="AI448" t="str">
        <f t="shared" si="61"/>
        <v/>
      </c>
      <c r="AJ448" t="str">
        <f t="shared" si="62"/>
        <v/>
      </c>
    </row>
    <row r="449" spans="1:36">
      <c r="A449" s="5">
        <v>448</v>
      </c>
      <c r="B449" s="5" t="s">
        <v>2493</v>
      </c>
      <c r="C449" s="5" t="s">
        <v>2494</v>
      </c>
      <c r="D449" s="5" t="s">
        <v>2495</v>
      </c>
      <c r="E449" s="5" t="s">
        <v>102</v>
      </c>
      <c r="F449" s="5" t="str">
        <f t="shared" si="54"/>
        <v>Administation-Senior Manager</v>
      </c>
      <c r="G449" s="5" t="s">
        <v>103</v>
      </c>
      <c r="H449" s="9">
        <v>44892.108344907407</v>
      </c>
      <c r="I449" s="9">
        <v>44893.108344907407</v>
      </c>
      <c r="J449" s="9" t="e">
        <f>I449+#REF!</f>
        <v>#REF!</v>
      </c>
      <c r="K449" s="9" t="e">
        <f>J449+#REF!</f>
        <v>#REF!</v>
      </c>
      <c r="L449" s="10" t="s">
        <v>41</v>
      </c>
      <c r="M449" s="11">
        <v>44907.108344907407</v>
      </c>
      <c r="N449" s="5" t="s">
        <v>48</v>
      </c>
      <c r="O449" s="5"/>
      <c r="P449" s="9">
        <v>44911.108344907407</v>
      </c>
      <c r="Q449" s="5" t="s">
        <v>48</v>
      </c>
      <c r="R449" s="5"/>
      <c r="S449" s="5"/>
      <c r="T449" s="9">
        <v>44908.108344907407</v>
      </c>
      <c r="U449" s="5"/>
      <c r="V449" s="5">
        <v>0</v>
      </c>
      <c r="W449" s="5"/>
      <c r="X449" s="5"/>
      <c r="Y449" s="5"/>
      <c r="Z449" s="5"/>
      <c r="AA449" s="5"/>
      <c r="AC449">
        <f t="shared" si="55"/>
        <v>14</v>
      </c>
      <c r="AD449" t="str">
        <f t="shared" si="56"/>
        <v/>
      </c>
      <c r="AE449">
        <f t="shared" si="57"/>
        <v>1</v>
      </c>
      <c r="AF449" t="str">
        <f t="shared" si="58"/>
        <v/>
      </c>
      <c r="AG449" t="str">
        <f t="shared" si="59"/>
        <v/>
      </c>
      <c r="AH449">
        <f t="shared" si="60"/>
        <v>1</v>
      </c>
      <c r="AI449" t="str">
        <f t="shared" si="61"/>
        <v/>
      </c>
      <c r="AJ449" t="str">
        <f t="shared" si="62"/>
        <v/>
      </c>
    </row>
    <row r="450" spans="1:36">
      <c r="A450" s="5">
        <v>449</v>
      </c>
      <c r="B450" s="5" t="s">
        <v>87</v>
      </c>
      <c r="C450" s="5" t="s">
        <v>37</v>
      </c>
      <c r="D450" s="5" t="s">
        <v>38</v>
      </c>
      <c r="E450" s="5" t="s">
        <v>39</v>
      </c>
      <c r="F450" s="5" t="str">
        <f t="shared" ref="F450:F513" si="63">_xlfn.CONCAT(C450,"-",E450)</f>
        <v>Risk Management-Analyst</v>
      </c>
      <c r="G450" s="5" t="s">
        <v>40</v>
      </c>
      <c r="H450" s="9">
        <v>44889.108344907407</v>
      </c>
      <c r="I450" s="9">
        <v>44893.108344907407</v>
      </c>
      <c r="J450" s="9" t="e">
        <f>I450+#REF!</f>
        <v>#REF!</v>
      </c>
      <c r="K450" s="9" t="e">
        <f>J450+#REF!</f>
        <v>#REF!</v>
      </c>
      <c r="L450" s="10" t="s">
        <v>41</v>
      </c>
      <c r="M450" s="11">
        <v>44910.108344907407</v>
      </c>
      <c r="N450" s="5" t="s">
        <v>64</v>
      </c>
      <c r="O450" s="5"/>
      <c r="P450" s="9">
        <v>44912.108344907407</v>
      </c>
      <c r="Q450" s="5" t="s">
        <v>64</v>
      </c>
      <c r="R450" s="9">
        <v>44912.108344907407</v>
      </c>
      <c r="S450" s="9">
        <v>44915.108344907407</v>
      </c>
      <c r="T450" s="9">
        <v>44911.108344907407</v>
      </c>
      <c r="U450" s="9">
        <v>44920.108344907407</v>
      </c>
      <c r="V450" s="12">
        <v>1</v>
      </c>
      <c r="W450" s="9">
        <v>44923.108344907407</v>
      </c>
      <c r="X450" s="9">
        <v>44925.108344907407</v>
      </c>
      <c r="Y450" s="9">
        <v>44926.108344907407</v>
      </c>
      <c r="Z450" s="5"/>
      <c r="AA450" s="5"/>
      <c r="AB450" s="13">
        <v>44941.108344907407</v>
      </c>
      <c r="AC450">
        <f t="shared" ref="AC450:AC513" si="64">IF(AND(ISNUMBER(M450), ISNUMBER(I450)), M450 - I450, "")</f>
        <v>17</v>
      </c>
      <c r="AD450">
        <f t="shared" si="56"/>
        <v>22</v>
      </c>
      <c r="AE450">
        <f t="shared" si="57"/>
        <v>1</v>
      </c>
      <c r="AF450">
        <f t="shared" si="58"/>
        <v>5</v>
      </c>
      <c r="AG450">
        <f t="shared" si="59"/>
        <v>3</v>
      </c>
      <c r="AH450">
        <f t="shared" si="60"/>
        <v>4</v>
      </c>
      <c r="AI450" t="str">
        <f t="shared" si="61"/>
        <v/>
      </c>
      <c r="AJ450" t="str">
        <f t="shared" si="62"/>
        <v/>
      </c>
    </row>
    <row r="451" spans="1:36">
      <c r="A451" s="5">
        <v>450</v>
      </c>
      <c r="B451" s="5" t="s">
        <v>2527</v>
      </c>
      <c r="C451" s="5" t="s">
        <v>2494</v>
      </c>
      <c r="D451" s="5" t="s">
        <v>2523</v>
      </c>
      <c r="E451" s="5" t="s">
        <v>51</v>
      </c>
      <c r="F451" s="5" t="str">
        <f t="shared" si="63"/>
        <v>Administation-Supervisor</v>
      </c>
      <c r="G451" s="5" t="s">
        <v>270</v>
      </c>
      <c r="H451" s="9">
        <v>44889.108344907407</v>
      </c>
      <c r="I451" s="9">
        <v>44893.108344907407</v>
      </c>
      <c r="J451" s="9" t="e">
        <f>I451+#REF!</f>
        <v>#REF!</v>
      </c>
      <c r="K451" s="9" t="e">
        <f>J451+#REF!</f>
        <v>#REF!</v>
      </c>
      <c r="L451" s="10" t="s">
        <v>41</v>
      </c>
      <c r="M451" s="11">
        <v>44900.108344907407</v>
      </c>
      <c r="N451" s="5" t="s">
        <v>48</v>
      </c>
      <c r="O451" s="5"/>
      <c r="P451" s="9">
        <v>44906.108344907407</v>
      </c>
      <c r="Q451" s="5" t="s">
        <v>48</v>
      </c>
      <c r="R451" s="5"/>
      <c r="S451" s="5"/>
      <c r="T451" s="9">
        <v>44904.108344907407</v>
      </c>
      <c r="U451" s="5"/>
      <c r="V451" s="5">
        <v>0</v>
      </c>
      <c r="W451" s="5"/>
      <c r="X451" s="5"/>
      <c r="Y451" s="5"/>
      <c r="Z451" s="5"/>
      <c r="AA451" s="5"/>
      <c r="AC451">
        <f t="shared" si="64"/>
        <v>7</v>
      </c>
      <c r="AD451" t="str">
        <f t="shared" ref="AD451:AD514" si="65">IF(AND(ISNUMBER(S451), ISNUMBER(I451)), S451 - I451, "")</f>
        <v/>
      </c>
      <c r="AE451">
        <f t="shared" ref="AE451:AE514" si="66">IF(AND(ISNUMBER(T451), ISNUMBER(M451)), T451-M451, "")</f>
        <v>4</v>
      </c>
      <c r="AF451" t="str">
        <f t="shared" ref="AF451:AF514" si="67">IF(AND(ISNUMBER(X451), ISNUMBER(U451)), X451-U451,"")</f>
        <v/>
      </c>
      <c r="AG451" t="str">
        <f t="shared" ref="AG451:AG514" si="68">IF(AND(ISNUMBER(W451), ISNUMBER(U451)), W451-U451, "")</f>
        <v/>
      </c>
      <c r="AH451">
        <f t="shared" ref="AH451:AH514" si="69">IF(AND(ISNUMBER(I451), ISNUMBER(H451)), I451-H451,"")</f>
        <v>4</v>
      </c>
      <c r="AI451" t="str">
        <f t="shared" ref="AI451:AI514" si="70">IF(AND(ISNUMBER(J451),ISNUMBER(K451)),K451-J451,"")</f>
        <v/>
      </c>
      <c r="AJ451" t="str">
        <f t="shared" ref="AJ451:AJ514" si="71">IF(AND(ISNUMBER(J451),ISNUMBER(I451)), J451-I451,"")</f>
        <v/>
      </c>
    </row>
    <row r="452" spans="1:36">
      <c r="A452" s="5">
        <v>451</v>
      </c>
      <c r="B452" s="5" t="s">
        <v>1797</v>
      </c>
      <c r="C452" s="5" t="s">
        <v>1540</v>
      </c>
      <c r="D452" s="5" t="s">
        <v>1706</v>
      </c>
      <c r="E452" s="5" t="s">
        <v>269</v>
      </c>
      <c r="F452" s="5" t="str">
        <f t="shared" si="63"/>
        <v>Finance-Manager</v>
      </c>
      <c r="G452" s="5" t="s">
        <v>270</v>
      </c>
      <c r="H452" s="9">
        <v>44973.571030092593</v>
      </c>
      <c r="I452" s="9">
        <v>44977.571030092593</v>
      </c>
      <c r="J452" s="9" t="e">
        <f>I452+#REF!</f>
        <v>#REF!</v>
      </c>
      <c r="K452" s="9" t="e">
        <f>J452+#REF!</f>
        <v>#REF!</v>
      </c>
      <c r="L452" s="10" t="s">
        <v>41</v>
      </c>
      <c r="M452" s="11">
        <v>44988.571030092593</v>
      </c>
      <c r="N452" s="5" t="s">
        <v>42</v>
      </c>
      <c r="O452" s="5" t="s">
        <v>43</v>
      </c>
      <c r="P452" s="9"/>
      <c r="Q452" s="5"/>
      <c r="R452" s="5"/>
      <c r="S452" s="5"/>
      <c r="T452" s="9">
        <v>44992.571030092593</v>
      </c>
      <c r="U452" s="5"/>
      <c r="V452" s="5">
        <v>0</v>
      </c>
      <c r="W452" s="5"/>
      <c r="X452" s="5"/>
      <c r="Y452" s="5"/>
      <c r="Z452" s="5"/>
      <c r="AA452" s="5" t="s">
        <v>44</v>
      </c>
      <c r="AC452">
        <f t="shared" si="64"/>
        <v>11</v>
      </c>
      <c r="AD452" t="str">
        <f t="shared" si="65"/>
        <v/>
      </c>
      <c r="AE452">
        <f t="shared" si="66"/>
        <v>4</v>
      </c>
      <c r="AF452" t="str">
        <f t="shared" si="67"/>
        <v/>
      </c>
      <c r="AG452" t="str">
        <f t="shared" si="68"/>
        <v/>
      </c>
      <c r="AH452">
        <f t="shared" si="69"/>
        <v>4</v>
      </c>
      <c r="AI452" t="str">
        <f t="shared" si="70"/>
        <v/>
      </c>
      <c r="AJ452" t="str">
        <f t="shared" si="71"/>
        <v/>
      </c>
    </row>
    <row r="453" spans="1:36">
      <c r="A453" s="5">
        <v>452</v>
      </c>
      <c r="B453" s="5" t="s">
        <v>1689</v>
      </c>
      <c r="C453" s="5" t="s">
        <v>1540</v>
      </c>
      <c r="D453" s="5" t="s">
        <v>1588</v>
      </c>
      <c r="E453" s="5" t="s">
        <v>1360</v>
      </c>
      <c r="F453" s="5" t="str">
        <f t="shared" si="63"/>
        <v>Finance-Fund Administrator</v>
      </c>
      <c r="G453" s="5" t="s">
        <v>147</v>
      </c>
      <c r="H453" s="9">
        <v>44974.571030092593</v>
      </c>
      <c r="I453" s="9">
        <v>44977.571030092593</v>
      </c>
      <c r="J453" s="9" t="e">
        <f>I453+#REF!</f>
        <v>#REF!</v>
      </c>
      <c r="K453" s="9" t="e">
        <f>J453+#REF!</f>
        <v>#REF!</v>
      </c>
      <c r="L453" s="10" t="s">
        <v>41</v>
      </c>
      <c r="M453" s="11">
        <v>44997.571030092593</v>
      </c>
      <c r="N453" s="5" t="s">
        <v>42</v>
      </c>
      <c r="O453" s="5" t="s">
        <v>98</v>
      </c>
      <c r="P453" s="9"/>
      <c r="Q453" s="5"/>
      <c r="R453" s="5"/>
      <c r="S453" s="5"/>
      <c r="T453" s="9"/>
      <c r="U453" s="5"/>
      <c r="V453" s="5">
        <v>0</v>
      </c>
      <c r="W453" s="5"/>
      <c r="X453" s="5"/>
      <c r="Y453" s="5"/>
      <c r="Z453" s="5"/>
      <c r="AA453" s="5" t="s">
        <v>44</v>
      </c>
      <c r="AC453">
        <f t="shared" si="64"/>
        <v>20</v>
      </c>
      <c r="AD453" t="str">
        <f t="shared" si="65"/>
        <v/>
      </c>
      <c r="AE453" t="str">
        <f t="shared" si="66"/>
        <v/>
      </c>
      <c r="AF453" t="str">
        <f t="shared" si="67"/>
        <v/>
      </c>
      <c r="AG453" t="str">
        <f t="shared" si="68"/>
        <v/>
      </c>
      <c r="AH453">
        <f t="shared" si="69"/>
        <v>3</v>
      </c>
      <c r="AI453" t="str">
        <f t="shared" si="70"/>
        <v/>
      </c>
      <c r="AJ453" t="str">
        <f t="shared" si="71"/>
        <v/>
      </c>
    </row>
    <row r="454" spans="1:36">
      <c r="A454" s="5">
        <v>453</v>
      </c>
      <c r="B454" s="5" t="s">
        <v>1909</v>
      </c>
      <c r="C454" s="5" t="s">
        <v>1540</v>
      </c>
      <c r="D454" s="5" t="s">
        <v>1820</v>
      </c>
      <c r="E454" s="5" t="s">
        <v>1862</v>
      </c>
      <c r="F454" s="5" t="str">
        <f t="shared" si="63"/>
        <v>Finance-Billing Officer</v>
      </c>
      <c r="G454" s="5" t="s">
        <v>40</v>
      </c>
      <c r="H454" s="9">
        <v>44969.571030092593</v>
      </c>
      <c r="I454" s="9">
        <v>44973.571030092593</v>
      </c>
      <c r="J454" s="9" t="e">
        <f>I454+#REF!</f>
        <v>#REF!</v>
      </c>
      <c r="K454" s="9" t="e">
        <f>J454+#REF!</f>
        <v>#REF!</v>
      </c>
      <c r="L454" s="10" t="s">
        <v>41</v>
      </c>
      <c r="M454" s="11">
        <v>44983.571030092593</v>
      </c>
      <c r="N454" s="5" t="s">
        <v>42</v>
      </c>
      <c r="O454" s="5" t="s">
        <v>43</v>
      </c>
      <c r="P454" s="9"/>
      <c r="Q454" s="5"/>
      <c r="R454" s="5"/>
      <c r="S454" s="5"/>
      <c r="T454" s="9"/>
      <c r="U454" s="5"/>
      <c r="V454" s="5">
        <v>0</v>
      </c>
      <c r="W454" s="5"/>
      <c r="X454" s="5"/>
      <c r="Y454" s="5"/>
      <c r="Z454" s="5"/>
      <c r="AA454" s="5" t="s">
        <v>44</v>
      </c>
      <c r="AC454">
        <f t="shared" si="64"/>
        <v>10</v>
      </c>
      <c r="AD454" t="str">
        <f t="shared" si="65"/>
        <v/>
      </c>
      <c r="AE454" t="str">
        <f t="shared" si="66"/>
        <v/>
      </c>
      <c r="AF454" t="str">
        <f t="shared" si="67"/>
        <v/>
      </c>
      <c r="AG454" t="str">
        <f t="shared" si="68"/>
        <v/>
      </c>
      <c r="AH454">
        <f t="shared" si="69"/>
        <v>4</v>
      </c>
      <c r="AI454" t="str">
        <f t="shared" si="70"/>
        <v/>
      </c>
      <c r="AJ454" t="str">
        <f t="shared" si="71"/>
        <v/>
      </c>
    </row>
    <row r="455" spans="1:36">
      <c r="A455" s="5">
        <v>454</v>
      </c>
      <c r="B455" s="5" t="s">
        <v>1908</v>
      </c>
      <c r="C455" s="5" t="s">
        <v>1540</v>
      </c>
      <c r="D455" s="5" t="s">
        <v>1820</v>
      </c>
      <c r="E455" s="5" t="s">
        <v>1862</v>
      </c>
      <c r="F455" s="5" t="str">
        <f t="shared" si="63"/>
        <v>Finance-Billing Officer</v>
      </c>
      <c r="G455" s="5" t="s">
        <v>40</v>
      </c>
      <c r="H455" s="9">
        <v>44971.571030092593</v>
      </c>
      <c r="I455" s="9">
        <v>44974.571030092593</v>
      </c>
      <c r="J455" s="9" t="e">
        <f>I455+#REF!</f>
        <v>#REF!</v>
      </c>
      <c r="K455" s="9" t="e">
        <f>J455+#REF!</f>
        <v>#REF!</v>
      </c>
      <c r="L455" s="10" t="s">
        <v>41</v>
      </c>
      <c r="M455" s="11">
        <v>44994.571030092593</v>
      </c>
      <c r="N455" s="5" t="s">
        <v>42</v>
      </c>
      <c r="O455" s="5" t="s">
        <v>58</v>
      </c>
      <c r="P455" s="9"/>
      <c r="Q455" s="5"/>
      <c r="R455" s="5"/>
      <c r="S455" s="5"/>
      <c r="T455" s="9"/>
      <c r="U455" s="5"/>
      <c r="V455" s="5">
        <v>0</v>
      </c>
      <c r="W455" s="5"/>
      <c r="X455" s="5"/>
      <c r="Y455" s="5"/>
      <c r="Z455" s="5"/>
      <c r="AA455" s="5" t="s">
        <v>44</v>
      </c>
      <c r="AC455">
        <f t="shared" si="64"/>
        <v>20</v>
      </c>
      <c r="AD455" t="str">
        <f t="shared" si="65"/>
        <v/>
      </c>
      <c r="AE455" t="str">
        <f t="shared" si="66"/>
        <v/>
      </c>
      <c r="AF455" t="str">
        <f t="shared" si="67"/>
        <v/>
      </c>
      <c r="AG455" t="str">
        <f t="shared" si="68"/>
        <v/>
      </c>
      <c r="AH455">
        <f t="shared" si="69"/>
        <v>3</v>
      </c>
      <c r="AI455" t="str">
        <f t="shared" si="70"/>
        <v/>
      </c>
      <c r="AJ455" t="str">
        <f t="shared" si="71"/>
        <v/>
      </c>
    </row>
    <row r="456" spans="1:36">
      <c r="A456" s="5">
        <v>455</v>
      </c>
      <c r="B456" s="5" t="s">
        <v>1688</v>
      </c>
      <c r="C456" s="5" t="s">
        <v>1540</v>
      </c>
      <c r="D456" s="5" t="s">
        <v>1588</v>
      </c>
      <c r="E456" s="5" t="s">
        <v>1360</v>
      </c>
      <c r="F456" s="5" t="str">
        <f t="shared" si="63"/>
        <v>Finance-Fund Administrator</v>
      </c>
      <c r="G456" s="5" t="s">
        <v>147</v>
      </c>
      <c r="H456" s="9">
        <v>44977.571030092593</v>
      </c>
      <c r="I456" s="9">
        <v>44978.571030092593</v>
      </c>
      <c r="J456" s="9" t="e">
        <f>I456+#REF!</f>
        <v>#REF!</v>
      </c>
      <c r="K456" s="9" t="e">
        <f>J456+#REF!</f>
        <v>#REF!</v>
      </c>
      <c r="L456" s="10" t="s">
        <v>41</v>
      </c>
      <c r="M456" s="11">
        <v>44992.571030092593</v>
      </c>
      <c r="N456" s="5" t="s">
        <v>64</v>
      </c>
      <c r="O456" s="5"/>
      <c r="P456" s="9">
        <v>44996.571030092593</v>
      </c>
      <c r="Q456" s="5" t="s">
        <v>64</v>
      </c>
      <c r="R456" s="9">
        <v>44993.571030092593</v>
      </c>
      <c r="S456" s="9">
        <v>44997.571030092593</v>
      </c>
      <c r="T456" s="9">
        <v>44994.571030092593</v>
      </c>
      <c r="U456" s="9">
        <v>44996.571030092593</v>
      </c>
      <c r="V456" s="12">
        <v>1</v>
      </c>
      <c r="W456" s="9">
        <v>44997.571030092593</v>
      </c>
      <c r="X456" s="9">
        <v>45000.571030092593</v>
      </c>
      <c r="Y456" s="9">
        <v>45002.571030092593</v>
      </c>
      <c r="Z456" s="5"/>
      <c r="AA456" s="5"/>
      <c r="AB456" s="13">
        <v>45015.571030092593</v>
      </c>
      <c r="AC456">
        <f t="shared" si="64"/>
        <v>14</v>
      </c>
      <c r="AD456">
        <f t="shared" si="65"/>
        <v>19</v>
      </c>
      <c r="AE456">
        <f t="shared" si="66"/>
        <v>2</v>
      </c>
      <c r="AF456">
        <f t="shared" si="67"/>
        <v>4</v>
      </c>
      <c r="AG456">
        <f t="shared" si="68"/>
        <v>1</v>
      </c>
      <c r="AH456">
        <f t="shared" si="69"/>
        <v>1</v>
      </c>
      <c r="AI456" t="str">
        <f t="shared" si="70"/>
        <v/>
      </c>
      <c r="AJ456" t="str">
        <f t="shared" si="71"/>
        <v/>
      </c>
    </row>
    <row r="457" spans="1:36">
      <c r="A457" s="5">
        <v>456</v>
      </c>
      <c r="B457" s="5" t="s">
        <v>2069</v>
      </c>
      <c r="C457" s="5" t="s">
        <v>1540</v>
      </c>
      <c r="D457" s="5" t="s">
        <v>1985</v>
      </c>
      <c r="E457" s="5" t="s">
        <v>1862</v>
      </c>
      <c r="F457" s="5" t="str">
        <f t="shared" si="63"/>
        <v>Finance-Billing Officer</v>
      </c>
      <c r="G457" s="5" t="s">
        <v>47</v>
      </c>
      <c r="H457" s="9">
        <v>44973.571030092593</v>
      </c>
      <c r="I457" s="9">
        <v>44974.571030092593</v>
      </c>
      <c r="J457" s="9" t="e">
        <f>I457+#REF!</f>
        <v>#REF!</v>
      </c>
      <c r="K457" s="9" t="e">
        <f>J457+#REF!</f>
        <v>#REF!</v>
      </c>
      <c r="L457" s="10" t="s">
        <v>52</v>
      </c>
      <c r="M457" s="11"/>
      <c r="N457" s="5"/>
      <c r="O457" s="5"/>
      <c r="P457" s="9"/>
      <c r="Q457" s="5"/>
      <c r="R457" s="5"/>
      <c r="S457" s="5"/>
      <c r="T457" s="9"/>
      <c r="U457" s="5"/>
      <c r="V457" s="5">
        <v>0</v>
      </c>
      <c r="W457" s="5"/>
      <c r="X457" s="5"/>
      <c r="Y457" s="5"/>
      <c r="Z457" s="5"/>
      <c r="AA457" s="5"/>
      <c r="AC457" t="str">
        <f t="shared" si="64"/>
        <v/>
      </c>
      <c r="AD457" t="str">
        <f t="shared" si="65"/>
        <v/>
      </c>
      <c r="AE457" t="str">
        <f t="shared" si="66"/>
        <v/>
      </c>
      <c r="AF457" t="str">
        <f t="shared" si="67"/>
        <v/>
      </c>
      <c r="AG457" t="str">
        <f t="shared" si="68"/>
        <v/>
      </c>
      <c r="AH457">
        <f t="shared" si="69"/>
        <v>1</v>
      </c>
      <c r="AI457" t="str">
        <f t="shared" si="70"/>
        <v/>
      </c>
      <c r="AJ457" t="str">
        <f t="shared" si="71"/>
        <v/>
      </c>
    </row>
    <row r="458" spans="1:36">
      <c r="A458" s="5">
        <v>457</v>
      </c>
      <c r="B458" s="5" t="s">
        <v>1962</v>
      </c>
      <c r="C458" s="5" t="s">
        <v>1540</v>
      </c>
      <c r="D458" s="5" t="s">
        <v>1925</v>
      </c>
      <c r="E458" s="5" t="s">
        <v>1939</v>
      </c>
      <c r="F458" s="5" t="str">
        <f t="shared" si="63"/>
        <v>Finance-Principal Officer</v>
      </c>
      <c r="G458" s="5" t="s">
        <v>56</v>
      </c>
      <c r="H458" s="9">
        <v>44970.571030092593</v>
      </c>
      <c r="I458" s="9">
        <v>44973.571030092593</v>
      </c>
      <c r="J458" s="9" t="e">
        <f>I458+#REF!</f>
        <v>#REF!</v>
      </c>
      <c r="K458" s="9" t="e">
        <f>J458+#REF!</f>
        <v>#REF!</v>
      </c>
      <c r="L458" s="10" t="s">
        <v>41</v>
      </c>
      <c r="M458" s="11">
        <v>44993.571030092593</v>
      </c>
      <c r="N458" s="5" t="s">
        <v>48</v>
      </c>
      <c r="O458" s="5"/>
      <c r="P458" s="9">
        <v>45001.571030092593</v>
      </c>
      <c r="Q458" s="5" t="s">
        <v>48</v>
      </c>
      <c r="R458" s="5"/>
      <c r="S458" s="5"/>
      <c r="T458" s="9">
        <v>44997.571030092593</v>
      </c>
      <c r="U458" s="5"/>
      <c r="V458" s="5">
        <v>0</v>
      </c>
      <c r="W458" s="5"/>
      <c r="X458" s="5"/>
      <c r="Y458" s="5"/>
      <c r="Z458" s="5"/>
      <c r="AA458" s="5"/>
      <c r="AC458">
        <f t="shared" si="64"/>
        <v>20</v>
      </c>
      <c r="AD458" t="str">
        <f t="shared" si="65"/>
        <v/>
      </c>
      <c r="AE458">
        <f t="shared" si="66"/>
        <v>4</v>
      </c>
      <c r="AF458" t="str">
        <f t="shared" si="67"/>
        <v/>
      </c>
      <c r="AG458" t="str">
        <f t="shared" si="68"/>
        <v/>
      </c>
      <c r="AH458">
        <f t="shared" si="69"/>
        <v>3</v>
      </c>
      <c r="AI458" t="str">
        <f t="shared" si="70"/>
        <v/>
      </c>
      <c r="AJ458" t="str">
        <f t="shared" si="71"/>
        <v/>
      </c>
    </row>
    <row r="459" spans="1:36">
      <c r="A459" s="5">
        <v>458</v>
      </c>
      <c r="B459" s="5" t="s">
        <v>2068</v>
      </c>
      <c r="C459" s="5" t="s">
        <v>1540</v>
      </c>
      <c r="D459" s="5" t="s">
        <v>1985</v>
      </c>
      <c r="E459" s="5" t="s">
        <v>1862</v>
      </c>
      <c r="F459" s="5" t="str">
        <f t="shared" si="63"/>
        <v>Finance-Billing Officer</v>
      </c>
      <c r="G459" s="5" t="s">
        <v>47</v>
      </c>
      <c r="H459" s="9">
        <v>44970.571030092593</v>
      </c>
      <c r="I459" s="9">
        <v>44973.571030092593</v>
      </c>
      <c r="J459" s="9" t="e">
        <f>I459+#REF!</f>
        <v>#REF!</v>
      </c>
      <c r="K459" s="9" t="e">
        <f>J459+#REF!</f>
        <v>#REF!</v>
      </c>
      <c r="L459" s="10" t="s">
        <v>52</v>
      </c>
      <c r="M459" s="11"/>
      <c r="N459" s="5"/>
      <c r="O459" s="5"/>
      <c r="P459" s="9"/>
      <c r="Q459" s="5"/>
      <c r="R459" s="5"/>
      <c r="S459" s="5"/>
      <c r="T459" s="9"/>
      <c r="U459" s="5"/>
      <c r="V459" s="5">
        <v>0</v>
      </c>
      <c r="W459" s="5"/>
      <c r="X459" s="5"/>
      <c r="Y459" s="5"/>
      <c r="Z459" s="5"/>
      <c r="AA459" s="5"/>
      <c r="AC459" t="str">
        <f t="shared" si="64"/>
        <v/>
      </c>
      <c r="AD459" t="str">
        <f t="shared" si="65"/>
        <v/>
      </c>
      <c r="AE459" t="str">
        <f t="shared" si="66"/>
        <v/>
      </c>
      <c r="AF459" t="str">
        <f t="shared" si="67"/>
        <v/>
      </c>
      <c r="AG459" t="str">
        <f t="shared" si="68"/>
        <v/>
      </c>
      <c r="AH459">
        <f t="shared" si="69"/>
        <v>3</v>
      </c>
      <c r="AI459" t="str">
        <f t="shared" si="70"/>
        <v/>
      </c>
      <c r="AJ459" t="str">
        <f t="shared" si="71"/>
        <v/>
      </c>
    </row>
    <row r="460" spans="1:36">
      <c r="A460" s="5">
        <v>459</v>
      </c>
      <c r="B460" s="5" t="s">
        <v>1687</v>
      </c>
      <c r="C460" s="5" t="s">
        <v>1540</v>
      </c>
      <c r="D460" s="5" t="s">
        <v>1588</v>
      </c>
      <c r="E460" s="5" t="s">
        <v>1360</v>
      </c>
      <c r="F460" s="5" t="str">
        <f t="shared" si="63"/>
        <v>Finance-Fund Administrator</v>
      </c>
      <c r="G460" s="5" t="s">
        <v>147</v>
      </c>
      <c r="H460" s="9">
        <v>44976.571030092593</v>
      </c>
      <c r="I460" s="9">
        <v>44978.571030092593</v>
      </c>
      <c r="J460" s="9" t="e">
        <f>I460+#REF!</f>
        <v>#REF!</v>
      </c>
      <c r="K460" s="9" t="e">
        <f>J460+#REF!</f>
        <v>#REF!</v>
      </c>
      <c r="L460" s="10" t="s">
        <v>41</v>
      </c>
      <c r="M460" s="11">
        <v>44990.571030092593</v>
      </c>
      <c r="N460" s="5" t="s">
        <v>64</v>
      </c>
      <c r="O460" s="5"/>
      <c r="P460" s="9">
        <v>44997.571030092593</v>
      </c>
      <c r="Q460" s="5" t="s">
        <v>64</v>
      </c>
      <c r="R460" s="9">
        <v>44991.571030092593</v>
      </c>
      <c r="S460" s="9">
        <v>44992.571030092593</v>
      </c>
      <c r="T460" s="9">
        <v>44994.571030092593</v>
      </c>
      <c r="U460" s="9">
        <v>45001.571030092593</v>
      </c>
      <c r="V460" s="12">
        <v>1</v>
      </c>
      <c r="W460" s="9">
        <v>45002.571030092593</v>
      </c>
      <c r="X460" s="9">
        <v>45005.571030092593</v>
      </c>
      <c r="Y460" s="9">
        <v>45007.571030092593</v>
      </c>
      <c r="Z460" s="5"/>
      <c r="AA460" s="5"/>
      <c r="AB460" s="13">
        <v>45019.571030092593</v>
      </c>
      <c r="AC460">
        <f t="shared" si="64"/>
        <v>12</v>
      </c>
      <c r="AD460">
        <f t="shared" si="65"/>
        <v>14</v>
      </c>
      <c r="AE460">
        <f t="shared" si="66"/>
        <v>4</v>
      </c>
      <c r="AF460">
        <f t="shared" si="67"/>
        <v>4</v>
      </c>
      <c r="AG460">
        <f t="shared" si="68"/>
        <v>1</v>
      </c>
      <c r="AH460">
        <f t="shared" si="69"/>
        <v>2</v>
      </c>
      <c r="AI460" t="str">
        <f t="shared" si="70"/>
        <v/>
      </c>
      <c r="AJ460" t="str">
        <f t="shared" si="71"/>
        <v/>
      </c>
    </row>
    <row r="461" spans="1:36">
      <c r="A461" s="5">
        <v>460</v>
      </c>
      <c r="B461" s="5" t="s">
        <v>1907</v>
      </c>
      <c r="C461" s="5" t="s">
        <v>1540</v>
      </c>
      <c r="D461" s="5" t="s">
        <v>1820</v>
      </c>
      <c r="E461" s="5" t="s">
        <v>1862</v>
      </c>
      <c r="F461" s="5" t="str">
        <f t="shared" si="63"/>
        <v>Finance-Billing Officer</v>
      </c>
      <c r="G461" s="5" t="s">
        <v>40</v>
      </c>
      <c r="H461" s="9">
        <v>44970.571030092593</v>
      </c>
      <c r="I461" s="9">
        <v>44973.571030092593</v>
      </c>
      <c r="J461" s="9" t="e">
        <f>I461+#REF!</f>
        <v>#REF!</v>
      </c>
      <c r="K461" s="9" t="e">
        <f>J461+#REF!</f>
        <v>#REF!</v>
      </c>
      <c r="L461" s="10" t="s">
        <v>41</v>
      </c>
      <c r="M461" s="11">
        <v>44984.571030092593</v>
      </c>
      <c r="N461" s="5" t="s">
        <v>48</v>
      </c>
      <c r="O461" s="5"/>
      <c r="P461" s="9">
        <v>44989.571030092593</v>
      </c>
      <c r="Q461" s="5" t="s">
        <v>48</v>
      </c>
      <c r="R461" s="5"/>
      <c r="S461" s="5"/>
      <c r="T461" s="9">
        <v>44986.571030092593</v>
      </c>
      <c r="U461" s="5"/>
      <c r="V461" s="5">
        <v>0</v>
      </c>
      <c r="W461" s="5"/>
      <c r="X461" s="5"/>
      <c r="Y461" s="5"/>
      <c r="Z461" s="5"/>
      <c r="AA461" s="5"/>
      <c r="AC461">
        <f t="shared" si="64"/>
        <v>11</v>
      </c>
      <c r="AD461" t="str">
        <f t="shared" si="65"/>
        <v/>
      </c>
      <c r="AE461">
        <f t="shared" si="66"/>
        <v>2</v>
      </c>
      <c r="AF461" t="str">
        <f t="shared" si="67"/>
        <v/>
      </c>
      <c r="AG461" t="str">
        <f t="shared" si="68"/>
        <v/>
      </c>
      <c r="AH461">
        <f t="shared" si="69"/>
        <v>3</v>
      </c>
      <c r="AI461" t="str">
        <f t="shared" si="70"/>
        <v/>
      </c>
      <c r="AJ461" t="str">
        <f t="shared" si="71"/>
        <v/>
      </c>
    </row>
    <row r="462" spans="1:36">
      <c r="A462" s="5">
        <v>461</v>
      </c>
      <c r="B462" s="5" t="s">
        <v>92</v>
      </c>
      <c r="C462" s="5" t="s">
        <v>37</v>
      </c>
      <c r="D462" s="5" t="s">
        <v>38</v>
      </c>
      <c r="E462" s="5" t="s">
        <v>39</v>
      </c>
      <c r="F462" s="5" t="str">
        <f t="shared" si="63"/>
        <v>Risk Management-Analyst</v>
      </c>
      <c r="G462" s="5" t="s">
        <v>40</v>
      </c>
      <c r="H462" s="9">
        <v>44974.424490740741</v>
      </c>
      <c r="I462" s="9">
        <v>44977.424490740741</v>
      </c>
      <c r="J462" s="9" t="e">
        <f>I462+#REF!</f>
        <v>#REF!</v>
      </c>
      <c r="K462" s="9" t="e">
        <f>J462+#REF!</f>
        <v>#REF!</v>
      </c>
      <c r="L462" s="10" t="s">
        <v>41</v>
      </c>
      <c r="M462" s="11">
        <v>44997.424490740741</v>
      </c>
      <c r="N462" s="5" t="s">
        <v>42</v>
      </c>
      <c r="O462" s="5" t="s">
        <v>73</v>
      </c>
      <c r="P462" s="9"/>
      <c r="Q462" s="5"/>
      <c r="R462" s="5"/>
      <c r="S462" s="5"/>
      <c r="T462" s="9">
        <v>45001.424490740741</v>
      </c>
      <c r="U462" s="5"/>
      <c r="V462" s="5">
        <v>0</v>
      </c>
      <c r="W462" s="5"/>
      <c r="X462" s="5"/>
      <c r="Y462" s="5"/>
      <c r="Z462" s="5"/>
      <c r="AA462" s="5" t="s">
        <v>62</v>
      </c>
      <c r="AC462">
        <f t="shared" si="64"/>
        <v>20</v>
      </c>
      <c r="AD462" t="str">
        <f t="shared" si="65"/>
        <v/>
      </c>
      <c r="AE462">
        <f t="shared" si="66"/>
        <v>4</v>
      </c>
      <c r="AF462" t="str">
        <f t="shared" si="67"/>
        <v/>
      </c>
      <c r="AG462" t="str">
        <f t="shared" si="68"/>
        <v/>
      </c>
      <c r="AH462">
        <f t="shared" si="69"/>
        <v>3</v>
      </c>
      <c r="AI462" t="str">
        <f t="shared" si="70"/>
        <v/>
      </c>
      <c r="AJ462" t="str">
        <f t="shared" si="71"/>
        <v/>
      </c>
    </row>
    <row r="463" spans="1:36">
      <c r="A463" s="5">
        <v>462</v>
      </c>
      <c r="B463" s="5" t="s">
        <v>89</v>
      </c>
      <c r="C463" s="5" t="s">
        <v>37</v>
      </c>
      <c r="D463" s="5" t="s">
        <v>46</v>
      </c>
      <c r="E463" s="5" t="s">
        <v>39</v>
      </c>
      <c r="F463" s="5" t="str">
        <f t="shared" si="63"/>
        <v>Risk Management-Analyst</v>
      </c>
      <c r="G463" s="5" t="s">
        <v>47</v>
      </c>
      <c r="H463" s="9">
        <v>44969.424490740741</v>
      </c>
      <c r="I463" s="9">
        <v>44973.424490740741</v>
      </c>
      <c r="J463" s="9" t="e">
        <f>I463+#REF!</f>
        <v>#REF!</v>
      </c>
      <c r="K463" s="9" t="e">
        <f>J463+#REF!</f>
        <v>#REF!</v>
      </c>
      <c r="L463" s="10" t="s">
        <v>41</v>
      </c>
      <c r="M463" s="11">
        <v>44996.424490740741</v>
      </c>
      <c r="N463" s="5" t="s">
        <v>64</v>
      </c>
      <c r="O463" s="5"/>
      <c r="P463" s="9">
        <v>45001.424490740741</v>
      </c>
      <c r="Q463" s="5" t="s">
        <v>64</v>
      </c>
      <c r="R463" s="9">
        <v>44998.424490740741</v>
      </c>
      <c r="S463" s="9">
        <v>45001.424490740741</v>
      </c>
      <c r="T463" s="9">
        <v>45000.424490740741</v>
      </c>
      <c r="U463" s="9">
        <v>45004.424490740741</v>
      </c>
      <c r="V463" s="12">
        <v>1</v>
      </c>
      <c r="W463" s="9">
        <v>45005.424490740741</v>
      </c>
      <c r="X463" s="9">
        <v>45008.424490740741</v>
      </c>
      <c r="Y463" s="9">
        <v>45010.424490740741</v>
      </c>
      <c r="Z463" s="5"/>
      <c r="AA463" s="5"/>
      <c r="AB463" s="13">
        <v>45028.424490740741</v>
      </c>
      <c r="AC463">
        <f t="shared" si="64"/>
        <v>23</v>
      </c>
      <c r="AD463">
        <f t="shared" si="65"/>
        <v>28</v>
      </c>
      <c r="AE463">
        <f t="shared" si="66"/>
        <v>4</v>
      </c>
      <c r="AF463">
        <f t="shared" si="67"/>
        <v>4</v>
      </c>
      <c r="AG463">
        <f t="shared" si="68"/>
        <v>1</v>
      </c>
      <c r="AH463">
        <f t="shared" si="69"/>
        <v>4</v>
      </c>
      <c r="AI463" t="str">
        <f t="shared" si="70"/>
        <v/>
      </c>
      <c r="AJ463" t="str">
        <f t="shared" si="71"/>
        <v/>
      </c>
    </row>
    <row r="464" spans="1:36">
      <c r="A464" s="5">
        <v>463</v>
      </c>
      <c r="B464" s="5" t="s">
        <v>2509</v>
      </c>
      <c r="C464" s="5" t="s">
        <v>2494</v>
      </c>
      <c r="D464" s="5" t="s">
        <v>2504</v>
      </c>
      <c r="E464" s="5" t="s">
        <v>1862</v>
      </c>
      <c r="F464" s="5" t="str">
        <f t="shared" si="63"/>
        <v>Administation-Billing Officer</v>
      </c>
      <c r="G464" s="5" t="s">
        <v>147</v>
      </c>
      <c r="H464" s="9">
        <v>44972.424490740741</v>
      </c>
      <c r="I464" s="9">
        <v>44975.424490740741</v>
      </c>
      <c r="J464" s="9" t="e">
        <f>I464+#REF!</f>
        <v>#REF!</v>
      </c>
      <c r="K464" s="9" t="e">
        <f>J464+#REF!</f>
        <v>#REF!</v>
      </c>
      <c r="L464" s="10" t="s">
        <v>41</v>
      </c>
      <c r="M464" s="11">
        <v>44983.424490740741</v>
      </c>
      <c r="N464" s="5" t="s">
        <v>42</v>
      </c>
      <c r="O464" s="5" t="s">
        <v>98</v>
      </c>
      <c r="P464" s="9"/>
      <c r="Q464" s="5"/>
      <c r="R464" s="5"/>
      <c r="S464" s="5"/>
      <c r="T464" s="9"/>
      <c r="U464" s="5"/>
      <c r="V464" s="5">
        <v>0</v>
      </c>
      <c r="W464" s="5"/>
      <c r="X464" s="5"/>
      <c r="Y464" s="5"/>
      <c r="Z464" s="5"/>
      <c r="AA464" s="5" t="s">
        <v>62</v>
      </c>
      <c r="AC464">
        <f t="shared" si="64"/>
        <v>8</v>
      </c>
      <c r="AD464" t="str">
        <f t="shared" si="65"/>
        <v/>
      </c>
      <c r="AE464" t="str">
        <f t="shared" si="66"/>
        <v/>
      </c>
      <c r="AF464" t="str">
        <f t="shared" si="67"/>
        <v/>
      </c>
      <c r="AG464" t="str">
        <f t="shared" si="68"/>
        <v/>
      </c>
      <c r="AH464">
        <f t="shared" si="69"/>
        <v>3</v>
      </c>
      <c r="AI464" t="str">
        <f t="shared" si="70"/>
        <v/>
      </c>
      <c r="AJ464" t="str">
        <f t="shared" si="71"/>
        <v/>
      </c>
    </row>
    <row r="465" spans="1:36">
      <c r="A465" s="5">
        <v>464</v>
      </c>
      <c r="B465" s="5" t="s">
        <v>2508</v>
      </c>
      <c r="C465" s="5" t="s">
        <v>2494</v>
      </c>
      <c r="D465" s="5" t="s">
        <v>2504</v>
      </c>
      <c r="E465" s="5" t="s">
        <v>1862</v>
      </c>
      <c r="F465" s="5" t="str">
        <f t="shared" si="63"/>
        <v>Administation-Billing Officer</v>
      </c>
      <c r="G465" s="5" t="s">
        <v>147</v>
      </c>
      <c r="H465" s="9">
        <v>44973.424490740741</v>
      </c>
      <c r="I465" s="9">
        <v>44976.424490740741</v>
      </c>
      <c r="J465" s="9" t="e">
        <f>I465+#REF!</f>
        <v>#REF!</v>
      </c>
      <c r="K465" s="9" t="e">
        <f>J465+#REF!</f>
        <v>#REF!</v>
      </c>
      <c r="L465" s="10" t="s">
        <v>41</v>
      </c>
      <c r="M465" s="11">
        <v>44987.424490740741</v>
      </c>
      <c r="N465" s="5" t="s">
        <v>64</v>
      </c>
      <c r="O465" s="5"/>
      <c r="P465" s="9">
        <v>44991.424490740741</v>
      </c>
      <c r="Q465" s="5" t="s">
        <v>64</v>
      </c>
      <c r="R465" s="9">
        <v>44988.424490740741</v>
      </c>
      <c r="S465" s="9">
        <v>44990.424490740741</v>
      </c>
      <c r="T465" s="9">
        <v>44988.424490740741</v>
      </c>
      <c r="U465" s="9">
        <v>44993.424490740741</v>
      </c>
      <c r="V465" s="12">
        <v>1</v>
      </c>
      <c r="W465" s="9">
        <v>44997.424490740741</v>
      </c>
      <c r="X465" s="9">
        <v>44998.424490740741</v>
      </c>
      <c r="Y465" s="9">
        <v>44999.424490740741</v>
      </c>
      <c r="Z465" s="5"/>
      <c r="AA465" s="5"/>
      <c r="AB465" s="13">
        <v>45020.424490740741</v>
      </c>
      <c r="AC465">
        <f t="shared" si="64"/>
        <v>11</v>
      </c>
      <c r="AD465">
        <f t="shared" si="65"/>
        <v>14</v>
      </c>
      <c r="AE465">
        <f t="shared" si="66"/>
        <v>1</v>
      </c>
      <c r="AF465">
        <f t="shared" si="67"/>
        <v>5</v>
      </c>
      <c r="AG465">
        <f t="shared" si="68"/>
        <v>4</v>
      </c>
      <c r="AH465">
        <f t="shared" si="69"/>
        <v>3</v>
      </c>
      <c r="AI465" t="str">
        <f t="shared" si="70"/>
        <v/>
      </c>
      <c r="AJ465" t="str">
        <f t="shared" si="71"/>
        <v/>
      </c>
    </row>
    <row r="466" spans="1:36">
      <c r="A466" s="5">
        <v>465</v>
      </c>
      <c r="B466" s="5" t="s">
        <v>2526</v>
      </c>
      <c r="C466" s="5" t="s">
        <v>2494</v>
      </c>
      <c r="D466" s="5" t="s">
        <v>2523</v>
      </c>
      <c r="E466" s="5" t="s">
        <v>51</v>
      </c>
      <c r="F466" s="5" t="str">
        <f t="shared" si="63"/>
        <v>Administation-Supervisor</v>
      </c>
      <c r="G466" s="5" t="s">
        <v>270</v>
      </c>
      <c r="H466" s="9">
        <v>44970.424490740741</v>
      </c>
      <c r="I466" s="9">
        <v>44973.424490740741</v>
      </c>
      <c r="J466" s="9" t="e">
        <f>I466+#REF!</f>
        <v>#REF!</v>
      </c>
      <c r="K466" s="9" t="e">
        <f>J466+#REF!</f>
        <v>#REF!</v>
      </c>
      <c r="L466" s="10" t="s">
        <v>41</v>
      </c>
      <c r="M466" s="11">
        <v>44985.424490740741</v>
      </c>
      <c r="N466" s="5" t="s">
        <v>48</v>
      </c>
      <c r="O466" s="5"/>
      <c r="P466" s="9">
        <v>44990.424490740741</v>
      </c>
      <c r="Q466" s="5" t="s">
        <v>48</v>
      </c>
      <c r="R466" s="5"/>
      <c r="S466" s="5"/>
      <c r="T466" s="9">
        <v>44989.424490740741</v>
      </c>
      <c r="U466" s="5"/>
      <c r="V466" s="5">
        <v>0</v>
      </c>
      <c r="W466" s="5"/>
      <c r="X466" s="5"/>
      <c r="Y466" s="5"/>
      <c r="Z466" s="5"/>
      <c r="AA466" s="5"/>
      <c r="AC466">
        <f t="shared" si="64"/>
        <v>12</v>
      </c>
      <c r="AD466" t="str">
        <f t="shared" si="65"/>
        <v/>
      </c>
      <c r="AE466">
        <f t="shared" si="66"/>
        <v>4</v>
      </c>
      <c r="AF466" t="str">
        <f t="shared" si="67"/>
        <v/>
      </c>
      <c r="AG466" t="str">
        <f t="shared" si="68"/>
        <v/>
      </c>
      <c r="AH466">
        <f t="shared" si="69"/>
        <v>3</v>
      </c>
      <c r="AI466" t="str">
        <f t="shared" si="70"/>
        <v/>
      </c>
      <c r="AJ466" t="str">
        <f t="shared" si="71"/>
        <v/>
      </c>
    </row>
    <row r="467" spans="1:36">
      <c r="A467" s="5">
        <v>466</v>
      </c>
      <c r="B467" s="5" t="s">
        <v>91</v>
      </c>
      <c r="C467" s="5" t="s">
        <v>37</v>
      </c>
      <c r="D467" s="5" t="s">
        <v>46</v>
      </c>
      <c r="E467" s="5" t="s">
        <v>39</v>
      </c>
      <c r="F467" s="5" t="str">
        <f t="shared" si="63"/>
        <v>Risk Management-Analyst</v>
      </c>
      <c r="G467" s="5" t="s">
        <v>47</v>
      </c>
      <c r="H467" s="9">
        <v>44971.424490740741</v>
      </c>
      <c r="I467" s="9">
        <v>44973.424490740741</v>
      </c>
      <c r="J467" s="9" t="e">
        <f>I467+#REF!</f>
        <v>#REF!</v>
      </c>
      <c r="K467" s="9" t="e">
        <f>J467+#REF!</f>
        <v>#REF!</v>
      </c>
      <c r="L467" s="10" t="s">
        <v>41</v>
      </c>
      <c r="M467" s="11">
        <v>44995.424490740741</v>
      </c>
      <c r="N467" s="5" t="s">
        <v>42</v>
      </c>
      <c r="O467" s="5" t="s">
        <v>58</v>
      </c>
      <c r="P467" s="9"/>
      <c r="Q467" s="5"/>
      <c r="R467" s="5"/>
      <c r="S467" s="5"/>
      <c r="T467" s="9"/>
      <c r="U467" s="5"/>
      <c r="V467" s="5">
        <v>0</v>
      </c>
      <c r="W467" s="5"/>
      <c r="X467" s="5"/>
      <c r="Y467" s="5"/>
      <c r="Z467" s="5"/>
      <c r="AA467" s="5" t="s">
        <v>62</v>
      </c>
      <c r="AC467">
        <f t="shared" si="64"/>
        <v>22</v>
      </c>
      <c r="AD467" t="str">
        <f t="shared" si="65"/>
        <v/>
      </c>
      <c r="AE467" t="str">
        <f t="shared" si="66"/>
        <v/>
      </c>
      <c r="AF467" t="str">
        <f t="shared" si="67"/>
        <v/>
      </c>
      <c r="AG467" t="str">
        <f t="shared" si="68"/>
        <v/>
      </c>
      <c r="AH467">
        <f t="shared" si="69"/>
        <v>2</v>
      </c>
      <c r="AI467" t="str">
        <f t="shared" si="70"/>
        <v/>
      </c>
      <c r="AJ467" t="str">
        <f t="shared" si="71"/>
        <v/>
      </c>
    </row>
    <row r="468" spans="1:36">
      <c r="A468" s="5">
        <v>467</v>
      </c>
      <c r="B468" s="5" t="s">
        <v>90</v>
      </c>
      <c r="C468" s="5" t="s">
        <v>37</v>
      </c>
      <c r="D468" s="5" t="s">
        <v>54</v>
      </c>
      <c r="E468" s="5" t="s">
        <v>55</v>
      </c>
      <c r="F468" s="5" t="str">
        <f t="shared" si="63"/>
        <v>Risk Management-Director</v>
      </c>
      <c r="G468" s="5" t="s">
        <v>56</v>
      </c>
      <c r="H468" s="9">
        <v>44971.424490740741</v>
      </c>
      <c r="I468" s="9">
        <v>44973.424490740741</v>
      </c>
      <c r="J468" s="9" t="e">
        <f>I468+#REF!</f>
        <v>#REF!</v>
      </c>
      <c r="K468" s="9" t="e">
        <f>J468+#REF!</f>
        <v>#REF!</v>
      </c>
      <c r="L468" s="10" t="s">
        <v>41</v>
      </c>
      <c r="M468" s="11">
        <v>44987.424490740741</v>
      </c>
      <c r="N468" s="5" t="s">
        <v>42</v>
      </c>
      <c r="O468" s="5" t="s">
        <v>58</v>
      </c>
      <c r="P468" s="9"/>
      <c r="Q468" s="5"/>
      <c r="R468" s="5"/>
      <c r="S468" s="5"/>
      <c r="T468" s="9"/>
      <c r="U468" s="5"/>
      <c r="V468" s="5">
        <v>0</v>
      </c>
      <c r="W468" s="5"/>
      <c r="X468" s="5"/>
      <c r="Y468" s="5"/>
      <c r="Z468" s="5"/>
      <c r="AA468" s="5" t="s">
        <v>44</v>
      </c>
      <c r="AC468">
        <f t="shared" si="64"/>
        <v>14</v>
      </c>
      <c r="AD468" t="str">
        <f t="shared" si="65"/>
        <v/>
      </c>
      <c r="AE468" t="str">
        <f t="shared" si="66"/>
        <v/>
      </c>
      <c r="AF468" t="str">
        <f t="shared" si="67"/>
        <v/>
      </c>
      <c r="AG468" t="str">
        <f t="shared" si="68"/>
        <v/>
      </c>
      <c r="AH468">
        <f t="shared" si="69"/>
        <v>2</v>
      </c>
      <c r="AI468" t="str">
        <f t="shared" si="70"/>
        <v/>
      </c>
      <c r="AJ468" t="str">
        <f t="shared" si="71"/>
        <v/>
      </c>
    </row>
    <row r="469" spans="1:36">
      <c r="A469" s="5">
        <v>468</v>
      </c>
      <c r="B469" s="5" t="s">
        <v>2507</v>
      </c>
      <c r="C469" s="5" t="s">
        <v>2494</v>
      </c>
      <c r="D469" s="5" t="s">
        <v>2504</v>
      </c>
      <c r="E469" s="5" t="s">
        <v>1862</v>
      </c>
      <c r="F469" s="5" t="str">
        <f t="shared" si="63"/>
        <v>Administation-Billing Officer</v>
      </c>
      <c r="G469" s="5" t="s">
        <v>147</v>
      </c>
      <c r="H469" s="9">
        <v>44972.424490740741</v>
      </c>
      <c r="I469" s="9">
        <v>44975.424490740741</v>
      </c>
      <c r="J469" s="9" t="e">
        <f>I469+#REF!</f>
        <v>#REF!</v>
      </c>
      <c r="K469" s="9" t="e">
        <f>J469+#REF!</f>
        <v>#REF!</v>
      </c>
      <c r="L469" s="10" t="s">
        <v>41</v>
      </c>
      <c r="M469" s="11">
        <v>44988.424490740741</v>
      </c>
      <c r="N469" s="5" t="s">
        <v>64</v>
      </c>
      <c r="O469" s="5"/>
      <c r="P469" s="9">
        <v>44993.424490740741</v>
      </c>
      <c r="Q469" s="5" t="s">
        <v>64</v>
      </c>
      <c r="R469" s="9">
        <v>44990.424490740741</v>
      </c>
      <c r="S469" s="9">
        <v>44993.424490740741</v>
      </c>
      <c r="T469" s="9">
        <v>44991.424490740741</v>
      </c>
      <c r="U469" s="9">
        <v>44998.424490740741</v>
      </c>
      <c r="V469" s="12">
        <v>1</v>
      </c>
      <c r="W469" s="9">
        <v>45001.424490740741</v>
      </c>
      <c r="X469" s="9">
        <v>45003.424490740741</v>
      </c>
      <c r="Y469" s="9">
        <v>45006.424490740741</v>
      </c>
      <c r="Z469" s="5"/>
      <c r="AA469" s="5"/>
      <c r="AB469" s="13">
        <v>45020.424490740741</v>
      </c>
      <c r="AC469">
        <f t="shared" si="64"/>
        <v>13</v>
      </c>
      <c r="AD469">
        <f t="shared" si="65"/>
        <v>18</v>
      </c>
      <c r="AE469">
        <f t="shared" si="66"/>
        <v>3</v>
      </c>
      <c r="AF469">
        <f t="shared" si="67"/>
        <v>5</v>
      </c>
      <c r="AG469">
        <f t="shared" si="68"/>
        <v>3</v>
      </c>
      <c r="AH469">
        <f t="shared" si="69"/>
        <v>3</v>
      </c>
      <c r="AI469" t="str">
        <f t="shared" si="70"/>
        <v/>
      </c>
      <c r="AJ469" t="str">
        <f t="shared" si="71"/>
        <v/>
      </c>
    </row>
    <row r="470" spans="1:36">
      <c r="A470" s="5">
        <v>469</v>
      </c>
      <c r="B470" s="5" t="s">
        <v>93</v>
      </c>
      <c r="C470" s="5" t="s">
        <v>37</v>
      </c>
      <c r="D470" s="5" t="s">
        <v>46</v>
      </c>
      <c r="E470" s="5" t="s">
        <v>39</v>
      </c>
      <c r="F470" s="5" t="str">
        <f t="shared" si="63"/>
        <v>Risk Management-Analyst</v>
      </c>
      <c r="G470" s="5" t="s">
        <v>47</v>
      </c>
      <c r="H470" s="9">
        <v>44974.424490740741</v>
      </c>
      <c r="I470" s="9">
        <v>44975.424490740741</v>
      </c>
      <c r="J470" s="9" t="e">
        <f>I470+#REF!</f>
        <v>#REF!</v>
      </c>
      <c r="K470" s="9" t="e">
        <f>J470+#REF!</f>
        <v>#REF!</v>
      </c>
      <c r="L470" s="10" t="s">
        <v>41</v>
      </c>
      <c r="M470" s="11">
        <v>44987.424490740741</v>
      </c>
      <c r="N470" s="5" t="s">
        <v>42</v>
      </c>
      <c r="O470" s="5" t="s">
        <v>43</v>
      </c>
      <c r="P470" s="9"/>
      <c r="Q470" s="5"/>
      <c r="R470" s="5"/>
      <c r="S470" s="5"/>
      <c r="T470" s="9">
        <v>44991.424490740741</v>
      </c>
      <c r="U470" s="5"/>
      <c r="V470" s="5">
        <v>0</v>
      </c>
      <c r="W470" s="5"/>
      <c r="X470" s="5"/>
      <c r="Y470" s="5"/>
      <c r="Z470" s="5"/>
      <c r="AA470" s="5" t="s">
        <v>62</v>
      </c>
      <c r="AC470">
        <f t="shared" si="64"/>
        <v>12</v>
      </c>
      <c r="AD470" t="str">
        <f t="shared" si="65"/>
        <v/>
      </c>
      <c r="AE470">
        <f t="shared" si="66"/>
        <v>4</v>
      </c>
      <c r="AF470" t="str">
        <f t="shared" si="67"/>
        <v/>
      </c>
      <c r="AG470" t="str">
        <f t="shared" si="68"/>
        <v/>
      </c>
      <c r="AH470">
        <f t="shared" si="69"/>
        <v>1</v>
      </c>
      <c r="AI470" t="str">
        <f t="shared" si="70"/>
        <v/>
      </c>
      <c r="AJ470" t="str">
        <f t="shared" si="71"/>
        <v/>
      </c>
    </row>
    <row r="471" spans="1:36">
      <c r="A471" s="5">
        <v>470</v>
      </c>
      <c r="B471" s="5" t="s">
        <v>94</v>
      </c>
      <c r="C471" s="5" t="s">
        <v>37</v>
      </c>
      <c r="D471" s="5" t="s">
        <v>54</v>
      </c>
      <c r="E471" s="5" t="s">
        <v>55</v>
      </c>
      <c r="F471" s="5" t="str">
        <f t="shared" si="63"/>
        <v>Risk Management-Director</v>
      </c>
      <c r="G471" s="5" t="s">
        <v>56</v>
      </c>
      <c r="H471" s="9">
        <v>44975.424490740741</v>
      </c>
      <c r="I471" s="9">
        <v>44978.424490740741</v>
      </c>
      <c r="J471" s="9" t="e">
        <f>I471+#REF!</f>
        <v>#REF!</v>
      </c>
      <c r="K471" s="9" t="e">
        <f>J471+#REF!</f>
        <v>#REF!</v>
      </c>
      <c r="L471" s="10" t="s">
        <v>41</v>
      </c>
      <c r="M471" s="11">
        <v>44994.424490740741</v>
      </c>
      <c r="N471" s="5" t="s">
        <v>48</v>
      </c>
      <c r="O471" s="5"/>
      <c r="P471" s="9">
        <v>45000.424490740741</v>
      </c>
      <c r="Q471" s="5" t="s">
        <v>48</v>
      </c>
      <c r="R471" s="5"/>
      <c r="S471" s="5"/>
      <c r="T471" s="9">
        <v>44996.424490740741</v>
      </c>
      <c r="U471" s="5"/>
      <c r="V471" s="5">
        <v>0</v>
      </c>
      <c r="W471" s="5"/>
      <c r="X471" s="5"/>
      <c r="Y471" s="5"/>
      <c r="Z471" s="5"/>
      <c r="AA471" s="5"/>
      <c r="AC471">
        <f t="shared" si="64"/>
        <v>16</v>
      </c>
      <c r="AD471" t="str">
        <f t="shared" si="65"/>
        <v/>
      </c>
      <c r="AE471">
        <f t="shared" si="66"/>
        <v>2</v>
      </c>
      <c r="AF471" t="str">
        <f t="shared" si="67"/>
        <v/>
      </c>
      <c r="AG471" t="str">
        <f t="shared" si="68"/>
        <v/>
      </c>
      <c r="AH471">
        <f t="shared" si="69"/>
        <v>3</v>
      </c>
      <c r="AI471" t="str">
        <f t="shared" si="70"/>
        <v/>
      </c>
      <c r="AJ471" t="str">
        <f t="shared" si="71"/>
        <v/>
      </c>
    </row>
    <row r="472" spans="1:36">
      <c r="A472" s="5">
        <v>471</v>
      </c>
      <c r="B472" s="5" t="s">
        <v>376</v>
      </c>
      <c r="C472" s="5" t="s">
        <v>100</v>
      </c>
      <c r="D472" s="5" t="s">
        <v>268</v>
      </c>
      <c r="E472" s="5" t="s">
        <v>291</v>
      </c>
      <c r="F472" s="5" t="str">
        <f t="shared" si="63"/>
        <v>Program Office-Cordination Manager</v>
      </c>
      <c r="G472" s="5" t="s">
        <v>270</v>
      </c>
      <c r="H472" s="9">
        <v>44676.075752314813</v>
      </c>
      <c r="I472" s="9">
        <v>44677.075752314813</v>
      </c>
      <c r="J472" s="9" t="e">
        <f>I472+#REF!</f>
        <v>#REF!</v>
      </c>
      <c r="K472" s="9" t="e">
        <f>J472+#REF!</f>
        <v>#REF!</v>
      </c>
      <c r="L472" s="10" t="s">
        <v>41</v>
      </c>
      <c r="M472" s="11">
        <v>44688.075752314813</v>
      </c>
      <c r="N472" s="5" t="s">
        <v>42</v>
      </c>
      <c r="O472" s="5" t="s">
        <v>73</v>
      </c>
      <c r="P472" s="9"/>
      <c r="Q472" s="5"/>
      <c r="R472" s="5"/>
      <c r="S472" s="5"/>
      <c r="T472" s="9">
        <v>44689.075752314813</v>
      </c>
      <c r="U472" s="5"/>
      <c r="V472" s="5">
        <v>0</v>
      </c>
      <c r="W472" s="5"/>
      <c r="X472" s="5"/>
      <c r="Y472" s="5"/>
      <c r="Z472" s="5"/>
      <c r="AA472" s="5" t="s">
        <v>44</v>
      </c>
      <c r="AC472">
        <f t="shared" si="64"/>
        <v>11</v>
      </c>
      <c r="AD472" t="str">
        <f t="shared" si="65"/>
        <v/>
      </c>
      <c r="AE472">
        <f t="shared" si="66"/>
        <v>1</v>
      </c>
      <c r="AF472" t="str">
        <f t="shared" si="67"/>
        <v/>
      </c>
      <c r="AG472" t="str">
        <f t="shared" si="68"/>
        <v/>
      </c>
      <c r="AH472">
        <f t="shared" si="69"/>
        <v>1</v>
      </c>
      <c r="AI472" t="str">
        <f t="shared" si="70"/>
        <v/>
      </c>
      <c r="AJ472" t="str">
        <f t="shared" si="71"/>
        <v/>
      </c>
    </row>
    <row r="473" spans="1:36">
      <c r="A473" s="5">
        <v>472</v>
      </c>
      <c r="B473" s="5" t="s">
        <v>375</v>
      </c>
      <c r="C473" s="5" t="s">
        <v>100</v>
      </c>
      <c r="D473" s="5" t="s">
        <v>268</v>
      </c>
      <c r="E473" s="5" t="s">
        <v>291</v>
      </c>
      <c r="F473" s="5" t="str">
        <f t="shared" si="63"/>
        <v>Program Office-Cordination Manager</v>
      </c>
      <c r="G473" s="5" t="s">
        <v>270</v>
      </c>
      <c r="H473" s="9">
        <v>44673.075752314813</v>
      </c>
      <c r="I473" s="9">
        <v>44677.075752314813</v>
      </c>
      <c r="J473" s="9" t="e">
        <f>I473+#REF!</f>
        <v>#REF!</v>
      </c>
      <c r="K473" s="9" t="e">
        <f>J473+#REF!</f>
        <v>#REF!</v>
      </c>
      <c r="L473" s="10" t="s">
        <v>41</v>
      </c>
      <c r="M473" s="11">
        <v>44693.075752314813</v>
      </c>
      <c r="N473" s="5" t="s">
        <v>48</v>
      </c>
      <c r="O473" s="5"/>
      <c r="P473" s="9">
        <v>44699.075752314813</v>
      </c>
      <c r="Q473" s="5" t="s">
        <v>48</v>
      </c>
      <c r="R473" s="5"/>
      <c r="S473" s="5"/>
      <c r="T473" s="9">
        <v>44695.075752314813</v>
      </c>
      <c r="U473" s="5"/>
      <c r="V473" s="5">
        <v>0</v>
      </c>
      <c r="W473" s="5"/>
      <c r="X473" s="5"/>
      <c r="Y473" s="5"/>
      <c r="Z473" s="5"/>
      <c r="AA473" s="5"/>
      <c r="AC473">
        <f t="shared" si="64"/>
        <v>16</v>
      </c>
      <c r="AD473" t="str">
        <f t="shared" si="65"/>
        <v/>
      </c>
      <c r="AE473">
        <f t="shared" si="66"/>
        <v>2</v>
      </c>
      <c r="AF473" t="str">
        <f t="shared" si="67"/>
        <v/>
      </c>
      <c r="AG473" t="str">
        <f t="shared" si="68"/>
        <v/>
      </c>
      <c r="AH473">
        <f t="shared" si="69"/>
        <v>4</v>
      </c>
      <c r="AI473" t="str">
        <f t="shared" si="70"/>
        <v/>
      </c>
      <c r="AJ473" t="str">
        <f t="shared" si="71"/>
        <v/>
      </c>
    </row>
    <row r="474" spans="1:36">
      <c r="A474" s="5">
        <v>473</v>
      </c>
      <c r="B474" s="5" t="s">
        <v>658</v>
      </c>
      <c r="C474" s="5" t="s">
        <v>100</v>
      </c>
      <c r="D474" s="5" t="s">
        <v>554</v>
      </c>
      <c r="E474" s="5" t="s">
        <v>597</v>
      </c>
      <c r="F474" s="5" t="str">
        <f t="shared" si="63"/>
        <v>Program Office-Business Partner</v>
      </c>
      <c r="G474" s="5" t="s">
        <v>47</v>
      </c>
      <c r="H474" s="9">
        <v>44679.075752314813</v>
      </c>
      <c r="I474" s="9">
        <v>44681.075752314813</v>
      </c>
      <c r="J474" s="9" t="e">
        <f>I474+#REF!</f>
        <v>#REF!</v>
      </c>
      <c r="K474" s="9" t="e">
        <f>J474+#REF!</f>
        <v>#REF!</v>
      </c>
      <c r="L474" s="10" t="s">
        <v>41</v>
      </c>
      <c r="M474" s="11">
        <v>44694.075752314813</v>
      </c>
      <c r="N474" s="5" t="s">
        <v>64</v>
      </c>
      <c r="O474" s="5"/>
      <c r="P474" s="9">
        <v>44701.075752314813</v>
      </c>
      <c r="Q474" s="5" t="s">
        <v>64</v>
      </c>
      <c r="R474" s="9">
        <v>44695.075752314813</v>
      </c>
      <c r="S474" s="9">
        <v>44698.075752314813</v>
      </c>
      <c r="T474" s="9">
        <v>44698.075752314813</v>
      </c>
      <c r="U474" s="9">
        <v>44707.075752314813</v>
      </c>
      <c r="V474" s="12">
        <v>1</v>
      </c>
      <c r="W474" s="9">
        <v>44710.075752314813</v>
      </c>
      <c r="X474" s="9">
        <v>44712.075752314813</v>
      </c>
      <c r="Y474" s="9">
        <v>44714.075752314813</v>
      </c>
      <c r="Z474" s="5"/>
      <c r="AA474" s="5"/>
      <c r="AB474" s="13">
        <v>44722.075752314813</v>
      </c>
      <c r="AC474">
        <f t="shared" si="64"/>
        <v>13</v>
      </c>
      <c r="AD474">
        <f t="shared" si="65"/>
        <v>17</v>
      </c>
      <c r="AE474">
        <f t="shared" si="66"/>
        <v>4</v>
      </c>
      <c r="AF474">
        <f t="shared" si="67"/>
        <v>5</v>
      </c>
      <c r="AG474">
        <f t="shared" si="68"/>
        <v>3</v>
      </c>
      <c r="AH474">
        <f t="shared" si="69"/>
        <v>2</v>
      </c>
      <c r="AI474" t="str">
        <f t="shared" si="70"/>
        <v/>
      </c>
      <c r="AJ474" t="str">
        <f t="shared" si="71"/>
        <v/>
      </c>
    </row>
    <row r="475" spans="1:36">
      <c r="A475" s="5">
        <v>474</v>
      </c>
      <c r="B475" s="5" t="s">
        <v>374</v>
      </c>
      <c r="C475" s="5" t="s">
        <v>100</v>
      </c>
      <c r="D475" s="5" t="s">
        <v>268</v>
      </c>
      <c r="E475" s="5" t="s">
        <v>291</v>
      </c>
      <c r="F475" s="5" t="str">
        <f t="shared" si="63"/>
        <v>Program Office-Cordination Manager</v>
      </c>
      <c r="G475" s="5" t="s">
        <v>270</v>
      </c>
      <c r="H475" s="9">
        <v>44672.075752314813</v>
      </c>
      <c r="I475" s="9">
        <v>44676.075752314813</v>
      </c>
      <c r="J475" s="9" t="e">
        <f>I475+#REF!</f>
        <v>#REF!</v>
      </c>
      <c r="K475" s="9" t="e">
        <f>J475+#REF!</f>
        <v>#REF!</v>
      </c>
      <c r="L475" s="10" t="s">
        <v>41</v>
      </c>
      <c r="M475" s="11">
        <v>44690.075752314813</v>
      </c>
      <c r="N475" s="5" t="s">
        <v>42</v>
      </c>
      <c r="O475" s="5" t="s">
        <v>58</v>
      </c>
      <c r="P475" s="9"/>
      <c r="Q475" s="5"/>
      <c r="R475" s="5"/>
      <c r="S475" s="5"/>
      <c r="T475" s="9"/>
      <c r="U475" s="5"/>
      <c r="V475" s="5">
        <v>0</v>
      </c>
      <c r="W475" s="5"/>
      <c r="X475" s="5"/>
      <c r="Y475" s="5"/>
      <c r="Z475" s="5"/>
      <c r="AA475" s="5" t="s">
        <v>44</v>
      </c>
      <c r="AC475">
        <f t="shared" si="64"/>
        <v>14</v>
      </c>
      <c r="AD475" t="str">
        <f t="shared" si="65"/>
        <v/>
      </c>
      <c r="AE475" t="str">
        <f t="shared" si="66"/>
        <v/>
      </c>
      <c r="AF475" t="str">
        <f t="shared" si="67"/>
        <v/>
      </c>
      <c r="AG475" t="str">
        <f t="shared" si="68"/>
        <v/>
      </c>
      <c r="AH475">
        <f t="shared" si="69"/>
        <v>4</v>
      </c>
      <c r="AI475" t="str">
        <f t="shared" si="70"/>
        <v/>
      </c>
      <c r="AJ475" t="str">
        <f t="shared" si="71"/>
        <v/>
      </c>
    </row>
    <row r="476" spans="1:36">
      <c r="A476" s="5">
        <v>475</v>
      </c>
      <c r="B476" s="5" t="s">
        <v>541</v>
      </c>
      <c r="C476" s="5" t="s">
        <v>100</v>
      </c>
      <c r="D476" s="5" t="s">
        <v>506</v>
      </c>
      <c r="E476" s="5" t="s">
        <v>69</v>
      </c>
      <c r="F476" s="5" t="str">
        <f t="shared" si="63"/>
        <v>Program Office-Head of Department</v>
      </c>
      <c r="G476" s="5" t="s">
        <v>56</v>
      </c>
      <c r="H476" s="9">
        <v>44676.075752314813</v>
      </c>
      <c r="I476" s="9">
        <v>44679.075752314813</v>
      </c>
      <c r="J476" s="9" t="e">
        <f>I476+#REF!</f>
        <v>#REF!</v>
      </c>
      <c r="K476" s="9" t="e">
        <f>J476+#REF!</f>
        <v>#REF!</v>
      </c>
      <c r="L476" s="10" t="s">
        <v>41</v>
      </c>
      <c r="M476" s="11">
        <v>44699.075752314813</v>
      </c>
      <c r="N476" s="5" t="s">
        <v>42</v>
      </c>
      <c r="O476" s="5" t="s">
        <v>113</v>
      </c>
      <c r="P476" s="9"/>
      <c r="Q476" s="5"/>
      <c r="R476" s="5"/>
      <c r="S476" s="5"/>
      <c r="T476" s="9">
        <v>44703.075752314813</v>
      </c>
      <c r="U476" s="5"/>
      <c r="V476" s="5">
        <v>0</v>
      </c>
      <c r="W476" s="5"/>
      <c r="X476" s="5"/>
      <c r="Y476" s="5"/>
      <c r="Z476" s="5"/>
      <c r="AA476" s="5" t="s">
        <v>44</v>
      </c>
      <c r="AC476">
        <f t="shared" si="64"/>
        <v>20</v>
      </c>
      <c r="AD476" t="str">
        <f t="shared" si="65"/>
        <v/>
      </c>
      <c r="AE476">
        <f t="shared" si="66"/>
        <v>4</v>
      </c>
      <c r="AF476" t="str">
        <f t="shared" si="67"/>
        <v/>
      </c>
      <c r="AG476" t="str">
        <f t="shared" si="68"/>
        <v/>
      </c>
      <c r="AH476">
        <f t="shared" si="69"/>
        <v>3</v>
      </c>
      <c r="AI476" t="str">
        <f t="shared" si="70"/>
        <v/>
      </c>
      <c r="AJ476" t="str">
        <f t="shared" si="71"/>
        <v/>
      </c>
    </row>
    <row r="477" spans="1:36">
      <c r="A477" s="5">
        <v>476</v>
      </c>
      <c r="B477" s="5" t="s">
        <v>488</v>
      </c>
      <c r="C477" s="5" t="s">
        <v>100</v>
      </c>
      <c r="D477" s="5" t="s">
        <v>387</v>
      </c>
      <c r="E477" s="5" t="s">
        <v>473</v>
      </c>
      <c r="F477" s="5" t="str">
        <f t="shared" si="63"/>
        <v>Program Office-Officer</v>
      </c>
      <c r="G477" s="5" t="s">
        <v>40</v>
      </c>
      <c r="H477" s="9">
        <v>44675.075752314813</v>
      </c>
      <c r="I477" s="9">
        <v>44678.075752314813</v>
      </c>
      <c r="J477" s="9" t="e">
        <f>I477+#REF!</f>
        <v>#REF!</v>
      </c>
      <c r="K477" s="9" t="e">
        <f>J477+#REF!</f>
        <v>#REF!</v>
      </c>
      <c r="L477" s="10" t="s">
        <v>41</v>
      </c>
      <c r="M477" s="11">
        <v>44684.075752314813</v>
      </c>
      <c r="N477" s="5" t="s">
        <v>42</v>
      </c>
      <c r="O477" s="5" t="s">
        <v>43</v>
      </c>
      <c r="P477" s="9"/>
      <c r="Q477" s="5"/>
      <c r="R477" s="5"/>
      <c r="S477" s="5"/>
      <c r="T477" s="9">
        <v>44688.075752314813</v>
      </c>
      <c r="U477" s="5"/>
      <c r="V477" s="5">
        <v>0</v>
      </c>
      <c r="W477" s="5"/>
      <c r="X477" s="5"/>
      <c r="Y477" s="5"/>
      <c r="Z477" s="5"/>
      <c r="AA477" s="5" t="s">
        <v>62</v>
      </c>
      <c r="AC477">
        <f t="shared" si="64"/>
        <v>6</v>
      </c>
      <c r="AD477" t="str">
        <f t="shared" si="65"/>
        <v/>
      </c>
      <c r="AE477">
        <f t="shared" si="66"/>
        <v>4</v>
      </c>
      <c r="AF477" t="str">
        <f t="shared" si="67"/>
        <v/>
      </c>
      <c r="AG477" t="str">
        <f t="shared" si="68"/>
        <v/>
      </c>
      <c r="AH477">
        <f t="shared" si="69"/>
        <v>3</v>
      </c>
      <c r="AI477" t="str">
        <f t="shared" si="70"/>
        <v/>
      </c>
      <c r="AJ477" t="str">
        <f t="shared" si="71"/>
        <v/>
      </c>
    </row>
    <row r="478" spans="1:36">
      <c r="A478" s="5">
        <v>477</v>
      </c>
      <c r="B478" s="5" t="s">
        <v>540</v>
      </c>
      <c r="C478" s="5" t="s">
        <v>100</v>
      </c>
      <c r="D478" s="5" t="s">
        <v>506</v>
      </c>
      <c r="E478" s="5" t="s">
        <v>69</v>
      </c>
      <c r="F478" s="5" t="str">
        <f t="shared" si="63"/>
        <v>Program Office-Head of Department</v>
      </c>
      <c r="G478" s="5" t="s">
        <v>56</v>
      </c>
      <c r="H478" s="9">
        <v>44674.075752314813</v>
      </c>
      <c r="I478" s="9">
        <v>44678.075752314813</v>
      </c>
      <c r="J478" s="9" t="e">
        <f>I478+#REF!</f>
        <v>#REF!</v>
      </c>
      <c r="K478" s="9" t="e">
        <f>J478+#REF!</f>
        <v>#REF!</v>
      </c>
      <c r="L478" s="10" t="s">
        <v>41</v>
      </c>
      <c r="M478" s="11">
        <v>44685.075752314813</v>
      </c>
      <c r="N478" s="5" t="s">
        <v>64</v>
      </c>
      <c r="O478" s="5"/>
      <c r="P478" s="9">
        <v>44689.075752314813</v>
      </c>
      <c r="Q478" s="5" t="s">
        <v>64</v>
      </c>
      <c r="R478" s="9">
        <v>44687.075752314813</v>
      </c>
      <c r="S478" s="9">
        <v>44689.075752314813</v>
      </c>
      <c r="T478" s="9">
        <v>44687.075752314813</v>
      </c>
      <c r="U478" s="9">
        <v>44688.075752314813</v>
      </c>
      <c r="V478" s="12">
        <v>1</v>
      </c>
      <c r="W478" s="9">
        <v>44691.075752314813</v>
      </c>
      <c r="X478" s="9">
        <v>44692.075752314813</v>
      </c>
      <c r="Y478" s="9">
        <v>44695.075752314813</v>
      </c>
      <c r="Z478" s="5"/>
      <c r="AA478" s="5"/>
      <c r="AB478" s="13">
        <v>44703.075752314813</v>
      </c>
      <c r="AC478">
        <f t="shared" si="64"/>
        <v>7</v>
      </c>
      <c r="AD478">
        <f t="shared" si="65"/>
        <v>11</v>
      </c>
      <c r="AE478">
        <f t="shared" si="66"/>
        <v>2</v>
      </c>
      <c r="AF478">
        <f t="shared" si="67"/>
        <v>4</v>
      </c>
      <c r="AG478">
        <f t="shared" si="68"/>
        <v>3</v>
      </c>
      <c r="AH478">
        <f t="shared" si="69"/>
        <v>4</v>
      </c>
      <c r="AI478" t="str">
        <f t="shared" si="70"/>
        <v/>
      </c>
      <c r="AJ478" t="str">
        <f t="shared" si="71"/>
        <v/>
      </c>
    </row>
    <row r="479" spans="1:36">
      <c r="A479" s="5">
        <v>478</v>
      </c>
      <c r="B479" s="5" t="s">
        <v>135</v>
      </c>
      <c r="C479" s="5" t="s">
        <v>100</v>
      </c>
      <c r="D479" s="5" t="s">
        <v>101</v>
      </c>
      <c r="E479" s="5" t="s">
        <v>132</v>
      </c>
      <c r="F479" s="5" t="str">
        <f t="shared" si="63"/>
        <v>Program Office-Senior Supervisory Manager</v>
      </c>
      <c r="G479" s="5" t="s">
        <v>103</v>
      </c>
      <c r="H479" s="9">
        <v>44673.075752314813</v>
      </c>
      <c r="I479" s="9">
        <v>44676.075752314813</v>
      </c>
      <c r="J479" s="9" t="e">
        <f>I479+#REF!</f>
        <v>#REF!</v>
      </c>
      <c r="K479" s="9" t="e">
        <f>J479+#REF!</f>
        <v>#REF!</v>
      </c>
      <c r="L479" s="10" t="s">
        <v>41</v>
      </c>
      <c r="M479" s="11">
        <v>44693.075752314813</v>
      </c>
      <c r="N479" s="5" t="s">
        <v>42</v>
      </c>
      <c r="O479" s="5" t="s">
        <v>58</v>
      </c>
      <c r="P479" s="9"/>
      <c r="Q479" s="5"/>
      <c r="R479" s="5"/>
      <c r="S479" s="5"/>
      <c r="T479" s="9"/>
      <c r="U479" s="5"/>
      <c r="V479" s="5">
        <v>0</v>
      </c>
      <c r="W479" s="5"/>
      <c r="X479" s="5"/>
      <c r="Y479" s="5"/>
      <c r="Z479" s="5"/>
      <c r="AA479" s="5" t="s">
        <v>62</v>
      </c>
      <c r="AC479">
        <f t="shared" si="64"/>
        <v>17</v>
      </c>
      <c r="AD479" t="str">
        <f t="shared" si="65"/>
        <v/>
      </c>
      <c r="AE479" t="str">
        <f t="shared" si="66"/>
        <v/>
      </c>
      <c r="AF479" t="str">
        <f t="shared" si="67"/>
        <v/>
      </c>
      <c r="AG479" t="str">
        <f t="shared" si="68"/>
        <v/>
      </c>
      <c r="AH479">
        <f t="shared" si="69"/>
        <v>3</v>
      </c>
      <c r="AI479" t="str">
        <f t="shared" si="70"/>
        <v/>
      </c>
      <c r="AJ479" t="str">
        <f t="shared" si="71"/>
        <v/>
      </c>
    </row>
    <row r="480" spans="1:36">
      <c r="A480" s="5">
        <v>479</v>
      </c>
      <c r="B480" s="5" t="s">
        <v>252</v>
      </c>
      <c r="C480" s="5" t="s">
        <v>100</v>
      </c>
      <c r="D480" s="5" t="s">
        <v>146</v>
      </c>
      <c r="E480" s="5" t="s">
        <v>39</v>
      </c>
      <c r="F480" s="5" t="str">
        <f t="shared" si="63"/>
        <v>Program Office-Analyst</v>
      </c>
      <c r="G480" s="5" t="s">
        <v>147</v>
      </c>
      <c r="H480" s="9">
        <v>44677.075752314813</v>
      </c>
      <c r="I480" s="9">
        <v>44678.075752314813</v>
      </c>
      <c r="J480" s="9" t="e">
        <f>I480+#REF!</f>
        <v>#REF!</v>
      </c>
      <c r="K480" s="9" t="e">
        <f>J480+#REF!</f>
        <v>#REF!</v>
      </c>
      <c r="L480" s="10" t="s">
        <v>41</v>
      </c>
      <c r="M480" s="11">
        <v>44694.075752314813</v>
      </c>
      <c r="N480" s="5" t="s">
        <v>42</v>
      </c>
      <c r="O480" s="5" t="s">
        <v>43</v>
      </c>
      <c r="P480" s="9"/>
      <c r="Q480" s="5"/>
      <c r="R480" s="5"/>
      <c r="S480" s="5"/>
      <c r="T480" s="9">
        <v>44696.075752314813</v>
      </c>
      <c r="U480" s="5"/>
      <c r="V480" s="5">
        <v>0</v>
      </c>
      <c r="W480" s="5"/>
      <c r="X480" s="5"/>
      <c r="Y480" s="5"/>
      <c r="Z480" s="5"/>
      <c r="AA480" s="5" t="s">
        <v>44</v>
      </c>
      <c r="AC480">
        <f t="shared" si="64"/>
        <v>16</v>
      </c>
      <c r="AD480" t="str">
        <f t="shared" si="65"/>
        <v/>
      </c>
      <c r="AE480">
        <f t="shared" si="66"/>
        <v>2</v>
      </c>
      <c r="AF480" t="str">
        <f t="shared" si="67"/>
        <v/>
      </c>
      <c r="AG480" t="str">
        <f t="shared" si="68"/>
        <v/>
      </c>
      <c r="AH480">
        <f t="shared" si="69"/>
        <v>1</v>
      </c>
      <c r="AI480" t="str">
        <f t="shared" si="70"/>
        <v/>
      </c>
      <c r="AJ480" t="str">
        <f t="shared" si="71"/>
        <v/>
      </c>
    </row>
    <row r="481" spans="1:36">
      <c r="A481" s="5">
        <v>480</v>
      </c>
      <c r="B481" s="5" t="s">
        <v>487</v>
      </c>
      <c r="C481" s="5" t="s">
        <v>100</v>
      </c>
      <c r="D481" s="5" t="s">
        <v>387</v>
      </c>
      <c r="E481" s="5" t="s">
        <v>473</v>
      </c>
      <c r="F481" s="5" t="str">
        <f t="shared" si="63"/>
        <v>Program Office-Officer</v>
      </c>
      <c r="G481" s="5" t="s">
        <v>40</v>
      </c>
      <c r="H481" s="9">
        <v>44673.075752314813</v>
      </c>
      <c r="I481" s="9">
        <v>44677.075752314813</v>
      </c>
      <c r="J481" s="9" t="e">
        <f>I481+#REF!</f>
        <v>#REF!</v>
      </c>
      <c r="K481" s="9" t="e">
        <f>J481+#REF!</f>
        <v>#REF!</v>
      </c>
      <c r="L481" s="10" t="s">
        <v>41</v>
      </c>
      <c r="M481" s="11">
        <v>44685.075752314813</v>
      </c>
      <c r="N481" s="5" t="s">
        <v>42</v>
      </c>
      <c r="O481" s="5" t="s">
        <v>58</v>
      </c>
      <c r="P481" s="9"/>
      <c r="Q481" s="5"/>
      <c r="R481" s="5"/>
      <c r="S481" s="5"/>
      <c r="T481" s="9"/>
      <c r="U481" s="5"/>
      <c r="V481" s="5">
        <v>0</v>
      </c>
      <c r="W481" s="5"/>
      <c r="X481" s="5"/>
      <c r="Y481" s="5"/>
      <c r="Z481" s="5"/>
      <c r="AA481" s="5" t="s">
        <v>62</v>
      </c>
      <c r="AC481">
        <f t="shared" si="64"/>
        <v>8</v>
      </c>
      <c r="AD481" t="str">
        <f t="shared" si="65"/>
        <v/>
      </c>
      <c r="AE481" t="str">
        <f t="shared" si="66"/>
        <v/>
      </c>
      <c r="AF481" t="str">
        <f t="shared" si="67"/>
        <v/>
      </c>
      <c r="AG481" t="str">
        <f t="shared" si="68"/>
        <v/>
      </c>
      <c r="AH481">
        <f t="shared" si="69"/>
        <v>4</v>
      </c>
      <c r="AI481" t="str">
        <f t="shared" si="70"/>
        <v/>
      </c>
      <c r="AJ481" t="str">
        <f t="shared" si="71"/>
        <v/>
      </c>
    </row>
    <row r="482" spans="1:36">
      <c r="A482" s="5">
        <v>481</v>
      </c>
      <c r="B482" s="5" t="s">
        <v>134</v>
      </c>
      <c r="C482" s="5" t="s">
        <v>100</v>
      </c>
      <c r="D482" s="5" t="s">
        <v>101</v>
      </c>
      <c r="E482" s="5" t="s">
        <v>132</v>
      </c>
      <c r="F482" s="5" t="str">
        <f t="shared" si="63"/>
        <v>Program Office-Senior Supervisory Manager</v>
      </c>
      <c r="G482" s="5" t="s">
        <v>103</v>
      </c>
      <c r="H482" s="9">
        <v>44930.566712962966</v>
      </c>
      <c r="I482" s="9">
        <v>44934.566712962966</v>
      </c>
      <c r="J482" s="9" t="e">
        <f>I482+#REF!</f>
        <v>#REF!</v>
      </c>
      <c r="K482" s="9" t="e">
        <f>J482+#REF!</f>
        <v>#REF!</v>
      </c>
      <c r="L482" s="10" t="s">
        <v>41</v>
      </c>
      <c r="M482" s="11">
        <v>44945.566712962966</v>
      </c>
      <c r="N482" s="5" t="s">
        <v>64</v>
      </c>
      <c r="O482" s="5"/>
      <c r="P482" s="9">
        <v>44951.566712962966</v>
      </c>
      <c r="Q482" s="5" t="s">
        <v>64</v>
      </c>
      <c r="R482" s="9">
        <v>44946.566712962966</v>
      </c>
      <c r="S482" s="9">
        <v>44948.566712962966</v>
      </c>
      <c r="T482" s="9">
        <v>44949.566712962966</v>
      </c>
      <c r="U482" s="9">
        <v>44957.566712962966</v>
      </c>
      <c r="V482" s="12">
        <v>1</v>
      </c>
      <c r="W482" s="9">
        <v>44958.566712962966</v>
      </c>
      <c r="X482" s="9">
        <v>44959.566712962966</v>
      </c>
      <c r="Y482" s="9">
        <v>44961.566712962966</v>
      </c>
      <c r="Z482" s="5"/>
      <c r="AA482" s="5"/>
      <c r="AB482" s="13">
        <v>44970.566712962966</v>
      </c>
      <c r="AC482">
        <f t="shared" si="64"/>
        <v>11</v>
      </c>
      <c r="AD482">
        <f t="shared" si="65"/>
        <v>14</v>
      </c>
      <c r="AE482">
        <f t="shared" si="66"/>
        <v>4</v>
      </c>
      <c r="AF482">
        <f t="shared" si="67"/>
        <v>2</v>
      </c>
      <c r="AG482">
        <f t="shared" si="68"/>
        <v>1</v>
      </c>
      <c r="AH482">
        <f t="shared" si="69"/>
        <v>4</v>
      </c>
      <c r="AI482" t="str">
        <f t="shared" si="70"/>
        <v/>
      </c>
      <c r="AJ482" t="str">
        <f t="shared" si="71"/>
        <v/>
      </c>
    </row>
    <row r="483" spans="1:36">
      <c r="A483" s="5">
        <v>482</v>
      </c>
      <c r="B483" s="5" t="s">
        <v>373</v>
      </c>
      <c r="C483" s="5" t="s">
        <v>100</v>
      </c>
      <c r="D483" s="5" t="s">
        <v>268</v>
      </c>
      <c r="E483" s="5" t="s">
        <v>291</v>
      </c>
      <c r="F483" s="5" t="str">
        <f t="shared" si="63"/>
        <v>Program Office-Cordination Manager</v>
      </c>
      <c r="G483" s="5" t="s">
        <v>270</v>
      </c>
      <c r="H483" s="9">
        <v>44928.566712962966</v>
      </c>
      <c r="I483" s="9">
        <v>44932.566712962966</v>
      </c>
      <c r="J483" s="9" t="e">
        <f>I483+#REF!</f>
        <v>#REF!</v>
      </c>
      <c r="K483" s="9" t="e">
        <f>J483+#REF!</f>
        <v>#REF!</v>
      </c>
      <c r="L483" s="10" t="s">
        <v>41</v>
      </c>
      <c r="M483" s="11">
        <v>44946.566712962966</v>
      </c>
      <c r="N483" s="5" t="s">
        <v>48</v>
      </c>
      <c r="O483" s="5"/>
      <c r="P483" s="9">
        <v>44949.566712962966</v>
      </c>
      <c r="Q483" s="5" t="s">
        <v>48</v>
      </c>
      <c r="R483" s="5"/>
      <c r="S483" s="5"/>
      <c r="T483" s="9">
        <v>44948.566712962966</v>
      </c>
      <c r="U483" s="5"/>
      <c r="V483" s="5">
        <v>0</v>
      </c>
      <c r="W483" s="5"/>
      <c r="X483" s="5"/>
      <c r="Y483" s="5"/>
      <c r="Z483" s="5"/>
      <c r="AA483" s="5"/>
      <c r="AC483">
        <f t="shared" si="64"/>
        <v>14</v>
      </c>
      <c r="AD483" t="str">
        <f t="shared" si="65"/>
        <v/>
      </c>
      <c r="AE483">
        <f t="shared" si="66"/>
        <v>2</v>
      </c>
      <c r="AF483" t="str">
        <f t="shared" si="67"/>
        <v/>
      </c>
      <c r="AG483" t="str">
        <f t="shared" si="68"/>
        <v/>
      </c>
      <c r="AH483">
        <f t="shared" si="69"/>
        <v>4</v>
      </c>
      <c r="AI483" t="str">
        <f t="shared" si="70"/>
        <v/>
      </c>
      <c r="AJ483" t="str">
        <f t="shared" si="71"/>
        <v/>
      </c>
    </row>
    <row r="484" spans="1:36">
      <c r="A484" s="5">
        <v>483</v>
      </c>
      <c r="B484" s="5" t="s">
        <v>486</v>
      </c>
      <c r="C484" s="5" t="s">
        <v>100</v>
      </c>
      <c r="D484" s="5" t="s">
        <v>387</v>
      </c>
      <c r="E484" s="5" t="s">
        <v>473</v>
      </c>
      <c r="F484" s="5" t="str">
        <f t="shared" si="63"/>
        <v>Program Office-Officer</v>
      </c>
      <c r="G484" s="5" t="s">
        <v>40</v>
      </c>
      <c r="H484" s="9">
        <v>44929.566712962966</v>
      </c>
      <c r="I484" s="9">
        <v>44933.566712962966</v>
      </c>
      <c r="J484" s="9" t="e">
        <f>I484+#REF!</f>
        <v>#REF!</v>
      </c>
      <c r="K484" s="9" t="e">
        <f>J484+#REF!</f>
        <v>#REF!</v>
      </c>
      <c r="L484" s="10" t="s">
        <v>52</v>
      </c>
      <c r="M484" s="11"/>
      <c r="N484" s="5"/>
      <c r="O484" s="5"/>
      <c r="P484" s="9"/>
      <c r="Q484" s="5"/>
      <c r="R484" s="5"/>
      <c r="S484" s="5"/>
      <c r="T484" s="9"/>
      <c r="U484" s="5"/>
      <c r="V484" s="5">
        <v>0</v>
      </c>
      <c r="W484" s="5"/>
      <c r="X484" s="5"/>
      <c r="Y484" s="5"/>
      <c r="Z484" s="5"/>
      <c r="AA484" s="5"/>
      <c r="AC484" t="str">
        <f t="shared" si="64"/>
        <v/>
      </c>
      <c r="AD484" t="str">
        <f t="shared" si="65"/>
        <v/>
      </c>
      <c r="AE484" t="str">
        <f t="shared" si="66"/>
        <v/>
      </c>
      <c r="AF484" t="str">
        <f t="shared" si="67"/>
        <v/>
      </c>
      <c r="AG484" t="str">
        <f t="shared" si="68"/>
        <v/>
      </c>
      <c r="AH484">
        <f t="shared" si="69"/>
        <v>4</v>
      </c>
      <c r="AI484" t="str">
        <f t="shared" si="70"/>
        <v/>
      </c>
      <c r="AJ484" t="str">
        <f t="shared" si="71"/>
        <v/>
      </c>
    </row>
    <row r="485" spans="1:36">
      <c r="A485" s="5">
        <v>484</v>
      </c>
      <c r="B485" s="5" t="s">
        <v>539</v>
      </c>
      <c r="C485" s="5" t="s">
        <v>100</v>
      </c>
      <c r="D485" s="5" t="s">
        <v>506</v>
      </c>
      <c r="E485" s="5" t="s">
        <v>69</v>
      </c>
      <c r="F485" s="5" t="str">
        <f t="shared" si="63"/>
        <v>Program Office-Head of Department</v>
      </c>
      <c r="G485" s="5" t="s">
        <v>56</v>
      </c>
      <c r="H485" s="9">
        <v>44931.566712962966</v>
      </c>
      <c r="I485" s="9">
        <v>44934.566712962966</v>
      </c>
      <c r="J485" s="9" t="e">
        <f>I485+#REF!</f>
        <v>#REF!</v>
      </c>
      <c r="K485" s="9" t="e">
        <f>J485+#REF!</f>
        <v>#REF!</v>
      </c>
      <c r="L485" s="10" t="s">
        <v>41</v>
      </c>
      <c r="M485" s="11">
        <v>44947.566712962966</v>
      </c>
      <c r="N485" s="5" t="s">
        <v>42</v>
      </c>
      <c r="O485" s="5" t="s">
        <v>98</v>
      </c>
      <c r="P485" s="9"/>
      <c r="Q485" s="5"/>
      <c r="R485" s="5"/>
      <c r="S485" s="5"/>
      <c r="T485" s="9">
        <v>44950.566712962966</v>
      </c>
      <c r="U485" s="5"/>
      <c r="V485" s="5">
        <v>0</v>
      </c>
      <c r="W485" s="5"/>
      <c r="X485" s="5"/>
      <c r="Y485" s="5"/>
      <c r="Z485" s="5"/>
      <c r="AA485" s="5" t="s">
        <v>44</v>
      </c>
      <c r="AC485">
        <f t="shared" si="64"/>
        <v>13</v>
      </c>
      <c r="AD485" t="str">
        <f t="shared" si="65"/>
        <v/>
      </c>
      <c r="AE485">
        <f t="shared" si="66"/>
        <v>3</v>
      </c>
      <c r="AF485" t="str">
        <f t="shared" si="67"/>
        <v/>
      </c>
      <c r="AG485" t="str">
        <f t="shared" si="68"/>
        <v/>
      </c>
      <c r="AH485">
        <f t="shared" si="69"/>
        <v>3</v>
      </c>
      <c r="AI485" t="str">
        <f t="shared" si="70"/>
        <v/>
      </c>
      <c r="AJ485" t="str">
        <f t="shared" si="71"/>
        <v/>
      </c>
    </row>
    <row r="486" spans="1:36">
      <c r="A486" s="5">
        <v>485</v>
      </c>
      <c r="B486" s="5" t="s">
        <v>538</v>
      </c>
      <c r="C486" s="5" t="s">
        <v>100</v>
      </c>
      <c r="D486" s="5" t="s">
        <v>506</v>
      </c>
      <c r="E486" s="5" t="s">
        <v>69</v>
      </c>
      <c r="F486" s="5" t="str">
        <f t="shared" si="63"/>
        <v>Program Office-Head of Department</v>
      </c>
      <c r="G486" s="5" t="s">
        <v>56</v>
      </c>
      <c r="H486" s="9">
        <v>44930.566712962966</v>
      </c>
      <c r="I486" s="9">
        <v>44932.566712962966</v>
      </c>
      <c r="J486" s="9" t="e">
        <f>I486+#REF!</f>
        <v>#REF!</v>
      </c>
      <c r="K486" s="9" t="e">
        <f>J486+#REF!</f>
        <v>#REF!</v>
      </c>
      <c r="L486" s="10" t="s">
        <v>41</v>
      </c>
      <c r="M486" s="11">
        <v>44948.566712962966</v>
      </c>
      <c r="N486" s="5" t="s">
        <v>42</v>
      </c>
      <c r="O486" s="5" t="s">
        <v>58</v>
      </c>
      <c r="P486" s="9"/>
      <c r="Q486" s="5"/>
      <c r="R486" s="5"/>
      <c r="S486" s="5"/>
      <c r="T486" s="9"/>
      <c r="U486" s="5"/>
      <c r="V486" s="5">
        <v>0</v>
      </c>
      <c r="W486" s="5"/>
      <c r="X486" s="5"/>
      <c r="Y486" s="5"/>
      <c r="Z486" s="5"/>
      <c r="AA486" s="5" t="s">
        <v>44</v>
      </c>
      <c r="AC486">
        <f t="shared" si="64"/>
        <v>16</v>
      </c>
      <c r="AD486" t="str">
        <f t="shared" si="65"/>
        <v/>
      </c>
      <c r="AE486" t="str">
        <f t="shared" si="66"/>
        <v/>
      </c>
      <c r="AF486" t="str">
        <f t="shared" si="67"/>
        <v/>
      </c>
      <c r="AG486" t="str">
        <f t="shared" si="68"/>
        <v/>
      </c>
      <c r="AH486">
        <f t="shared" si="69"/>
        <v>2</v>
      </c>
      <c r="AI486" t="str">
        <f t="shared" si="70"/>
        <v/>
      </c>
      <c r="AJ486" t="str">
        <f t="shared" si="71"/>
        <v/>
      </c>
    </row>
    <row r="487" spans="1:36">
      <c r="A487" s="5">
        <v>486</v>
      </c>
      <c r="B487" s="5" t="s">
        <v>133</v>
      </c>
      <c r="C487" s="5" t="s">
        <v>100</v>
      </c>
      <c r="D487" s="5" t="s">
        <v>101</v>
      </c>
      <c r="E487" s="5" t="s">
        <v>132</v>
      </c>
      <c r="F487" s="5" t="str">
        <f t="shared" si="63"/>
        <v>Program Office-Senior Supervisory Manager</v>
      </c>
      <c r="G487" s="5" t="s">
        <v>103</v>
      </c>
      <c r="H487" s="9">
        <v>44936.566712962966</v>
      </c>
      <c r="I487" s="9">
        <v>44937.566712962966</v>
      </c>
      <c r="J487" s="9" t="e">
        <f>I487+#REF!</f>
        <v>#REF!</v>
      </c>
      <c r="K487" s="9" t="e">
        <f>J487+#REF!</f>
        <v>#REF!</v>
      </c>
      <c r="L487" s="10" t="s">
        <v>41</v>
      </c>
      <c r="M487" s="11">
        <v>44956.566712962966</v>
      </c>
      <c r="N487" s="5" t="s">
        <v>48</v>
      </c>
      <c r="O487" s="5"/>
      <c r="P487" s="9">
        <v>44960.566712962966</v>
      </c>
      <c r="Q487" s="5" t="s">
        <v>48</v>
      </c>
      <c r="R487" s="5"/>
      <c r="S487" s="5"/>
      <c r="T487" s="9">
        <v>44959.566712962966</v>
      </c>
      <c r="U487" s="5"/>
      <c r="V487" s="5">
        <v>0</v>
      </c>
      <c r="W487" s="5"/>
      <c r="X487" s="5"/>
      <c r="Y487" s="5"/>
      <c r="Z487" s="5"/>
      <c r="AA487" s="5"/>
      <c r="AC487">
        <f t="shared" si="64"/>
        <v>19</v>
      </c>
      <c r="AD487" t="str">
        <f t="shared" si="65"/>
        <v/>
      </c>
      <c r="AE487">
        <f t="shared" si="66"/>
        <v>3</v>
      </c>
      <c r="AF487" t="str">
        <f t="shared" si="67"/>
        <v/>
      </c>
      <c r="AG487" t="str">
        <f t="shared" si="68"/>
        <v/>
      </c>
      <c r="AH487">
        <f t="shared" si="69"/>
        <v>1</v>
      </c>
      <c r="AI487" t="str">
        <f t="shared" si="70"/>
        <v/>
      </c>
      <c r="AJ487" t="str">
        <f t="shared" si="71"/>
        <v/>
      </c>
    </row>
    <row r="488" spans="1:36">
      <c r="A488" s="5">
        <v>487</v>
      </c>
      <c r="B488" s="5" t="s">
        <v>251</v>
      </c>
      <c r="C488" s="5" t="s">
        <v>100</v>
      </c>
      <c r="D488" s="5" t="s">
        <v>146</v>
      </c>
      <c r="E488" s="5" t="s">
        <v>39</v>
      </c>
      <c r="F488" s="5" t="str">
        <f t="shared" si="63"/>
        <v>Program Office-Analyst</v>
      </c>
      <c r="G488" s="5" t="s">
        <v>147</v>
      </c>
      <c r="H488" s="9">
        <v>44930.566712962966</v>
      </c>
      <c r="I488" s="9">
        <v>44933.566712962966</v>
      </c>
      <c r="J488" s="9" t="e">
        <f>I488+#REF!</f>
        <v>#REF!</v>
      </c>
      <c r="K488" s="9" t="e">
        <f>J488+#REF!</f>
        <v>#REF!</v>
      </c>
      <c r="L488" s="10" t="s">
        <v>41</v>
      </c>
      <c r="M488" s="11">
        <v>44951.566712962966</v>
      </c>
      <c r="N488" s="5" t="s">
        <v>48</v>
      </c>
      <c r="O488" s="5"/>
      <c r="P488" s="9">
        <v>44956.566712962966</v>
      </c>
      <c r="Q488" s="5" t="s">
        <v>48</v>
      </c>
      <c r="R488" s="5"/>
      <c r="S488" s="5"/>
      <c r="T488" s="9">
        <v>44954.566712962966</v>
      </c>
      <c r="U488" s="5"/>
      <c r="V488" s="5">
        <v>0</v>
      </c>
      <c r="W488" s="5"/>
      <c r="X488" s="5"/>
      <c r="Y488" s="5"/>
      <c r="Z488" s="5"/>
      <c r="AA488" s="5"/>
      <c r="AC488">
        <f t="shared" si="64"/>
        <v>18</v>
      </c>
      <c r="AD488" t="str">
        <f t="shared" si="65"/>
        <v/>
      </c>
      <c r="AE488">
        <f t="shared" si="66"/>
        <v>3</v>
      </c>
      <c r="AF488" t="str">
        <f t="shared" si="67"/>
        <v/>
      </c>
      <c r="AG488" t="str">
        <f t="shared" si="68"/>
        <v/>
      </c>
      <c r="AH488">
        <f t="shared" si="69"/>
        <v>3</v>
      </c>
      <c r="AI488" t="str">
        <f t="shared" si="70"/>
        <v/>
      </c>
      <c r="AJ488" t="str">
        <f t="shared" si="71"/>
        <v/>
      </c>
    </row>
    <row r="489" spans="1:36">
      <c r="A489" s="5">
        <v>488</v>
      </c>
      <c r="B489" s="5" t="s">
        <v>657</v>
      </c>
      <c r="C489" s="5" t="s">
        <v>100</v>
      </c>
      <c r="D489" s="5" t="s">
        <v>554</v>
      </c>
      <c r="E489" s="5" t="s">
        <v>597</v>
      </c>
      <c r="F489" s="5" t="str">
        <f t="shared" si="63"/>
        <v>Program Office-Business Partner</v>
      </c>
      <c r="G489" s="5" t="s">
        <v>47</v>
      </c>
      <c r="H489" s="9">
        <v>44932.566712962966</v>
      </c>
      <c r="I489" s="9">
        <v>44933.566712962966</v>
      </c>
      <c r="J489" s="9" t="e">
        <f>I489+#REF!</f>
        <v>#REF!</v>
      </c>
      <c r="K489" s="9" t="e">
        <f>J489+#REF!</f>
        <v>#REF!</v>
      </c>
      <c r="L489" s="10" t="s">
        <v>52</v>
      </c>
      <c r="M489" s="11"/>
      <c r="N489" s="5"/>
      <c r="O489" s="5"/>
      <c r="P489" s="9"/>
      <c r="Q489" s="5"/>
      <c r="R489" s="5"/>
      <c r="S489" s="5"/>
      <c r="T489" s="9"/>
      <c r="U489" s="5"/>
      <c r="V489" s="5">
        <v>0</v>
      </c>
      <c r="W489" s="5"/>
      <c r="X489" s="5"/>
      <c r="Y489" s="5"/>
      <c r="Z489" s="5"/>
      <c r="AA489" s="5"/>
      <c r="AC489" t="str">
        <f t="shared" si="64"/>
        <v/>
      </c>
      <c r="AD489" t="str">
        <f t="shared" si="65"/>
        <v/>
      </c>
      <c r="AE489" t="str">
        <f t="shared" si="66"/>
        <v/>
      </c>
      <c r="AF489" t="str">
        <f t="shared" si="67"/>
        <v/>
      </c>
      <c r="AG489" t="str">
        <f t="shared" si="68"/>
        <v/>
      </c>
      <c r="AH489">
        <f t="shared" si="69"/>
        <v>1</v>
      </c>
      <c r="AI489" t="str">
        <f t="shared" si="70"/>
        <v/>
      </c>
      <c r="AJ489" t="str">
        <f t="shared" si="71"/>
        <v/>
      </c>
    </row>
    <row r="490" spans="1:36">
      <c r="A490" s="5">
        <v>489</v>
      </c>
      <c r="B490" s="5" t="s">
        <v>372</v>
      </c>
      <c r="C490" s="5" t="s">
        <v>100</v>
      </c>
      <c r="D490" s="5" t="s">
        <v>268</v>
      </c>
      <c r="E490" s="5" t="s">
        <v>291</v>
      </c>
      <c r="F490" s="5" t="str">
        <f t="shared" si="63"/>
        <v>Program Office-Cordination Manager</v>
      </c>
      <c r="G490" s="5" t="s">
        <v>270</v>
      </c>
      <c r="H490" s="9">
        <v>44933.566712962966</v>
      </c>
      <c r="I490" s="9">
        <v>44935.566712962966</v>
      </c>
      <c r="J490" s="9" t="e">
        <f>I490+#REF!</f>
        <v>#REF!</v>
      </c>
      <c r="K490" s="9" t="e">
        <f>J490+#REF!</f>
        <v>#REF!</v>
      </c>
      <c r="L490" s="10" t="s">
        <v>41</v>
      </c>
      <c r="M490" s="11">
        <v>44940.566712962966</v>
      </c>
      <c r="N490" s="5" t="s">
        <v>42</v>
      </c>
      <c r="O490" s="5" t="s">
        <v>113</v>
      </c>
      <c r="P490" s="9"/>
      <c r="Q490" s="5"/>
      <c r="R490" s="5"/>
      <c r="S490" s="5"/>
      <c r="T490" s="9">
        <v>44943.566712962966</v>
      </c>
      <c r="U490" s="5"/>
      <c r="V490" s="5">
        <v>0</v>
      </c>
      <c r="W490" s="5"/>
      <c r="X490" s="5"/>
      <c r="Y490" s="5"/>
      <c r="Z490" s="5"/>
      <c r="AA490" s="5" t="s">
        <v>62</v>
      </c>
      <c r="AC490">
        <f t="shared" si="64"/>
        <v>5</v>
      </c>
      <c r="AD490" t="str">
        <f t="shared" si="65"/>
        <v/>
      </c>
      <c r="AE490">
        <f t="shared" si="66"/>
        <v>3</v>
      </c>
      <c r="AF490" t="str">
        <f t="shared" si="67"/>
        <v/>
      </c>
      <c r="AG490" t="str">
        <f t="shared" si="68"/>
        <v/>
      </c>
      <c r="AH490">
        <f t="shared" si="69"/>
        <v>2</v>
      </c>
      <c r="AI490" t="str">
        <f t="shared" si="70"/>
        <v/>
      </c>
      <c r="AJ490" t="str">
        <f t="shared" si="71"/>
        <v/>
      </c>
    </row>
    <row r="491" spans="1:36">
      <c r="A491" s="5">
        <v>490</v>
      </c>
      <c r="B491" s="5" t="s">
        <v>250</v>
      </c>
      <c r="C491" s="5" t="s">
        <v>100</v>
      </c>
      <c r="D491" s="5" t="s">
        <v>146</v>
      </c>
      <c r="E491" s="5" t="s">
        <v>39</v>
      </c>
      <c r="F491" s="5" t="str">
        <f t="shared" si="63"/>
        <v>Program Office-Analyst</v>
      </c>
      <c r="G491" s="5" t="s">
        <v>147</v>
      </c>
      <c r="H491" s="9">
        <v>44936.566712962966</v>
      </c>
      <c r="I491" s="9">
        <v>44937.566712962966</v>
      </c>
      <c r="J491" s="9" t="e">
        <f>I491+#REF!</f>
        <v>#REF!</v>
      </c>
      <c r="K491" s="9" t="e">
        <f>J491+#REF!</f>
        <v>#REF!</v>
      </c>
      <c r="L491" s="10" t="s">
        <v>52</v>
      </c>
      <c r="M491" s="11"/>
      <c r="N491" s="5"/>
      <c r="O491" s="5"/>
      <c r="P491" s="9"/>
      <c r="Q491" s="5"/>
      <c r="R491" s="5"/>
      <c r="S491" s="5"/>
      <c r="T491" s="9"/>
      <c r="U491" s="5"/>
      <c r="V491" s="5">
        <v>0</v>
      </c>
      <c r="W491" s="5"/>
      <c r="X491" s="5"/>
      <c r="Y491" s="5"/>
      <c r="Z491" s="5"/>
      <c r="AA491" s="5"/>
      <c r="AC491" t="str">
        <f t="shared" si="64"/>
        <v/>
      </c>
      <c r="AD491" t="str">
        <f t="shared" si="65"/>
        <v/>
      </c>
      <c r="AE491" t="str">
        <f t="shared" si="66"/>
        <v/>
      </c>
      <c r="AF491" t="str">
        <f t="shared" si="67"/>
        <v/>
      </c>
      <c r="AG491" t="str">
        <f t="shared" si="68"/>
        <v/>
      </c>
      <c r="AH491">
        <f t="shared" si="69"/>
        <v>1</v>
      </c>
      <c r="AI491" t="str">
        <f t="shared" si="70"/>
        <v/>
      </c>
      <c r="AJ491" t="str">
        <f t="shared" si="71"/>
        <v/>
      </c>
    </row>
    <row r="492" spans="1:36">
      <c r="A492" s="5">
        <v>491</v>
      </c>
      <c r="B492" s="5" t="s">
        <v>485</v>
      </c>
      <c r="C492" s="5" t="s">
        <v>100</v>
      </c>
      <c r="D492" s="5" t="s">
        <v>387</v>
      </c>
      <c r="E492" s="5" t="s">
        <v>473</v>
      </c>
      <c r="F492" s="5" t="str">
        <f t="shared" si="63"/>
        <v>Program Office-Officer</v>
      </c>
      <c r="G492" s="5" t="s">
        <v>40</v>
      </c>
      <c r="H492" s="9">
        <v>45168.411724537036</v>
      </c>
      <c r="I492" s="9">
        <v>45172.411724537036</v>
      </c>
      <c r="J492" s="9" t="e">
        <f>I492+#REF!</f>
        <v>#REF!</v>
      </c>
      <c r="K492" s="9" t="e">
        <f>J492+#REF!</f>
        <v>#REF!</v>
      </c>
      <c r="L492" s="10" t="s">
        <v>41</v>
      </c>
      <c r="M492" s="11">
        <v>45187.411724537036</v>
      </c>
      <c r="N492" s="5" t="s">
        <v>42</v>
      </c>
      <c r="O492" s="5" t="s">
        <v>73</v>
      </c>
      <c r="P492" s="9"/>
      <c r="Q492" s="5"/>
      <c r="R492" s="5"/>
      <c r="S492" s="5"/>
      <c r="T492" s="9"/>
      <c r="U492" s="5"/>
      <c r="V492" s="5">
        <v>0</v>
      </c>
      <c r="W492" s="5"/>
      <c r="X492" s="5"/>
      <c r="Y492" s="5"/>
      <c r="Z492" s="5"/>
      <c r="AA492" s="5" t="s">
        <v>44</v>
      </c>
      <c r="AC492">
        <f t="shared" si="64"/>
        <v>15</v>
      </c>
      <c r="AD492" t="str">
        <f t="shared" si="65"/>
        <v/>
      </c>
      <c r="AE492" t="str">
        <f t="shared" si="66"/>
        <v/>
      </c>
      <c r="AF492" t="str">
        <f t="shared" si="67"/>
        <v/>
      </c>
      <c r="AG492" t="str">
        <f t="shared" si="68"/>
        <v/>
      </c>
      <c r="AH492">
        <f t="shared" si="69"/>
        <v>4</v>
      </c>
      <c r="AI492" t="str">
        <f t="shared" si="70"/>
        <v/>
      </c>
      <c r="AJ492" t="str">
        <f t="shared" si="71"/>
        <v/>
      </c>
    </row>
    <row r="493" spans="1:36">
      <c r="A493" s="5">
        <v>492</v>
      </c>
      <c r="B493" s="5" t="s">
        <v>484</v>
      </c>
      <c r="C493" s="5" t="s">
        <v>100</v>
      </c>
      <c r="D493" s="5" t="s">
        <v>387</v>
      </c>
      <c r="E493" s="5" t="s">
        <v>473</v>
      </c>
      <c r="F493" s="5" t="str">
        <f t="shared" si="63"/>
        <v>Program Office-Officer</v>
      </c>
      <c r="G493" s="5" t="s">
        <v>40</v>
      </c>
      <c r="H493" s="9">
        <v>45167.411724537036</v>
      </c>
      <c r="I493" s="9">
        <v>45168.411724537036</v>
      </c>
      <c r="J493" s="9" t="e">
        <f>I493+#REF!</f>
        <v>#REF!</v>
      </c>
      <c r="K493" s="9" t="e">
        <f>J493+#REF!</f>
        <v>#REF!</v>
      </c>
      <c r="L493" s="10" t="s">
        <v>41</v>
      </c>
      <c r="M493" s="11">
        <v>45189.411724537036</v>
      </c>
      <c r="N493" s="5" t="s">
        <v>42</v>
      </c>
      <c r="O493" s="5" t="s">
        <v>43</v>
      </c>
      <c r="P493" s="9"/>
      <c r="Q493" s="5"/>
      <c r="R493" s="5"/>
      <c r="S493" s="5"/>
      <c r="T493" s="9">
        <v>45193.411724537036</v>
      </c>
      <c r="U493" s="5"/>
      <c r="V493" s="5">
        <v>0</v>
      </c>
      <c r="W493" s="5"/>
      <c r="X493" s="5"/>
      <c r="Y493" s="5"/>
      <c r="Z493" s="5"/>
      <c r="AA493" s="5" t="s">
        <v>62</v>
      </c>
      <c r="AC493">
        <f t="shared" si="64"/>
        <v>21</v>
      </c>
      <c r="AD493" t="str">
        <f t="shared" si="65"/>
        <v/>
      </c>
      <c r="AE493">
        <f t="shared" si="66"/>
        <v>4</v>
      </c>
      <c r="AF493" t="str">
        <f t="shared" si="67"/>
        <v/>
      </c>
      <c r="AG493" t="str">
        <f t="shared" si="68"/>
        <v/>
      </c>
      <c r="AH493">
        <f t="shared" si="69"/>
        <v>1</v>
      </c>
      <c r="AI493" t="str">
        <f t="shared" si="70"/>
        <v/>
      </c>
      <c r="AJ493" t="str">
        <f t="shared" si="71"/>
        <v/>
      </c>
    </row>
    <row r="494" spans="1:36">
      <c r="A494" s="5">
        <v>493</v>
      </c>
      <c r="B494" s="5" t="s">
        <v>537</v>
      </c>
      <c r="C494" s="5" t="s">
        <v>100</v>
      </c>
      <c r="D494" s="5" t="s">
        <v>506</v>
      </c>
      <c r="E494" s="5" t="s">
        <v>69</v>
      </c>
      <c r="F494" s="5" t="str">
        <f t="shared" si="63"/>
        <v>Program Office-Head of Department</v>
      </c>
      <c r="G494" s="5" t="s">
        <v>56</v>
      </c>
      <c r="H494" s="9">
        <v>45166.411724537036</v>
      </c>
      <c r="I494" s="9">
        <v>45169.411724537036</v>
      </c>
      <c r="J494" s="9" t="e">
        <f>I494+#REF!</f>
        <v>#REF!</v>
      </c>
      <c r="K494" s="9" t="e">
        <f>J494+#REF!</f>
        <v>#REF!</v>
      </c>
      <c r="L494" s="10" t="s">
        <v>41</v>
      </c>
      <c r="M494" s="11">
        <v>45188.411724537036</v>
      </c>
      <c r="N494" s="5" t="s">
        <v>42</v>
      </c>
      <c r="O494" s="5" t="s">
        <v>58</v>
      </c>
      <c r="P494" s="9"/>
      <c r="Q494" s="5"/>
      <c r="R494" s="5"/>
      <c r="S494" s="5"/>
      <c r="T494" s="9"/>
      <c r="U494" s="5"/>
      <c r="V494" s="5">
        <v>0</v>
      </c>
      <c r="W494" s="5"/>
      <c r="X494" s="5"/>
      <c r="Y494" s="5"/>
      <c r="Z494" s="5"/>
      <c r="AA494" s="5" t="s">
        <v>44</v>
      </c>
      <c r="AC494">
        <f t="shared" si="64"/>
        <v>19</v>
      </c>
      <c r="AD494" t="str">
        <f t="shared" si="65"/>
        <v/>
      </c>
      <c r="AE494" t="str">
        <f t="shared" si="66"/>
        <v/>
      </c>
      <c r="AF494" t="str">
        <f t="shared" si="67"/>
        <v/>
      </c>
      <c r="AG494" t="str">
        <f t="shared" si="68"/>
        <v/>
      </c>
      <c r="AH494">
        <f t="shared" si="69"/>
        <v>3</v>
      </c>
      <c r="AI494" t="str">
        <f t="shared" si="70"/>
        <v/>
      </c>
      <c r="AJ494" t="str">
        <f t="shared" si="71"/>
        <v/>
      </c>
    </row>
    <row r="495" spans="1:36">
      <c r="A495" s="5">
        <v>494</v>
      </c>
      <c r="B495" s="5" t="s">
        <v>536</v>
      </c>
      <c r="C495" s="5" t="s">
        <v>100</v>
      </c>
      <c r="D495" s="5" t="s">
        <v>506</v>
      </c>
      <c r="E495" s="5" t="s">
        <v>69</v>
      </c>
      <c r="F495" s="5" t="str">
        <f t="shared" si="63"/>
        <v>Program Office-Head of Department</v>
      </c>
      <c r="G495" s="5" t="s">
        <v>56</v>
      </c>
      <c r="H495" s="9">
        <v>45169.411724537036</v>
      </c>
      <c r="I495" s="9">
        <v>45172.411724537036</v>
      </c>
      <c r="J495" s="9" t="e">
        <f>I495+#REF!</f>
        <v>#REF!</v>
      </c>
      <c r="K495" s="9" t="e">
        <f>J495+#REF!</f>
        <v>#REF!</v>
      </c>
      <c r="L495" s="10" t="s">
        <v>41</v>
      </c>
      <c r="M495" s="11">
        <v>45178.411724537036</v>
      </c>
      <c r="N495" s="5" t="s">
        <v>48</v>
      </c>
      <c r="O495" s="5"/>
      <c r="P495" s="9">
        <v>45185.411724537036</v>
      </c>
      <c r="Q495" s="5" t="s">
        <v>48</v>
      </c>
      <c r="R495" s="5"/>
      <c r="S495" s="5"/>
      <c r="T495" s="9">
        <v>45182.411724537036</v>
      </c>
      <c r="U495" s="5"/>
      <c r="V495" s="5">
        <v>0</v>
      </c>
      <c r="W495" s="5"/>
      <c r="X495" s="5"/>
      <c r="Y495" s="5"/>
      <c r="Z495" s="5"/>
      <c r="AA495" s="5"/>
      <c r="AC495">
        <f t="shared" si="64"/>
        <v>6</v>
      </c>
      <c r="AD495" t="str">
        <f t="shared" si="65"/>
        <v/>
      </c>
      <c r="AE495">
        <f t="shared" si="66"/>
        <v>4</v>
      </c>
      <c r="AF495" t="str">
        <f t="shared" si="67"/>
        <v/>
      </c>
      <c r="AG495" t="str">
        <f t="shared" si="68"/>
        <v/>
      </c>
      <c r="AH495">
        <f t="shared" si="69"/>
        <v>3</v>
      </c>
      <c r="AI495" t="str">
        <f t="shared" si="70"/>
        <v/>
      </c>
      <c r="AJ495" t="str">
        <f t="shared" si="71"/>
        <v/>
      </c>
    </row>
    <row r="496" spans="1:36">
      <c r="A496" s="5">
        <v>495</v>
      </c>
      <c r="B496" s="5" t="s">
        <v>656</v>
      </c>
      <c r="C496" s="5" t="s">
        <v>100</v>
      </c>
      <c r="D496" s="5" t="s">
        <v>554</v>
      </c>
      <c r="E496" s="5" t="s">
        <v>597</v>
      </c>
      <c r="F496" s="5" t="str">
        <f t="shared" si="63"/>
        <v>Program Office-Business Partner</v>
      </c>
      <c r="G496" s="5" t="s">
        <v>47</v>
      </c>
      <c r="H496" s="9">
        <v>45170.411724537036</v>
      </c>
      <c r="I496" s="9">
        <v>45171.411724537036</v>
      </c>
      <c r="J496" s="9" t="e">
        <f>I496+#REF!</f>
        <v>#REF!</v>
      </c>
      <c r="K496" s="9" t="e">
        <f>J496+#REF!</f>
        <v>#REF!</v>
      </c>
      <c r="L496" s="10" t="s">
        <v>52</v>
      </c>
      <c r="M496" s="11"/>
      <c r="N496" s="5"/>
      <c r="O496" s="5"/>
      <c r="P496" s="9"/>
      <c r="Q496" s="5"/>
      <c r="R496" s="5"/>
      <c r="S496" s="5"/>
      <c r="T496" s="9"/>
      <c r="U496" s="5"/>
      <c r="V496" s="5">
        <v>0</v>
      </c>
      <c r="W496" s="5"/>
      <c r="X496" s="5"/>
      <c r="Y496" s="5"/>
      <c r="Z496" s="5"/>
      <c r="AA496" s="5"/>
      <c r="AC496" t="str">
        <f t="shared" si="64"/>
        <v/>
      </c>
      <c r="AD496" t="str">
        <f t="shared" si="65"/>
        <v/>
      </c>
      <c r="AE496" t="str">
        <f t="shared" si="66"/>
        <v/>
      </c>
      <c r="AF496" t="str">
        <f t="shared" si="67"/>
        <v/>
      </c>
      <c r="AG496" t="str">
        <f t="shared" si="68"/>
        <v/>
      </c>
      <c r="AH496">
        <f t="shared" si="69"/>
        <v>1</v>
      </c>
      <c r="AI496" t="str">
        <f t="shared" si="70"/>
        <v/>
      </c>
      <c r="AJ496" t="str">
        <f t="shared" si="71"/>
        <v/>
      </c>
    </row>
    <row r="497" spans="1:36">
      <c r="A497" s="5">
        <v>496</v>
      </c>
      <c r="B497" s="5" t="s">
        <v>131</v>
      </c>
      <c r="C497" s="5" t="s">
        <v>100</v>
      </c>
      <c r="D497" s="5" t="s">
        <v>101</v>
      </c>
      <c r="E497" s="5" t="s">
        <v>132</v>
      </c>
      <c r="F497" s="5" t="str">
        <f t="shared" si="63"/>
        <v>Program Office-Senior Supervisory Manager</v>
      </c>
      <c r="G497" s="5" t="s">
        <v>103</v>
      </c>
      <c r="H497" s="9">
        <v>45167.411724537036</v>
      </c>
      <c r="I497" s="9">
        <v>45170.411724537036</v>
      </c>
      <c r="J497" s="9" t="e">
        <f>I497+#REF!</f>
        <v>#REF!</v>
      </c>
      <c r="K497" s="9" t="e">
        <f>J497+#REF!</f>
        <v>#REF!</v>
      </c>
      <c r="L497" s="10" t="s">
        <v>41</v>
      </c>
      <c r="M497" s="11">
        <v>45188.411724537036</v>
      </c>
      <c r="N497" s="5" t="s">
        <v>48</v>
      </c>
      <c r="O497" s="5"/>
      <c r="P497" s="9">
        <v>45196.411724537036</v>
      </c>
      <c r="Q497" s="5" t="s">
        <v>48</v>
      </c>
      <c r="R497" s="5"/>
      <c r="S497" s="5"/>
      <c r="T497" s="9">
        <v>45192.411724537036</v>
      </c>
      <c r="U497" s="5"/>
      <c r="V497" s="5">
        <v>0</v>
      </c>
      <c r="W497" s="5"/>
      <c r="X497" s="5"/>
      <c r="Y497" s="5"/>
      <c r="Z497" s="5"/>
      <c r="AA497" s="5"/>
      <c r="AC497">
        <f t="shared" si="64"/>
        <v>18</v>
      </c>
      <c r="AD497" t="str">
        <f t="shared" si="65"/>
        <v/>
      </c>
      <c r="AE497">
        <f t="shared" si="66"/>
        <v>4</v>
      </c>
      <c r="AF497" t="str">
        <f t="shared" si="67"/>
        <v/>
      </c>
      <c r="AG497" t="str">
        <f t="shared" si="68"/>
        <v/>
      </c>
      <c r="AH497">
        <f t="shared" si="69"/>
        <v>3</v>
      </c>
      <c r="AI497" t="str">
        <f t="shared" si="70"/>
        <v/>
      </c>
      <c r="AJ497" t="str">
        <f t="shared" si="71"/>
        <v/>
      </c>
    </row>
    <row r="498" spans="1:36">
      <c r="A498" s="5">
        <v>497</v>
      </c>
      <c r="B498" s="5" t="s">
        <v>249</v>
      </c>
      <c r="C498" s="5" t="s">
        <v>100</v>
      </c>
      <c r="D498" s="5" t="s">
        <v>146</v>
      </c>
      <c r="E498" s="5" t="s">
        <v>39</v>
      </c>
      <c r="F498" s="5" t="str">
        <f t="shared" si="63"/>
        <v>Program Office-Analyst</v>
      </c>
      <c r="G498" s="5" t="s">
        <v>147</v>
      </c>
      <c r="H498" s="9">
        <v>45170.411724537036</v>
      </c>
      <c r="I498" s="9">
        <v>45172.411724537036</v>
      </c>
      <c r="J498" s="9" t="e">
        <f>I498+#REF!</f>
        <v>#REF!</v>
      </c>
      <c r="K498" s="9" t="e">
        <f>J498+#REF!</f>
        <v>#REF!</v>
      </c>
      <c r="L498" s="10" t="s">
        <v>41</v>
      </c>
      <c r="M498" s="11">
        <v>45180.411724537036</v>
      </c>
      <c r="N498" s="5" t="s">
        <v>42</v>
      </c>
      <c r="O498" s="5" t="s">
        <v>58</v>
      </c>
      <c r="P498" s="9"/>
      <c r="Q498" s="5"/>
      <c r="R498" s="5"/>
      <c r="S498" s="5"/>
      <c r="T498" s="9">
        <v>45182.411724537036</v>
      </c>
      <c r="U498" s="5"/>
      <c r="V498" s="5">
        <v>0</v>
      </c>
      <c r="W498" s="5"/>
      <c r="X498" s="5"/>
      <c r="Y498" s="5"/>
      <c r="Z498" s="5"/>
      <c r="AA498" s="5" t="s">
        <v>44</v>
      </c>
      <c r="AC498">
        <f t="shared" si="64"/>
        <v>8</v>
      </c>
      <c r="AD498" t="str">
        <f t="shared" si="65"/>
        <v/>
      </c>
      <c r="AE498">
        <f t="shared" si="66"/>
        <v>2</v>
      </c>
      <c r="AF498" t="str">
        <f t="shared" si="67"/>
        <v/>
      </c>
      <c r="AG498" t="str">
        <f t="shared" si="68"/>
        <v/>
      </c>
      <c r="AH498">
        <f t="shared" si="69"/>
        <v>2</v>
      </c>
      <c r="AI498" t="str">
        <f t="shared" si="70"/>
        <v/>
      </c>
      <c r="AJ498" t="str">
        <f t="shared" si="71"/>
        <v/>
      </c>
    </row>
    <row r="499" spans="1:36">
      <c r="A499" s="5">
        <v>498</v>
      </c>
      <c r="B499" s="5" t="s">
        <v>130</v>
      </c>
      <c r="C499" s="5" t="s">
        <v>100</v>
      </c>
      <c r="D499" s="5" t="s">
        <v>101</v>
      </c>
      <c r="E499" s="5" t="s">
        <v>102</v>
      </c>
      <c r="F499" s="5" t="str">
        <f t="shared" si="63"/>
        <v>Program Office-Senior Manager</v>
      </c>
      <c r="G499" s="5" t="s">
        <v>103</v>
      </c>
      <c r="H499" s="9">
        <v>45170.411724537036</v>
      </c>
      <c r="I499" s="9">
        <v>45171.411724537036</v>
      </c>
      <c r="J499" s="9" t="e">
        <f>I499+#REF!</f>
        <v>#REF!</v>
      </c>
      <c r="K499" s="9" t="e">
        <f>J499+#REF!</f>
        <v>#REF!</v>
      </c>
      <c r="L499" s="10" t="s">
        <v>41</v>
      </c>
      <c r="M499" s="11">
        <v>45182.411724537036</v>
      </c>
      <c r="N499" s="5" t="s">
        <v>42</v>
      </c>
      <c r="O499" s="5" t="s">
        <v>98</v>
      </c>
      <c r="P499" s="9"/>
      <c r="Q499" s="5"/>
      <c r="R499" s="5"/>
      <c r="S499" s="5"/>
      <c r="T499" s="9"/>
      <c r="U499" s="5"/>
      <c r="V499" s="5">
        <v>0</v>
      </c>
      <c r="W499" s="5"/>
      <c r="X499" s="5"/>
      <c r="Y499" s="5"/>
      <c r="Z499" s="5"/>
      <c r="AA499" s="5" t="s">
        <v>44</v>
      </c>
      <c r="AC499">
        <f t="shared" si="64"/>
        <v>11</v>
      </c>
      <c r="AD499" t="str">
        <f t="shared" si="65"/>
        <v/>
      </c>
      <c r="AE499" t="str">
        <f t="shared" si="66"/>
        <v/>
      </c>
      <c r="AF499" t="str">
        <f t="shared" si="67"/>
        <v/>
      </c>
      <c r="AG499" t="str">
        <f t="shared" si="68"/>
        <v/>
      </c>
      <c r="AH499">
        <f t="shared" si="69"/>
        <v>1</v>
      </c>
      <c r="AI499" t="str">
        <f t="shared" si="70"/>
        <v/>
      </c>
      <c r="AJ499" t="str">
        <f t="shared" si="71"/>
        <v/>
      </c>
    </row>
    <row r="500" spans="1:36">
      <c r="A500" s="5">
        <v>499</v>
      </c>
      <c r="B500" s="5" t="s">
        <v>371</v>
      </c>
      <c r="C500" s="5" t="s">
        <v>100</v>
      </c>
      <c r="D500" s="5" t="s">
        <v>268</v>
      </c>
      <c r="E500" s="5" t="s">
        <v>291</v>
      </c>
      <c r="F500" s="5" t="str">
        <f t="shared" si="63"/>
        <v>Program Office-Cordination Manager</v>
      </c>
      <c r="G500" s="5" t="s">
        <v>270</v>
      </c>
      <c r="H500" s="9">
        <v>45166.411724537036</v>
      </c>
      <c r="I500" s="9">
        <v>45170.411724537036</v>
      </c>
      <c r="J500" s="9" t="e">
        <f>I500+#REF!</f>
        <v>#REF!</v>
      </c>
      <c r="K500" s="9" t="e">
        <f>J500+#REF!</f>
        <v>#REF!</v>
      </c>
      <c r="L500" s="10" t="s">
        <v>41</v>
      </c>
      <c r="M500" s="11">
        <v>45182.411724537036</v>
      </c>
      <c r="N500" s="5" t="s">
        <v>48</v>
      </c>
      <c r="O500" s="5"/>
      <c r="P500" s="9">
        <v>45188.411724537036</v>
      </c>
      <c r="Q500" s="5" t="s">
        <v>48</v>
      </c>
      <c r="R500" s="5"/>
      <c r="S500" s="5"/>
      <c r="T500" s="9">
        <v>45186.411724537036</v>
      </c>
      <c r="U500" s="5"/>
      <c r="V500" s="5">
        <v>0</v>
      </c>
      <c r="W500" s="5"/>
      <c r="X500" s="5"/>
      <c r="Y500" s="5"/>
      <c r="Z500" s="5"/>
      <c r="AA500" s="5"/>
      <c r="AC500">
        <f t="shared" si="64"/>
        <v>12</v>
      </c>
      <c r="AD500" t="str">
        <f t="shared" si="65"/>
        <v/>
      </c>
      <c r="AE500">
        <f t="shared" si="66"/>
        <v>4</v>
      </c>
      <c r="AF500" t="str">
        <f t="shared" si="67"/>
        <v/>
      </c>
      <c r="AG500" t="str">
        <f t="shared" si="68"/>
        <v/>
      </c>
      <c r="AH500">
        <f t="shared" si="69"/>
        <v>4</v>
      </c>
      <c r="AI500" t="str">
        <f t="shared" si="70"/>
        <v/>
      </c>
      <c r="AJ500" t="str">
        <f t="shared" si="71"/>
        <v/>
      </c>
    </row>
    <row r="501" spans="1:36">
      <c r="A501" s="5">
        <v>500</v>
      </c>
      <c r="B501" s="5" t="s">
        <v>248</v>
      </c>
      <c r="C501" s="5" t="s">
        <v>100</v>
      </c>
      <c r="D501" s="5" t="s">
        <v>146</v>
      </c>
      <c r="E501" s="5" t="s">
        <v>39</v>
      </c>
      <c r="F501" s="5" t="str">
        <f t="shared" si="63"/>
        <v>Program Office-Analyst</v>
      </c>
      <c r="G501" s="5" t="s">
        <v>147</v>
      </c>
      <c r="H501" s="9">
        <v>45170.411724537036</v>
      </c>
      <c r="I501" s="9">
        <v>45172.411724537036</v>
      </c>
      <c r="J501" s="9" t="e">
        <f>I501+#REF!</f>
        <v>#REF!</v>
      </c>
      <c r="K501" s="9" t="e">
        <f>J501+#REF!</f>
        <v>#REF!</v>
      </c>
      <c r="L501" s="10" t="s">
        <v>41</v>
      </c>
      <c r="M501" s="11">
        <v>45185.411724537036</v>
      </c>
      <c r="N501" s="5" t="s">
        <v>42</v>
      </c>
      <c r="O501" s="5" t="s">
        <v>73</v>
      </c>
      <c r="P501" s="9"/>
      <c r="Q501" s="5"/>
      <c r="R501" s="5"/>
      <c r="S501" s="5"/>
      <c r="T501" s="9"/>
      <c r="U501" s="5"/>
      <c r="V501" s="5">
        <v>0</v>
      </c>
      <c r="W501" s="5"/>
      <c r="X501" s="5"/>
      <c r="Y501" s="5"/>
      <c r="Z501" s="5"/>
      <c r="AA501" s="5" t="s">
        <v>44</v>
      </c>
      <c r="AC501">
        <f t="shared" si="64"/>
        <v>13</v>
      </c>
      <c r="AD501" t="str">
        <f t="shared" si="65"/>
        <v/>
      </c>
      <c r="AE501" t="str">
        <f t="shared" si="66"/>
        <v/>
      </c>
      <c r="AF501" t="str">
        <f t="shared" si="67"/>
        <v/>
      </c>
      <c r="AG501" t="str">
        <f t="shared" si="68"/>
        <v/>
      </c>
      <c r="AH501">
        <f t="shared" si="69"/>
        <v>2</v>
      </c>
      <c r="AI501" t="str">
        <f t="shared" si="70"/>
        <v/>
      </c>
      <c r="AJ501" t="str">
        <f t="shared" si="71"/>
        <v/>
      </c>
    </row>
    <row r="502" spans="1:36">
      <c r="A502" s="5">
        <v>501</v>
      </c>
      <c r="B502" s="5" t="s">
        <v>2281</v>
      </c>
      <c r="C502" s="5" t="s">
        <v>2229</v>
      </c>
      <c r="D502" s="5" t="s">
        <v>2250</v>
      </c>
      <c r="E502" s="5" t="s">
        <v>1146</v>
      </c>
      <c r="F502" s="5" t="str">
        <f t="shared" si="63"/>
        <v>Capacity Building-Quality Assurance</v>
      </c>
      <c r="G502" s="5" t="s">
        <v>147</v>
      </c>
      <c r="H502" s="9">
        <v>44746.103750000002</v>
      </c>
      <c r="I502" s="9">
        <v>44747.103750000002</v>
      </c>
      <c r="J502" s="9" t="e">
        <f>I502+#REF!</f>
        <v>#REF!</v>
      </c>
      <c r="K502" s="9" t="e">
        <f>J502+#REF!</f>
        <v>#REF!</v>
      </c>
      <c r="L502" s="10" t="s">
        <v>41</v>
      </c>
      <c r="M502" s="11">
        <v>44758.103750000002</v>
      </c>
      <c r="N502" s="5" t="s">
        <v>42</v>
      </c>
      <c r="O502" s="5" t="s">
        <v>73</v>
      </c>
      <c r="P502" s="9"/>
      <c r="Q502" s="5"/>
      <c r="R502" s="5"/>
      <c r="S502" s="5"/>
      <c r="T502" s="9"/>
      <c r="U502" s="5"/>
      <c r="V502" s="5">
        <v>0</v>
      </c>
      <c r="W502" s="5"/>
      <c r="X502" s="5"/>
      <c r="Y502" s="5"/>
      <c r="Z502" s="5"/>
      <c r="AA502" s="5" t="s">
        <v>44</v>
      </c>
      <c r="AC502">
        <f t="shared" si="64"/>
        <v>11</v>
      </c>
      <c r="AD502" t="str">
        <f t="shared" si="65"/>
        <v/>
      </c>
      <c r="AE502" t="str">
        <f t="shared" si="66"/>
        <v/>
      </c>
      <c r="AF502" t="str">
        <f t="shared" si="67"/>
        <v/>
      </c>
      <c r="AG502" t="str">
        <f t="shared" si="68"/>
        <v/>
      </c>
      <c r="AH502">
        <f t="shared" si="69"/>
        <v>1</v>
      </c>
      <c r="AI502" t="str">
        <f t="shared" si="70"/>
        <v/>
      </c>
      <c r="AJ502" t="str">
        <f t="shared" si="71"/>
        <v/>
      </c>
    </row>
    <row r="503" spans="1:36">
      <c r="A503" s="5">
        <v>502</v>
      </c>
      <c r="B503" s="5" t="s">
        <v>2233</v>
      </c>
      <c r="C503" s="5" t="s">
        <v>2229</v>
      </c>
      <c r="D503" s="5" t="s">
        <v>2230</v>
      </c>
      <c r="E503" s="5" t="s">
        <v>102</v>
      </c>
      <c r="F503" s="5" t="str">
        <f t="shared" si="63"/>
        <v>Capacity Building-Senior Manager</v>
      </c>
      <c r="G503" s="5" t="s">
        <v>103</v>
      </c>
      <c r="H503" s="9">
        <v>44742.103750000002</v>
      </c>
      <c r="I503" s="9">
        <v>44744.103750000002</v>
      </c>
      <c r="J503" s="9" t="e">
        <f>I503+#REF!</f>
        <v>#REF!</v>
      </c>
      <c r="K503" s="9" t="e">
        <f>J503+#REF!</f>
        <v>#REF!</v>
      </c>
      <c r="L503" s="10" t="s">
        <v>41</v>
      </c>
      <c r="M503" s="11">
        <v>44763.103750000002</v>
      </c>
      <c r="N503" s="5" t="s">
        <v>64</v>
      </c>
      <c r="O503" s="5"/>
      <c r="P503" s="9">
        <v>44767.103750000002</v>
      </c>
      <c r="Q503" s="5" t="s">
        <v>64</v>
      </c>
      <c r="R503" s="9">
        <v>44765.103750000002</v>
      </c>
      <c r="S503" s="9">
        <v>44769.103750000002</v>
      </c>
      <c r="T503" s="9">
        <v>44764.103750000002</v>
      </c>
      <c r="U503" s="9">
        <v>44768.103750000002</v>
      </c>
      <c r="V503" s="12">
        <v>1</v>
      </c>
      <c r="W503" s="9">
        <v>44772.103750000002</v>
      </c>
      <c r="X503" s="9">
        <v>44773.103750000002</v>
      </c>
      <c r="Y503" s="9">
        <v>44776.103750000002</v>
      </c>
      <c r="Z503" s="5"/>
      <c r="AA503" s="5"/>
      <c r="AB503" s="13">
        <v>44796.103750000002</v>
      </c>
      <c r="AC503">
        <f t="shared" si="64"/>
        <v>19</v>
      </c>
      <c r="AD503">
        <f t="shared" si="65"/>
        <v>25</v>
      </c>
      <c r="AE503">
        <f t="shared" si="66"/>
        <v>1</v>
      </c>
      <c r="AF503">
        <f t="shared" si="67"/>
        <v>5</v>
      </c>
      <c r="AG503">
        <f t="shared" si="68"/>
        <v>4</v>
      </c>
      <c r="AH503">
        <f t="shared" si="69"/>
        <v>2</v>
      </c>
      <c r="AI503" t="str">
        <f t="shared" si="70"/>
        <v/>
      </c>
      <c r="AJ503" t="str">
        <f t="shared" si="71"/>
        <v/>
      </c>
    </row>
    <row r="504" spans="1:36">
      <c r="A504" s="5">
        <v>503</v>
      </c>
      <c r="B504" s="5" t="s">
        <v>2232</v>
      </c>
      <c r="C504" s="5" t="s">
        <v>2229</v>
      </c>
      <c r="D504" s="5" t="s">
        <v>2230</v>
      </c>
      <c r="E504" s="5" t="s">
        <v>102</v>
      </c>
      <c r="F504" s="5" t="str">
        <f t="shared" si="63"/>
        <v>Capacity Building-Senior Manager</v>
      </c>
      <c r="G504" s="5" t="s">
        <v>103</v>
      </c>
      <c r="H504" s="9">
        <v>44745.103750000002</v>
      </c>
      <c r="I504" s="9">
        <v>44748.103750000002</v>
      </c>
      <c r="J504" s="9" t="e">
        <f>I504+#REF!</f>
        <v>#REF!</v>
      </c>
      <c r="K504" s="9" t="e">
        <f>J504+#REF!</f>
        <v>#REF!</v>
      </c>
      <c r="L504" s="10" t="s">
        <v>41</v>
      </c>
      <c r="M504" s="11">
        <v>44756.103750000002</v>
      </c>
      <c r="N504" s="5" t="s">
        <v>48</v>
      </c>
      <c r="O504" s="5"/>
      <c r="P504" s="9">
        <v>44762.103750000002</v>
      </c>
      <c r="Q504" s="5" t="s">
        <v>48</v>
      </c>
      <c r="R504" s="5"/>
      <c r="S504" s="5"/>
      <c r="T504" s="9">
        <v>44759.103750000002</v>
      </c>
      <c r="U504" s="5"/>
      <c r="V504" s="5">
        <v>0</v>
      </c>
      <c r="W504" s="5"/>
      <c r="X504" s="5"/>
      <c r="Y504" s="5"/>
      <c r="Z504" s="5"/>
      <c r="AA504" s="5"/>
      <c r="AC504">
        <f t="shared" si="64"/>
        <v>8</v>
      </c>
      <c r="AD504" t="str">
        <f t="shared" si="65"/>
        <v/>
      </c>
      <c r="AE504">
        <f t="shared" si="66"/>
        <v>3</v>
      </c>
      <c r="AF504" t="str">
        <f t="shared" si="67"/>
        <v/>
      </c>
      <c r="AG504" t="str">
        <f t="shared" si="68"/>
        <v/>
      </c>
      <c r="AH504">
        <f t="shared" si="69"/>
        <v>3</v>
      </c>
      <c r="AI504" t="str">
        <f t="shared" si="70"/>
        <v/>
      </c>
      <c r="AJ504" t="str">
        <f t="shared" si="71"/>
        <v/>
      </c>
    </row>
    <row r="505" spans="1:36">
      <c r="A505" s="5">
        <v>504</v>
      </c>
      <c r="B505" s="5" t="s">
        <v>2386</v>
      </c>
      <c r="C505" s="5" t="s">
        <v>2229</v>
      </c>
      <c r="D505" s="5" t="s">
        <v>2350</v>
      </c>
      <c r="E505" s="5" t="s">
        <v>2351</v>
      </c>
      <c r="F505" s="5" t="str">
        <f t="shared" si="63"/>
        <v>Capacity Building-Training Associate</v>
      </c>
      <c r="G505" s="5" t="s">
        <v>40</v>
      </c>
      <c r="H505" s="9">
        <v>44743.103750000002</v>
      </c>
      <c r="I505" s="9">
        <v>44747.103750000002</v>
      </c>
      <c r="J505" s="9" t="e">
        <f>I505+#REF!</f>
        <v>#REF!</v>
      </c>
      <c r="K505" s="9" t="e">
        <f>J505+#REF!</f>
        <v>#REF!</v>
      </c>
      <c r="L505" s="10" t="s">
        <v>41</v>
      </c>
      <c r="M505" s="11">
        <v>44756.103750000002</v>
      </c>
      <c r="N505" s="5" t="s">
        <v>42</v>
      </c>
      <c r="O505" s="5" t="s">
        <v>113</v>
      </c>
      <c r="P505" s="9"/>
      <c r="Q505" s="5"/>
      <c r="R505" s="5"/>
      <c r="S505" s="5"/>
      <c r="T505" s="9">
        <v>44759.103750000002</v>
      </c>
      <c r="U505" s="5"/>
      <c r="V505" s="5">
        <v>0</v>
      </c>
      <c r="W505" s="5"/>
      <c r="X505" s="5"/>
      <c r="Y505" s="5"/>
      <c r="Z505" s="5"/>
      <c r="AA505" s="5" t="s">
        <v>44</v>
      </c>
      <c r="AC505">
        <f t="shared" si="64"/>
        <v>9</v>
      </c>
      <c r="AD505" t="str">
        <f t="shared" si="65"/>
        <v/>
      </c>
      <c r="AE505">
        <f t="shared" si="66"/>
        <v>3</v>
      </c>
      <c r="AF505" t="str">
        <f t="shared" si="67"/>
        <v/>
      </c>
      <c r="AG505" t="str">
        <f t="shared" si="68"/>
        <v/>
      </c>
      <c r="AH505">
        <f t="shared" si="69"/>
        <v>4</v>
      </c>
      <c r="AI505" t="str">
        <f t="shared" si="70"/>
        <v/>
      </c>
      <c r="AJ505" t="str">
        <f t="shared" si="71"/>
        <v/>
      </c>
    </row>
    <row r="506" spans="1:36">
      <c r="A506" s="5">
        <v>505</v>
      </c>
      <c r="B506" s="5" t="s">
        <v>2385</v>
      </c>
      <c r="C506" s="5" t="s">
        <v>2229</v>
      </c>
      <c r="D506" s="5" t="s">
        <v>2350</v>
      </c>
      <c r="E506" s="5" t="s">
        <v>2351</v>
      </c>
      <c r="F506" s="5" t="str">
        <f t="shared" si="63"/>
        <v>Capacity Building-Training Associate</v>
      </c>
      <c r="G506" s="5" t="s">
        <v>40</v>
      </c>
      <c r="H506" s="9">
        <v>44745.103750000002</v>
      </c>
      <c r="I506" s="9">
        <v>44747.103750000002</v>
      </c>
      <c r="J506" s="9" t="e">
        <f>I506+#REF!</f>
        <v>#REF!</v>
      </c>
      <c r="K506" s="9" t="e">
        <f>J506+#REF!</f>
        <v>#REF!</v>
      </c>
      <c r="L506" s="10" t="s">
        <v>52</v>
      </c>
      <c r="M506" s="11"/>
      <c r="N506" s="5"/>
      <c r="O506" s="5"/>
      <c r="P506" s="9"/>
      <c r="Q506" s="5"/>
      <c r="R506" s="5"/>
      <c r="S506" s="5"/>
      <c r="T506" s="9"/>
      <c r="U506" s="5"/>
      <c r="V506" s="5">
        <v>0</v>
      </c>
      <c r="W506" s="5"/>
      <c r="X506" s="5"/>
      <c r="Y506" s="5"/>
      <c r="Z506" s="5"/>
      <c r="AA506" s="5"/>
      <c r="AC506" t="str">
        <f t="shared" si="64"/>
        <v/>
      </c>
      <c r="AD506" t="str">
        <f t="shared" si="65"/>
        <v/>
      </c>
      <c r="AE506" t="str">
        <f t="shared" si="66"/>
        <v/>
      </c>
      <c r="AF506" t="str">
        <f t="shared" si="67"/>
        <v/>
      </c>
      <c r="AG506" t="str">
        <f t="shared" si="68"/>
        <v/>
      </c>
      <c r="AH506">
        <f t="shared" si="69"/>
        <v>2</v>
      </c>
      <c r="AI506" t="str">
        <f t="shared" si="70"/>
        <v/>
      </c>
      <c r="AJ506" t="str">
        <f t="shared" si="71"/>
        <v/>
      </c>
    </row>
    <row r="507" spans="1:36">
      <c r="A507" s="5">
        <v>506</v>
      </c>
      <c r="B507" s="5" t="s">
        <v>2231</v>
      </c>
      <c r="C507" s="5" t="s">
        <v>2229</v>
      </c>
      <c r="D507" s="5" t="s">
        <v>2230</v>
      </c>
      <c r="E507" s="5" t="s">
        <v>102</v>
      </c>
      <c r="F507" s="5" t="str">
        <f t="shared" si="63"/>
        <v>Capacity Building-Senior Manager</v>
      </c>
      <c r="G507" s="5" t="s">
        <v>103</v>
      </c>
      <c r="H507" s="9">
        <v>44742.103750000002</v>
      </c>
      <c r="I507" s="9">
        <v>44745.103750000002</v>
      </c>
      <c r="J507" s="9" t="e">
        <f>I507+#REF!</f>
        <v>#REF!</v>
      </c>
      <c r="K507" s="9" t="e">
        <f>J507+#REF!</f>
        <v>#REF!</v>
      </c>
      <c r="L507" s="10" t="s">
        <v>41</v>
      </c>
      <c r="M507" s="11">
        <v>44762.103750000002</v>
      </c>
      <c r="N507" s="5" t="s">
        <v>42</v>
      </c>
      <c r="O507" s="5" t="s">
        <v>113</v>
      </c>
      <c r="P507" s="9"/>
      <c r="Q507" s="5"/>
      <c r="R507" s="5"/>
      <c r="S507" s="5"/>
      <c r="T507" s="9">
        <v>44766.103750000002</v>
      </c>
      <c r="U507" s="5"/>
      <c r="V507" s="5">
        <v>0</v>
      </c>
      <c r="W507" s="5"/>
      <c r="X507" s="5"/>
      <c r="Y507" s="5"/>
      <c r="Z507" s="5"/>
      <c r="AA507" s="5" t="s">
        <v>44</v>
      </c>
      <c r="AC507">
        <f t="shared" si="64"/>
        <v>17</v>
      </c>
      <c r="AD507" t="str">
        <f t="shared" si="65"/>
        <v/>
      </c>
      <c r="AE507">
        <f t="shared" si="66"/>
        <v>4</v>
      </c>
      <c r="AF507" t="str">
        <f t="shared" si="67"/>
        <v/>
      </c>
      <c r="AG507" t="str">
        <f t="shared" si="68"/>
        <v/>
      </c>
      <c r="AH507">
        <f t="shared" si="69"/>
        <v>3</v>
      </c>
      <c r="AI507" t="str">
        <f t="shared" si="70"/>
        <v/>
      </c>
      <c r="AJ507" t="str">
        <f t="shared" si="71"/>
        <v/>
      </c>
    </row>
    <row r="508" spans="1:36">
      <c r="A508" s="5">
        <v>507</v>
      </c>
      <c r="B508" s="5" t="s">
        <v>2384</v>
      </c>
      <c r="C508" s="5" t="s">
        <v>2229</v>
      </c>
      <c r="D508" s="5" t="s">
        <v>2350</v>
      </c>
      <c r="E508" s="5" t="s">
        <v>2351</v>
      </c>
      <c r="F508" s="5" t="str">
        <f t="shared" si="63"/>
        <v>Capacity Building-Training Associate</v>
      </c>
      <c r="G508" s="5" t="s">
        <v>40</v>
      </c>
      <c r="H508" s="9">
        <v>44741.103750000002</v>
      </c>
      <c r="I508" s="9">
        <v>44744.103750000002</v>
      </c>
      <c r="J508" s="9" t="e">
        <f>I508+#REF!</f>
        <v>#REF!</v>
      </c>
      <c r="K508" s="9" t="e">
        <f>J508+#REF!</f>
        <v>#REF!</v>
      </c>
      <c r="L508" s="10" t="s">
        <v>52</v>
      </c>
      <c r="M508" s="11"/>
      <c r="N508" s="5"/>
      <c r="O508" s="5"/>
      <c r="P508" s="9"/>
      <c r="Q508" s="5"/>
      <c r="R508" s="5"/>
      <c r="S508" s="5"/>
      <c r="T508" s="9"/>
      <c r="U508" s="5"/>
      <c r="V508" s="5">
        <v>0</v>
      </c>
      <c r="W508" s="5"/>
      <c r="X508" s="5"/>
      <c r="Y508" s="5"/>
      <c r="Z508" s="5"/>
      <c r="AA508" s="5"/>
      <c r="AC508" t="str">
        <f t="shared" si="64"/>
        <v/>
      </c>
      <c r="AD508" t="str">
        <f t="shared" si="65"/>
        <v/>
      </c>
      <c r="AE508" t="str">
        <f t="shared" si="66"/>
        <v/>
      </c>
      <c r="AF508" t="str">
        <f t="shared" si="67"/>
        <v/>
      </c>
      <c r="AG508" t="str">
        <f t="shared" si="68"/>
        <v/>
      </c>
      <c r="AH508">
        <f t="shared" si="69"/>
        <v>3</v>
      </c>
      <c r="AI508" t="str">
        <f t="shared" si="70"/>
        <v/>
      </c>
      <c r="AJ508" t="str">
        <f t="shared" si="71"/>
        <v/>
      </c>
    </row>
    <row r="509" spans="1:36">
      <c r="A509" s="5">
        <v>508</v>
      </c>
      <c r="B509" s="5" t="s">
        <v>2228</v>
      </c>
      <c r="C509" s="5" t="s">
        <v>2229</v>
      </c>
      <c r="D509" s="5" t="s">
        <v>2230</v>
      </c>
      <c r="E509" s="5" t="s">
        <v>102</v>
      </c>
      <c r="F509" s="5" t="str">
        <f t="shared" si="63"/>
        <v>Capacity Building-Senior Manager</v>
      </c>
      <c r="G509" s="5" t="s">
        <v>103</v>
      </c>
      <c r="H509" s="9">
        <v>44744.103750000002</v>
      </c>
      <c r="I509" s="9">
        <v>44745.103750000002</v>
      </c>
      <c r="J509" s="9" t="e">
        <f>I509+#REF!</f>
        <v>#REF!</v>
      </c>
      <c r="K509" s="9" t="e">
        <f>J509+#REF!</f>
        <v>#REF!</v>
      </c>
      <c r="L509" s="10" t="s">
        <v>41</v>
      </c>
      <c r="M509" s="11">
        <v>44754.103750000002</v>
      </c>
      <c r="N509" s="5" t="s">
        <v>167</v>
      </c>
      <c r="O509" s="5"/>
      <c r="P509" s="9">
        <v>44759.103750000002</v>
      </c>
      <c r="Q509" s="5" t="s">
        <v>167</v>
      </c>
      <c r="R509" s="5"/>
      <c r="S509" s="5"/>
      <c r="T509" s="9">
        <v>44755.103750000002</v>
      </c>
      <c r="U509" s="5"/>
      <c r="V509" s="5">
        <v>0</v>
      </c>
      <c r="W509" s="5"/>
      <c r="X509" s="5"/>
      <c r="Y509" s="5"/>
      <c r="Z509" s="5"/>
      <c r="AA509" s="5"/>
      <c r="AC509">
        <f t="shared" si="64"/>
        <v>9</v>
      </c>
      <c r="AD509" t="str">
        <f t="shared" si="65"/>
        <v/>
      </c>
      <c r="AE509">
        <f t="shared" si="66"/>
        <v>1</v>
      </c>
      <c r="AF509" t="str">
        <f t="shared" si="67"/>
        <v/>
      </c>
      <c r="AG509" t="str">
        <f t="shared" si="68"/>
        <v/>
      </c>
      <c r="AH509">
        <f t="shared" si="69"/>
        <v>1</v>
      </c>
      <c r="AI509" t="str">
        <f t="shared" si="70"/>
        <v/>
      </c>
      <c r="AJ509" t="str">
        <f t="shared" si="71"/>
        <v/>
      </c>
    </row>
    <row r="510" spans="1:36">
      <c r="A510" s="5">
        <v>509</v>
      </c>
      <c r="B510" s="5" t="s">
        <v>2383</v>
      </c>
      <c r="C510" s="5" t="s">
        <v>2229</v>
      </c>
      <c r="D510" s="5" t="s">
        <v>2350</v>
      </c>
      <c r="E510" s="5" t="s">
        <v>2351</v>
      </c>
      <c r="F510" s="5" t="str">
        <f t="shared" si="63"/>
        <v>Capacity Building-Training Associate</v>
      </c>
      <c r="G510" s="5" t="s">
        <v>40</v>
      </c>
      <c r="H510" s="9">
        <v>44744.103750000002</v>
      </c>
      <c r="I510" s="9">
        <v>44747.103750000002</v>
      </c>
      <c r="J510" s="9" t="e">
        <f>I510+#REF!</f>
        <v>#REF!</v>
      </c>
      <c r="K510" s="9" t="e">
        <f>J510+#REF!</f>
        <v>#REF!</v>
      </c>
      <c r="L510" s="10" t="s">
        <v>41</v>
      </c>
      <c r="M510" s="11">
        <v>44755.103750000002</v>
      </c>
      <c r="N510" s="5" t="s">
        <v>64</v>
      </c>
      <c r="O510" s="5"/>
      <c r="P510" s="9">
        <v>44759.103750000002</v>
      </c>
      <c r="Q510" s="5" t="s">
        <v>64</v>
      </c>
      <c r="R510" s="9">
        <v>44757.103750000002</v>
      </c>
      <c r="S510" s="9">
        <v>44758.103750000002</v>
      </c>
      <c r="T510" s="9">
        <v>44757.103750000002</v>
      </c>
      <c r="U510" s="9">
        <v>44764.103750000002</v>
      </c>
      <c r="V510" s="12">
        <v>1</v>
      </c>
      <c r="W510" s="9">
        <v>44767.103750000002</v>
      </c>
      <c r="X510" s="9">
        <v>44768.103750000002</v>
      </c>
      <c r="Y510" s="9">
        <v>44769.103750000002</v>
      </c>
      <c r="Z510" s="5"/>
      <c r="AA510" s="5"/>
      <c r="AB510" s="13">
        <v>44783.103750000002</v>
      </c>
      <c r="AC510">
        <f t="shared" si="64"/>
        <v>8</v>
      </c>
      <c r="AD510">
        <f t="shared" si="65"/>
        <v>11</v>
      </c>
      <c r="AE510">
        <f t="shared" si="66"/>
        <v>2</v>
      </c>
      <c r="AF510">
        <f t="shared" si="67"/>
        <v>4</v>
      </c>
      <c r="AG510">
        <f t="shared" si="68"/>
        <v>3</v>
      </c>
      <c r="AH510">
        <f t="shared" si="69"/>
        <v>3</v>
      </c>
      <c r="AI510" t="str">
        <f t="shared" si="70"/>
        <v/>
      </c>
      <c r="AJ510" t="str">
        <f t="shared" si="71"/>
        <v/>
      </c>
    </row>
    <row r="511" spans="1:36">
      <c r="A511" s="5">
        <v>510</v>
      </c>
      <c r="B511" s="5" t="s">
        <v>2476</v>
      </c>
      <c r="C511" s="5" t="s">
        <v>2229</v>
      </c>
      <c r="D511" s="5" t="s">
        <v>2445</v>
      </c>
      <c r="E511" s="5" t="s">
        <v>39</v>
      </c>
      <c r="F511" s="5" t="str">
        <f t="shared" si="63"/>
        <v>Capacity Building-Analyst</v>
      </c>
      <c r="G511" s="5" t="s">
        <v>47</v>
      </c>
      <c r="H511" s="9">
        <v>44742.103750000002</v>
      </c>
      <c r="I511" s="9">
        <v>44745.103750000002</v>
      </c>
      <c r="J511" s="9" t="e">
        <f>I511+#REF!</f>
        <v>#REF!</v>
      </c>
      <c r="K511" s="9" t="e">
        <f>J511+#REF!</f>
        <v>#REF!</v>
      </c>
      <c r="L511" s="10" t="s">
        <v>41</v>
      </c>
      <c r="M511" s="11">
        <v>44764.103750000002</v>
      </c>
      <c r="N511" s="5" t="s">
        <v>42</v>
      </c>
      <c r="O511" s="5" t="s">
        <v>98</v>
      </c>
      <c r="P511" s="9"/>
      <c r="Q511" s="5"/>
      <c r="R511" s="5"/>
      <c r="S511" s="5"/>
      <c r="T511" s="9">
        <v>44767.103750000002</v>
      </c>
      <c r="U511" s="5"/>
      <c r="V511" s="5">
        <v>0</v>
      </c>
      <c r="W511" s="5"/>
      <c r="X511" s="5"/>
      <c r="Y511" s="5"/>
      <c r="Z511" s="5"/>
      <c r="AA511" s="5" t="s">
        <v>44</v>
      </c>
      <c r="AC511">
        <f t="shared" si="64"/>
        <v>19</v>
      </c>
      <c r="AD511" t="str">
        <f t="shared" si="65"/>
        <v/>
      </c>
      <c r="AE511">
        <f t="shared" si="66"/>
        <v>3</v>
      </c>
      <c r="AF511" t="str">
        <f t="shared" si="67"/>
        <v/>
      </c>
      <c r="AG511" t="str">
        <f t="shared" si="68"/>
        <v/>
      </c>
      <c r="AH511">
        <f t="shared" si="69"/>
        <v>3</v>
      </c>
      <c r="AI511" t="str">
        <f t="shared" si="70"/>
        <v/>
      </c>
      <c r="AJ511" t="str">
        <f t="shared" si="71"/>
        <v/>
      </c>
    </row>
    <row r="512" spans="1:36">
      <c r="A512" s="5">
        <v>511</v>
      </c>
      <c r="B512" s="5" t="s">
        <v>82</v>
      </c>
      <c r="C512" s="5" t="s">
        <v>37</v>
      </c>
      <c r="D512" s="5" t="s">
        <v>46</v>
      </c>
      <c r="E512" s="5" t="s">
        <v>39</v>
      </c>
      <c r="F512" s="5" t="str">
        <f t="shared" si="63"/>
        <v>Risk Management-Analyst</v>
      </c>
      <c r="G512" s="5" t="s">
        <v>47</v>
      </c>
      <c r="H512" s="9">
        <v>44848.925555555557</v>
      </c>
      <c r="I512" s="9">
        <v>44851.925555555557</v>
      </c>
      <c r="J512" s="9" t="e">
        <f>I512+#REF!</f>
        <v>#REF!</v>
      </c>
      <c r="K512" s="9" t="e">
        <f>J512+#REF!</f>
        <v>#REF!</v>
      </c>
      <c r="L512" s="10" t="s">
        <v>41</v>
      </c>
      <c r="M512" s="11">
        <v>44860.925555555557</v>
      </c>
      <c r="N512" s="5" t="s">
        <v>42</v>
      </c>
      <c r="O512" s="5" t="s">
        <v>73</v>
      </c>
      <c r="P512" s="9"/>
      <c r="Q512" s="5"/>
      <c r="R512" s="5"/>
      <c r="S512" s="5"/>
      <c r="T512" s="9"/>
      <c r="U512" s="5"/>
      <c r="V512" s="5">
        <v>0</v>
      </c>
      <c r="W512" s="5"/>
      <c r="X512" s="5"/>
      <c r="Y512" s="5"/>
      <c r="Z512" s="5"/>
      <c r="AA512" s="5" t="s">
        <v>44</v>
      </c>
      <c r="AC512">
        <f t="shared" si="64"/>
        <v>9</v>
      </c>
      <c r="AD512" t="str">
        <f t="shared" si="65"/>
        <v/>
      </c>
      <c r="AE512" t="str">
        <f t="shared" si="66"/>
        <v/>
      </c>
      <c r="AF512" t="str">
        <f t="shared" si="67"/>
        <v/>
      </c>
      <c r="AG512" t="str">
        <f t="shared" si="68"/>
        <v/>
      </c>
      <c r="AH512">
        <f t="shared" si="69"/>
        <v>3</v>
      </c>
      <c r="AI512" t="str">
        <f t="shared" si="70"/>
        <v/>
      </c>
      <c r="AJ512" t="str">
        <f t="shared" si="71"/>
        <v/>
      </c>
    </row>
    <row r="513" spans="1:36">
      <c r="A513" s="5">
        <v>512</v>
      </c>
      <c r="B513" s="5" t="s">
        <v>84</v>
      </c>
      <c r="C513" s="5" t="s">
        <v>37</v>
      </c>
      <c r="D513" s="5" t="s">
        <v>38</v>
      </c>
      <c r="E513" s="5" t="s">
        <v>39</v>
      </c>
      <c r="F513" s="5" t="str">
        <f t="shared" si="63"/>
        <v>Risk Management-Analyst</v>
      </c>
      <c r="G513" s="5" t="s">
        <v>40</v>
      </c>
      <c r="H513" s="9">
        <v>44851.925555555557</v>
      </c>
      <c r="I513" s="9">
        <v>44854.925555555557</v>
      </c>
      <c r="J513" s="9" t="e">
        <f>I513+#REF!</f>
        <v>#REF!</v>
      </c>
      <c r="K513" s="9" t="e">
        <f>J513+#REF!</f>
        <v>#REF!</v>
      </c>
      <c r="L513" s="10" t="s">
        <v>41</v>
      </c>
      <c r="M513" s="11">
        <v>44869.925555555557</v>
      </c>
      <c r="N513" s="5" t="s">
        <v>48</v>
      </c>
      <c r="O513" s="5"/>
      <c r="P513" s="9">
        <v>44874.925555555557</v>
      </c>
      <c r="Q513" s="5" t="s">
        <v>48</v>
      </c>
      <c r="R513" s="5"/>
      <c r="S513" s="5"/>
      <c r="T513" s="9">
        <v>44870.925555555557</v>
      </c>
      <c r="U513" s="5"/>
      <c r="V513" s="5">
        <v>0</v>
      </c>
      <c r="W513" s="5"/>
      <c r="X513" s="5"/>
      <c r="Y513" s="5"/>
      <c r="Z513" s="5"/>
      <c r="AA513" s="5"/>
      <c r="AC513">
        <f t="shared" si="64"/>
        <v>15</v>
      </c>
      <c r="AD513" t="str">
        <f t="shared" si="65"/>
        <v/>
      </c>
      <c r="AE513">
        <f t="shared" si="66"/>
        <v>1</v>
      </c>
      <c r="AF513" t="str">
        <f t="shared" si="67"/>
        <v/>
      </c>
      <c r="AG513" t="str">
        <f t="shared" si="68"/>
        <v/>
      </c>
      <c r="AH513">
        <f t="shared" si="69"/>
        <v>3</v>
      </c>
      <c r="AI513" t="str">
        <f t="shared" si="70"/>
        <v/>
      </c>
      <c r="AJ513" t="str">
        <f t="shared" si="71"/>
        <v/>
      </c>
    </row>
    <row r="514" spans="1:36">
      <c r="A514" s="5">
        <v>513</v>
      </c>
      <c r="B514" s="5" t="s">
        <v>2525</v>
      </c>
      <c r="C514" s="5" t="s">
        <v>2494</v>
      </c>
      <c r="D514" s="5" t="s">
        <v>2523</v>
      </c>
      <c r="E514" s="5" t="s">
        <v>51</v>
      </c>
      <c r="F514" s="5" t="str">
        <f t="shared" ref="F514:F577" si="72">_xlfn.CONCAT(C514,"-",E514)</f>
        <v>Administation-Supervisor</v>
      </c>
      <c r="G514" s="5" t="s">
        <v>270</v>
      </c>
      <c r="H514" s="9">
        <v>44849.925555555557</v>
      </c>
      <c r="I514" s="9">
        <v>44853.925555555557</v>
      </c>
      <c r="J514" s="9" t="e">
        <f>I514+#REF!</f>
        <v>#REF!</v>
      </c>
      <c r="K514" s="9" t="e">
        <f>J514+#REF!</f>
        <v>#REF!</v>
      </c>
      <c r="L514" s="10" t="s">
        <v>41</v>
      </c>
      <c r="M514" s="11">
        <v>44867.925555555557</v>
      </c>
      <c r="N514" s="5" t="s">
        <v>48</v>
      </c>
      <c r="O514" s="5"/>
      <c r="P514" s="9">
        <v>44873.925555555557</v>
      </c>
      <c r="Q514" s="5" t="s">
        <v>48</v>
      </c>
      <c r="R514" s="5"/>
      <c r="S514" s="5"/>
      <c r="T514" s="9">
        <v>44870.925555555557</v>
      </c>
      <c r="U514" s="5"/>
      <c r="V514" s="5">
        <v>0</v>
      </c>
      <c r="W514" s="5"/>
      <c r="X514" s="5"/>
      <c r="Y514" s="5"/>
      <c r="Z514" s="5"/>
      <c r="AA514" s="5"/>
      <c r="AC514">
        <f t="shared" ref="AC514:AC577" si="73">IF(AND(ISNUMBER(M514), ISNUMBER(I514)), M514 - I514, "")</f>
        <v>14</v>
      </c>
      <c r="AD514" t="str">
        <f t="shared" si="65"/>
        <v/>
      </c>
      <c r="AE514">
        <f t="shared" si="66"/>
        <v>3</v>
      </c>
      <c r="AF514" t="str">
        <f t="shared" si="67"/>
        <v/>
      </c>
      <c r="AG514" t="str">
        <f t="shared" si="68"/>
        <v/>
      </c>
      <c r="AH514">
        <f t="shared" si="69"/>
        <v>4</v>
      </c>
      <c r="AI514" t="str">
        <f t="shared" si="70"/>
        <v/>
      </c>
      <c r="AJ514" t="str">
        <f t="shared" si="71"/>
        <v/>
      </c>
    </row>
    <row r="515" spans="1:36">
      <c r="A515" s="5">
        <v>514</v>
      </c>
      <c r="B515" s="5" t="s">
        <v>2506</v>
      </c>
      <c r="C515" s="5" t="s">
        <v>2494</v>
      </c>
      <c r="D515" s="5" t="s">
        <v>2504</v>
      </c>
      <c r="E515" s="5" t="s">
        <v>1862</v>
      </c>
      <c r="F515" s="5" t="str">
        <f t="shared" si="72"/>
        <v>Administation-Billing Officer</v>
      </c>
      <c r="G515" s="5" t="s">
        <v>147</v>
      </c>
      <c r="H515" s="9">
        <v>44850.925555555557</v>
      </c>
      <c r="I515" s="9">
        <v>44852.925555555557</v>
      </c>
      <c r="J515" s="9" t="e">
        <f>I515+#REF!</f>
        <v>#REF!</v>
      </c>
      <c r="K515" s="9" t="e">
        <f>J515+#REF!</f>
        <v>#REF!</v>
      </c>
      <c r="L515" s="10" t="s">
        <v>41</v>
      </c>
      <c r="M515" s="11">
        <v>44866.925555555557</v>
      </c>
      <c r="N515" s="5" t="s">
        <v>64</v>
      </c>
      <c r="O515" s="5"/>
      <c r="P515" s="9">
        <v>44871.925555555557</v>
      </c>
      <c r="Q515" s="5" t="s">
        <v>64</v>
      </c>
      <c r="R515" s="9">
        <v>44868.925555555557</v>
      </c>
      <c r="S515" s="9">
        <v>44871.925555555557</v>
      </c>
      <c r="T515" s="9">
        <v>44870.925555555557</v>
      </c>
      <c r="U515" s="9">
        <v>44879.925555555557</v>
      </c>
      <c r="V515" s="12">
        <v>1</v>
      </c>
      <c r="W515" s="9">
        <v>44881.925555555557</v>
      </c>
      <c r="X515" s="9">
        <v>44884.925555555557</v>
      </c>
      <c r="Y515" s="9">
        <v>44885.925555555557</v>
      </c>
      <c r="Z515" s="5"/>
      <c r="AA515" s="5"/>
      <c r="AB515" s="13">
        <v>44899.925555555557</v>
      </c>
      <c r="AC515">
        <f t="shared" si="73"/>
        <v>14</v>
      </c>
      <c r="AD515">
        <f t="shared" ref="AD515:AD578" si="74">IF(AND(ISNUMBER(S515), ISNUMBER(I515)), S515 - I515, "")</f>
        <v>19</v>
      </c>
      <c r="AE515">
        <f t="shared" ref="AE515:AE578" si="75">IF(AND(ISNUMBER(T515), ISNUMBER(M515)), T515-M515, "")</f>
        <v>4</v>
      </c>
      <c r="AF515">
        <f t="shared" ref="AF515:AF578" si="76">IF(AND(ISNUMBER(X515), ISNUMBER(U515)), X515-U515,"")</f>
        <v>5</v>
      </c>
      <c r="AG515">
        <f t="shared" ref="AG515:AG578" si="77">IF(AND(ISNUMBER(W515), ISNUMBER(U515)), W515-U515, "")</f>
        <v>2</v>
      </c>
      <c r="AH515">
        <f t="shared" ref="AH515:AH578" si="78">IF(AND(ISNUMBER(I515), ISNUMBER(H515)), I515-H515,"")</f>
        <v>2</v>
      </c>
      <c r="AI515" t="str">
        <f t="shared" ref="AI515:AI578" si="79">IF(AND(ISNUMBER(J515),ISNUMBER(K515)),K515-J515,"")</f>
        <v/>
      </c>
      <c r="AJ515" t="str">
        <f t="shared" ref="AJ515:AJ578" si="80">IF(AND(ISNUMBER(J515),ISNUMBER(I515)), J515-I515,"")</f>
        <v/>
      </c>
    </row>
    <row r="516" spans="1:36">
      <c r="A516" s="5">
        <v>515</v>
      </c>
      <c r="B516" s="5" t="s">
        <v>85</v>
      </c>
      <c r="C516" s="5" t="s">
        <v>37</v>
      </c>
      <c r="D516" s="5" t="s">
        <v>46</v>
      </c>
      <c r="E516" s="5" t="s">
        <v>39</v>
      </c>
      <c r="F516" s="5" t="str">
        <f t="shared" si="72"/>
        <v>Risk Management-Analyst</v>
      </c>
      <c r="G516" s="5" t="s">
        <v>47</v>
      </c>
      <c r="H516" s="9">
        <v>44852.925555555557</v>
      </c>
      <c r="I516" s="9">
        <v>44854.925555555557</v>
      </c>
      <c r="J516" s="9" t="e">
        <f>I516+#REF!</f>
        <v>#REF!</v>
      </c>
      <c r="K516" s="9" t="e">
        <f>J516+#REF!</f>
        <v>#REF!</v>
      </c>
      <c r="L516" s="10" t="s">
        <v>41</v>
      </c>
      <c r="M516" s="11">
        <v>44871.925555555557</v>
      </c>
      <c r="N516" s="5" t="s">
        <v>64</v>
      </c>
      <c r="O516" s="5"/>
      <c r="P516" s="9">
        <v>44877.925555555557</v>
      </c>
      <c r="Q516" s="5" t="s">
        <v>64</v>
      </c>
      <c r="R516" s="9">
        <v>44873.925555555557</v>
      </c>
      <c r="S516" s="9">
        <v>44877.925555555557</v>
      </c>
      <c r="T516" s="9">
        <v>44874.925555555557</v>
      </c>
      <c r="U516" s="9">
        <v>44875.925555555557</v>
      </c>
      <c r="V516" s="12">
        <v>1</v>
      </c>
      <c r="W516" s="9">
        <v>44878.925555555557</v>
      </c>
      <c r="X516" s="9">
        <v>44881.925555555557</v>
      </c>
      <c r="Y516" s="9">
        <v>44883.925555555557</v>
      </c>
      <c r="Z516" s="5"/>
      <c r="AA516" s="5"/>
      <c r="AB516" s="13">
        <v>44901.925555555557</v>
      </c>
      <c r="AC516">
        <f t="shared" si="73"/>
        <v>17</v>
      </c>
      <c r="AD516">
        <f t="shared" si="74"/>
        <v>23</v>
      </c>
      <c r="AE516">
        <f t="shared" si="75"/>
        <v>3</v>
      </c>
      <c r="AF516">
        <f t="shared" si="76"/>
        <v>6</v>
      </c>
      <c r="AG516">
        <f t="shared" si="77"/>
        <v>3</v>
      </c>
      <c r="AH516">
        <f t="shared" si="78"/>
        <v>2</v>
      </c>
      <c r="AI516" t="str">
        <f t="shared" si="79"/>
        <v/>
      </c>
      <c r="AJ516" t="str">
        <f t="shared" si="80"/>
        <v/>
      </c>
    </row>
    <row r="517" spans="1:36">
      <c r="A517" s="5">
        <v>516</v>
      </c>
      <c r="B517" s="5" t="s">
        <v>2524</v>
      </c>
      <c r="C517" s="5" t="s">
        <v>2494</v>
      </c>
      <c r="D517" s="5" t="s">
        <v>2523</v>
      </c>
      <c r="E517" s="5" t="s">
        <v>51</v>
      </c>
      <c r="F517" s="5" t="str">
        <f t="shared" si="72"/>
        <v>Administation-Supervisor</v>
      </c>
      <c r="G517" s="5" t="s">
        <v>270</v>
      </c>
      <c r="H517" s="9">
        <v>44851.925555555557</v>
      </c>
      <c r="I517" s="9">
        <v>44852.925555555557</v>
      </c>
      <c r="J517" s="9" t="e">
        <f>I517+#REF!</f>
        <v>#REF!</v>
      </c>
      <c r="K517" s="9" t="e">
        <f>J517+#REF!</f>
        <v>#REF!</v>
      </c>
      <c r="L517" s="10" t="s">
        <v>41</v>
      </c>
      <c r="M517" s="11">
        <v>44864.925555555557</v>
      </c>
      <c r="N517" s="5" t="s">
        <v>42</v>
      </c>
      <c r="O517" s="5" t="s">
        <v>58</v>
      </c>
      <c r="P517" s="9"/>
      <c r="Q517" s="5"/>
      <c r="R517" s="5"/>
      <c r="S517" s="5"/>
      <c r="T517" s="9"/>
      <c r="U517" s="5"/>
      <c r="V517" s="5">
        <v>0</v>
      </c>
      <c r="W517" s="5"/>
      <c r="X517" s="5"/>
      <c r="Y517" s="5"/>
      <c r="Z517" s="5"/>
      <c r="AA517" s="5" t="s">
        <v>44</v>
      </c>
      <c r="AC517">
        <f t="shared" si="73"/>
        <v>12</v>
      </c>
      <c r="AD517" t="str">
        <f t="shared" si="74"/>
        <v/>
      </c>
      <c r="AE517" t="str">
        <f t="shared" si="75"/>
        <v/>
      </c>
      <c r="AF517" t="str">
        <f t="shared" si="76"/>
        <v/>
      </c>
      <c r="AG517" t="str">
        <f t="shared" si="77"/>
        <v/>
      </c>
      <c r="AH517">
        <f t="shared" si="78"/>
        <v>1</v>
      </c>
      <c r="AI517" t="str">
        <f t="shared" si="79"/>
        <v/>
      </c>
      <c r="AJ517" t="str">
        <f t="shared" si="80"/>
        <v/>
      </c>
    </row>
    <row r="518" spans="1:36">
      <c r="A518" s="5">
        <v>518</v>
      </c>
      <c r="B518" s="5" t="s">
        <v>81</v>
      </c>
      <c r="C518" s="5" t="s">
        <v>37</v>
      </c>
      <c r="D518" s="5" t="s">
        <v>46</v>
      </c>
      <c r="E518" s="5" t="s">
        <v>39</v>
      </c>
      <c r="F518" s="5" t="str">
        <f t="shared" si="72"/>
        <v>Risk Management-Analyst</v>
      </c>
      <c r="G518" s="5" t="s">
        <v>47</v>
      </c>
      <c r="H518" s="9">
        <v>44846.925555555557</v>
      </c>
      <c r="I518" s="9">
        <v>44850.925555555557</v>
      </c>
      <c r="J518" s="9" t="e">
        <f>I518+#REF!</f>
        <v>#REF!</v>
      </c>
      <c r="K518" s="9" t="e">
        <f>J518+#REF!</f>
        <v>#REF!</v>
      </c>
      <c r="L518" s="10" t="s">
        <v>41</v>
      </c>
      <c r="M518" s="11">
        <v>44871.925555555557</v>
      </c>
      <c r="N518" s="5" t="s">
        <v>48</v>
      </c>
      <c r="O518" s="5"/>
      <c r="P518" s="9">
        <v>44875.925555555557</v>
      </c>
      <c r="Q518" s="5" t="s">
        <v>48</v>
      </c>
      <c r="R518" s="5"/>
      <c r="S518" s="5"/>
      <c r="T518" s="9">
        <v>44874.925555555557</v>
      </c>
      <c r="U518" s="5"/>
      <c r="V518" s="5">
        <v>0</v>
      </c>
      <c r="W518" s="5"/>
      <c r="X518" s="5"/>
      <c r="Y518" s="5"/>
      <c r="Z518" s="5"/>
      <c r="AA518" s="5"/>
      <c r="AC518">
        <f t="shared" si="73"/>
        <v>21</v>
      </c>
      <c r="AD518" t="str">
        <f t="shared" si="74"/>
        <v/>
      </c>
      <c r="AE518">
        <f t="shared" si="75"/>
        <v>3</v>
      </c>
      <c r="AF518" t="str">
        <f t="shared" si="76"/>
        <v/>
      </c>
      <c r="AG518" t="str">
        <f t="shared" si="77"/>
        <v/>
      </c>
      <c r="AH518">
        <f t="shared" si="78"/>
        <v>4</v>
      </c>
      <c r="AI518" t="str">
        <f t="shared" si="79"/>
        <v/>
      </c>
      <c r="AJ518" t="str">
        <f t="shared" si="80"/>
        <v/>
      </c>
    </row>
    <row r="519" spans="1:36">
      <c r="A519" s="5">
        <v>519</v>
      </c>
      <c r="B519" s="5" t="s">
        <v>83</v>
      </c>
      <c r="C519" s="5" t="s">
        <v>37</v>
      </c>
      <c r="D519" s="5" t="s">
        <v>38</v>
      </c>
      <c r="E519" s="5" t="s">
        <v>39</v>
      </c>
      <c r="F519" s="5" t="str">
        <f t="shared" si="72"/>
        <v>Risk Management-Analyst</v>
      </c>
      <c r="G519" s="5" t="s">
        <v>40</v>
      </c>
      <c r="H519" s="9">
        <v>44850.925555555557</v>
      </c>
      <c r="I519" s="9">
        <v>44854.925555555557</v>
      </c>
      <c r="J519" s="9" t="e">
        <f>I519+#REF!</f>
        <v>#REF!</v>
      </c>
      <c r="K519" s="9" t="e">
        <f>J519+#REF!</f>
        <v>#REF!</v>
      </c>
      <c r="L519" s="10" t="s">
        <v>41</v>
      </c>
      <c r="M519" s="11">
        <v>44866.925555555557</v>
      </c>
      <c r="N519" s="5" t="s">
        <v>48</v>
      </c>
      <c r="O519" s="5"/>
      <c r="P519" s="9">
        <v>44871.925555555557</v>
      </c>
      <c r="Q519" s="5" t="s">
        <v>48</v>
      </c>
      <c r="R519" s="5"/>
      <c r="S519" s="5"/>
      <c r="T519" s="9">
        <v>44870.925555555557</v>
      </c>
      <c r="U519" s="5"/>
      <c r="V519" s="5">
        <v>0</v>
      </c>
      <c r="W519" s="5"/>
      <c r="X519" s="5"/>
      <c r="Y519" s="5"/>
      <c r="Z519" s="5"/>
      <c r="AA519" s="5"/>
      <c r="AC519">
        <f t="shared" si="73"/>
        <v>12</v>
      </c>
      <c r="AD519" t="str">
        <f t="shared" si="74"/>
        <v/>
      </c>
      <c r="AE519">
        <f t="shared" si="75"/>
        <v>4</v>
      </c>
      <c r="AF519" t="str">
        <f t="shared" si="76"/>
        <v/>
      </c>
      <c r="AG519" t="str">
        <f t="shared" si="77"/>
        <v/>
      </c>
      <c r="AH519">
        <f t="shared" si="78"/>
        <v>4</v>
      </c>
      <c r="AI519" t="str">
        <f t="shared" si="79"/>
        <v/>
      </c>
      <c r="AJ519" t="str">
        <f t="shared" si="80"/>
        <v/>
      </c>
    </row>
    <row r="520" spans="1:36">
      <c r="A520" s="5">
        <v>520</v>
      </c>
      <c r="B520" s="5" t="s">
        <v>2505</v>
      </c>
      <c r="C520" s="5" t="s">
        <v>2494</v>
      </c>
      <c r="D520" s="5" t="s">
        <v>2504</v>
      </c>
      <c r="E520" s="5" t="s">
        <v>1862</v>
      </c>
      <c r="F520" s="5" t="str">
        <f t="shared" si="72"/>
        <v>Administation-Billing Officer</v>
      </c>
      <c r="G520" s="5" t="s">
        <v>147</v>
      </c>
      <c r="H520" s="9">
        <v>44848.925555555557</v>
      </c>
      <c r="I520" s="9">
        <v>44850.925555555557</v>
      </c>
      <c r="J520" s="9" t="e">
        <f>I520+#REF!</f>
        <v>#REF!</v>
      </c>
      <c r="K520" s="9" t="e">
        <f>J520+#REF!</f>
        <v>#REF!</v>
      </c>
      <c r="L520" s="10" t="s">
        <v>41</v>
      </c>
      <c r="M520" s="11">
        <v>44866.925555555557</v>
      </c>
      <c r="N520" s="5" t="s">
        <v>42</v>
      </c>
      <c r="O520" s="5" t="s">
        <v>113</v>
      </c>
      <c r="P520" s="9"/>
      <c r="Q520" s="5"/>
      <c r="R520" s="5"/>
      <c r="S520" s="5"/>
      <c r="T520" s="9"/>
      <c r="U520" s="5"/>
      <c r="V520" s="5">
        <v>0</v>
      </c>
      <c r="W520" s="5"/>
      <c r="X520" s="5"/>
      <c r="Y520" s="5"/>
      <c r="Z520" s="5"/>
      <c r="AA520" s="5" t="s">
        <v>44</v>
      </c>
      <c r="AC520">
        <f t="shared" si="73"/>
        <v>16</v>
      </c>
      <c r="AD520" t="str">
        <f t="shared" si="74"/>
        <v/>
      </c>
      <c r="AE520" t="str">
        <f t="shared" si="75"/>
        <v/>
      </c>
      <c r="AF520" t="str">
        <f t="shared" si="76"/>
        <v/>
      </c>
      <c r="AG520" t="str">
        <f t="shared" si="77"/>
        <v/>
      </c>
      <c r="AH520">
        <f t="shared" si="78"/>
        <v>2</v>
      </c>
      <c r="AI520" t="str">
        <f t="shared" si="79"/>
        <v/>
      </c>
      <c r="AJ520" t="str">
        <f t="shared" si="80"/>
        <v/>
      </c>
    </row>
    <row r="521" spans="1:36">
      <c r="A521" s="5">
        <v>521</v>
      </c>
      <c r="B521" s="5" t="s">
        <v>2522</v>
      </c>
      <c r="C521" s="5" t="s">
        <v>2494</v>
      </c>
      <c r="D521" s="5" t="s">
        <v>2523</v>
      </c>
      <c r="E521" s="5" t="s">
        <v>51</v>
      </c>
      <c r="F521" s="5" t="str">
        <f t="shared" si="72"/>
        <v>Administation-Supervisor</v>
      </c>
      <c r="G521" s="5" t="s">
        <v>270</v>
      </c>
      <c r="H521" s="9">
        <v>44601.83390046296</v>
      </c>
      <c r="I521" s="9">
        <v>44605.83390046296</v>
      </c>
      <c r="J521" s="9" t="e">
        <f>I521+#REF!</f>
        <v>#REF!</v>
      </c>
      <c r="K521" s="9" t="e">
        <f>J521+#REF!</f>
        <v>#REF!</v>
      </c>
      <c r="L521" s="10" t="s">
        <v>41</v>
      </c>
      <c r="M521" s="11">
        <v>44620.83390046296</v>
      </c>
      <c r="N521" s="5" t="s">
        <v>48</v>
      </c>
      <c r="O521" s="5"/>
      <c r="P521" s="9">
        <v>44627.83390046296</v>
      </c>
      <c r="Q521" s="5" t="s">
        <v>48</v>
      </c>
      <c r="R521" s="5"/>
      <c r="S521" s="5"/>
      <c r="T521" s="9">
        <v>44624.83390046296</v>
      </c>
      <c r="U521" s="5"/>
      <c r="V521" s="5">
        <v>0</v>
      </c>
      <c r="W521" s="5"/>
      <c r="X521" s="5"/>
      <c r="Y521" s="5"/>
      <c r="Z521" s="5"/>
      <c r="AA521" s="5"/>
      <c r="AC521">
        <f t="shared" si="73"/>
        <v>15</v>
      </c>
      <c r="AD521" t="str">
        <f t="shared" si="74"/>
        <v/>
      </c>
      <c r="AE521">
        <f t="shared" si="75"/>
        <v>4</v>
      </c>
      <c r="AF521" t="str">
        <f t="shared" si="76"/>
        <v/>
      </c>
      <c r="AG521" t="str">
        <f t="shared" si="77"/>
        <v/>
      </c>
      <c r="AH521">
        <f t="shared" si="78"/>
        <v>4</v>
      </c>
      <c r="AI521" t="str">
        <f t="shared" si="79"/>
        <v/>
      </c>
      <c r="AJ521" t="str">
        <f t="shared" si="80"/>
        <v/>
      </c>
    </row>
    <row r="522" spans="1:36">
      <c r="A522" s="5">
        <v>522</v>
      </c>
      <c r="B522" s="5" t="s">
        <v>49</v>
      </c>
      <c r="C522" s="5" t="s">
        <v>37</v>
      </c>
      <c r="D522" s="5" t="s">
        <v>46</v>
      </c>
      <c r="E522" s="5" t="s">
        <v>39</v>
      </c>
      <c r="F522" s="5" t="str">
        <f t="shared" si="72"/>
        <v>Risk Management-Analyst</v>
      </c>
      <c r="G522" s="5" t="s">
        <v>47</v>
      </c>
      <c r="H522" s="9">
        <v>44609.83390046296</v>
      </c>
      <c r="I522" s="9">
        <v>44610.83390046296</v>
      </c>
      <c r="J522" s="9" t="e">
        <f>I522+#REF!</f>
        <v>#REF!</v>
      </c>
      <c r="K522" s="9" t="e">
        <f>J522+#REF!</f>
        <v>#REF!</v>
      </c>
      <c r="L522" s="10" t="s">
        <v>41</v>
      </c>
      <c r="M522" s="11">
        <v>44613.83390046296</v>
      </c>
      <c r="N522" s="5" t="s">
        <v>48</v>
      </c>
      <c r="O522" s="5"/>
      <c r="P522" s="9">
        <v>44618.83390046296</v>
      </c>
      <c r="Q522" s="5" t="s">
        <v>48</v>
      </c>
      <c r="R522" s="5"/>
      <c r="S522" s="5"/>
      <c r="T522" s="9">
        <v>44614.83390046296</v>
      </c>
      <c r="U522" s="5"/>
      <c r="V522" s="5">
        <v>0</v>
      </c>
      <c r="W522" s="5"/>
      <c r="X522" s="5"/>
      <c r="Y522" s="5"/>
      <c r="Z522" s="5"/>
      <c r="AA522" s="5"/>
      <c r="AC522">
        <f t="shared" si="73"/>
        <v>3</v>
      </c>
      <c r="AD522" t="str">
        <f t="shared" si="74"/>
        <v/>
      </c>
      <c r="AE522">
        <f t="shared" si="75"/>
        <v>1</v>
      </c>
      <c r="AF522" t="str">
        <f t="shared" si="76"/>
        <v/>
      </c>
      <c r="AG522" t="str">
        <f t="shared" si="77"/>
        <v/>
      </c>
      <c r="AH522">
        <f t="shared" si="78"/>
        <v>1</v>
      </c>
      <c r="AI522" t="str">
        <f t="shared" si="79"/>
        <v/>
      </c>
      <c r="AJ522" t="str">
        <f t="shared" si="80"/>
        <v/>
      </c>
    </row>
    <row r="523" spans="1:36">
      <c r="A523" s="5">
        <v>523</v>
      </c>
      <c r="B523" s="5" t="s">
        <v>2503</v>
      </c>
      <c r="C523" s="5" t="s">
        <v>2494</v>
      </c>
      <c r="D523" s="5" t="s">
        <v>2504</v>
      </c>
      <c r="E523" s="5" t="s">
        <v>1862</v>
      </c>
      <c r="F523" s="5" t="str">
        <f t="shared" si="72"/>
        <v>Administation-Billing Officer</v>
      </c>
      <c r="G523" s="5" t="s">
        <v>147</v>
      </c>
      <c r="H523" s="9">
        <v>44603.83390046296</v>
      </c>
      <c r="I523" s="9">
        <v>44605.83390046296</v>
      </c>
      <c r="J523" s="9" t="e">
        <f>I523+#REF!</f>
        <v>#REF!</v>
      </c>
      <c r="K523" s="9" t="e">
        <f>J523+#REF!</f>
        <v>#REF!</v>
      </c>
      <c r="L523" s="10" t="s">
        <v>41</v>
      </c>
      <c r="M523" s="11">
        <v>44625.83390046296</v>
      </c>
      <c r="N523" s="5" t="s">
        <v>42</v>
      </c>
      <c r="O523" s="5" t="s">
        <v>43</v>
      </c>
      <c r="P523" s="9"/>
      <c r="Q523" s="5"/>
      <c r="R523" s="5"/>
      <c r="S523" s="5"/>
      <c r="T523" s="9">
        <v>44628.83390046296</v>
      </c>
      <c r="U523" s="5"/>
      <c r="V523" s="5">
        <v>0</v>
      </c>
      <c r="W523" s="5"/>
      <c r="X523" s="5"/>
      <c r="Y523" s="5"/>
      <c r="Z523" s="5"/>
      <c r="AA523" s="5" t="s">
        <v>44</v>
      </c>
      <c r="AC523">
        <f t="shared" si="73"/>
        <v>20</v>
      </c>
      <c r="AD523" t="str">
        <f t="shared" si="74"/>
        <v/>
      </c>
      <c r="AE523">
        <f t="shared" si="75"/>
        <v>3</v>
      </c>
      <c r="AF523" t="str">
        <f t="shared" si="76"/>
        <v/>
      </c>
      <c r="AG523" t="str">
        <f t="shared" si="77"/>
        <v/>
      </c>
      <c r="AH523">
        <f t="shared" si="78"/>
        <v>2</v>
      </c>
      <c r="AI523" t="str">
        <f t="shared" si="79"/>
        <v/>
      </c>
      <c r="AJ523" t="str">
        <f t="shared" si="80"/>
        <v/>
      </c>
    </row>
    <row r="524" spans="1:36">
      <c r="A524" s="5">
        <v>524</v>
      </c>
      <c r="B524" s="5" t="s">
        <v>45</v>
      </c>
      <c r="C524" s="5" t="s">
        <v>37</v>
      </c>
      <c r="D524" s="5" t="s">
        <v>46</v>
      </c>
      <c r="E524" s="5" t="s">
        <v>39</v>
      </c>
      <c r="F524" s="5" t="str">
        <f t="shared" si="72"/>
        <v>Risk Management-Analyst</v>
      </c>
      <c r="G524" s="5" t="s">
        <v>47</v>
      </c>
      <c r="H524" s="9">
        <v>44605.83390046296</v>
      </c>
      <c r="I524" s="9">
        <v>44608.83390046296</v>
      </c>
      <c r="J524" s="9" t="e">
        <f>I524+#REF!</f>
        <v>#REF!</v>
      </c>
      <c r="K524" s="9" t="e">
        <f>J524+#REF!</f>
        <v>#REF!</v>
      </c>
      <c r="L524" s="10" t="s">
        <v>41</v>
      </c>
      <c r="M524" s="11">
        <v>44617.83390046296</v>
      </c>
      <c r="N524" s="5" t="s">
        <v>48</v>
      </c>
      <c r="O524" s="5"/>
      <c r="P524" s="9">
        <v>44622.83390046296</v>
      </c>
      <c r="Q524" s="5" t="s">
        <v>48</v>
      </c>
      <c r="R524" s="5"/>
      <c r="S524" s="5"/>
      <c r="T524" s="9">
        <v>44619.83390046296</v>
      </c>
      <c r="U524" s="5"/>
      <c r="V524" s="5">
        <v>0</v>
      </c>
      <c r="W524" s="5"/>
      <c r="X524" s="5"/>
      <c r="Y524" s="5"/>
      <c r="Z524" s="5"/>
      <c r="AA524" s="5"/>
      <c r="AC524">
        <f t="shared" si="73"/>
        <v>9</v>
      </c>
      <c r="AD524" t="str">
        <f t="shared" si="74"/>
        <v/>
      </c>
      <c r="AE524">
        <f t="shared" si="75"/>
        <v>2</v>
      </c>
      <c r="AF524" t="str">
        <f t="shared" si="76"/>
        <v/>
      </c>
      <c r="AG524" t="str">
        <f t="shared" si="77"/>
        <v/>
      </c>
      <c r="AH524">
        <f t="shared" si="78"/>
        <v>3</v>
      </c>
      <c r="AI524" t="str">
        <f t="shared" si="79"/>
        <v/>
      </c>
      <c r="AJ524" t="str">
        <f t="shared" si="80"/>
        <v/>
      </c>
    </row>
    <row r="525" spans="1:36">
      <c r="A525" s="5">
        <v>525</v>
      </c>
      <c r="B525" s="5" t="s">
        <v>36</v>
      </c>
      <c r="C525" s="5" t="s">
        <v>37</v>
      </c>
      <c r="D525" s="5" t="s">
        <v>38</v>
      </c>
      <c r="E525" s="5" t="s">
        <v>39</v>
      </c>
      <c r="F525" s="5" t="str">
        <f t="shared" si="72"/>
        <v>Risk Management-Analyst</v>
      </c>
      <c r="G525" s="5" t="s">
        <v>40</v>
      </c>
      <c r="H525" s="9">
        <v>44602.83390046296</v>
      </c>
      <c r="I525" s="9">
        <v>44605.83390046296</v>
      </c>
      <c r="J525" s="9" t="e">
        <f>I525+#REF!</f>
        <v>#REF!</v>
      </c>
      <c r="K525" s="9" t="e">
        <f>J525+#REF!</f>
        <v>#REF!</v>
      </c>
      <c r="L525" s="10" t="s">
        <v>41</v>
      </c>
      <c r="M525" s="11">
        <v>44616.83390046296</v>
      </c>
      <c r="N525" s="5" t="s">
        <v>42</v>
      </c>
      <c r="O525" s="5" t="s">
        <v>43</v>
      </c>
      <c r="P525" s="9"/>
      <c r="Q525" s="5"/>
      <c r="R525" s="5"/>
      <c r="S525" s="5"/>
      <c r="T525" s="9"/>
      <c r="U525" s="5"/>
      <c r="V525" s="5">
        <v>0</v>
      </c>
      <c r="W525" s="5"/>
      <c r="X525" s="5"/>
      <c r="Y525" s="5"/>
      <c r="Z525" s="5"/>
      <c r="AA525" s="5" t="s">
        <v>44</v>
      </c>
      <c r="AC525">
        <f t="shared" si="73"/>
        <v>11</v>
      </c>
      <c r="AD525" t="str">
        <f t="shared" si="74"/>
        <v/>
      </c>
      <c r="AE525" t="str">
        <f t="shared" si="75"/>
        <v/>
      </c>
      <c r="AF525" t="str">
        <f t="shared" si="76"/>
        <v/>
      </c>
      <c r="AG525" t="str">
        <f t="shared" si="77"/>
        <v/>
      </c>
      <c r="AH525">
        <f t="shared" si="78"/>
        <v>3</v>
      </c>
      <c r="AI525" t="str">
        <f t="shared" si="79"/>
        <v/>
      </c>
      <c r="AJ525" t="str">
        <f t="shared" si="80"/>
        <v/>
      </c>
    </row>
    <row r="526" spans="1:36">
      <c r="A526" s="5">
        <v>526</v>
      </c>
      <c r="B526" s="5" t="s">
        <v>955</v>
      </c>
      <c r="C526" s="5" t="s">
        <v>796</v>
      </c>
      <c r="D526" s="5" t="s">
        <v>893</v>
      </c>
      <c r="E526" s="5" t="s">
        <v>269</v>
      </c>
      <c r="F526" s="5" t="str">
        <f t="shared" si="72"/>
        <v>M and E-Manager</v>
      </c>
      <c r="G526" s="5" t="s">
        <v>270</v>
      </c>
      <c r="H526" s="9">
        <v>44602.83390046296</v>
      </c>
      <c r="I526" s="9">
        <v>44605.83390046296</v>
      </c>
      <c r="J526" s="9" t="e">
        <f>I526+#REF!</f>
        <v>#REF!</v>
      </c>
      <c r="K526" s="9" t="e">
        <f>J526+#REF!</f>
        <v>#REF!</v>
      </c>
      <c r="L526" s="10" t="s">
        <v>52</v>
      </c>
      <c r="M526" s="11"/>
      <c r="N526" s="5"/>
      <c r="O526" s="5"/>
      <c r="P526" s="9"/>
      <c r="Q526" s="5"/>
      <c r="R526" s="5"/>
      <c r="S526" s="5"/>
      <c r="T526" s="9"/>
      <c r="U526" s="5"/>
      <c r="V526" s="5">
        <v>0</v>
      </c>
      <c r="W526" s="5"/>
      <c r="X526" s="5"/>
      <c r="Y526" s="5"/>
      <c r="Z526" s="5"/>
      <c r="AA526" s="5"/>
      <c r="AC526" t="str">
        <f t="shared" si="73"/>
        <v/>
      </c>
      <c r="AD526" t="str">
        <f t="shared" si="74"/>
        <v/>
      </c>
      <c r="AE526" t="str">
        <f t="shared" si="75"/>
        <v/>
      </c>
      <c r="AF526" t="str">
        <f t="shared" si="76"/>
        <v/>
      </c>
      <c r="AG526" t="str">
        <f t="shared" si="77"/>
        <v/>
      </c>
      <c r="AH526">
        <f t="shared" si="78"/>
        <v>3</v>
      </c>
      <c r="AI526" t="str">
        <f t="shared" si="79"/>
        <v/>
      </c>
      <c r="AJ526" t="str">
        <f t="shared" si="80"/>
        <v/>
      </c>
    </row>
    <row r="527" spans="1:36">
      <c r="A527" s="5">
        <v>529</v>
      </c>
      <c r="B527" s="5" t="s">
        <v>954</v>
      </c>
      <c r="C527" s="5" t="s">
        <v>796</v>
      </c>
      <c r="D527" s="5" t="s">
        <v>893</v>
      </c>
      <c r="E527" s="5" t="s">
        <v>269</v>
      </c>
      <c r="F527" s="5" t="str">
        <f t="shared" si="72"/>
        <v>M and E-Manager</v>
      </c>
      <c r="G527" s="5" t="s">
        <v>270</v>
      </c>
      <c r="H527" s="9">
        <v>44604.83390046296</v>
      </c>
      <c r="I527" s="9">
        <v>44606.83390046296</v>
      </c>
      <c r="J527" s="9" t="e">
        <f>I527+#REF!</f>
        <v>#REF!</v>
      </c>
      <c r="K527" s="9" t="e">
        <f>J527+#REF!</f>
        <v>#REF!</v>
      </c>
      <c r="L527" s="10" t="s">
        <v>41</v>
      </c>
      <c r="M527" s="11">
        <v>44614.83390046296</v>
      </c>
      <c r="N527" s="5" t="s">
        <v>42</v>
      </c>
      <c r="O527" s="5" t="s">
        <v>43</v>
      </c>
      <c r="P527" s="9"/>
      <c r="Q527" s="5"/>
      <c r="R527" s="5"/>
      <c r="S527" s="5"/>
      <c r="T527" s="9">
        <v>44618.83390046296</v>
      </c>
      <c r="U527" s="5"/>
      <c r="V527" s="5">
        <v>0</v>
      </c>
      <c r="W527" s="5"/>
      <c r="X527" s="5"/>
      <c r="Y527" s="5"/>
      <c r="Z527" s="5"/>
      <c r="AA527" s="5" t="s">
        <v>44</v>
      </c>
      <c r="AC527">
        <f t="shared" si="73"/>
        <v>8</v>
      </c>
      <c r="AD527" t="str">
        <f t="shared" si="74"/>
        <v/>
      </c>
      <c r="AE527">
        <f t="shared" si="75"/>
        <v>4</v>
      </c>
      <c r="AF527" t="str">
        <f t="shared" si="76"/>
        <v/>
      </c>
      <c r="AG527" t="str">
        <f t="shared" si="77"/>
        <v/>
      </c>
      <c r="AH527">
        <f t="shared" si="78"/>
        <v>2</v>
      </c>
      <c r="AI527" t="str">
        <f t="shared" si="79"/>
        <v/>
      </c>
      <c r="AJ527" t="str">
        <f t="shared" si="80"/>
        <v/>
      </c>
    </row>
    <row r="528" spans="1:36">
      <c r="A528" s="5">
        <v>530</v>
      </c>
      <c r="B528" s="5" t="s">
        <v>1120</v>
      </c>
      <c r="C528" s="5" t="s">
        <v>796</v>
      </c>
      <c r="D528" s="5" t="s">
        <v>1046</v>
      </c>
      <c r="E528" s="5" t="s">
        <v>597</v>
      </c>
      <c r="F528" s="5" t="str">
        <f t="shared" si="72"/>
        <v>M and E-Business Partner</v>
      </c>
      <c r="G528" s="5" t="s">
        <v>47</v>
      </c>
      <c r="H528" s="9">
        <v>44608.83390046296</v>
      </c>
      <c r="I528" s="9">
        <v>44609.83390046296</v>
      </c>
      <c r="J528" s="9" t="e">
        <f>I528+#REF!</f>
        <v>#REF!</v>
      </c>
      <c r="K528" s="9" t="e">
        <f>J528+#REF!</f>
        <v>#REF!</v>
      </c>
      <c r="L528" s="10" t="s">
        <v>41</v>
      </c>
      <c r="M528" s="11">
        <v>44618.83390046296</v>
      </c>
      <c r="N528" s="5" t="s">
        <v>64</v>
      </c>
      <c r="O528" s="5"/>
      <c r="P528" s="9">
        <v>44622.83390046296</v>
      </c>
      <c r="Q528" s="5" t="s">
        <v>64</v>
      </c>
      <c r="R528" s="9">
        <v>44620.83390046296</v>
      </c>
      <c r="S528" s="9">
        <v>44624.83390046296</v>
      </c>
      <c r="T528" s="9">
        <v>44620.83390046296</v>
      </c>
      <c r="U528" s="9">
        <v>44623.83390046296</v>
      </c>
      <c r="V528" s="12">
        <v>1</v>
      </c>
      <c r="W528" s="9">
        <v>44624.83390046296</v>
      </c>
      <c r="X528" s="9">
        <v>44625.83390046296</v>
      </c>
      <c r="Y528" s="9">
        <v>44627.83390046296</v>
      </c>
      <c r="Z528" s="5"/>
      <c r="AA528" s="5"/>
      <c r="AB528" s="13">
        <v>44638.83390046296</v>
      </c>
      <c r="AC528">
        <f t="shared" si="73"/>
        <v>9</v>
      </c>
      <c r="AD528">
        <f t="shared" si="74"/>
        <v>15</v>
      </c>
      <c r="AE528">
        <f t="shared" si="75"/>
        <v>2</v>
      </c>
      <c r="AF528">
        <f t="shared" si="76"/>
        <v>2</v>
      </c>
      <c r="AG528">
        <f t="shared" si="77"/>
        <v>1</v>
      </c>
      <c r="AH528">
        <f t="shared" si="78"/>
        <v>1</v>
      </c>
      <c r="AI528" t="str">
        <f t="shared" si="79"/>
        <v/>
      </c>
      <c r="AJ528" t="str">
        <f t="shared" si="80"/>
        <v/>
      </c>
    </row>
    <row r="529" spans="1:36">
      <c r="A529" s="5">
        <v>531</v>
      </c>
      <c r="B529" s="5" t="s">
        <v>2475</v>
      </c>
      <c r="C529" s="5" t="s">
        <v>2229</v>
      </c>
      <c r="D529" s="5" t="s">
        <v>2445</v>
      </c>
      <c r="E529" s="5" t="s">
        <v>388</v>
      </c>
      <c r="F529" s="5" t="str">
        <f t="shared" si="72"/>
        <v>Capacity Building-Extension Officer</v>
      </c>
      <c r="G529" s="5" t="s">
        <v>47</v>
      </c>
      <c r="H529" s="9">
        <v>44576.271180555559</v>
      </c>
      <c r="I529" s="9">
        <v>44577.271180555559</v>
      </c>
      <c r="J529" s="9" t="e">
        <f>I529+#REF!</f>
        <v>#REF!</v>
      </c>
      <c r="K529" s="9" t="e">
        <f>J529+#REF!</f>
        <v>#REF!</v>
      </c>
      <c r="L529" s="10" t="s">
        <v>41</v>
      </c>
      <c r="M529" s="11">
        <v>44580.271180555559</v>
      </c>
      <c r="N529" s="5" t="s">
        <v>42</v>
      </c>
      <c r="O529" s="5" t="s">
        <v>98</v>
      </c>
      <c r="P529" s="9"/>
      <c r="Q529" s="5"/>
      <c r="R529" s="5"/>
      <c r="S529" s="5"/>
      <c r="T529" s="9">
        <v>44581.271180555559</v>
      </c>
      <c r="U529" s="5"/>
      <c r="V529" s="5">
        <v>0</v>
      </c>
      <c r="W529" s="5"/>
      <c r="X529" s="5"/>
      <c r="Y529" s="5"/>
      <c r="Z529" s="5"/>
      <c r="AA529" s="5" t="s">
        <v>62</v>
      </c>
      <c r="AC529">
        <f t="shared" si="73"/>
        <v>3</v>
      </c>
      <c r="AD529" t="str">
        <f t="shared" si="74"/>
        <v/>
      </c>
      <c r="AE529">
        <f t="shared" si="75"/>
        <v>1</v>
      </c>
      <c r="AF529" t="str">
        <f t="shared" si="76"/>
        <v/>
      </c>
      <c r="AG529" t="str">
        <f t="shared" si="77"/>
        <v/>
      </c>
      <c r="AH529">
        <f t="shared" si="78"/>
        <v>1</v>
      </c>
      <c r="AI529" t="str">
        <f t="shared" si="79"/>
        <v/>
      </c>
      <c r="AJ529" t="str">
        <f t="shared" si="80"/>
        <v/>
      </c>
    </row>
    <row r="530" spans="1:36">
      <c r="A530" s="5">
        <v>532</v>
      </c>
      <c r="B530" s="5" t="s">
        <v>2382</v>
      </c>
      <c r="C530" s="5" t="s">
        <v>2229</v>
      </c>
      <c r="D530" s="5" t="s">
        <v>2350</v>
      </c>
      <c r="E530" s="5" t="s">
        <v>2351</v>
      </c>
      <c r="F530" s="5" t="str">
        <f t="shared" si="72"/>
        <v>Capacity Building-Training Associate</v>
      </c>
      <c r="G530" s="5" t="s">
        <v>40</v>
      </c>
      <c r="H530" s="9">
        <v>44572.271180555559</v>
      </c>
      <c r="I530" s="9">
        <v>44574.271180555559</v>
      </c>
      <c r="J530" s="9" t="e">
        <f>I530+#REF!</f>
        <v>#REF!</v>
      </c>
      <c r="K530" s="9" t="e">
        <f>J530+#REF!</f>
        <v>#REF!</v>
      </c>
      <c r="L530" s="10" t="s">
        <v>41</v>
      </c>
      <c r="M530" s="11">
        <v>44591.271180555559</v>
      </c>
      <c r="N530" s="5" t="s">
        <v>42</v>
      </c>
      <c r="O530" s="5" t="s">
        <v>98</v>
      </c>
      <c r="P530" s="9"/>
      <c r="Q530" s="5"/>
      <c r="R530" s="5"/>
      <c r="S530" s="5"/>
      <c r="T530" s="9"/>
      <c r="U530" s="5"/>
      <c r="V530" s="5">
        <v>0</v>
      </c>
      <c r="W530" s="5"/>
      <c r="X530" s="5"/>
      <c r="Y530" s="5"/>
      <c r="Z530" s="5"/>
      <c r="AA530" s="5" t="s">
        <v>44</v>
      </c>
      <c r="AC530">
        <f t="shared" si="73"/>
        <v>17</v>
      </c>
      <c r="AD530" t="str">
        <f t="shared" si="74"/>
        <v/>
      </c>
      <c r="AE530" t="str">
        <f t="shared" si="75"/>
        <v/>
      </c>
      <c r="AF530" t="str">
        <f t="shared" si="76"/>
        <v/>
      </c>
      <c r="AG530" t="str">
        <f t="shared" si="77"/>
        <v/>
      </c>
      <c r="AH530">
        <f t="shared" si="78"/>
        <v>2</v>
      </c>
      <c r="AI530" t="str">
        <f t="shared" si="79"/>
        <v/>
      </c>
      <c r="AJ530" t="str">
        <f t="shared" si="80"/>
        <v/>
      </c>
    </row>
    <row r="531" spans="1:36">
      <c r="A531" s="5">
        <v>533</v>
      </c>
      <c r="B531" s="5" t="s">
        <v>2280</v>
      </c>
      <c r="C531" s="5" t="s">
        <v>2229</v>
      </c>
      <c r="D531" s="5" t="s">
        <v>2250</v>
      </c>
      <c r="E531" s="5" t="s">
        <v>1146</v>
      </c>
      <c r="F531" s="5" t="str">
        <f t="shared" si="72"/>
        <v>Capacity Building-Quality Assurance</v>
      </c>
      <c r="G531" s="5" t="s">
        <v>147</v>
      </c>
      <c r="H531" s="9">
        <v>44574.271180555559</v>
      </c>
      <c r="I531" s="9">
        <v>44575.271180555559</v>
      </c>
      <c r="J531" s="9" t="e">
        <f>I531+#REF!</f>
        <v>#REF!</v>
      </c>
      <c r="K531" s="9" t="e">
        <f>J531+#REF!</f>
        <v>#REF!</v>
      </c>
      <c r="L531" s="10" t="s">
        <v>41</v>
      </c>
      <c r="M531" s="11">
        <v>44593.271180555559</v>
      </c>
      <c r="N531" s="5" t="s">
        <v>64</v>
      </c>
      <c r="O531" s="5"/>
      <c r="P531" s="9">
        <v>44598.271180555559</v>
      </c>
      <c r="Q531" s="5" t="s">
        <v>64</v>
      </c>
      <c r="R531" s="9">
        <v>44595.271180555559</v>
      </c>
      <c r="S531" s="9">
        <v>44598.271180555559</v>
      </c>
      <c r="T531" s="9">
        <v>44595.271180555559</v>
      </c>
      <c r="U531" s="9">
        <v>44602.271180555559</v>
      </c>
      <c r="V531" s="12">
        <v>1</v>
      </c>
      <c r="W531" s="9">
        <v>44606.271180555559</v>
      </c>
      <c r="X531" s="9">
        <v>44609.271180555559</v>
      </c>
      <c r="Y531" s="9">
        <v>44612.271180555559</v>
      </c>
      <c r="Z531" s="5"/>
      <c r="AA531" s="5"/>
      <c r="AB531" s="13">
        <v>44631.271180555559</v>
      </c>
      <c r="AC531">
        <f t="shared" si="73"/>
        <v>18</v>
      </c>
      <c r="AD531">
        <f t="shared" si="74"/>
        <v>23</v>
      </c>
      <c r="AE531">
        <f t="shared" si="75"/>
        <v>2</v>
      </c>
      <c r="AF531">
        <f t="shared" si="76"/>
        <v>7</v>
      </c>
      <c r="AG531">
        <f t="shared" si="77"/>
        <v>4</v>
      </c>
      <c r="AH531">
        <f t="shared" si="78"/>
        <v>1</v>
      </c>
      <c r="AI531" t="str">
        <f t="shared" si="79"/>
        <v/>
      </c>
      <c r="AJ531" t="str">
        <f t="shared" si="80"/>
        <v/>
      </c>
    </row>
    <row r="532" spans="1:36">
      <c r="A532" s="5">
        <v>536</v>
      </c>
      <c r="B532" s="5" t="s">
        <v>2279</v>
      </c>
      <c r="C532" s="5" t="s">
        <v>2229</v>
      </c>
      <c r="D532" s="5" t="s">
        <v>2250</v>
      </c>
      <c r="E532" s="5" t="s">
        <v>1146</v>
      </c>
      <c r="F532" s="5" t="str">
        <f t="shared" si="72"/>
        <v>Capacity Building-Quality Assurance</v>
      </c>
      <c r="G532" s="5" t="s">
        <v>147</v>
      </c>
      <c r="H532" s="9">
        <v>44574.271180555559</v>
      </c>
      <c r="I532" s="9">
        <v>44577.271180555559</v>
      </c>
      <c r="J532" s="9" t="e">
        <f>I532+#REF!</f>
        <v>#REF!</v>
      </c>
      <c r="K532" s="9" t="e">
        <f>J532+#REF!</f>
        <v>#REF!</v>
      </c>
      <c r="L532" s="10" t="s">
        <v>41</v>
      </c>
      <c r="M532" s="11">
        <v>44586.271180555559</v>
      </c>
      <c r="N532" s="5" t="s">
        <v>167</v>
      </c>
      <c r="O532" s="5"/>
      <c r="P532" s="9">
        <v>44592.271180555559</v>
      </c>
      <c r="Q532" s="5" t="s">
        <v>167</v>
      </c>
      <c r="R532" s="5"/>
      <c r="S532" s="5"/>
      <c r="T532" s="9">
        <v>44590.271180555559</v>
      </c>
      <c r="U532" s="5"/>
      <c r="V532" s="5">
        <v>0</v>
      </c>
      <c r="W532" s="5"/>
      <c r="X532" s="5"/>
      <c r="Y532" s="5"/>
      <c r="Z532" s="5"/>
      <c r="AA532" s="5"/>
      <c r="AC532">
        <f t="shared" si="73"/>
        <v>9</v>
      </c>
      <c r="AD532" t="str">
        <f t="shared" si="74"/>
        <v/>
      </c>
      <c r="AE532">
        <f t="shared" si="75"/>
        <v>4</v>
      </c>
      <c r="AF532" t="str">
        <f t="shared" si="76"/>
        <v/>
      </c>
      <c r="AG532" t="str">
        <f t="shared" si="77"/>
        <v/>
      </c>
      <c r="AH532">
        <f t="shared" si="78"/>
        <v>3</v>
      </c>
      <c r="AI532" t="str">
        <f t="shared" si="79"/>
        <v/>
      </c>
      <c r="AJ532" t="str">
        <f t="shared" si="80"/>
        <v/>
      </c>
    </row>
    <row r="533" spans="1:36">
      <c r="A533" s="5">
        <v>537</v>
      </c>
      <c r="B533" s="5" t="s">
        <v>2423</v>
      </c>
      <c r="C533" s="5" t="s">
        <v>2229</v>
      </c>
      <c r="D533" s="5" t="s">
        <v>2403</v>
      </c>
      <c r="E533" s="5" t="s">
        <v>1939</v>
      </c>
      <c r="F533" s="5" t="str">
        <f t="shared" si="72"/>
        <v>Capacity Building-Principal Officer</v>
      </c>
      <c r="G533" s="5" t="s">
        <v>56</v>
      </c>
      <c r="H533" s="9">
        <v>44573.271180555559</v>
      </c>
      <c r="I533" s="9">
        <v>44576.271180555559</v>
      </c>
      <c r="J533" s="9" t="e">
        <f>I533+#REF!</f>
        <v>#REF!</v>
      </c>
      <c r="K533" s="9" t="e">
        <f>J533+#REF!</f>
        <v>#REF!</v>
      </c>
      <c r="L533" s="10" t="s">
        <v>41</v>
      </c>
      <c r="M533" s="11">
        <v>44582.271180555559</v>
      </c>
      <c r="N533" s="5" t="s">
        <v>42</v>
      </c>
      <c r="O533" s="5" t="s">
        <v>58</v>
      </c>
      <c r="P533" s="9"/>
      <c r="Q533" s="5"/>
      <c r="R533" s="5"/>
      <c r="S533" s="5"/>
      <c r="T533" s="9">
        <v>44585.271180555559</v>
      </c>
      <c r="U533" s="5"/>
      <c r="V533" s="5">
        <v>0</v>
      </c>
      <c r="W533" s="5"/>
      <c r="X533" s="5"/>
      <c r="Y533" s="5"/>
      <c r="Z533" s="5"/>
      <c r="AA533" s="5" t="s">
        <v>62</v>
      </c>
      <c r="AC533">
        <f t="shared" si="73"/>
        <v>6</v>
      </c>
      <c r="AD533" t="str">
        <f t="shared" si="74"/>
        <v/>
      </c>
      <c r="AE533">
        <f t="shared" si="75"/>
        <v>3</v>
      </c>
      <c r="AF533" t="str">
        <f t="shared" si="76"/>
        <v/>
      </c>
      <c r="AG533" t="str">
        <f t="shared" si="77"/>
        <v/>
      </c>
      <c r="AH533">
        <f t="shared" si="78"/>
        <v>3</v>
      </c>
      <c r="AI533" t="str">
        <f t="shared" si="79"/>
        <v/>
      </c>
      <c r="AJ533" t="str">
        <f t="shared" si="80"/>
        <v/>
      </c>
    </row>
    <row r="534" spans="1:36">
      <c r="A534" s="5">
        <v>538</v>
      </c>
      <c r="B534" s="5" t="s">
        <v>2422</v>
      </c>
      <c r="C534" s="5" t="s">
        <v>2229</v>
      </c>
      <c r="D534" s="5" t="s">
        <v>2403</v>
      </c>
      <c r="E534" s="5" t="s">
        <v>1939</v>
      </c>
      <c r="F534" s="5" t="str">
        <f t="shared" si="72"/>
        <v>Capacity Building-Principal Officer</v>
      </c>
      <c r="G534" s="5" t="s">
        <v>56</v>
      </c>
      <c r="H534" s="9">
        <v>44570.271180555559</v>
      </c>
      <c r="I534" s="9">
        <v>44574.271180555559</v>
      </c>
      <c r="J534" s="9" t="e">
        <f>I534+#REF!</f>
        <v>#REF!</v>
      </c>
      <c r="K534" s="9" t="e">
        <f>J534+#REF!</f>
        <v>#REF!</v>
      </c>
      <c r="L534" s="10" t="s">
        <v>41</v>
      </c>
      <c r="M534" s="11">
        <v>44584.271180555559</v>
      </c>
      <c r="N534" s="5" t="s">
        <v>42</v>
      </c>
      <c r="O534" s="5" t="s">
        <v>58</v>
      </c>
      <c r="P534" s="9"/>
      <c r="Q534" s="5"/>
      <c r="R534" s="5"/>
      <c r="S534" s="5"/>
      <c r="T534" s="9">
        <v>44587.271180555559</v>
      </c>
      <c r="U534" s="5"/>
      <c r="V534" s="5">
        <v>0</v>
      </c>
      <c r="W534" s="5"/>
      <c r="X534" s="5"/>
      <c r="Y534" s="5"/>
      <c r="Z534" s="5"/>
      <c r="AA534" s="5" t="s">
        <v>44</v>
      </c>
      <c r="AC534">
        <f t="shared" si="73"/>
        <v>10</v>
      </c>
      <c r="AD534" t="str">
        <f t="shared" si="74"/>
        <v/>
      </c>
      <c r="AE534">
        <f t="shared" si="75"/>
        <v>3</v>
      </c>
      <c r="AF534" t="str">
        <f t="shared" si="76"/>
        <v/>
      </c>
      <c r="AG534" t="str">
        <f t="shared" si="77"/>
        <v/>
      </c>
      <c r="AH534">
        <f t="shared" si="78"/>
        <v>4</v>
      </c>
      <c r="AI534" t="str">
        <f t="shared" si="79"/>
        <v/>
      </c>
      <c r="AJ534" t="str">
        <f t="shared" si="80"/>
        <v/>
      </c>
    </row>
    <row r="535" spans="1:36">
      <c r="A535" s="5">
        <v>539</v>
      </c>
      <c r="B535" s="5" t="s">
        <v>2381</v>
      </c>
      <c r="C535" s="5" t="s">
        <v>2229</v>
      </c>
      <c r="D535" s="5" t="s">
        <v>2350</v>
      </c>
      <c r="E535" s="5" t="s">
        <v>2351</v>
      </c>
      <c r="F535" s="5" t="str">
        <f t="shared" si="72"/>
        <v>Capacity Building-Training Associate</v>
      </c>
      <c r="G535" s="5" t="s">
        <v>40</v>
      </c>
      <c r="H535" s="9">
        <v>44570.271180555559</v>
      </c>
      <c r="I535" s="9">
        <v>44574.271180555559</v>
      </c>
      <c r="J535" s="9" t="e">
        <f>I535+#REF!</f>
        <v>#REF!</v>
      </c>
      <c r="K535" s="9" t="e">
        <f>J535+#REF!</f>
        <v>#REF!</v>
      </c>
      <c r="L535" s="10" t="s">
        <v>52</v>
      </c>
      <c r="M535" s="11"/>
      <c r="N535" s="5"/>
      <c r="O535" s="5"/>
      <c r="P535" s="9"/>
      <c r="Q535" s="5"/>
      <c r="R535" s="5"/>
      <c r="S535" s="5"/>
      <c r="T535" s="9"/>
      <c r="U535" s="5"/>
      <c r="V535" s="5">
        <v>0</v>
      </c>
      <c r="W535" s="5"/>
      <c r="X535" s="5"/>
      <c r="Y535" s="5"/>
      <c r="Z535" s="5"/>
      <c r="AA535" s="5"/>
      <c r="AC535" t="str">
        <f t="shared" si="73"/>
        <v/>
      </c>
      <c r="AD535" t="str">
        <f t="shared" si="74"/>
        <v/>
      </c>
      <c r="AE535" t="str">
        <f t="shared" si="75"/>
        <v/>
      </c>
      <c r="AF535" t="str">
        <f t="shared" si="76"/>
        <v/>
      </c>
      <c r="AG535" t="str">
        <f t="shared" si="77"/>
        <v/>
      </c>
      <c r="AH535">
        <f t="shared" si="78"/>
        <v>4</v>
      </c>
      <c r="AI535" t="str">
        <f t="shared" si="79"/>
        <v/>
      </c>
      <c r="AJ535" t="str">
        <f t="shared" si="80"/>
        <v/>
      </c>
    </row>
    <row r="536" spans="1:36">
      <c r="A536" s="5">
        <v>540</v>
      </c>
      <c r="B536" s="5" t="s">
        <v>2278</v>
      </c>
      <c r="C536" s="5" t="s">
        <v>2229</v>
      </c>
      <c r="D536" s="5" t="s">
        <v>2250</v>
      </c>
      <c r="E536" s="5" t="s">
        <v>1146</v>
      </c>
      <c r="F536" s="5" t="str">
        <f t="shared" si="72"/>
        <v>Capacity Building-Quality Assurance</v>
      </c>
      <c r="G536" s="5" t="s">
        <v>147</v>
      </c>
      <c r="H536" s="9">
        <v>44576.271180555559</v>
      </c>
      <c r="I536" s="9">
        <v>44577.271180555559</v>
      </c>
      <c r="J536" s="9" t="e">
        <f>I536+#REF!</f>
        <v>#REF!</v>
      </c>
      <c r="K536" s="9" t="e">
        <f>J536+#REF!</f>
        <v>#REF!</v>
      </c>
      <c r="L536" s="10" t="s">
        <v>52</v>
      </c>
      <c r="M536" s="11"/>
      <c r="N536" s="5"/>
      <c r="O536" s="5"/>
      <c r="P536" s="9"/>
      <c r="Q536" s="5"/>
      <c r="R536" s="5"/>
      <c r="S536" s="5"/>
      <c r="T536" s="9"/>
      <c r="U536" s="5"/>
      <c r="V536" s="5">
        <v>0</v>
      </c>
      <c r="W536" s="5"/>
      <c r="X536" s="5"/>
      <c r="Y536" s="5"/>
      <c r="Z536" s="5"/>
      <c r="AA536" s="5"/>
      <c r="AC536" t="str">
        <f t="shared" si="73"/>
        <v/>
      </c>
      <c r="AD536" t="str">
        <f t="shared" si="74"/>
        <v/>
      </c>
      <c r="AE536" t="str">
        <f t="shared" si="75"/>
        <v/>
      </c>
      <c r="AF536" t="str">
        <f t="shared" si="76"/>
        <v/>
      </c>
      <c r="AG536" t="str">
        <f t="shared" si="77"/>
        <v/>
      </c>
      <c r="AH536">
        <f t="shared" si="78"/>
        <v>1</v>
      </c>
      <c r="AI536" t="str">
        <f t="shared" si="79"/>
        <v/>
      </c>
      <c r="AJ536" t="str">
        <f t="shared" si="80"/>
        <v/>
      </c>
    </row>
    <row r="537" spans="1:36">
      <c r="A537" s="5">
        <v>541</v>
      </c>
      <c r="B537" s="5" t="s">
        <v>1024</v>
      </c>
      <c r="C537" s="5" t="s">
        <v>796</v>
      </c>
      <c r="D537" s="5" t="s">
        <v>957</v>
      </c>
      <c r="E537" s="5" t="s">
        <v>388</v>
      </c>
      <c r="F537" s="5" t="str">
        <f t="shared" si="72"/>
        <v>M and E-Extension Officer</v>
      </c>
      <c r="G537" s="5" t="s">
        <v>40</v>
      </c>
      <c r="H537" s="9">
        <v>44958.651087962964</v>
      </c>
      <c r="I537" s="9">
        <v>44960.651087962964</v>
      </c>
      <c r="J537" s="9" t="e">
        <f>I537+#REF!</f>
        <v>#REF!</v>
      </c>
      <c r="K537" s="9" t="e">
        <f>J537+#REF!</f>
        <v>#REF!</v>
      </c>
      <c r="L537" s="10" t="s">
        <v>41</v>
      </c>
      <c r="M537" s="11">
        <v>44978.651087962964</v>
      </c>
      <c r="N537" s="5" t="s">
        <v>42</v>
      </c>
      <c r="O537" s="5" t="s">
        <v>113</v>
      </c>
      <c r="P537" s="9"/>
      <c r="Q537" s="5"/>
      <c r="R537" s="5"/>
      <c r="S537" s="5"/>
      <c r="T537" s="9">
        <v>44980.651087962964</v>
      </c>
      <c r="U537" s="5"/>
      <c r="V537" s="5">
        <v>0</v>
      </c>
      <c r="W537" s="5"/>
      <c r="X537" s="5"/>
      <c r="Y537" s="5"/>
      <c r="Z537" s="5"/>
      <c r="AA537" s="5" t="s">
        <v>44</v>
      </c>
      <c r="AC537">
        <f t="shared" si="73"/>
        <v>18</v>
      </c>
      <c r="AD537" t="str">
        <f t="shared" si="74"/>
        <v/>
      </c>
      <c r="AE537">
        <f t="shared" si="75"/>
        <v>2</v>
      </c>
      <c r="AF537" t="str">
        <f t="shared" si="76"/>
        <v/>
      </c>
      <c r="AG537" t="str">
        <f t="shared" si="77"/>
        <v/>
      </c>
      <c r="AH537">
        <f t="shared" si="78"/>
        <v>2</v>
      </c>
      <c r="AI537" t="str">
        <f t="shared" si="79"/>
        <v/>
      </c>
      <c r="AJ537" t="str">
        <f t="shared" si="80"/>
        <v/>
      </c>
    </row>
    <row r="538" spans="1:36">
      <c r="A538" s="5">
        <v>542</v>
      </c>
      <c r="B538" s="5" t="s">
        <v>953</v>
      </c>
      <c r="C538" s="5" t="s">
        <v>796</v>
      </c>
      <c r="D538" s="5" t="s">
        <v>893</v>
      </c>
      <c r="E538" s="5" t="s">
        <v>269</v>
      </c>
      <c r="F538" s="5" t="str">
        <f t="shared" si="72"/>
        <v>M and E-Manager</v>
      </c>
      <c r="G538" s="5" t="s">
        <v>270</v>
      </c>
      <c r="H538" s="9">
        <v>44959.651087962964</v>
      </c>
      <c r="I538" s="9">
        <v>44963.651087962964</v>
      </c>
      <c r="J538" s="9" t="e">
        <f>I538+#REF!</f>
        <v>#REF!</v>
      </c>
      <c r="K538" s="9" t="e">
        <f>J538+#REF!</f>
        <v>#REF!</v>
      </c>
      <c r="L538" s="10" t="s">
        <v>52</v>
      </c>
      <c r="M538" s="11"/>
      <c r="N538" s="5"/>
      <c r="O538" s="5"/>
      <c r="P538" s="9"/>
      <c r="Q538" s="5"/>
      <c r="R538" s="5"/>
      <c r="S538" s="5"/>
      <c r="T538" s="9"/>
      <c r="U538" s="5"/>
      <c r="V538" s="5">
        <v>0</v>
      </c>
      <c r="W538" s="5"/>
      <c r="X538" s="5"/>
      <c r="Y538" s="5"/>
      <c r="Z538" s="5"/>
      <c r="AA538" s="5"/>
      <c r="AC538" t="str">
        <f t="shared" si="73"/>
        <v/>
      </c>
      <c r="AD538" t="str">
        <f t="shared" si="74"/>
        <v/>
      </c>
      <c r="AE538" t="str">
        <f t="shared" si="75"/>
        <v/>
      </c>
      <c r="AF538" t="str">
        <f t="shared" si="76"/>
        <v/>
      </c>
      <c r="AG538" t="str">
        <f t="shared" si="77"/>
        <v/>
      </c>
      <c r="AH538">
        <f t="shared" si="78"/>
        <v>4</v>
      </c>
      <c r="AI538" t="str">
        <f t="shared" si="79"/>
        <v/>
      </c>
      <c r="AJ538" t="str">
        <f t="shared" si="80"/>
        <v/>
      </c>
    </row>
    <row r="539" spans="1:36">
      <c r="A539" s="5">
        <v>544</v>
      </c>
      <c r="B539" s="5" t="s">
        <v>1044</v>
      </c>
      <c r="C539" s="5" t="s">
        <v>796</v>
      </c>
      <c r="D539" s="5" t="s">
        <v>1026</v>
      </c>
      <c r="E539" s="5" t="s">
        <v>1039</v>
      </c>
      <c r="F539" s="5" t="str">
        <f t="shared" si="72"/>
        <v>M and E-Associate Director</v>
      </c>
      <c r="G539" s="5" t="s">
        <v>56</v>
      </c>
      <c r="H539" s="9">
        <v>44956.651087962964</v>
      </c>
      <c r="I539" s="9">
        <v>44958.651087962964</v>
      </c>
      <c r="J539" s="9" t="e">
        <f>I539+#REF!</f>
        <v>#REF!</v>
      </c>
      <c r="K539" s="9" t="e">
        <f>J539+#REF!</f>
        <v>#REF!</v>
      </c>
      <c r="L539" s="10" t="s">
        <v>41</v>
      </c>
      <c r="M539" s="11">
        <v>44980.651087962964</v>
      </c>
      <c r="N539" s="5" t="s">
        <v>64</v>
      </c>
      <c r="O539" s="5"/>
      <c r="P539" s="9">
        <v>44982.651087962964</v>
      </c>
      <c r="Q539" s="5" t="s">
        <v>64</v>
      </c>
      <c r="R539" s="9">
        <v>44981.651087962964</v>
      </c>
      <c r="S539" s="9">
        <v>44982.651087962964</v>
      </c>
      <c r="T539" s="9">
        <v>44981.651087962964</v>
      </c>
      <c r="U539" s="9">
        <v>44988.651087962964</v>
      </c>
      <c r="V539" s="12">
        <v>1</v>
      </c>
      <c r="W539" s="9">
        <v>44991.651087962964</v>
      </c>
      <c r="X539" s="9">
        <v>44992.651087962964</v>
      </c>
      <c r="Y539" s="9">
        <v>44995.651087962964</v>
      </c>
      <c r="Z539" s="5"/>
      <c r="AA539" s="5"/>
      <c r="AB539" s="13">
        <v>45013.651087962964</v>
      </c>
      <c r="AC539">
        <f t="shared" si="73"/>
        <v>22</v>
      </c>
      <c r="AD539">
        <f t="shared" si="74"/>
        <v>24</v>
      </c>
      <c r="AE539">
        <f t="shared" si="75"/>
        <v>1</v>
      </c>
      <c r="AF539">
        <f t="shared" si="76"/>
        <v>4</v>
      </c>
      <c r="AG539">
        <f t="shared" si="77"/>
        <v>3</v>
      </c>
      <c r="AH539">
        <f t="shared" si="78"/>
        <v>2</v>
      </c>
      <c r="AI539" t="str">
        <f t="shared" si="79"/>
        <v/>
      </c>
      <c r="AJ539" t="str">
        <f t="shared" si="80"/>
        <v/>
      </c>
    </row>
    <row r="540" spans="1:36">
      <c r="A540" s="5">
        <v>545</v>
      </c>
      <c r="B540" s="5" t="s">
        <v>1023</v>
      </c>
      <c r="C540" s="5" t="s">
        <v>796</v>
      </c>
      <c r="D540" s="5" t="s">
        <v>957</v>
      </c>
      <c r="E540" s="5" t="s">
        <v>388</v>
      </c>
      <c r="F540" s="5" t="str">
        <f t="shared" si="72"/>
        <v>M and E-Extension Officer</v>
      </c>
      <c r="G540" s="5" t="s">
        <v>40</v>
      </c>
      <c r="H540" s="9">
        <v>44958.651087962964</v>
      </c>
      <c r="I540" s="9">
        <v>44960.651087962964</v>
      </c>
      <c r="J540" s="9" t="e">
        <f>I540+#REF!</f>
        <v>#REF!</v>
      </c>
      <c r="K540" s="9" t="e">
        <f>J540+#REF!</f>
        <v>#REF!</v>
      </c>
      <c r="L540" s="10" t="s">
        <v>41</v>
      </c>
      <c r="M540" s="11">
        <v>44971.651087962964</v>
      </c>
      <c r="N540" s="5" t="s">
        <v>42</v>
      </c>
      <c r="O540" s="5" t="s">
        <v>58</v>
      </c>
      <c r="P540" s="9"/>
      <c r="Q540" s="5"/>
      <c r="R540" s="5"/>
      <c r="S540" s="5"/>
      <c r="T540" s="9"/>
      <c r="U540" s="5"/>
      <c r="V540" s="5">
        <v>0</v>
      </c>
      <c r="W540" s="5"/>
      <c r="X540" s="5"/>
      <c r="Y540" s="5"/>
      <c r="Z540" s="5"/>
      <c r="AA540" s="5" t="s">
        <v>62</v>
      </c>
      <c r="AC540">
        <f t="shared" si="73"/>
        <v>11</v>
      </c>
      <c r="AD540" t="str">
        <f t="shared" si="74"/>
        <v/>
      </c>
      <c r="AE540" t="str">
        <f t="shared" si="75"/>
        <v/>
      </c>
      <c r="AF540" t="str">
        <f t="shared" si="76"/>
        <v/>
      </c>
      <c r="AG540" t="str">
        <f t="shared" si="77"/>
        <v/>
      </c>
      <c r="AH540">
        <f t="shared" si="78"/>
        <v>2</v>
      </c>
      <c r="AI540" t="str">
        <f t="shared" si="79"/>
        <v/>
      </c>
      <c r="AJ540" t="str">
        <f t="shared" si="80"/>
        <v/>
      </c>
    </row>
    <row r="541" spans="1:36">
      <c r="A541" s="5">
        <v>547</v>
      </c>
      <c r="B541" s="5" t="s">
        <v>1022</v>
      </c>
      <c r="C541" s="5" t="s">
        <v>796</v>
      </c>
      <c r="D541" s="5" t="s">
        <v>957</v>
      </c>
      <c r="E541" s="5" t="s">
        <v>388</v>
      </c>
      <c r="F541" s="5" t="str">
        <f t="shared" si="72"/>
        <v>M and E-Extension Officer</v>
      </c>
      <c r="G541" s="5" t="s">
        <v>40</v>
      </c>
      <c r="H541" s="9">
        <v>44958.651087962964</v>
      </c>
      <c r="I541" s="9">
        <v>44959.651087962964</v>
      </c>
      <c r="J541" s="9" t="e">
        <f>I541+#REF!</f>
        <v>#REF!</v>
      </c>
      <c r="K541" s="9" t="e">
        <f>J541+#REF!</f>
        <v>#REF!</v>
      </c>
      <c r="L541" s="10" t="s">
        <v>41</v>
      </c>
      <c r="M541" s="11">
        <v>44968.651087962964</v>
      </c>
      <c r="N541" s="5" t="s">
        <v>48</v>
      </c>
      <c r="O541" s="5"/>
      <c r="P541" s="9">
        <v>44973.651087962964</v>
      </c>
      <c r="Q541" s="5" t="s">
        <v>48</v>
      </c>
      <c r="R541" s="5"/>
      <c r="S541" s="5"/>
      <c r="T541" s="9">
        <v>44971.651087962964</v>
      </c>
      <c r="U541" s="5"/>
      <c r="V541" s="5">
        <v>0</v>
      </c>
      <c r="W541" s="5"/>
      <c r="X541" s="5"/>
      <c r="Y541" s="5"/>
      <c r="Z541" s="5"/>
      <c r="AA541" s="5"/>
      <c r="AC541">
        <f t="shared" si="73"/>
        <v>9</v>
      </c>
      <c r="AD541" t="str">
        <f t="shared" si="74"/>
        <v/>
      </c>
      <c r="AE541">
        <f t="shared" si="75"/>
        <v>3</v>
      </c>
      <c r="AF541" t="str">
        <f t="shared" si="76"/>
        <v/>
      </c>
      <c r="AG541" t="str">
        <f t="shared" si="77"/>
        <v/>
      </c>
      <c r="AH541">
        <f t="shared" si="78"/>
        <v>1</v>
      </c>
      <c r="AI541" t="str">
        <f t="shared" si="79"/>
        <v/>
      </c>
      <c r="AJ541" t="str">
        <f t="shared" si="80"/>
        <v/>
      </c>
    </row>
    <row r="542" spans="1:36">
      <c r="A542" s="5">
        <v>548</v>
      </c>
      <c r="B542" s="5" t="s">
        <v>1119</v>
      </c>
      <c r="C542" s="5" t="s">
        <v>796</v>
      </c>
      <c r="D542" s="5" t="s">
        <v>1046</v>
      </c>
      <c r="E542" s="5" t="s">
        <v>597</v>
      </c>
      <c r="F542" s="5" t="str">
        <f t="shared" si="72"/>
        <v>M and E-Business Partner</v>
      </c>
      <c r="G542" s="5" t="s">
        <v>47</v>
      </c>
      <c r="H542" s="9">
        <v>44960.651087962964</v>
      </c>
      <c r="I542" s="9">
        <v>44963.651087962964</v>
      </c>
      <c r="J542" s="9" t="e">
        <f>I542+#REF!</f>
        <v>#REF!</v>
      </c>
      <c r="K542" s="9" t="e">
        <f>J542+#REF!</f>
        <v>#REF!</v>
      </c>
      <c r="L542" s="10" t="s">
        <v>52</v>
      </c>
      <c r="M542" s="11"/>
      <c r="N542" s="5"/>
      <c r="O542" s="5"/>
      <c r="P542" s="9"/>
      <c r="Q542" s="5"/>
      <c r="R542" s="5"/>
      <c r="S542" s="5"/>
      <c r="T542" s="9"/>
      <c r="U542" s="5"/>
      <c r="V542" s="5">
        <v>0</v>
      </c>
      <c r="W542" s="5"/>
      <c r="X542" s="5"/>
      <c r="Y542" s="5"/>
      <c r="Z542" s="5"/>
      <c r="AA542" s="5"/>
      <c r="AC542" t="str">
        <f t="shared" si="73"/>
        <v/>
      </c>
      <c r="AD542" t="str">
        <f t="shared" si="74"/>
        <v/>
      </c>
      <c r="AE542" t="str">
        <f t="shared" si="75"/>
        <v/>
      </c>
      <c r="AF542" t="str">
        <f t="shared" si="76"/>
        <v/>
      </c>
      <c r="AG542" t="str">
        <f t="shared" si="77"/>
        <v/>
      </c>
      <c r="AH542">
        <f t="shared" si="78"/>
        <v>3</v>
      </c>
      <c r="AI542" t="str">
        <f t="shared" si="79"/>
        <v/>
      </c>
      <c r="AJ542" t="str">
        <f t="shared" si="80"/>
        <v/>
      </c>
    </row>
    <row r="543" spans="1:36">
      <c r="A543" s="5">
        <v>549</v>
      </c>
      <c r="B543" s="5" t="s">
        <v>1118</v>
      </c>
      <c r="C543" s="5" t="s">
        <v>796</v>
      </c>
      <c r="D543" s="5" t="s">
        <v>1046</v>
      </c>
      <c r="E543" s="5" t="s">
        <v>597</v>
      </c>
      <c r="F543" s="5" t="str">
        <f t="shared" si="72"/>
        <v>M and E-Business Partner</v>
      </c>
      <c r="G543" s="5" t="s">
        <v>47</v>
      </c>
      <c r="H543" s="9">
        <v>44956.651087962964</v>
      </c>
      <c r="I543" s="9">
        <v>44958.651087962964</v>
      </c>
      <c r="J543" s="9" t="e">
        <f>I543+#REF!</f>
        <v>#REF!</v>
      </c>
      <c r="K543" s="9" t="e">
        <f>J543+#REF!</f>
        <v>#REF!</v>
      </c>
      <c r="L543" s="10" t="s">
        <v>41</v>
      </c>
      <c r="M543" s="11">
        <v>44980.651087962964</v>
      </c>
      <c r="N543" s="5" t="s">
        <v>42</v>
      </c>
      <c r="O543" s="5" t="s">
        <v>58</v>
      </c>
      <c r="P543" s="9"/>
      <c r="Q543" s="5"/>
      <c r="R543" s="5"/>
      <c r="S543" s="5"/>
      <c r="T543" s="9">
        <v>44982.651087962964</v>
      </c>
      <c r="U543" s="5"/>
      <c r="V543" s="5">
        <v>0</v>
      </c>
      <c r="W543" s="5"/>
      <c r="X543" s="5"/>
      <c r="Y543" s="5"/>
      <c r="Z543" s="5"/>
      <c r="AA543" s="5" t="s">
        <v>44</v>
      </c>
      <c r="AC543">
        <f t="shared" si="73"/>
        <v>22</v>
      </c>
      <c r="AD543" t="str">
        <f t="shared" si="74"/>
        <v/>
      </c>
      <c r="AE543">
        <f t="shared" si="75"/>
        <v>2</v>
      </c>
      <c r="AF543" t="str">
        <f t="shared" si="76"/>
        <v/>
      </c>
      <c r="AG543" t="str">
        <f t="shared" si="77"/>
        <v/>
      </c>
      <c r="AH543">
        <f t="shared" si="78"/>
        <v>2</v>
      </c>
      <c r="AI543" t="str">
        <f t="shared" si="79"/>
        <v/>
      </c>
      <c r="AJ543" t="str">
        <f t="shared" si="80"/>
        <v/>
      </c>
    </row>
    <row r="544" spans="1:36">
      <c r="A544" s="5">
        <v>551</v>
      </c>
      <c r="B544" s="5" t="s">
        <v>1021</v>
      </c>
      <c r="C544" s="5" t="s">
        <v>796</v>
      </c>
      <c r="D544" s="5" t="s">
        <v>957</v>
      </c>
      <c r="E544" s="5" t="s">
        <v>388</v>
      </c>
      <c r="F544" s="5" t="str">
        <f t="shared" si="72"/>
        <v>M and E-Extension Officer</v>
      </c>
      <c r="G544" s="5" t="s">
        <v>40</v>
      </c>
      <c r="H544" s="9">
        <v>45088.01053240741</v>
      </c>
      <c r="I544" s="9">
        <v>45090.01053240741</v>
      </c>
      <c r="J544" s="9" t="e">
        <f>I544+#REF!</f>
        <v>#REF!</v>
      </c>
      <c r="K544" s="9" t="e">
        <f>J544+#REF!</f>
        <v>#REF!</v>
      </c>
      <c r="L544" s="10" t="s">
        <v>41</v>
      </c>
      <c r="M544" s="11">
        <v>45107.01053240741</v>
      </c>
      <c r="N544" s="5" t="s">
        <v>48</v>
      </c>
      <c r="O544" s="5"/>
      <c r="P544" s="9">
        <v>45112.01053240741</v>
      </c>
      <c r="Q544" s="5" t="s">
        <v>48</v>
      </c>
      <c r="R544" s="5"/>
      <c r="S544" s="5"/>
      <c r="T544" s="9">
        <v>45110.01053240741</v>
      </c>
      <c r="U544" s="5"/>
      <c r="V544" s="5">
        <v>0</v>
      </c>
      <c r="W544" s="5"/>
      <c r="X544" s="5"/>
      <c r="Y544" s="5"/>
      <c r="Z544" s="5"/>
      <c r="AA544" s="5"/>
      <c r="AC544">
        <f t="shared" si="73"/>
        <v>17</v>
      </c>
      <c r="AD544" t="str">
        <f t="shared" si="74"/>
        <v/>
      </c>
      <c r="AE544">
        <f t="shared" si="75"/>
        <v>3</v>
      </c>
      <c r="AF544" t="str">
        <f t="shared" si="76"/>
        <v/>
      </c>
      <c r="AG544" t="str">
        <f t="shared" si="77"/>
        <v/>
      </c>
      <c r="AH544">
        <f t="shared" si="78"/>
        <v>2</v>
      </c>
      <c r="AI544" t="str">
        <f t="shared" si="79"/>
        <v/>
      </c>
      <c r="AJ544" t="str">
        <f t="shared" si="80"/>
        <v/>
      </c>
    </row>
    <row r="545" spans="1:36">
      <c r="A545" s="5">
        <v>552</v>
      </c>
      <c r="B545" s="5" t="s">
        <v>1020</v>
      </c>
      <c r="C545" s="5" t="s">
        <v>796</v>
      </c>
      <c r="D545" s="5" t="s">
        <v>957</v>
      </c>
      <c r="E545" s="5" t="s">
        <v>388</v>
      </c>
      <c r="F545" s="5" t="str">
        <f t="shared" si="72"/>
        <v>M and E-Extension Officer</v>
      </c>
      <c r="G545" s="5" t="s">
        <v>40</v>
      </c>
      <c r="H545" s="9">
        <v>45084.01053240741</v>
      </c>
      <c r="I545" s="9">
        <v>45085.01053240741</v>
      </c>
      <c r="J545" s="9" t="e">
        <f>I545+#REF!</f>
        <v>#REF!</v>
      </c>
      <c r="K545" s="9" t="e">
        <f>J545+#REF!</f>
        <v>#REF!</v>
      </c>
      <c r="L545" s="10" t="s">
        <v>41</v>
      </c>
      <c r="M545" s="11">
        <v>45098.01053240741</v>
      </c>
      <c r="N545" s="5" t="s">
        <v>42</v>
      </c>
      <c r="O545" s="5" t="s">
        <v>98</v>
      </c>
      <c r="P545" s="9"/>
      <c r="Q545" s="5"/>
      <c r="R545" s="5"/>
      <c r="S545" s="5"/>
      <c r="T545" s="9">
        <v>45101.01053240741</v>
      </c>
      <c r="U545" s="5"/>
      <c r="V545" s="5">
        <v>0</v>
      </c>
      <c r="W545" s="5"/>
      <c r="X545" s="5"/>
      <c r="Y545" s="5"/>
      <c r="Z545" s="5"/>
      <c r="AA545" s="5" t="s">
        <v>62</v>
      </c>
      <c r="AC545">
        <f t="shared" si="73"/>
        <v>13</v>
      </c>
      <c r="AD545" t="str">
        <f t="shared" si="74"/>
        <v/>
      </c>
      <c r="AE545">
        <f t="shared" si="75"/>
        <v>3</v>
      </c>
      <c r="AF545" t="str">
        <f t="shared" si="76"/>
        <v/>
      </c>
      <c r="AG545" t="str">
        <f t="shared" si="77"/>
        <v/>
      </c>
      <c r="AH545">
        <f t="shared" si="78"/>
        <v>1</v>
      </c>
      <c r="AI545" t="str">
        <f t="shared" si="79"/>
        <v/>
      </c>
      <c r="AJ545" t="str">
        <f t="shared" si="80"/>
        <v/>
      </c>
    </row>
    <row r="546" spans="1:36">
      <c r="A546" s="5">
        <v>553</v>
      </c>
      <c r="B546" s="5" t="s">
        <v>1019</v>
      </c>
      <c r="C546" s="5" t="s">
        <v>796</v>
      </c>
      <c r="D546" s="5" t="s">
        <v>957</v>
      </c>
      <c r="E546" s="5" t="s">
        <v>388</v>
      </c>
      <c r="F546" s="5" t="str">
        <f t="shared" si="72"/>
        <v>M and E-Extension Officer</v>
      </c>
      <c r="G546" s="5" t="s">
        <v>40</v>
      </c>
      <c r="H546" s="9">
        <v>45082.01053240741</v>
      </c>
      <c r="I546" s="9">
        <v>45086.01053240741</v>
      </c>
      <c r="J546" s="9" t="e">
        <f>I546+#REF!</f>
        <v>#REF!</v>
      </c>
      <c r="K546" s="9" t="e">
        <f>J546+#REF!</f>
        <v>#REF!</v>
      </c>
      <c r="L546" s="10" t="s">
        <v>41</v>
      </c>
      <c r="M546" s="11">
        <v>45100.01053240741</v>
      </c>
      <c r="N546" s="5" t="s">
        <v>167</v>
      </c>
      <c r="O546" s="5"/>
      <c r="P546" s="9">
        <v>45107.01053240741</v>
      </c>
      <c r="Q546" s="5" t="s">
        <v>167</v>
      </c>
      <c r="R546" s="5"/>
      <c r="S546" s="5"/>
      <c r="T546" s="9">
        <v>45104.01053240741</v>
      </c>
      <c r="U546" s="5"/>
      <c r="V546" s="5">
        <v>0</v>
      </c>
      <c r="W546" s="5"/>
      <c r="X546" s="5"/>
      <c r="Y546" s="5"/>
      <c r="Z546" s="5"/>
      <c r="AA546" s="5"/>
      <c r="AC546">
        <f t="shared" si="73"/>
        <v>14</v>
      </c>
      <c r="AD546" t="str">
        <f t="shared" si="74"/>
        <v/>
      </c>
      <c r="AE546">
        <f t="shared" si="75"/>
        <v>4</v>
      </c>
      <c r="AF546" t="str">
        <f t="shared" si="76"/>
        <v/>
      </c>
      <c r="AG546" t="str">
        <f t="shared" si="77"/>
        <v/>
      </c>
      <c r="AH546">
        <f t="shared" si="78"/>
        <v>4</v>
      </c>
      <c r="AI546" t="str">
        <f t="shared" si="79"/>
        <v/>
      </c>
      <c r="AJ546" t="str">
        <f t="shared" si="80"/>
        <v/>
      </c>
    </row>
    <row r="547" spans="1:36">
      <c r="A547" s="5">
        <v>554</v>
      </c>
      <c r="B547" s="5" t="s">
        <v>891</v>
      </c>
      <c r="C547" s="5" t="s">
        <v>796</v>
      </c>
      <c r="D547" s="5" t="s">
        <v>814</v>
      </c>
      <c r="E547" s="5" t="s">
        <v>39</v>
      </c>
      <c r="F547" s="5" t="str">
        <f t="shared" si="72"/>
        <v>M and E-Analyst</v>
      </c>
      <c r="G547" s="5" t="s">
        <v>147</v>
      </c>
      <c r="H547" s="9">
        <v>45086.01053240741</v>
      </c>
      <c r="I547" s="9">
        <v>45088.01053240741</v>
      </c>
      <c r="J547" s="9" t="e">
        <f>I547+#REF!</f>
        <v>#REF!</v>
      </c>
      <c r="K547" s="9" t="e">
        <f>J547+#REF!</f>
        <v>#REF!</v>
      </c>
      <c r="L547" s="10" t="s">
        <v>41</v>
      </c>
      <c r="M547" s="11">
        <v>45095.01053240741</v>
      </c>
      <c r="N547" s="5" t="s">
        <v>42</v>
      </c>
      <c r="O547" s="5" t="s">
        <v>43</v>
      </c>
      <c r="P547" s="9"/>
      <c r="Q547" s="5"/>
      <c r="R547" s="5"/>
      <c r="S547" s="5"/>
      <c r="T547" s="9">
        <v>45096.01053240741</v>
      </c>
      <c r="U547" s="5"/>
      <c r="V547" s="5">
        <v>0</v>
      </c>
      <c r="W547" s="5"/>
      <c r="X547" s="5"/>
      <c r="Y547" s="5"/>
      <c r="Z547" s="5"/>
      <c r="AA547" s="5" t="s">
        <v>62</v>
      </c>
      <c r="AC547">
        <f t="shared" si="73"/>
        <v>7</v>
      </c>
      <c r="AD547" t="str">
        <f t="shared" si="74"/>
        <v/>
      </c>
      <c r="AE547">
        <f t="shared" si="75"/>
        <v>1</v>
      </c>
      <c r="AF547" t="str">
        <f t="shared" si="76"/>
        <v/>
      </c>
      <c r="AG547" t="str">
        <f t="shared" si="77"/>
        <v/>
      </c>
      <c r="AH547">
        <f t="shared" si="78"/>
        <v>2</v>
      </c>
      <c r="AI547" t="str">
        <f t="shared" si="79"/>
        <v/>
      </c>
      <c r="AJ547" t="str">
        <f t="shared" si="80"/>
        <v/>
      </c>
    </row>
    <row r="548" spans="1:36">
      <c r="A548" s="5">
        <v>555</v>
      </c>
      <c r="B548" s="5" t="s">
        <v>952</v>
      </c>
      <c r="C548" s="5" t="s">
        <v>796</v>
      </c>
      <c r="D548" s="5" t="s">
        <v>893</v>
      </c>
      <c r="E548" s="5" t="s">
        <v>269</v>
      </c>
      <c r="F548" s="5" t="str">
        <f t="shared" si="72"/>
        <v>M and E-Manager</v>
      </c>
      <c r="G548" s="5" t="s">
        <v>270</v>
      </c>
      <c r="H548" s="9">
        <v>45084.01053240741</v>
      </c>
      <c r="I548" s="9">
        <v>45088.01053240741</v>
      </c>
      <c r="J548" s="9" t="e">
        <f>I548+#REF!</f>
        <v>#REF!</v>
      </c>
      <c r="K548" s="9" t="e">
        <f>J548+#REF!</f>
        <v>#REF!</v>
      </c>
      <c r="L548" s="10" t="s">
        <v>41</v>
      </c>
      <c r="M548" s="11">
        <v>45102.01053240741</v>
      </c>
      <c r="N548" s="5" t="s">
        <v>48</v>
      </c>
      <c r="O548" s="5"/>
      <c r="P548" s="9">
        <v>45106.01053240741</v>
      </c>
      <c r="Q548" s="5" t="s">
        <v>48</v>
      </c>
      <c r="R548" s="5"/>
      <c r="S548" s="5"/>
      <c r="T548" s="9">
        <v>45103.01053240741</v>
      </c>
      <c r="U548" s="5"/>
      <c r="V548" s="5">
        <v>0</v>
      </c>
      <c r="W548" s="5"/>
      <c r="X548" s="5"/>
      <c r="Y548" s="5"/>
      <c r="Z548" s="5"/>
      <c r="AA548" s="5"/>
      <c r="AC548">
        <f t="shared" si="73"/>
        <v>14</v>
      </c>
      <c r="AD548" t="str">
        <f t="shared" si="74"/>
        <v/>
      </c>
      <c r="AE548">
        <f t="shared" si="75"/>
        <v>1</v>
      </c>
      <c r="AF548" t="str">
        <f t="shared" si="76"/>
        <v/>
      </c>
      <c r="AG548" t="str">
        <f t="shared" si="77"/>
        <v/>
      </c>
      <c r="AH548">
        <f t="shared" si="78"/>
        <v>4</v>
      </c>
      <c r="AI548" t="str">
        <f t="shared" si="79"/>
        <v/>
      </c>
      <c r="AJ548" t="str">
        <f t="shared" si="80"/>
        <v/>
      </c>
    </row>
    <row r="549" spans="1:36">
      <c r="A549" s="5">
        <v>556</v>
      </c>
      <c r="B549" s="5" t="s">
        <v>1043</v>
      </c>
      <c r="C549" s="5" t="s">
        <v>796</v>
      </c>
      <c r="D549" s="5" t="s">
        <v>1026</v>
      </c>
      <c r="E549" s="5" t="s">
        <v>1039</v>
      </c>
      <c r="F549" s="5" t="str">
        <f t="shared" si="72"/>
        <v>M and E-Associate Director</v>
      </c>
      <c r="G549" s="5" t="s">
        <v>56</v>
      </c>
      <c r="H549" s="9">
        <v>45084.01053240741</v>
      </c>
      <c r="I549" s="9">
        <v>45088.01053240741</v>
      </c>
      <c r="J549" s="9" t="e">
        <f>I549+#REF!</f>
        <v>#REF!</v>
      </c>
      <c r="K549" s="9" t="e">
        <f>J549+#REF!</f>
        <v>#REF!</v>
      </c>
      <c r="L549" s="10" t="s">
        <v>41</v>
      </c>
      <c r="M549" s="11">
        <v>45094.01053240741</v>
      </c>
      <c r="N549" s="5" t="s">
        <v>42</v>
      </c>
      <c r="O549" s="5" t="s">
        <v>58</v>
      </c>
      <c r="P549" s="9"/>
      <c r="Q549" s="5"/>
      <c r="R549" s="5"/>
      <c r="S549" s="5"/>
      <c r="T549" s="9"/>
      <c r="U549" s="5"/>
      <c r="V549" s="5">
        <v>0</v>
      </c>
      <c r="W549" s="5"/>
      <c r="X549" s="5"/>
      <c r="Y549" s="5"/>
      <c r="Z549" s="5"/>
      <c r="AA549" s="5" t="s">
        <v>44</v>
      </c>
      <c r="AC549">
        <f t="shared" si="73"/>
        <v>6</v>
      </c>
      <c r="AD549" t="str">
        <f t="shared" si="74"/>
        <v/>
      </c>
      <c r="AE549" t="str">
        <f t="shared" si="75"/>
        <v/>
      </c>
      <c r="AF549" t="str">
        <f t="shared" si="76"/>
        <v/>
      </c>
      <c r="AG549" t="str">
        <f t="shared" si="77"/>
        <v/>
      </c>
      <c r="AH549">
        <f t="shared" si="78"/>
        <v>4</v>
      </c>
      <c r="AI549" t="str">
        <f t="shared" si="79"/>
        <v/>
      </c>
      <c r="AJ549" t="str">
        <f t="shared" si="80"/>
        <v/>
      </c>
    </row>
    <row r="550" spans="1:36">
      <c r="A550" s="5">
        <v>557</v>
      </c>
      <c r="B550" s="5" t="s">
        <v>1117</v>
      </c>
      <c r="C550" s="5" t="s">
        <v>796</v>
      </c>
      <c r="D550" s="5" t="s">
        <v>1046</v>
      </c>
      <c r="E550" s="5" t="s">
        <v>597</v>
      </c>
      <c r="F550" s="5" t="str">
        <f t="shared" si="72"/>
        <v>M and E-Business Partner</v>
      </c>
      <c r="G550" s="5" t="s">
        <v>47</v>
      </c>
      <c r="H550" s="9">
        <v>45086.01053240741</v>
      </c>
      <c r="I550" s="9">
        <v>45089.01053240741</v>
      </c>
      <c r="J550" s="9" t="e">
        <f>I550+#REF!</f>
        <v>#REF!</v>
      </c>
      <c r="K550" s="9" t="e">
        <f>J550+#REF!</f>
        <v>#REF!</v>
      </c>
      <c r="L550" s="10" t="s">
        <v>41</v>
      </c>
      <c r="M550" s="11">
        <v>45100.01053240741</v>
      </c>
      <c r="N550" s="5" t="s">
        <v>48</v>
      </c>
      <c r="O550" s="5"/>
      <c r="P550" s="9">
        <v>45108.01053240741</v>
      </c>
      <c r="Q550" s="5" t="s">
        <v>48</v>
      </c>
      <c r="R550" s="5"/>
      <c r="S550" s="5"/>
      <c r="T550" s="9">
        <v>45104.01053240741</v>
      </c>
      <c r="U550" s="5"/>
      <c r="V550" s="5">
        <v>0</v>
      </c>
      <c r="W550" s="5"/>
      <c r="X550" s="5"/>
      <c r="Y550" s="5"/>
      <c r="Z550" s="5"/>
      <c r="AA550" s="5"/>
      <c r="AC550">
        <f t="shared" si="73"/>
        <v>11</v>
      </c>
      <c r="AD550" t="str">
        <f t="shared" si="74"/>
        <v/>
      </c>
      <c r="AE550">
        <f t="shared" si="75"/>
        <v>4</v>
      </c>
      <c r="AF550" t="str">
        <f t="shared" si="76"/>
        <v/>
      </c>
      <c r="AG550" t="str">
        <f t="shared" si="77"/>
        <v/>
      </c>
      <c r="AH550">
        <f t="shared" si="78"/>
        <v>3</v>
      </c>
      <c r="AI550" t="str">
        <f t="shared" si="79"/>
        <v/>
      </c>
      <c r="AJ550" t="str">
        <f t="shared" si="80"/>
        <v/>
      </c>
    </row>
    <row r="551" spans="1:36">
      <c r="A551" s="5">
        <v>558</v>
      </c>
      <c r="B551" s="5" t="s">
        <v>890</v>
      </c>
      <c r="C551" s="5" t="s">
        <v>796</v>
      </c>
      <c r="D551" s="5" t="s">
        <v>814</v>
      </c>
      <c r="E551" s="5" t="s">
        <v>39</v>
      </c>
      <c r="F551" s="5" t="str">
        <f t="shared" si="72"/>
        <v>M and E-Analyst</v>
      </c>
      <c r="G551" s="5" t="s">
        <v>147</v>
      </c>
      <c r="H551" s="9">
        <v>45086.01053240741</v>
      </c>
      <c r="I551" s="9">
        <v>45088.01053240741</v>
      </c>
      <c r="J551" s="9" t="e">
        <f>I551+#REF!</f>
        <v>#REF!</v>
      </c>
      <c r="K551" s="9" t="e">
        <f>J551+#REF!</f>
        <v>#REF!</v>
      </c>
      <c r="L551" s="10" t="s">
        <v>52</v>
      </c>
      <c r="M551" s="11"/>
      <c r="N551" s="5"/>
      <c r="O551" s="5"/>
      <c r="P551" s="9"/>
      <c r="Q551" s="5"/>
      <c r="R551" s="5"/>
      <c r="S551" s="5"/>
      <c r="T551" s="9"/>
      <c r="U551" s="5"/>
      <c r="V551" s="5">
        <v>0</v>
      </c>
      <c r="W551" s="5"/>
      <c r="X551" s="5"/>
      <c r="Y551" s="5"/>
      <c r="Z551" s="5"/>
      <c r="AA551" s="5"/>
      <c r="AC551" t="str">
        <f t="shared" si="73"/>
        <v/>
      </c>
      <c r="AD551" t="str">
        <f t="shared" si="74"/>
        <v/>
      </c>
      <c r="AE551" t="str">
        <f t="shared" si="75"/>
        <v/>
      </c>
      <c r="AF551" t="str">
        <f t="shared" si="76"/>
        <v/>
      </c>
      <c r="AG551" t="str">
        <f t="shared" si="77"/>
        <v/>
      </c>
      <c r="AH551">
        <f t="shared" si="78"/>
        <v>2</v>
      </c>
      <c r="AI551" t="str">
        <f t="shared" si="79"/>
        <v/>
      </c>
      <c r="AJ551" t="str">
        <f t="shared" si="80"/>
        <v/>
      </c>
    </row>
    <row r="552" spans="1:36">
      <c r="A552" s="5">
        <v>559</v>
      </c>
      <c r="B552" s="5" t="s">
        <v>1018</v>
      </c>
      <c r="C552" s="5" t="s">
        <v>796</v>
      </c>
      <c r="D552" s="5" t="s">
        <v>957</v>
      </c>
      <c r="E552" s="5" t="s">
        <v>388</v>
      </c>
      <c r="F552" s="5" t="str">
        <f t="shared" si="72"/>
        <v>M and E-Extension Officer</v>
      </c>
      <c r="G552" s="5" t="s">
        <v>40</v>
      </c>
      <c r="H552" s="9">
        <v>45086.01053240741</v>
      </c>
      <c r="I552" s="9">
        <v>45088.01053240741</v>
      </c>
      <c r="J552" s="9" t="e">
        <f>I552+#REF!</f>
        <v>#REF!</v>
      </c>
      <c r="K552" s="9" t="e">
        <f>J552+#REF!</f>
        <v>#REF!</v>
      </c>
      <c r="L552" s="10" t="s">
        <v>41</v>
      </c>
      <c r="M552" s="11">
        <v>45093.01053240741</v>
      </c>
      <c r="N552" s="5" t="s">
        <v>42</v>
      </c>
      <c r="O552" s="5" t="s">
        <v>98</v>
      </c>
      <c r="P552" s="9"/>
      <c r="Q552" s="5"/>
      <c r="R552" s="5"/>
      <c r="S552" s="5"/>
      <c r="T552" s="9"/>
      <c r="U552" s="5"/>
      <c r="V552" s="5">
        <v>0</v>
      </c>
      <c r="W552" s="5"/>
      <c r="X552" s="5"/>
      <c r="Y552" s="5"/>
      <c r="Z552" s="5"/>
      <c r="AA552" s="5" t="s">
        <v>62</v>
      </c>
      <c r="AC552">
        <f t="shared" si="73"/>
        <v>5</v>
      </c>
      <c r="AD552" t="str">
        <f t="shared" si="74"/>
        <v/>
      </c>
      <c r="AE552" t="str">
        <f t="shared" si="75"/>
        <v/>
      </c>
      <c r="AF552" t="str">
        <f t="shared" si="76"/>
        <v/>
      </c>
      <c r="AG552" t="str">
        <f t="shared" si="77"/>
        <v/>
      </c>
      <c r="AH552">
        <f t="shared" si="78"/>
        <v>2</v>
      </c>
      <c r="AI552" t="str">
        <f t="shared" si="79"/>
        <v/>
      </c>
      <c r="AJ552" t="str">
        <f t="shared" si="80"/>
        <v/>
      </c>
    </row>
    <row r="553" spans="1:36">
      <c r="A553" s="5">
        <v>560</v>
      </c>
      <c r="B553" s="5" t="s">
        <v>1042</v>
      </c>
      <c r="C553" s="5" t="s">
        <v>796</v>
      </c>
      <c r="D553" s="5" t="s">
        <v>1026</v>
      </c>
      <c r="E553" s="5" t="s">
        <v>1039</v>
      </c>
      <c r="F553" s="5" t="str">
        <f t="shared" si="72"/>
        <v>M and E-Associate Director</v>
      </c>
      <c r="G553" s="5" t="s">
        <v>56</v>
      </c>
      <c r="H553" s="9">
        <v>45086.01053240741</v>
      </c>
      <c r="I553" s="9">
        <v>45088.01053240741</v>
      </c>
      <c r="J553" s="9" t="e">
        <f>I553+#REF!</f>
        <v>#REF!</v>
      </c>
      <c r="K553" s="9" t="e">
        <f>J553+#REF!</f>
        <v>#REF!</v>
      </c>
      <c r="L553" s="10" t="s">
        <v>41</v>
      </c>
      <c r="M553" s="11">
        <v>45097.01053240741</v>
      </c>
      <c r="N553" s="5" t="s">
        <v>64</v>
      </c>
      <c r="O553" s="5"/>
      <c r="P553" s="9">
        <v>45101.01053240741</v>
      </c>
      <c r="Q553" s="5" t="s">
        <v>64</v>
      </c>
      <c r="R553" s="9">
        <v>45099.01053240741</v>
      </c>
      <c r="S553" s="9">
        <v>45100.01053240741</v>
      </c>
      <c r="T553" s="9">
        <v>45098.01053240741</v>
      </c>
      <c r="U553" s="9">
        <v>45100.01053240741</v>
      </c>
      <c r="V553" s="12">
        <v>1</v>
      </c>
      <c r="W553" s="9">
        <v>45101.01053240741</v>
      </c>
      <c r="X553" s="9">
        <v>45104.01053240741</v>
      </c>
      <c r="Y553" s="9">
        <v>45105.01053240741</v>
      </c>
      <c r="Z553" s="5"/>
      <c r="AA553" s="5"/>
      <c r="AB553" s="13">
        <v>45119.01053240741</v>
      </c>
      <c r="AC553">
        <f t="shared" si="73"/>
        <v>9</v>
      </c>
      <c r="AD553">
        <f t="shared" si="74"/>
        <v>12</v>
      </c>
      <c r="AE553">
        <f t="shared" si="75"/>
        <v>1</v>
      </c>
      <c r="AF553">
        <f t="shared" si="76"/>
        <v>4</v>
      </c>
      <c r="AG553">
        <f t="shared" si="77"/>
        <v>1</v>
      </c>
      <c r="AH553">
        <f t="shared" si="78"/>
        <v>2</v>
      </c>
      <c r="AI553" t="str">
        <f t="shared" si="79"/>
        <v/>
      </c>
      <c r="AJ553" t="str">
        <f t="shared" si="80"/>
        <v/>
      </c>
    </row>
    <row r="554" spans="1:36">
      <c r="A554" s="5">
        <v>561</v>
      </c>
      <c r="B554" s="5" t="s">
        <v>727</v>
      </c>
      <c r="C554" s="10" t="s">
        <v>671</v>
      </c>
      <c r="D554" s="5" t="s">
        <v>708</v>
      </c>
      <c r="E554" s="5" t="s">
        <v>55</v>
      </c>
      <c r="F554" s="5" t="str">
        <f t="shared" si="72"/>
        <v>Operations-Director</v>
      </c>
      <c r="G554" s="5" t="s">
        <v>56</v>
      </c>
      <c r="H554" s="9">
        <v>44865.965416666666</v>
      </c>
      <c r="I554" s="9">
        <v>44869.965416666666</v>
      </c>
      <c r="J554" s="9" t="e">
        <f>I554+#REF!</f>
        <v>#REF!</v>
      </c>
      <c r="K554" s="9" t="e">
        <f>J554+#REF!</f>
        <v>#REF!</v>
      </c>
      <c r="L554" s="10" t="s">
        <v>41</v>
      </c>
      <c r="M554" s="11">
        <v>44886.965416666666</v>
      </c>
      <c r="N554" s="5" t="s">
        <v>42</v>
      </c>
      <c r="O554" s="5" t="s">
        <v>43</v>
      </c>
      <c r="P554" s="9"/>
      <c r="Q554" s="5"/>
      <c r="R554" s="5"/>
      <c r="S554" s="5"/>
      <c r="T554" s="9">
        <v>44889.965416666666</v>
      </c>
      <c r="U554" s="5"/>
      <c r="V554" s="5">
        <v>0</v>
      </c>
      <c r="W554" s="5"/>
      <c r="X554" s="5"/>
      <c r="Y554" s="5"/>
      <c r="Z554" s="5"/>
      <c r="AA554" s="5" t="s">
        <v>44</v>
      </c>
      <c r="AC554">
        <f t="shared" si="73"/>
        <v>17</v>
      </c>
      <c r="AD554" t="str">
        <f t="shared" si="74"/>
        <v/>
      </c>
      <c r="AE554">
        <f t="shared" si="75"/>
        <v>3</v>
      </c>
      <c r="AF554" t="str">
        <f t="shared" si="76"/>
        <v/>
      </c>
      <c r="AG554" t="str">
        <f t="shared" si="77"/>
        <v/>
      </c>
      <c r="AH554">
        <f t="shared" si="78"/>
        <v>4</v>
      </c>
      <c r="AI554" t="str">
        <f t="shared" si="79"/>
        <v/>
      </c>
      <c r="AJ554" t="str">
        <f t="shared" si="80"/>
        <v/>
      </c>
    </row>
    <row r="555" spans="1:36">
      <c r="A555" s="5">
        <v>562</v>
      </c>
      <c r="B555" s="5" t="s">
        <v>726</v>
      </c>
      <c r="C555" s="10" t="s">
        <v>671</v>
      </c>
      <c r="D555" s="5" t="s">
        <v>708</v>
      </c>
      <c r="E555" s="5" t="s">
        <v>55</v>
      </c>
      <c r="F555" s="5" t="str">
        <f t="shared" si="72"/>
        <v>Operations-Director</v>
      </c>
      <c r="G555" s="5" t="s">
        <v>56</v>
      </c>
      <c r="H555" s="9">
        <v>44866.965416666666</v>
      </c>
      <c r="I555" s="9">
        <v>44869.965416666666</v>
      </c>
      <c r="J555" s="9" t="e">
        <f>I555+#REF!</f>
        <v>#REF!</v>
      </c>
      <c r="K555" s="9" t="e">
        <f>J555+#REF!</f>
        <v>#REF!</v>
      </c>
      <c r="L555" s="10" t="s">
        <v>41</v>
      </c>
      <c r="M555" s="11">
        <v>44886.965416666666</v>
      </c>
      <c r="N555" s="5" t="s">
        <v>48</v>
      </c>
      <c r="O555" s="5"/>
      <c r="P555" s="9">
        <v>44890.965416666666</v>
      </c>
      <c r="Q555" s="5" t="s">
        <v>48</v>
      </c>
      <c r="R555" s="5"/>
      <c r="S555" s="5"/>
      <c r="T555" s="9">
        <v>44889.965416666666</v>
      </c>
      <c r="U555" s="5"/>
      <c r="V555" s="5">
        <v>0</v>
      </c>
      <c r="W555" s="5"/>
      <c r="X555" s="5"/>
      <c r="Y555" s="5"/>
      <c r="Z555" s="5"/>
      <c r="AA555" s="5"/>
      <c r="AC555">
        <f t="shared" si="73"/>
        <v>17</v>
      </c>
      <c r="AD555" t="str">
        <f t="shared" si="74"/>
        <v/>
      </c>
      <c r="AE555">
        <f t="shared" si="75"/>
        <v>3</v>
      </c>
      <c r="AF555" t="str">
        <f t="shared" si="76"/>
        <v/>
      </c>
      <c r="AG555" t="str">
        <f t="shared" si="77"/>
        <v/>
      </c>
      <c r="AH555">
        <f t="shared" si="78"/>
        <v>3</v>
      </c>
      <c r="AI555" t="str">
        <f t="shared" si="79"/>
        <v/>
      </c>
      <c r="AJ555" t="str">
        <f t="shared" si="80"/>
        <v/>
      </c>
    </row>
    <row r="556" spans="1:36">
      <c r="A556" s="5">
        <v>563</v>
      </c>
      <c r="B556" s="5" t="s">
        <v>2193</v>
      </c>
      <c r="C556" s="10" t="s">
        <v>2089</v>
      </c>
      <c r="D556" s="5" t="s">
        <v>2167</v>
      </c>
      <c r="E556" s="5" t="s">
        <v>269</v>
      </c>
      <c r="F556" s="5" t="str">
        <f t="shared" si="72"/>
        <v>Communication and Advocacy-Manager</v>
      </c>
      <c r="G556" s="5" t="s">
        <v>270</v>
      </c>
      <c r="H556" s="9">
        <v>44867.965416666666</v>
      </c>
      <c r="I556" s="9">
        <v>44868.965416666666</v>
      </c>
      <c r="J556" s="9" t="e">
        <f>I556+#REF!</f>
        <v>#REF!</v>
      </c>
      <c r="K556" s="9" t="e">
        <f>J556+#REF!</f>
        <v>#REF!</v>
      </c>
      <c r="L556" s="10" t="s">
        <v>41</v>
      </c>
      <c r="M556" s="11">
        <v>44881.965416666666</v>
      </c>
      <c r="N556" s="5" t="s">
        <v>42</v>
      </c>
      <c r="O556" s="5" t="s">
        <v>98</v>
      </c>
      <c r="P556" s="9"/>
      <c r="Q556" s="5"/>
      <c r="R556" s="5"/>
      <c r="S556" s="5"/>
      <c r="T556" s="9"/>
      <c r="U556" s="5"/>
      <c r="V556" s="5">
        <v>0</v>
      </c>
      <c r="W556" s="5"/>
      <c r="X556" s="5"/>
      <c r="Y556" s="5"/>
      <c r="Z556" s="5"/>
      <c r="AA556" s="5" t="s">
        <v>44</v>
      </c>
      <c r="AC556">
        <f t="shared" si="73"/>
        <v>13</v>
      </c>
      <c r="AD556" t="str">
        <f t="shared" si="74"/>
        <v/>
      </c>
      <c r="AE556" t="str">
        <f t="shared" si="75"/>
        <v/>
      </c>
      <c r="AF556" t="str">
        <f t="shared" si="76"/>
        <v/>
      </c>
      <c r="AG556" t="str">
        <f t="shared" si="77"/>
        <v/>
      </c>
      <c r="AH556">
        <f t="shared" si="78"/>
        <v>1</v>
      </c>
      <c r="AI556" t="str">
        <f t="shared" si="79"/>
        <v/>
      </c>
      <c r="AJ556" t="str">
        <f t="shared" si="80"/>
        <v/>
      </c>
    </row>
    <row r="557" spans="1:36">
      <c r="A557" s="5">
        <v>564</v>
      </c>
      <c r="B557" s="5" t="s">
        <v>772</v>
      </c>
      <c r="C557" s="10" t="s">
        <v>671</v>
      </c>
      <c r="D557" s="5" t="s">
        <v>747</v>
      </c>
      <c r="E557" s="5" t="s">
        <v>69</v>
      </c>
      <c r="F557" s="5" t="str">
        <f t="shared" si="72"/>
        <v>Operations-Head of Department</v>
      </c>
      <c r="G557" s="5" t="s">
        <v>47</v>
      </c>
      <c r="H557" s="9">
        <v>44867.965416666666</v>
      </c>
      <c r="I557" s="9">
        <v>44868.965416666666</v>
      </c>
      <c r="J557" s="9" t="e">
        <f>I557+#REF!</f>
        <v>#REF!</v>
      </c>
      <c r="K557" s="9" t="e">
        <f>J557+#REF!</f>
        <v>#REF!</v>
      </c>
      <c r="L557" s="10" t="s">
        <v>41</v>
      </c>
      <c r="M557" s="11">
        <v>44881.965416666666</v>
      </c>
      <c r="N557" s="5" t="s">
        <v>48</v>
      </c>
      <c r="O557" s="5"/>
      <c r="P557" s="9">
        <v>44886.965416666666</v>
      </c>
      <c r="Q557" s="5" t="s">
        <v>48</v>
      </c>
      <c r="R557" s="5"/>
      <c r="S557" s="5"/>
      <c r="T557" s="9">
        <v>44884.965416666666</v>
      </c>
      <c r="U557" s="5"/>
      <c r="V557" s="5">
        <v>0</v>
      </c>
      <c r="W557" s="5"/>
      <c r="X557" s="5"/>
      <c r="Y557" s="5"/>
      <c r="Z557" s="5"/>
      <c r="AA557" s="5"/>
      <c r="AC557">
        <f t="shared" si="73"/>
        <v>13</v>
      </c>
      <c r="AD557" t="str">
        <f t="shared" si="74"/>
        <v/>
      </c>
      <c r="AE557">
        <f t="shared" si="75"/>
        <v>3</v>
      </c>
      <c r="AF557" t="str">
        <f t="shared" si="76"/>
        <v/>
      </c>
      <c r="AG557" t="str">
        <f t="shared" si="77"/>
        <v/>
      </c>
      <c r="AH557">
        <f t="shared" si="78"/>
        <v>1</v>
      </c>
      <c r="AI557" t="str">
        <f t="shared" si="79"/>
        <v/>
      </c>
      <c r="AJ557" t="str">
        <f t="shared" si="80"/>
        <v/>
      </c>
    </row>
    <row r="558" spans="1:36">
      <c r="A558" s="5">
        <v>565</v>
      </c>
      <c r="B558" s="5" t="s">
        <v>701</v>
      </c>
      <c r="C558" s="10" t="s">
        <v>671</v>
      </c>
      <c r="D558" s="5" t="s">
        <v>672</v>
      </c>
      <c r="E558" s="5" t="s">
        <v>597</v>
      </c>
      <c r="F558" s="5" t="str">
        <f t="shared" si="72"/>
        <v>Operations-Business Partner</v>
      </c>
      <c r="G558" s="5" t="s">
        <v>40</v>
      </c>
      <c r="H558" s="9">
        <v>44869.965416666666</v>
      </c>
      <c r="I558" s="9">
        <v>44870.965416666666</v>
      </c>
      <c r="J558" s="9" t="e">
        <f>I558+#REF!</f>
        <v>#REF!</v>
      </c>
      <c r="K558" s="9" t="e">
        <f>J558+#REF!</f>
        <v>#REF!</v>
      </c>
      <c r="L558" s="10" t="s">
        <v>41</v>
      </c>
      <c r="M558" s="11">
        <v>44882.965416666666</v>
      </c>
      <c r="N558" s="5" t="s">
        <v>64</v>
      </c>
      <c r="O558" s="5"/>
      <c r="P558" s="9">
        <v>44889.965416666666</v>
      </c>
      <c r="Q558" s="5" t="s">
        <v>64</v>
      </c>
      <c r="R558" s="9">
        <v>44883.965416666666</v>
      </c>
      <c r="S558" s="9">
        <v>44885.965416666666</v>
      </c>
      <c r="T558" s="9">
        <v>44885.965416666666</v>
      </c>
      <c r="U558" s="9">
        <v>44890.965416666666</v>
      </c>
      <c r="V558" s="12">
        <v>1</v>
      </c>
      <c r="W558" s="9">
        <v>44891.965416666666</v>
      </c>
      <c r="X558" s="9">
        <v>44892.965416666666</v>
      </c>
      <c r="Y558" s="9">
        <v>44895.965416666666</v>
      </c>
      <c r="Z558" s="5"/>
      <c r="AA558" s="5"/>
      <c r="AB558" s="13">
        <v>44906.965416666666</v>
      </c>
      <c r="AC558">
        <f t="shared" si="73"/>
        <v>12</v>
      </c>
      <c r="AD558">
        <f t="shared" si="74"/>
        <v>15</v>
      </c>
      <c r="AE558">
        <f t="shared" si="75"/>
        <v>3</v>
      </c>
      <c r="AF558">
        <f t="shared" si="76"/>
        <v>2</v>
      </c>
      <c r="AG558">
        <f t="shared" si="77"/>
        <v>1</v>
      </c>
      <c r="AH558">
        <f t="shared" si="78"/>
        <v>1</v>
      </c>
      <c r="AI558" t="str">
        <f t="shared" si="79"/>
        <v/>
      </c>
      <c r="AJ558" t="str">
        <f t="shared" si="80"/>
        <v/>
      </c>
    </row>
    <row r="559" spans="1:36">
      <c r="A559" s="5">
        <v>566</v>
      </c>
      <c r="B559" s="5" t="s">
        <v>2192</v>
      </c>
      <c r="C559" s="10" t="s">
        <v>2089</v>
      </c>
      <c r="D559" s="5" t="s">
        <v>2167</v>
      </c>
      <c r="E559" s="5" t="s">
        <v>269</v>
      </c>
      <c r="F559" s="5" t="str">
        <f t="shared" si="72"/>
        <v>Communication and Advocacy-Manager</v>
      </c>
      <c r="G559" s="5" t="s">
        <v>270</v>
      </c>
      <c r="H559" s="9">
        <v>44867.965416666666</v>
      </c>
      <c r="I559" s="9">
        <v>44868.965416666666</v>
      </c>
      <c r="J559" s="9" t="e">
        <f>I559+#REF!</f>
        <v>#REF!</v>
      </c>
      <c r="K559" s="9" t="e">
        <f>J559+#REF!</f>
        <v>#REF!</v>
      </c>
      <c r="L559" s="10" t="s">
        <v>41</v>
      </c>
      <c r="M559" s="11">
        <v>44889.965416666666</v>
      </c>
      <c r="N559" s="5" t="s">
        <v>48</v>
      </c>
      <c r="O559" s="5"/>
      <c r="P559" s="9">
        <v>44893.965416666666</v>
      </c>
      <c r="Q559" s="5" t="s">
        <v>48</v>
      </c>
      <c r="R559" s="5"/>
      <c r="S559" s="5"/>
      <c r="T559" s="9">
        <v>44890.965416666666</v>
      </c>
      <c r="U559" s="5"/>
      <c r="V559" s="5">
        <v>0</v>
      </c>
      <c r="W559" s="5"/>
      <c r="X559" s="5"/>
      <c r="Y559" s="5"/>
      <c r="Z559" s="5"/>
      <c r="AA559" s="5"/>
      <c r="AC559">
        <f t="shared" si="73"/>
        <v>21</v>
      </c>
      <c r="AD559" t="str">
        <f t="shared" si="74"/>
        <v/>
      </c>
      <c r="AE559">
        <f t="shared" si="75"/>
        <v>1</v>
      </c>
      <c r="AF559" t="str">
        <f t="shared" si="76"/>
        <v/>
      </c>
      <c r="AG559" t="str">
        <f t="shared" si="77"/>
        <v/>
      </c>
      <c r="AH559">
        <f t="shared" si="78"/>
        <v>1</v>
      </c>
      <c r="AI559" t="str">
        <f t="shared" si="79"/>
        <v/>
      </c>
      <c r="AJ559" t="str">
        <f t="shared" si="80"/>
        <v/>
      </c>
    </row>
    <row r="560" spans="1:36">
      <c r="A560" s="5">
        <v>567</v>
      </c>
      <c r="B560" s="5" t="s">
        <v>2146</v>
      </c>
      <c r="C560" s="10" t="s">
        <v>2089</v>
      </c>
      <c r="D560" s="5" t="s">
        <v>2114</v>
      </c>
      <c r="E560" s="5" t="s">
        <v>388</v>
      </c>
      <c r="F560" s="5" t="str">
        <f t="shared" si="72"/>
        <v>Communication and Advocacy-Extension Officer</v>
      </c>
      <c r="G560" s="5" t="s">
        <v>147</v>
      </c>
      <c r="H560" s="9">
        <v>44870.965416666666</v>
      </c>
      <c r="I560" s="9">
        <v>44872.965416666666</v>
      </c>
      <c r="J560" s="9" t="e">
        <f>I560+#REF!</f>
        <v>#REF!</v>
      </c>
      <c r="K560" s="9" t="e">
        <f>J560+#REF!</f>
        <v>#REF!</v>
      </c>
      <c r="L560" s="10" t="s">
        <v>41</v>
      </c>
      <c r="M560" s="11">
        <v>44876.965416666666</v>
      </c>
      <c r="N560" s="5" t="s">
        <v>42</v>
      </c>
      <c r="O560" s="5" t="s">
        <v>113</v>
      </c>
      <c r="P560" s="9"/>
      <c r="Q560" s="5"/>
      <c r="R560" s="5"/>
      <c r="S560" s="5"/>
      <c r="T560" s="9"/>
      <c r="U560" s="5"/>
      <c r="V560" s="5">
        <v>0</v>
      </c>
      <c r="W560" s="5"/>
      <c r="X560" s="5"/>
      <c r="Y560" s="5"/>
      <c r="Z560" s="5"/>
      <c r="AA560" s="5" t="s">
        <v>44</v>
      </c>
      <c r="AC560">
        <f t="shared" si="73"/>
        <v>4</v>
      </c>
      <c r="AD560" t="str">
        <f t="shared" si="74"/>
        <v/>
      </c>
      <c r="AE560" t="str">
        <f t="shared" si="75"/>
        <v/>
      </c>
      <c r="AF560" t="str">
        <f t="shared" si="76"/>
        <v/>
      </c>
      <c r="AG560" t="str">
        <f t="shared" si="77"/>
        <v/>
      </c>
      <c r="AH560">
        <f t="shared" si="78"/>
        <v>2</v>
      </c>
      <c r="AI560" t="str">
        <f t="shared" si="79"/>
        <v/>
      </c>
      <c r="AJ560" t="str">
        <f t="shared" si="80"/>
        <v/>
      </c>
    </row>
    <row r="561" spans="1:36">
      <c r="A561" s="5">
        <v>568</v>
      </c>
      <c r="B561" s="5" t="s">
        <v>700</v>
      </c>
      <c r="C561" s="10" t="s">
        <v>671</v>
      </c>
      <c r="D561" s="5" t="s">
        <v>672</v>
      </c>
      <c r="E561" s="5" t="s">
        <v>597</v>
      </c>
      <c r="F561" s="5" t="str">
        <f t="shared" si="72"/>
        <v>Operations-Business Partner</v>
      </c>
      <c r="G561" s="5" t="s">
        <v>40</v>
      </c>
      <c r="H561" s="9">
        <v>44864.965416666666</v>
      </c>
      <c r="I561" s="9">
        <v>44867.965416666666</v>
      </c>
      <c r="J561" s="9" t="e">
        <f>I561+#REF!</f>
        <v>#REF!</v>
      </c>
      <c r="K561" s="9" t="e">
        <f>J561+#REF!</f>
        <v>#REF!</v>
      </c>
      <c r="L561" s="10" t="s">
        <v>41</v>
      </c>
      <c r="M561" s="11">
        <v>44889.965416666666</v>
      </c>
      <c r="N561" s="5" t="s">
        <v>42</v>
      </c>
      <c r="O561" s="5" t="s">
        <v>43</v>
      </c>
      <c r="P561" s="9"/>
      <c r="Q561" s="5"/>
      <c r="R561" s="5"/>
      <c r="S561" s="5"/>
      <c r="T561" s="9">
        <v>44892.965416666666</v>
      </c>
      <c r="U561" s="5"/>
      <c r="V561" s="5">
        <v>0</v>
      </c>
      <c r="W561" s="5"/>
      <c r="X561" s="5"/>
      <c r="Y561" s="5"/>
      <c r="Z561" s="5"/>
      <c r="AA561" s="5" t="s">
        <v>44</v>
      </c>
      <c r="AC561">
        <f t="shared" si="73"/>
        <v>22</v>
      </c>
      <c r="AD561" t="str">
        <f t="shared" si="74"/>
        <v/>
      </c>
      <c r="AE561">
        <f t="shared" si="75"/>
        <v>3</v>
      </c>
      <c r="AF561" t="str">
        <f t="shared" si="76"/>
        <v/>
      </c>
      <c r="AG561" t="str">
        <f t="shared" si="77"/>
        <v/>
      </c>
      <c r="AH561">
        <f t="shared" si="78"/>
        <v>3</v>
      </c>
      <c r="AI561" t="str">
        <f t="shared" si="79"/>
        <v/>
      </c>
      <c r="AJ561" t="str">
        <f t="shared" si="80"/>
        <v/>
      </c>
    </row>
    <row r="562" spans="1:36">
      <c r="A562" s="5">
        <v>570</v>
      </c>
      <c r="B562" s="5" t="s">
        <v>2191</v>
      </c>
      <c r="C562" s="10" t="s">
        <v>2089</v>
      </c>
      <c r="D562" s="5" t="s">
        <v>2167</v>
      </c>
      <c r="E562" s="5" t="s">
        <v>269</v>
      </c>
      <c r="F562" s="5" t="str">
        <f t="shared" si="72"/>
        <v>Communication and Advocacy-Manager</v>
      </c>
      <c r="G562" s="5" t="s">
        <v>270</v>
      </c>
      <c r="H562" s="9">
        <v>44868.965416666666</v>
      </c>
      <c r="I562" s="9">
        <v>44870.965416666666</v>
      </c>
      <c r="J562" s="9" t="e">
        <f>I562+#REF!</f>
        <v>#REF!</v>
      </c>
      <c r="K562" s="9" t="e">
        <f>J562+#REF!</f>
        <v>#REF!</v>
      </c>
      <c r="L562" s="10" t="s">
        <v>41</v>
      </c>
      <c r="M562" s="11">
        <v>44888.965416666666</v>
      </c>
      <c r="N562" s="5" t="s">
        <v>42</v>
      </c>
      <c r="O562" s="5" t="s">
        <v>73</v>
      </c>
      <c r="P562" s="9"/>
      <c r="Q562" s="5"/>
      <c r="R562" s="5"/>
      <c r="S562" s="5"/>
      <c r="T562" s="9">
        <v>44892.965416666666</v>
      </c>
      <c r="U562" s="5"/>
      <c r="V562" s="5">
        <v>0</v>
      </c>
      <c r="W562" s="5"/>
      <c r="X562" s="5"/>
      <c r="Y562" s="5"/>
      <c r="Z562" s="5"/>
      <c r="AA562" s="5" t="s">
        <v>44</v>
      </c>
      <c r="AC562">
        <f t="shared" si="73"/>
        <v>18</v>
      </c>
      <c r="AD562" t="str">
        <f t="shared" si="74"/>
        <v/>
      </c>
      <c r="AE562">
        <f t="shared" si="75"/>
        <v>4</v>
      </c>
      <c r="AF562" t="str">
        <f t="shared" si="76"/>
        <v/>
      </c>
      <c r="AG562" t="str">
        <f t="shared" si="77"/>
        <v/>
      </c>
      <c r="AH562">
        <f t="shared" si="78"/>
        <v>2</v>
      </c>
      <c r="AI562" t="str">
        <f t="shared" si="79"/>
        <v/>
      </c>
      <c r="AJ562" t="str">
        <f t="shared" si="80"/>
        <v/>
      </c>
    </row>
    <row r="563" spans="1:36">
      <c r="A563" s="5">
        <v>571</v>
      </c>
      <c r="B563" s="5" t="s">
        <v>655</v>
      </c>
      <c r="C563" s="5" t="s">
        <v>100</v>
      </c>
      <c r="D563" s="5" t="s">
        <v>554</v>
      </c>
      <c r="E563" s="5" t="s">
        <v>597</v>
      </c>
      <c r="F563" s="5" t="str">
        <f t="shared" si="72"/>
        <v>Program Office-Business Partner</v>
      </c>
      <c r="G563" s="5" t="s">
        <v>47</v>
      </c>
      <c r="H563" s="9">
        <v>44912.089930555558</v>
      </c>
      <c r="I563" s="9">
        <v>44914.089930555558</v>
      </c>
      <c r="J563" s="9" t="e">
        <f>I563+#REF!</f>
        <v>#REF!</v>
      </c>
      <c r="K563" s="9" t="e">
        <f>J563+#REF!</f>
        <v>#REF!</v>
      </c>
      <c r="L563" s="10" t="s">
        <v>41</v>
      </c>
      <c r="M563" s="11">
        <v>44931.089930555558</v>
      </c>
      <c r="N563" s="5" t="s">
        <v>48</v>
      </c>
      <c r="O563" s="5"/>
      <c r="P563" s="9">
        <v>44939.089930555558</v>
      </c>
      <c r="Q563" s="5" t="s">
        <v>48</v>
      </c>
      <c r="R563" s="5"/>
      <c r="S563" s="5"/>
      <c r="T563" s="9">
        <v>44935.089930555558</v>
      </c>
      <c r="U563" s="5"/>
      <c r="V563" s="5">
        <v>0</v>
      </c>
      <c r="W563" s="5"/>
      <c r="X563" s="5"/>
      <c r="Y563" s="5"/>
      <c r="Z563" s="5"/>
      <c r="AA563" s="5"/>
      <c r="AC563">
        <f t="shared" si="73"/>
        <v>17</v>
      </c>
      <c r="AD563" t="str">
        <f t="shared" si="74"/>
        <v/>
      </c>
      <c r="AE563">
        <f t="shared" si="75"/>
        <v>4</v>
      </c>
      <c r="AF563" t="str">
        <f t="shared" si="76"/>
        <v/>
      </c>
      <c r="AG563" t="str">
        <f t="shared" si="77"/>
        <v/>
      </c>
      <c r="AH563">
        <f t="shared" si="78"/>
        <v>2</v>
      </c>
      <c r="AI563" t="str">
        <f t="shared" si="79"/>
        <v/>
      </c>
      <c r="AJ563" t="str">
        <f t="shared" si="80"/>
        <v/>
      </c>
    </row>
    <row r="564" spans="1:36">
      <c r="A564" s="5">
        <v>572</v>
      </c>
      <c r="B564" s="5" t="s">
        <v>370</v>
      </c>
      <c r="C564" s="5" t="s">
        <v>100</v>
      </c>
      <c r="D564" s="5" t="s">
        <v>268</v>
      </c>
      <c r="E564" s="5" t="s">
        <v>291</v>
      </c>
      <c r="F564" s="5" t="str">
        <f t="shared" si="72"/>
        <v>Program Office-Cordination Manager</v>
      </c>
      <c r="G564" s="5" t="s">
        <v>270</v>
      </c>
      <c r="H564" s="9">
        <v>44913.089930555558</v>
      </c>
      <c r="I564" s="9">
        <v>44914.089930555558</v>
      </c>
      <c r="J564" s="9" t="e">
        <f>I564+#REF!</f>
        <v>#REF!</v>
      </c>
      <c r="K564" s="9" t="e">
        <f>J564+#REF!</f>
        <v>#REF!</v>
      </c>
      <c r="L564" s="10" t="s">
        <v>41</v>
      </c>
      <c r="M564" s="11">
        <v>44921.089930555558</v>
      </c>
      <c r="N564" s="5" t="s">
        <v>42</v>
      </c>
      <c r="O564" s="5" t="s">
        <v>58</v>
      </c>
      <c r="P564" s="9"/>
      <c r="Q564" s="5"/>
      <c r="R564" s="5"/>
      <c r="S564" s="5"/>
      <c r="T564" s="9">
        <v>44923.089930555558</v>
      </c>
      <c r="U564" s="5"/>
      <c r="V564" s="5">
        <v>0</v>
      </c>
      <c r="W564" s="5"/>
      <c r="X564" s="5"/>
      <c r="Y564" s="5"/>
      <c r="Z564" s="5"/>
      <c r="AA564" s="5" t="s">
        <v>62</v>
      </c>
      <c r="AC564">
        <f t="shared" si="73"/>
        <v>7</v>
      </c>
      <c r="AD564" t="str">
        <f t="shared" si="74"/>
        <v/>
      </c>
      <c r="AE564">
        <f t="shared" si="75"/>
        <v>2</v>
      </c>
      <c r="AF564" t="str">
        <f t="shared" si="76"/>
        <v/>
      </c>
      <c r="AG564" t="str">
        <f t="shared" si="77"/>
        <v/>
      </c>
      <c r="AH564">
        <f t="shared" si="78"/>
        <v>1</v>
      </c>
      <c r="AI564" t="str">
        <f t="shared" si="79"/>
        <v/>
      </c>
      <c r="AJ564" t="str">
        <f t="shared" si="80"/>
        <v/>
      </c>
    </row>
    <row r="565" spans="1:36">
      <c r="A565" s="5">
        <v>573</v>
      </c>
      <c r="B565" s="5" t="s">
        <v>483</v>
      </c>
      <c r="C565" s="5" t="s">
        <v>100</v>
      </c>
      <c r="D565" s="5" t="s">
        <v>387</v>
      </c>
      <c r="E565" s="5" t="s">
        <v>473</v>
      </c>
      <c r="F565" s="5" t="str">
        <f t="shared" si="72"/>
        <v>Program Office-Officer</v>
      </c>
      <c r="G565" s="5" t="s">
        <v>40</v>
      </c>
      <c r="H565" s="9">
        <v>44906.089930555558</v>
      </c>
      <c r="I565" s="9">
        <v>44909.089930555558</v>
      </c>
      <c r="J565" s="9" t="e">
        <f>I565+#REF!</f>
        <v>#REF!</v>
      </c>
      <c r="K565" s="9" t="e">
        <f>J565+#REF!</f>
        <v>#REF!</v>
      </c>
      <c r="L565" s="10" t="s">
        <v>41</v>
      </c>
      <c r="M565" s="11">
        <v>44917.089930555558</v>
      </c>
      <c r="N565" s="5" t="s">
        <v>167</v>
      </c>
      <c r="O565" s="5"/>
      <c r="P565" s="9">
        <v>44922.089930555558</v>
      </c>
      <c r="Q565" s="5" t="s">
        <v>167</v>
      </c>
      <c r="R565" s="5"/>
      <c r="S565" s="5"/>
      <c r="T565" s="9">
        <v>44918.089930555558</v>
      </c>
      <c r="U565" s="5"/>
      <c r="V565" s="5">
        <v>0</v>
      </c>
      <c r="W565" s="5"/>
      <c r="X565" s="5"/>
      <c r="Y565" s="5"/>
      <c r="Z565" s="5"/>
      <c r="AA565" s="5"/>
      <c r="AC565">
        <f t="shared" si="73"/>
        <v>8</v>
      </c>
      <c r="AD565" t="str">
        <f t="shared" si="74"/>
        <v/>
      </c>
      <c r="AE565">
        <f t="shared" si="75"/>
        <v>1</v>
      </c>
      <c r="AF565" t="str">
        <f t="shared" si="76"/>
        <v/>
      </c>
      <c r="AG565" t="str">
        <f t="shared" si="77"/>
        <v/>
      </c>
      <c r="AH565">
        <f t="shared" si="78"/>
        <v>3</v>
      </c>
      <c r="AI565" t="str">
        <f t="shared" si="79"/>
        <v/>
      </c>
      <c r="AJ565" t="str">
        <f t="shared" si="80"/>
        <v/>
      </c>
    </row>
    <row r="566" spans="1:36">
      <c r="A566" s="5">
        <v>574</v>
      </c>
      <c r="B566" s="5" t="s">
        <v>247</v>
      </c>
      <c r="C566" s="5" t="s">
        <v>100</v>
      </c>
      <c r="D566" s="5" t="s">
        <v>146</v>
      </c>
      <c r="E566" s="5" t="s">
        <v>39</v>
      </c>
      <c r="F566" s="5" t="str">
        <f t="shared" si="72"/>
        <v>Program Office-Analyst</v>
      </c>
      <c r="G566" s="5" t="s">
        <v>147</v>
      </c>
      <c r="H566" s="9">
        <v>44908.089930555558</v>
      </c>
      <c r="I566" s="9">
        <v>44912.089930555558</v>
      </c>
      <c r="J566" s="9" t="e">
        <f>I566+#REF!</f>
        <v>#REF!</v>
      </c>
      <c r="K566" s="9" t="e">
        <f>J566+#REF!</f>
        <v>#REF!</v>
      </c>
      <c r="L566" s="10" t="s">
        <v>52</v>
      </c>
      <c r="M566" s="11"/>
      <c r="N566" s="5"/>
      <c r="O566" s="5"/>
      <c r="P566" s="9"/>
      <c r="Q566" s="5"/>
      <c r="R566" s="5"/>
      <c r="S566" s="5"/>
      <c r="T566" s="9"/>
      <c r="U566" s="5"/>
      <c r="V566" s="5">
        <v>0</v>
      </c>
      <c r="W566" s="5"/>
      <c r="X566" s="5"/>
      <c r="Y566" s="5"/>
      <c r="Z566" s="5"/>
      <c r="AA566" s="5"/>
      <c r="AC566" t="str">
        <f t="shared" si="73"/>
        <v/>
      </c>
      <c r="AD566" t="str">
        <f t="shared" si="74"/>
        <v/>
      </c>
      <c r="AE566" t="str">
        <f t="shared" si="75"/>
        <v/>
      </c>
      <c r="AF566" t="str">
        <f t="shared" si="76"/>
        <v/>
      </c>
      <c r="AG566" t="str">
        <f t="shared" si="77"/>
        <v/>
      </c>
      <c r="AH566">
        <f t="shared" si="78"/>
        <v>4</v>
      </c>
      <c r="AI566" t="str">
        <f t="shared" si="79"/>
        <v/>
      </c>
      <c r="AJ566" t="str">
        <f t="shared" si="80"/>
        <v/>
      </c>
    </row>
    <row r="567" spans="1:36">
      <c r="A567" s="5">
        <v>575</v>
      </c>
      <c r="B567" s="5" t="s">
        <v>482</v>
      </c>
      <c r="C567" s="5" t="s">
        <v>100</v>
      </c>
      <c r="D567" s="5" t="s">
        <v>387</v>
      </c>
      <c r="E567" s="5" t="s">
        <v>473</v>
      </c>
      <c r="F567" s="5" t="str">
        <f t="shared" si="72"/>
        <v>Program Office-Officer</v>
      </c>
      <c r="G567" s="5" t="s">
        <v>40</v>
      </c>
      <c r="H567" s="9">
        <v>44908.089930555558</v>
      </c>
      <c r="I567" s="9">
        <v>44910.089930555558</v>
      </c>
      <c r="J567" s="9" t="e">
        <f>I567+#REF!</f>
        <v>#REF!</v>
      </c>
      <c r="K567" s="9" t="e">
        <f>J567+#REF!</f>
        <v>#REF!</v>
      </c>
      <c r="L567" s="10" t="s">
        <v>41</v>
      </c>
      <c r="M567" s="11">
        <v>44925.089930555558</v>
      </c>
      <c r="N567" s="5" t="s">
        <v>48</v>
      </c>
      <c r="O567" s="5"/>
      <c r="P567" s="9">
        <v>44927.089930555558</v>
      </c>
      <c r="Q567" s="5" t="s">
        <v>48</v>
      </c>
      <c r="R567" s="5"/>
      <c r="S567" s="5"/>
      <c r="T567" s="9">
        <v>44926.089930555558</v>
      </c>
      <c r="U567" s="5"/>
      <c r="V567" s="5">
        <v>0</v>
      </c>
      <c r="W567" s="5"/>
      <c r="X567" s="5"/>
      <c r="Y567" s="5"/>
      <c r="Z567" s="5"/>
      <c r="AA567" s="5"/>
      <c r="AC567">
        <f t="shared" si="73"/>
        <v>15</v>
      </c>
      <c r="AD567" t="str">
        <f t="shared" si="74"/>
        <v/>
      </c>
      <c r="AE567">
        <f t="shared" si="75"/>
        <v>1</v>
      </c>
      <c r="AF567" t="str">
        <f t="shared" si="76"/>
        <v/>
      </c>
      <c r="AG567" t="str">
        <f t="shared" si="77"/>
        <v/>
      </c>
      <c r="AH567">
        <f t="shared" si="78"/>
        <v>2</v>
      </c>
      <c r="AI567" t="str">
        <f t="shared" si="79"/>
        <v/>
      </c>
      <c r="AJ567" t="str">
        <f t="shared" si="80"/>
        <v/>
      </c>
    </row>
    <row r="568" spans="1:36">
      <c r="A568" s="5">
        <v>577</v>
      </c>
      <c r="B568" s="5" t="s">
        <v>481</v>
      </c>
      <c r="C568" s="5" t="s">
        <v>100</v>
      </c>
      <c r="D568" s="5" t="s">
        <v>387</v>
      </c>
      <c r="E568" s="5" t="s">
        <v>473</v>
      </c>
      <c r="F568" s="5" t="str">
        <f t="shared" si="72"/>
        <v>Program Office-Officer</v>
      </c>
      <c r="G568" s="5" t="s">
        <v>40</v>
      </c>
      <c r="H568" s="9">
        <v>44906.089930555558</v>
      </c>
      <c r="I568" s="9">
        <v>44909.089930555558</v>
      </c>
      <c r="J568" s="9" t="e">
        <f>I568+#REF!</f>
        <v>#REF!</v>
      </c>
      <c r="K568" s="9" t="e">
        <f>J568+#REF!</f>
        <v>#REF!</v>
      </c>
      <c r="L568" s="10" t="s">
        <v>41</v>
      </c>
      <c r="M568" s="11">
        <v>44931.089930555558</v>
      </c>
      <c r="N568" s="5" t="s">
        <v>42</v>
      </c>
      <c r="O568" s="5" t="s">
        <v>73</v>
      </c>
      <c r="P568" s="9"/>
      <c r="Q568" s="5"/>
      <c r="R568" s="5"/>
      <c r="S568" s="5"/>
      <c r="T568" s="9">
        <v>44935.089930555558</v>
      </c>
      <c r="U568" s="5"/>
      <c r="V568" s="5">
        <v>0</v>
      </c>
      <c r="W568" s="5"/>
      <c r="X568" s="5"/>
      <c r="Y568" s="5"/>
      <c r="Z568" s="5"/>
      <c r="AA568" s="5" t="s">
        <v>44</v>
      </c>
      <c r="AC568">
        <f t="shared" si="73"/>
        <v>22</v>
      </c>
      <c r="AD568" t="str">
        <f t="shared" si="74"/>
        <v/>
      </c>
      <c r="AE568">
        <f t="shared" si="75"/>
        <v>4</v>
      </c>
      <c r="AF568" t="str">
        <f t="shared" si="76"/>
        <v/>
      </c>
      <c r="AG568" t="str">
        <f t="shared" si="77"/>
        <v/>
      </c>
      <c r="AH568">
        <f t="shared" si="78"/>
        <v>3</v>
      </c>
      <c r="AI568" t="str">
        <f t="shared" si="79"/>
        <v/>
      </c>
      <c r="AJ568" t="str">
        <f t="shared" si="80"/>
        <v/>
      </c>
    </row>
    <row r="569" spans="1:36">
      <c r="A569" s="5">
        <v>578</v>
      </c>
      <c r="B569" s="5" t="s">
        <v>369</v>
      </c>
      <c r="C569" s="5" t="s">
        <v>100</v>
      </c>
      <c r="D569" s="5" t="s">
        <v>268</v>
      </c>
      <c r="E569" s="5" t="s">
        <v>291</v>
      </c>
      <c r="F569" s="5" t="str">
        <f t="shared" si="72"/>
        <v>Program Office-Cordination Manager</v>
      </c>
      <c r="G569" s="5" t="s">
        <v>270</v>
      </c>
      <c r="H569" s="9">
        <v>44908.089930555558</v>
      </c>
      <c r="I569" s="9">
        <v>44911.089930555558</v>
      </c>
      <c r="J569" s="9" t="e">
        <f>I569+#REF!</f>
        <v>#REF!</v>
      </c>
      <c r="K569" s="9" t="e">
        <f>J569+#REF!</f>
        <v>#REF!</v>
      </c>
      <c r="L569" s="10" t="s">
        <v>41</v>
      </c>
      <c r="M569" s="11">
        <v>44931.089930555558</v>
      </c>
      <c r="N569" s="5" t="s">
        <v>64</v>
      </c>
      <c r="O569" s="5"/>
      <c r="P569" s="9">
        <v>44935.089930555558</v>
      </c>
      <c r="Q569" s="5" t="s">
        <v>64</v>
      </c>
      <c r="R569" s="9">
        <v>44933.089930555558</v>
      </c>
      <c r="S569" s="9">
        <v>44935.089930555558</v>
      </c>
      <c r="T569" s="9">
        <v>44932.089930555558</v>
      </c>
      <c r="U569" s="9">
        <v>44936.089930555558</v>
      </c>
      <c r="V569" s="12">
        <v>1</v>
      </c>
      <c r="W569" s="9">
        <v>44938.089930555558</v>
      </c>
      <c r="X569" s="9">
        <v>44941.089930555558</v>
      </c>
      <c r="Y569" s="9">
        <v>44943.089930555558</v>
      </c>
      <c r="Z569" s="5"/>
      <c r="AA569" s="5"/>
      <c r="AB569" s="13">
        <v>44951.089930555558</v>
      </c>
      <c r="AC569">
        <f t="shared" si="73"/>
        <v>20</v>
      </c>
      <c r="AD569">
        <f t="shared" si="74"/>
        <v>24</v>
      </c>
      <c r="AE569">
        <f t="shared" si="75"/>
        <v>1</v>
      </c>
      <c r="AF569">
        <f t="shared" si="76"/>
        <v>5</v>
      </c>
      <c r="AG569">
        <f t="shared" si="77"/>
        <v>2</v>
      </c>
      <c r="AH569">
        <f t="shared" si="78"/>
        <v>3</v>
      </c>
      <c r="AI569" t="str">
        <f t="shared" si="79"/>
        <v/>
      </c>
      <c r="AJ569" t="str">
        <f t="shared" si="80"/>
        <v/>
      </c>
    </row>
    <row r="570" spans="1:36">
      <c r="A570" s="5">
        <v>579</v>
      </c>
      <c r="B570" s="5" t="s">
        <v>535</v>
      </c>
      <c r="C570" s="5" t="s">
        <v>100</v>
      </c>
      <c r="D570" s="5" t="s">
        <v>506</v>
      </c>
      <c r="E570" s="5" t="s">
        <v>69</v>
      </c>
      <c r="F570" s="5" t="str">
        <f t="shared" si="72"/>
        <v>Program Office-Head of Department</v>
      </c>
      <c r="G570" s="5" t="s">
        <v>56</v>
      </c>
      <c r="H570" s="9">
        <v>44908.089930555558</v>
      </c>
      <c r="I570" s="9">
        <v>44911.089930555558</v>
      </c>
      <c r="J570" s="9" t="e">
        <f>I570+#REF!</f>
        <v>#REF!</v>
      </c>
      <c r="K570" s="9" t="e">
        <f>J570+#REF!</f>
        <v>#REF!</v>
      </c>
      <c r="L570" s="10" t="s">
        <v>41</v>
      </c>
      <c r="M570" s="11">
        <v>44921.089930555558</v>
      </c>
      <c r="N570" s="5" t="s">
        <v>42</v>
      </c>
      <c r="O570" s="5" t="s">
        <v>43</v>
      </c>
      <c r="P570" s="9"/>
      <c r="Q570" s="5"/>
      <c r="R570" s="5"/>
      <c r="S570" s="5"/>
      <c r="T570" s="9">
        <v>44923.089930555558</v>
      </c>
      <c r="U570" s="5"/>
      <c r="V570" s="5">
        <v>0</v>
      </c>
      <c r="W570" s="5"/>
      <c r="X570" s="5"/>
      <c r="Y570" s="5"/>
      <c r="Z570" s="5"/>
      <c r="AA570" s="5" t="s">
        <v>44</v>
      </c>
      <c r="AC570">
        <f t="shared" si="73"/>
        <v>10</v>
      </c>
      <c r="AD570" t="str">
        <f t="shared" si="74"/>
        <v/>
      </c>
      <c r="AE570">
        <f t="shared" si="75"/>
        <v>2</v>
      </c>
      <c r="AF570" t="str">
        <f t="shared" si="76"/>
        <v/>
      </c>
      <c r="AG570" t="str">
        <f t="shared" si="77"/>
        <v/>
      </c>
      <c r="AH570">
        <f t="shared" si="78"/>
        <v>3</v>
      </c>
      <c r="AI570" t="str">
        <f t="shared" si="79"/>
        <v/>
      </c>
      <c r="AJ570" t="str">
        <f t="shared" si="80"/>
        <v/>
      </c>
    </row>
    <row r="571" spans="1:36">
      <c r="A571" s="5">
        <v>580</v>
      </c>
      <c r="B571" s="5" t="s">
        <v>246</v>
      </c>
      <c r="C571" s="5" t="s">
        <v>100</v>
      </c>
      <c r="D571" s="5" t="s">
        <v>146</v>
      </c>
      <c r="E571" s="5" t="s">
        <v>39</v>
      </c>
      <c r="F571" s="5" t="str">
        <f t="shared" si="72"/>
        <v>Program Office-Analyst</v>
      </c>
      <c r="G571" s="5" t="s">
        <v>147</v>
      </c>
      <c r="H571" s="9">
        <v>44909.089930555558</v>
      </c>
      <c r="I571" s="9">
        <v>44912.089930555558</v>
      </c>
      <c r="J571" s="9" t="e">
        <f>I571+#REF!</f>
        <v>#REF!</v>
      </c>
      <c r="K571" s="9" t="e">
        <f>J571+#REF!</f>
        <v>#REF!</v>
      </c>
      <c r="L571" s="10" t="s">
        <v>41</v>
      </c>
      <c r="M571" s="11">
        <v>44922.089930555558</v>
      </c>
      <c r="N571" s="5" t="s">
        <v>167</v>
      </c>
      <c r="O571" s="5"/>
      <c r="P571" s="9">
        <v>44926.089930555558</v>
      </c>
      <c r="Q571" s="5" t="s">
        <v>167</v>
      </c>
      <c r="R571" s="5"/>
      <c r="S571" s="5"/>
      <c r="T571" s="9">
        <v>44923.089930555558</v>
      </c>
      <c r="U571" s="5"/>
      <c r="V571" s="5">
        <v>0</v>
      </c>
      <c r="W571" s="5"/>
      <c r="X571" s="5"/>
      <c r="Y571" s="5"/>
      <c r="Z571" s="5"/>
      <c r="AA571" s="5"/>
      <c r="AC571">
        <f t="shared" si="73"/>
        <v>10</v>
      </c>
      <c r="AD571" t="str">
        <f t="shared" si="74"/>
        <v/>
      </c>
      <c r="AE571">
        <f t="shared" si="75"/>
        <v>1</v>
      </c>
      <c r="AF571" t="str">
        <f t="shared" si="76"/>
        <v/>
      </c>
      <c r="AG571" t="str">
        <f t="shared" si="77"/>
        <v/>
      </c>
      <c r="AH571">
        <f t="shared" si="78"/>
        <v>3</v>
      </c>
      <c r="AI571" t="str">
        <f t="shared" si="79"/>
        <v/>
      </c>
      <c r="AJ571" t="str">
        <f t="shared" si="80"/>
        <v/>
      </c>
    </row>
    <row r="572" spans="1:36">
      <c r="A572" s="5">
        <v>581</v>
      </c>
      <c r="B572" s="5" t="s">
        <v>951</v>
      </c>
      <c r="C572" s="5" t="s">
        <v>796</v>
      </c>
      <c r="D572" s="5" t="s">
        <v>893</v>
      </c>
      <c r="E572" s="5" t="s">
        <v>269</v>
      </c>
      <c r="F572" s="5" t="str">
        <f t="shared" si="72"/>
        <v>M and E-Manager</v>
      </c>
      <c r="G572" s="5" t="s">
        <v>270</v>
      </c>
      <c r="H572" s="9">
        <v>44886.41333333333</v>
      </c>
      <c r="I572" s="9">
        <v>44890.41333333333</v>
      </c>
      <c r="J572" s="9" t="e">
        <f>I572+#REF!</f>
        <v>#REF!</v>
      </c>
      <c r="K572" s="9" t="e">
        <f>J572+#REF!</f>
        <v>#REF!</v>
      </c>
      <c r="L572" s="10" t="s">
        <v>41</v>
      </c>
      <c r="M572" s="11">
        <v>44913.41333333333</v>
      </c>
      <c r="N572" s="5" t="s">
        <v>42</v>
      </c>
      <c r="O572" s="5" t="s">
        <v>58</v>
      </c>
      <c r="P572" s="9"/>
      <c r="Q572" s="5"/>
      <c r="R572" s="5"/>
      <c r="S572" s="5"/>
      <c r="T572" s="9">
        <v>44917.41333333333</v>
      </c>
      <c r="U572" s="5"/>
      <c r="V572" s="5">
        <v>0</v>
      </c>
      <c r="W572" s="5"/>
      <c r="X572" s="5"/>
      <c r="Y572" s="5"/>
      <c r="Z572" s="5"/>
      <c r="AA572" s="5" t="s">
        <v>62</v>
      </c>
      <c r="AC572">
        <f t="shared" si="73"/>
        <v>23</v>
      </c>
      <c r="AD572" t="str">
        <f t="shared" si="74"/>
        <v/>
      </c>
      <c r="AE572">
        <f t="shared" si="75"/>
        <v>4</v>
      </c>
      <c r="AF572" t="str">
        <f t="shared" si="76"/>
        <v/>
      </c>
      <c r="AG572" t="str">
        <f t="shared" si="77"/>
        <v/>
      </c>
      <c r="AH572">
        <f t="shared" si="78"/>
        <v>4</v>
      </c>
      <c r="AI572" t="str">
        <f t="shared" si="79"/>
        <v/>
      </c>
      <c r="AJ572" t="str">
        <f t="shared" si="80"/>
        <v/>
      </c>
    </row>
    <row r="573" spans="1:36">
      <c r="A573" s="5">
        <v>582</v>
      </c>
      <c r="B573" s="5" t="s">
        <v>1041</v>
      </c>
      <c r="C573" s="5" t="s">
        <v>796</v>
      </c>
      <c r="D573" s="5" t="s">
        <v>1026</v>
      </c>
      <c r="E573" s="5" t="s">
        <v>1039</v>
      </c>
      <c r="F573" s="5" t="str">
        <f t="shared" si="72"/>
        <v>M and E-Associate Director</v>
      </c>
      <c r="G573" s="5" t="s">
        <v>56</v>
      </c>
      <c r="H573" s="9">
        <v>44893.41333333333</v>
      </c>
      <c r="I573" s="9">
        <v>44894.41333333333</v>
      </c>
      <c r="J573" s="9" t="e">
        <f>I573+#REF!</f>
        <v>#REF!</v>
      </c>
      <c r="K573" s="9" t="e">
        <f>J573+#REF!</f>
        <v>#REF!</v>
      </c>
      <c r="L573" s="10" t="s">
        <v>52</v>
      </c>
      <c r="M573" s="11"/>
      <c r="N573" s="5"/>
      <c r="O573" s="5"/>
      <c r="P573" s="9"/>
      <c r="Q573" s="5"/>
      <c r="R573" s="5"/>
      <c r="S573" s="5"/>
      <c r="T573" s="9"/>
      <c r="U573" s="5"/>
      <c r="V573" s="5">
        <v>0</v>
      </c>
      <c r="W573" s="5"/>
      <c r="X573" s="5"/>
      <c r="Y573" s="5"/>
      <c r="Z573" s="5"/>
      <c r="AA573" s="5"/>
      <c r="AC573" t="str">
        <f t="shared" si="73"/>
        <v/>
      </c>
      <c r="AD573" t="str">
        <f t="shared" si="74"/>
        <v/>
      </c>
      <c r="AE573" t="str">
        <f t="shared" si="75"/>
        <v/>
      </c>
      <c r="AF573" t="str">
        <f t="shared" si="76"/>
        <v/>
      </c>
      <c r="AG573" t="str">
        <f t="shared" si="77"/>
        <v/>
      </c>
      <c r="AH573">
        <f t="shared" si="78"/>
        <v>1</v>
      </c>
      <c r="AI573" t="str">
        <f t="shared" si="79"/>
        <v/>
      </c>
      <c r="AJ573" t="str">
        <f t="shared" si="80"/>
        <v/>
      </c>
    </row>
    <row r="574" spans="1:36">
      <c r="A574" s="5">
        <v>583</v>
      </c>
      <c r="B574" s="5" t="s">
        <v>1116</v>
      </c>
      <c r="C574" s="5" t="s">
        <v>796</v>
      </c>
      <c r="D574" s="5" t="s">
        <v>1046</v>
      </c>
      <c r="E574" s="5" t="s">
        <v>597</v>
      </c>
      <c r="F574" s="5" t="str">
        <f t="shared" si="72"/>
        <v>M and E-Business Partner</v>
      </c>
      <c r="G574" s="5" t="s">
        <v>47</v>
      </c>
      <c r="H574" s="9">
        <v>44892.41333333333</v>
      </c>
      <c r="I574" s="9">
        <v>44894.41333333333</v>
      </c>
      <c r="J574" s="9" t="e">
        <f>I574+#REF!</f>
        <v>#REF!</v>
      </c>
      <c r="K574" s="9" t="e">
        <f>J574+#REF!</f>
        <v>#REF!</v>
      </c>
      <c r="L574" s="10" t="s">
        <v>41</v>
      </c>
      <c r="M574" s="11">
        <v>44909.41333333333</v>
      </c>
      <c r="N574" s="5" t="s">
        <v>42</v>
      </c>
      <c r="O574" s="5" t="s">
        <v>58</v>
      </c>
      <c r="P574" s="9"/>
      <c r="Q574" s="5"/>
      <c r="R574" s="5"/>
      <c r="S574" s="5"/>
      <c r="T574" s="9"/>
      <c r="U574" s="5"/>
      <c r="V574" s="5">
        <v>0</v>
      </c>
      <c r="W574" s="5"/>
      <c r="X574" s="5"/>
      <c r="Y574" s="5"/>
      <c r="Z574" s="5"/>
      <c r="AA574" s="5" t="s">
        <v>44</v>
      </c>
      <c r="AC574">
        <f t="shared" si="73"/>
        <v>15</v>
      </c>
      <c r="AD574" t="str">
        <f t="shared" si="74"/>
        <v/>
      </c>
      <c r="AE574" t="str">
        <f t="shared" si="75"/>
        <v/>
      </c>
      <c r="AF574" t="str">
        <f t="shared" si="76"/>
        <v/>
      </c>
      <c r="AG574" t="str">
        <f t="shared" si="77"/>
        <v/>
      </c>
      <c r="AH574">
        <f t="shared" si="78"/>
        <v>2</v>
      </c>
      <c r="AI574" t="str">
        <f t="shared" si="79"/>
        <v/>
      </c>
      <c r="AJ574" t="str">
        <f t="shared" si="80"/>
        <v/>
      </c>
    </row>
    <row r="575" spans="1:36">
      <c r="A575" s="5">
        <v>584</v>
      </c>
      <c r="B575" s="5" t="s">
        <v>950</v>
      </c>
      <c r="C575" s="5" t="s">
        <v>796</v>
      </c>
      <c r="D575" s="5" t="s">
        <v>893</v>
      </c>
      <c r="E575" s="5" t="s">
        <v>269</v>
      </c>
      <c r="F575" s="5" t="str">
        <f t="shared" si="72"/>
        <v>M and E-Manager</v>
      </c>
      <c r="G575" s="5" t="s">
        <v>270</v>
      </c>
      <c r="H575" s="9">
        <v>44891.41333333333</v>
      </c>
      <c r="I575" s="9">
        <v>44894.41333333333</v>
      </c>
      <c r="J575" s="9" t="e">
        <f>I575+#REF!</f>
        <v>#REF!</v>
      </c>
      <c r="K575" s="9" t="e">
        <f>J575+#REF!</f>
        <v>#REF!</v>
      </c>
      <c r="L575" s="10" t="s">
        <v>41</v>
      </c>
      <c r="M575" s="11">
        <v>44911.41333333333</v>
      </c>
      <c r="N575" s="5" t="s">
        <v>64</v>
      </c>
      <c r="O575" s="5"/>
      <c r="P575" s="9">
        <v>44919.41333333333</v>
      </c>
      <c r="Q575" s="5" t="s">
        <v>64</v>
      </c>
      <c r="R575" s="9">
        <v>44912.41333333333</v>
      </c>
      <c r="S575" s="9">
        <v>44916.41333333333</v>
      </c>
      <c r="T575" s="9">
        <v>44915.41333333333</v>
      </c>
      <c r="U575" s="9">
        <v>44922.41333333333</v>
      </c>
      <c r="V575" s="12">
        <v>1</v>
      </c>
      <c r="W575" s="9">
        <v>44924.41333333333</v>
      </c>
      <c r="X575" s="9">
        <v>44926.41333333333</v>
      </c>
      <c r="Y575" s="9">
        <v>44929.41333333333</v>
      </c>
      <c r="Z575" s="5"/>
      <c r="AA575" s="5"/>
      <c r="AB575" s="13">
        <v>44939.41333333333</v>
      </c>
      <c r="AC575">
        <f t="shared" si="73"/>
        <v>17</v>
      </c>
      <c r="AD575">
        <f t="shared" si="74"/>
        <v>22</v>
      </c>
      <c r="AE575">
        <f t="shared" si="75"/>
        <v>4</v>
      </c>
      <c r="AF575">
        <f t="shared" si="76"/>
        <v>4</v>
      </c>
      <c r="AG575">
        <f t="shared" si="77"/>
        <v>2</v>
      </c>
      <c r="AH575">
        <f t="shared" si="78"/>
        <v>3</v>
      </c>
      <c r="AI575" t="str">
        <f t="shared" si="79"/>
        <v/>
      </c>
      <c r="AJ575" t="str">
        <f t="shared" si="80"/>
        <v/>
      </c>
    </row>
    <row r="576" spans="1:36">
      <c r="A576" s="5">
        <v>585</v>
      </c>
      <c r="B576" s="5" t="s">
        <v>949</v>
      </c>
      <c r="C576" s="5" t="s">
        <v>796</v>
      </c>
      <c r="D576" s="5" t="s">
        <v>893</v>
      </c>
      <c r="E576" s="5" t="s">
        <v>269</v>
      </c>
      <c r="F576" s="5" t="str">
        <f t="shared" si="72"/>
        <v>M and E-Manager</v>
      </c>
      <c r="G576" s="5" t="s">
        <v>270</v>
      </c>
      <c r="H576" s="9">
        <v>44892.41333333333</v>
      </c>
      <c r="I576" s="9">
        <v>44895.41333333333</v>
      </c>
      <c r="J576" s="9" t="e">
        <f>I576+#REF!</f>
        <v>#REF!</v>
      </c>
      <c r="K576" s="9" t="e">
        <f>J576+#REF!</f>
        <v>#REF!</v>
      </c>
      <c r="L576" s="10" t="s">
        <v>41</v>
      </c>
      <c r="M576" s="11">
        <v>44910.41333333333</v>
      </c>
      <c r="N576" s="5" t="s">
        <v>167</v>
      </c>
      <c r="O576" s="5"/>
      <c r="P576" s="9">
        <v>44915.41333333333</v>
      </c>
      <c r="Q576" s="5" t="s">
        <v>167</v>
      </c>
      <c r="R576" s="5"/>
      <c r="S576" s="5"/>
      <c r="T576" s="9">
        <v>44911.41333333333</v>
      </c>
      <c r="U576" s="5"/>
      <c r="V576" s="5">
        <v>0</v>
      </c>
      <c r="W576" s="5"/>
      <c r="X576" s="5"/>
      <c r="Y576" s="5"/>
      <c r="Z576" s="5"/>
      <c r="AA576" s="5"/>
      <c r="AC576">
        <f t="shared" si="73"/>
        <v>15</v>
      </c>
      <c r="AD576" t="str">
        <f t="shared" si="74"/>
        <v/>
      </c>
      <c r="AE576">
        <f t="shared" si="75"/>
        <v>1</v>
      </c>
      <c r="AF576" t="str">
        <f t="shared" si="76"/>
        <v/>
      </c>
      <c r="AG576" t="str">
        <f t="shared" si="77"/>
        <v/>
      </c>
      <c r="AH576">
        <f t="shared" si="78"/>
        <v>3</v>
      </c>
      <c r="AI576" t="str">
        <f t="shared" si="79"/>
        <v/>
      </c>
      <c r="AJ576" t="str">
        <f t="shared" si="80"/>
        <v/>
      </c>
    </row>
    <row r="577" spans="1:36">
      <c r="A577" s="5">
        <v>586</v>
      </c>
      <c r="B577" s="5" t="s">
        <v>948</v>
      </c>
      <c r="C577" s="5" t="s">
        <v>796</v>
      </c>
      <c r="D577" s="5" t="s">
        <v>893</v>
      </c>
      <c r="E577" s="5" t="s">
        <v>269</v>
      </c>
      <c r="F577" s="5" t="str">
        <f t="shared" si="72"/>
        <v>M and E-Manager</v>
      </c>
      <c r="G577" s="5" t="s">
        <v>270</v>
      </c>
      <c r="H577" s="9">
        <v>44887.41333333333</v>
      </c>
      <c r="I577" s="9">
        <v>44891.41333333333</v>
      </c>
      <c r="J577" s="9" t="e">
        <f>I577+#REF!</f>
        <v>#REF!</v>
      </c>
      <c r="K577" s="9" t="e">
        <f>J577+#REF!</f>
        <v>#REF!</v>
      </c>
      <c r="L577" s="10" t="s">
        <v>41</v>
      </c>
      <c r="M577" s="11">
        <v>44899.41333333333</v>
      </c>
      <c r="N577" s="5" t="s">
        <v>42</v>
      </c>
      <c r="O577" s="5" t="s">
        <v>113</v>
      </c>
      <c r="P577" s="9"/>
      <c r="Q577" s="5"/>
      <c r="R577" s="5"/>
      <c r="S577" s="5"/>
      <c r="T577" s="9">
        <v>44900.41333333333</v>
      </c>
      <c r="U577" s="5"/>
      <c r="V577" s="5">
        <v>0</v>
      </c>
      <c r="W577" s="5"/>
      <c r="X577" s="5"/>
      <c r="Y577" s="5"/>
      <c r="Z577" s="5"/>
      <c r="AA577" s="5" t="s">
        <v>62</v>
      </c>
      <c r="AC577">
        <f t="shared" si="73"/>
        <v>8</v>
      </c>
      <c r="AD577" t="str">
        <f t="shared" si="74"/>
        <v/>
      </c>
      <c r="AE577">
        <f t="shared" si="75"/>
        <v>1</v>
      </c>
      <c r="AF577" t="str">
        <f t="shared" si="76"/>
        <v/>
      </c>
      <c r="AG577" t="str">
        <f t="shared" si="77"/>
        <v/>
      </c>
      <c r="AH577">
        <f t="shared" si="78"/>
        <v>4</v>
      </c>
      <c r="AI577" t="str">
        <f t="shared" si="79"/>
        <v/>
      </c>
      <c r="AJ577" t="str">
        <f t="shared" si="80"/>
        <v/>
      </c>
    </row>
    <row r="578" spans="1:36">
      <c r="A578" s="5">
        <v>587</v>
      </c>
      <c r="B578" s="5" t="s">
        <v>1115</v>
      </c>
      <c r="C578" s="5" t="s">
        <v>796</v>
      </c>
      <c r="D578" s="5" t="s">
        <v>1046</v>
      </c>
      <c r="E578" s="5" t="s">
        <v>597</v>
      </c>
      <c r="F578" s="5" t="str">
        <f t="shared" ref="F578:F641" si="81">_xlfn.CONCAT(C578,"-",E578)</f>
        <v>M and E-Business Partner</v>
      </c>
      <c r="G578" s="5" t="s">
        <v>47</v>
      </c>
      <c r="H578" s="9">
        <v>44891.41333333333</v>
      </c>
      <c r="I578" s="9">
        <v>44895.41333333333</v>
      </c>
      <c r="J578" s="9" t="e">
        <f>I578+#REF!</f>
        <v>#REF!</v>
      </c>
      <c r="K578" s="9" t="e">
        <f>J578+#REF!</f>
        <v>#REF!</v>
      </c>
      <c r="L578" s="10" t="s">
        <v>41</v>
      </c>
      <c r="M578" s="11">
        <v>44905.41333333333</v>
      </c>
      <c r="N578" s="5" t="s">
        <v>48</v>
      </c>
      <c r="O578" s="5"/>
      <c r="P578" s="9">
        <v>44910.41333333333</v>
      </c>
      <c r="Q578" s="5" t="s">
        <v>48</v>
      </c>
      <c r="R578" s="5"/>
      <c r="S578" s="5"/>
      <c r="T578" s="9">
        <v>44907.41333333333</v>
      </c>
      <c r="U578" s="5"/>
      <c r="V578" s="5">
        <v>0</v>
      </c>
      <c r="W578" s="5"/>
      <c r="X578" s="5"/>
      <c r="Y578" s="5"/>
      <c r="Z578" s="5"/>
      <c r="AA578" s="5"/>
      <c r="AC578">
        <f t="shared" ref="AC578:AC641" si="82">IF(AND(ISNUMBER(M578), ISNUMBER(I578)), M578 - I578, "")</f>
        <v>10</v>
      </c>
      <c r="AD578" t="str">
        <f t="shared" si="74"/>
        <v/>
      </c>
      <c r="AE578">
        <f t="shared" si="75"/>
        <v>2</v>
      </c>
      <c r="AF578" t="str">
        <f t="shared" si="76"/>
        <v/>
      </c>
      <c r="AG578" t="str">
        <f t="shared" si="77"/>
        <v/>
      </c>
      <c r="AH578">
        <f t="shared" si="78"/>
        <v>4</v>
      </c>
      <c r="AI578" t="str">
        <f t="shared" si="79"/>
        <v/>
      </c>
      <c r="AJ578" t="str">
        <f t="shared" si="80"/>
        <v/>
      </c>
    </row>
    <row r="579" spans="1:36">
      <c r="A579" s="5">
        <v>588</v>
      </c>
      <c r="B579" s="5" t="s">
        <v>1114</v>
      </c>
      <c r="C579" s="5" t="s">
        <v>796</v>
      </c>
      <c r="D579" s="5" t="s">
        <v>1046</v>
      </c>
      <c r="E579" s="5" t="s">
        <v>597</v>
      </c>
      <c r="F579" s="5" t="str">
        <f t="shared" si="81"/>
        <v>M and E-Business Partner</v>
      </c>
      <c r="G579" s="5" t="s">
        <v>47</v>
      </c>
      <c r="H579" s="9">
        <v>44894.41333333333</v>
      </c>
      <c r="I579" s="9">
        <v>44895.41333333333</v>
      </c>
      <c r="J579" s="9" t="e">
        <f>I579+#REF!</f>
        <v>#REF!</v>
      </c>
      <c r="K579" s="9" t="e">
        <f>J579+#REF!</f>
        <v>#REF!</v>
      </c>
      <c r="L579" s="10" t="s">
        <v>41</v>
      </c>
      <c r="M579" s="11">
        <v>44908.41333333333</v>
      </c>
      <c r="N579" s="5" t="s">
        <v>42</v>
      </c>
      <c r="O579" s="5" t="s">
        <v>58</v>
      </c>
      <c r="P579" s="9"/>
      <c r="Q579" s="5"/>
      <c r="R579" s="5"/>
      <c r="S579" s="5"/>
      <c r="T579" s="9"/>
      <c r="U579" s="5"/>
      <c r="V579" s="5">
        <v>0</v>
      </c>
      <c r="W579" s="5"/>
      <c r="X579" s="5"/>
      <c r="Y579" s="5"/>
      <c r="Z579" s="5"/>
      <c r="AA579" s="5" t="s">
        <v>62</v>
      </c>
      <c r="AC579">
        <f t="shared" si="82"/>
        <v>13</v>
      </c>
      <c r="AD579" t="str">
        <f t="shared" ref="AD579:AD642" si="83">IF(AND(ISNUMBER(S579), ISNUMBER(I579)), S579 - I579, "")</f>
        <v/>
      </c>
      <c r="AE579" t="str">
        <f t="shared" ref="AE579:AE642" si="84">IF(AND(ISNUMBER(T579), ISNUMBER(M579)), T579-M579, "")</f>
        <v/>
      </c>
      <c r="AF579" t="str">
        <f t="shared" ref="AF579:AF642" si="85">IF(AND(ISNUMBER(X579), ISNUMBER(U579)), X579-U579,"")</f>
        <v/>
      </c>
      <c r="AG579" t="str">
        <f t="shared" ref="AG579:AG642" si="86">IF(AND(ISNUMBER(W579), ISNUMBER(U579)), W579-U579, "")</f>
        <v/>
      </c>
      <c r="AH579">
        <f t="shared" ref="AH579:AH642" si="87">IF(AND(ISNUMBER(I579), ISNUMBER(H579)), I579-H579,"")</f>
        <v>1</v>
      </c>
      <c r="AI579" t="str">
        <f t="shared" ref="AI579:AI642" si="88">IF(AND(ISNUMBER(J579),ISNUMBER(K579)),K579-J579,"")</f>
        <v/>
      </c>
      <c r="AJ579" t="str">
        <f t="shared" ref="AJ579:AJ642" si="89">IF(AND(ISNUMBER(J579),ISNUMBER(I579)), J579-I579,"")</f>
        <v/>
      </c>
    </row>
    <row r="580" spans="1:36">
      <c r="A580" s="5">
        <v>589</v>
      </c>
      <c r="B580" s="5" t="s">
        <v>947</v>
      </c>
      <c r="C580" s="5" t="s">
        <v>796</v>
      </c>
      <c r="D580" s="5" t="s">
        <v>893</v>
      </c>
      <c r="E580" s="5" t="s">
        <v>269</v>
      </c>
      <c r="F580" s="5" t="str">
        <f t="shared" si="81"/>
        <v>M and E-Manager</v>
      </c>
      <c r="G580" s="5" t="s">
        <v>270</v>
      </c>
      <c r="H580" s="9">
        <v>44891.41333333333</v>
      </c>
      <c r="I580" s="9">
        <v>44893.41333333333</v>
      </c>
      <c r="J580" s="9" t="e">
        <f>I580+#REF!</f>
        <v>#REF!</v>
      </c>
      <c r="K580" s="9" t="e">
        <f>J580+#REF!</f>
        <v>#REF!</v>
      </c>
      <c r="L580" s="10" t="s">
        <v>41</v>
      </c>
      <c r="M580" s="11">
        <v>44898.41333333333</v>
      </c>
      <c r="N580" s="5" t="s">
        <v>42</v>
      </c>
      <c r="O580" s="5" t="s">
        <v>43</v>
      </c>
      <c r="P580" s="9"/>
      <c r="Q580" s="5"/>
      <c r="R580" s="5"/>
      <c r="S580" s="5"/>
      <c r="T580" s="9"/>
      <c r="U580" s="5"/>
      <c r="V580" s="5">
        <v>0</v>
      </c>
      <c r="W580" s="5"/>
      <c r="X580" s="5"/>
      <c r="Y580" s="5"/>
      <c r="Z580" s="5"/>
      <c r="AA580" s="5" t="s">
        <v>44</v>
      </c>
      <c r="AC580">
        <f t="shared" si="82"/>
        <v>5</v>
      </c>
      <c r="AD580" t="str">
        <f t="shared" si="83"/>
        <v/>
      </c>
      <c r="AE580" t="str">
        <f t="shared" si="84"/>
        <v/>
      </c>
      <c r="AF580" t="str">
        <f t="shared" si="85"/>
        <v/>
      </c>
      <c r="AG580" t="str">
        <f t="shared" si="86"/>
        <v/>
      </c>
      <c r="AH580">
        <f t="shared" si="87"/>
        <v>2</v>
      </c>
      <c r="AI580" t="str">
        <f t="shared" si="88"/>
        <v/>
      </c>
      <c r="AJ580" t="str">
        <f t="shared" si="89"/>
        <v/>
      </c>
    </row>
    <row r="581" spans="1:36">
      <c r="A581" s="5">
        <v>591</v>
      </c>
      <c r="B581" s="5" t="s">
        <v>1686</v>
      </c>
      <c r="C581" s="5" t="s">
        <v>1540</v>
      </c>
      <c r="D581" s="5" t="s">
        <v>1588</v>
      </c>
      <c r="E581" s="5" t="s">
        <v>1360</v>
      </c>
      <c r="F581" s="5" t="str">
        <f t="shared" si="81"/>
        <v>Finance-Fund Administrator</v>
      </c>
      <c r="G581" s="5" t="s">
        <v>147</v>
      </c>
      <c r="H581" s="9">
        <v>44880.821550925924</v>
      </c>
      <c r="I581" s="9">
        <v>44884.821550925924</v>
      </c>
      <c r="J581" s="9" t="e">
        <f>I581+#REF!</f>
        <v>#REF!</v>
      </c>
      <c r="K581" s="9" t="e">
        <f>J581+#REF!</f>
        <v>#REF!</v>
      </c>
      <c r="L581" s="10" t="s">
        <v>41</v>
      </c>
      <c r="M581" s="11">
        <v>44901.821550925924</v>
      </c>
      <c r="N581" s="5" t="s">
        <v>64</v>
      </c>
      <c r="O581" s="5"/>
      <c r="P581" s="9">
        <v>44906.821550925924</v>
      </c>
      <c r="Q581" s="5" t="s">
        <v>64</v>
      </c>
      <c r="R581" s="9">
        <v>44902.821550925924</v>
      </c>
      <c r="S581" s="9">
        <v>44904.821550925924</v>
      </c>
      <c r="T581" s="9">
        <v>44904.821550925924</v>
      </c>
      <c r="U581" s="9">
        <v>44905.821550925924</v>
      </c>
      <c r="V581" s="12">
        <v>1</v>
      </c>
      <c r="W581" s="9">
        <v>44907.821550925924</v>
      </c>
      <c r="X581" s="9">
        <v>44908.821550925924</v>
      </c>
      <c r="Y581" s="9">
        <v>44910.821550925924</v>
      </c>
      <c r="Z581" s="5"/>
      <c r="AA581" s="5"/>
      <c r="AB581" s="13">
        <v>44922.821550925924</v>
      </c>
      <c r="AC581">
        <f t="shared" si="82"/>
        <v>17</v>
      </c>
      <c r="AD581">
        <f t="shared" si="83"/>
        <v>20</v>
      </c>
      <c r="AE581">
        <f t="shared" si="84"/>
        <v>3</v>
      </c>
      <c r="AF581">
        <f t="shared" si="85"/>
        <v>3</v>
      </c>
      <c r="AG581">
        <f t="shared" si="86"/>
        <v>2</v>
      </c>
      <c r="AH581">
        <f t="shared" si="87"/>
        <v>4</v>
      </c>
      <c r="AI581" t="str">
        <f t="shared" si="88"/>
        <v/>
      </c>
      <c r="AJ581" t="str">
        <f t="shared" si="89"/>
        <v/>
      </c>
    </row>
    <row r="582" spans="1:36">
      <c r="A582" s="5">
        <v>592</v>
      </c>
      <c r="B582" s="5" t="s">
        <v>1961</v>
      </c>
      <c r="C582" s="5" t="s">
        <v>1540</v>
      </c>
      <c r="D582" s="5" t="s">
        <v>1925</v>
      </c>
      <c r="E582" s="5" t="s">
        <v>1939</v>
      </c>
      <c r="F582" s="5" t="str">
        <f t="shared" si="81"/>
        <v>Finance-Principal Officer</v>
      </c>
      <c r="G582" s="5" t="s">
        <v>56</v>
      </c>
      <c r="H582" s="9">
        <v>44878.821550925924</v>
      </c>
      <c r="I582" s="9">
        <v>44880.821550925924</v>
      </c>
      <c r="J582" s="9" t="e">
        <f>I582+#REF!</f>
        <v>#REF!</v>
      </c>
      <c r="K582" s="9" t="e">
        <f>J582+#REF!</f>
        <v>#REF!</v>
      </c>
      <c r="L582" s="10" t="s">
        <v>41</v>
      </c>
      <c r="M582" s="11">
        <v>44897.821550925924</v>
      </c>
      <c r="N582" s="5" t="s">
        <v>64</v>
      </c>
      <c r="O582" s="5"/>
      <c r="P582" s="9">
        <v>44902.821550925924</v>
      </c>
      <c r="Q582" s="5" t="s">
        <v>64</v>
      </c>
      <c r="R582" s="9">
        <v>44899.821550925924</v>
      </c>
      <c r="S582" s="9">
        <v>44900.821550925924</v>
      </c>
      <c r="T582" s="9">
        <v>44898.821550925924</v>
      </c>
      <c r="U582" s="9">
        <v>44907.821550925924</v>
      </c>
      <c r="V582" s="12">
        <v>1</v>
      </c>
      <c r="W582" s="9">
        <v>44909.821550925924</v>
      </c>
      <c r="X582" s="9">
        <v>44912.821550925924</v>
      </c>
      <c r="Y582" s="9">
        <v>44914.821550925924</v>
      </c>
      <c r="Z582" s="5"/>
      <c r="AA582" s="5"/>
      <c r="AB582" s="13">
        <v>44935.821550925924</v>
      </c>
      <c r="AC582">
        <f t="shared" si="82"/>
        <v>17</v>
      </c>
      <c r="AD582">
        <f t="shared" si="83"/>
        <v>20</v>
      </c>
      <c r="AE582">
        <f t="shared" si="84"/>
        <v>1</v>
      </c>
      <c r="AF582">
        <f t="shared" si="85"/>
        <v>5</v>
      </c>
      <c r="AG582">
        <f t="shared" si="86"/>
        <v>2</v>
      </c>
      <c r="AH582">
        <f t="shared" si="87"/>
        <v>2</v>
      </c>
      <c r="AI582" t="str">
        <f t="shared" si="88"/>
        <v/>
      </c>
      <c r="AJ582" t="str">
        <f t="shared" si="89"/>
        <v/>
      </c>
    </row>
    <row r="583" spans="1:36">
      <c r="A583" s="5">
        <v>593</v>
      </c>
      <c r="B583" s="5" t="s">
        <v>1960</v>
      </c>
      <c r="C583" s="5" t="s">
        <v>1540</v>
      </c>
      <c r="D583" s="5" t="s">
        <v>1925</v>
      </c>
      <c r="E583" s="5" t="s">
        <v>1939</v>
      </c>
      <c r="F583" s="5" t="str">
        <f t="shared" si="81"/>
        <v>Finance-Principal Officer</v>
      </c>
      <c r="G583" s="5" t="s">
        <v>56</v>
      </c>
      <c r="H583" s="9">
        <v>44877.821550925924</v>
      </c>
      <c r="I583" s="9">
        <v>44881.821550925924</v>
      </c>
      <c r="J583" s="9" t="e">
        <f>I583+#REF!</f>
        <v>#REF!</v>
      </c>
      <c r="K583" s="9" t="e">
        <f>J583+#REF!</f>
        <v>#REF!</v>
      </c>
      <c r="L583" s="10" t="s">
        <v>41</v>
      </c>
      <c r="M583" s="11">
        <v>44892.821550925924</v>
      </c>
      <c r="N583" s="5" t="s">
        <v>64</v>
      </c>
      <c r="O583" s="5"/>
      <c r="P583" s="9">
        <v>44898.821550925924</v>
      </c>
      <c r="Q583" s="5" t="s">
        <v>64</v>
      </c>
      <c r="R583" s="9">
        <v>44894.821550925924</v>
      </c>
      <c r="S583" s="9">
        <v>44896.821550925924</v>
      </c>
      <c r="T583" s="9">
        <v>44896.821550925924</v>
      </c>
      <c r="U583" s="9">
        <v>44900.821550925924</v>
      </c>
      <c r="V583" s="12">
        <v>1</v>
      </c>
      <c r="W583" s="9">
        <v>44901.821550925924</v>
      </c>
      <c r="X583" s="9">
        <v>44902.821550925924</v>
      </c>
      <c r="Y583" s="9">
        <v>44903.821550925924</v>
      </c>
      <c r="Z583" s="5"/>
      <c r="AA583" s="5"/>
      <c r="AB583" s="13">
        <v>44923.821550925924</v>
      </c>
      <c r="AC583">
        <f t="shared" si="82"/>
        <v>11</v>
      </c>
      <c r="AD583">
        <f t="shared" si="83"/>
        <v>15</v>
      </c>
      <c r="AE583">
        <f t="shared" si="84"/>
        <v>4</v>
      </c>
      <c r="AF583">
        <f t="shared" si="85"/>
        <v>2</v>
      </c>
      <c r="AG583">
        <f t="shared" si="86"/>
        <v>1</v>
      </c>
      <c r="AH583">
        <f t="shared" si="87"/>
        <v>4</v>
      </c>
      <c r="AI583" t="str">
        <f t="shared" si="88"/>
        <v/>
      </c>
      <c r="AJ583" t="str">
        <f t="shared" si="89"/>
        <v/>
      </c>
    </row>
    <row r="584" spans="1:36">
      <c r="A584" s="5">
        <v>594</v>
      </c>
      <c r="B584" s="5" t="s">
        <v>1685</v>
      </c>
      <c r="C584" s="5" t="s">
        <v>1540</v>
      </c>
      <c r="D584" s="5" t="s">
        <v>1588</v>
      </c>
      <c r="E584" s="5" t="s">
        <v>1360</v>
      </c>
      <c r="F584" s="5" t="str">
        <f t="shared" si="81"/>
        <v>Finance-Fund Administrator</v>
      </c>
      <c r="G584" s="5" t="s">
        <v>147</v>
      </c>
      <c r="H584" s="9">
        <v>44880.821550925924</v>
      </c>
      <c r="I584" s="9">
        <v>44882.821550925924</v>
      </c>
      <c r="J584" s="9" t="e">
        <f>I584+#REF!</f>
        <v>#REF!</v>
      </c>
      <c r="K584" s="9" t="e">
        <f>J584+#REF!</f>
        <v>#REF!</v>
      </c>
      <c r="L584" s="10" t="s">
        <v>41</v>
      </c>
      <c r="M584" s="11">
        <v>44899.821550925924</v>
      </c>
      <c r="N584" s="5" t="s">
        <v>64</v>
      </c>
      <c r="O584" s="5"/>
      <c r="P584" s="9">
        <v>44904.821550925924</v>
      </c>
      <c r="Q584" s="5" t="s">
        <v>64</v>
      </c>
      <c r="R584" s="9">
        <v>44901.821550925924</v>
      </c>
      <c r="S584" s="9">
        <v>44903.821550925924</v>
      </c>
      <c r="T584" s="9">
        <v>44903.821550925924</v>
      </c>
      <c r="U584" s="9">
        <v>44907.821550925924</v>
      </c>
      <c r="V584" s="12">
        <v>1</v>
      </c>
      <c r="W584" s="9">
        <v>44910.821550925924</v>
      </c>
      <c r="X584" s="9">
        <v>44911.821550925924</v>
      </c>
      <c r="Y584" s="9">
        <v>44913.821550925924</v>
      </c>
      <c r="Z584" s="5"/>
      <c r="AA584" s="5"/>
      <c r="AB584" s="13">
        <v>44921.821550925924</v>
      </c>
      <c r="AC584">
        <f t="shared" si="82"/>
        <v>17</v>
      </c>
      <c r="AD584">
        <f t="shared" si="83"/>
        <v>21</v>
      </c>
      <c r="AE584">
        <f t="shared" si="84"/>
        <v>4</v>
      </c>
      <c r="AF584">
        <f t="shared" si="85"/>
        <v>4</v>
      </c>
      <c r="AG584">
        <f t="shared" si="86"/>
        <v>3</v>
      </c>
      <c r="AH584">
        <f t="shared" si="87"/>
        <v>2</v>
      </c>
      <c r="AI584" t="str">
        <f t="shared" si="88"/>
        <v/>
      </c>
      <c r="AJ584" t="str">
        <f t="shared" si="89"/>
        <v/>
      </c>
    </row>
    <row r="585" spans="1:36">
      <c r="A585" s="5">
        <v>595</v>
      </c>
      <c r="B585" s="5" t="s">
        <v>1796</v>
      </c>
      <c r="C585" s="5" t="s">
        <v>1540</v>
      </c>
      <c r="D585" s="5" t="s">
        <v>1706</v>
      </c>
      <c r="E585" s="5" t="s">
        <v>269</v>
      </c>
      <c r="F585" s="5" t="str">
        <f t="shared" si="81"/>
        <v>Finance-Manager</v>
      </c>
      <c r="G585" s="5" t="s">
        <v>270</v>
      </c>
      <c r="H585" s="9">
        <v>44882.821550925924</v>
      </c>
      <c r="I585" s="9">
        <v>44884.821550925924</v>
      </c>
      <c r="J585" s="9" t="e">
        <f>I585+#REF!</f>
        <v>#REF!</v>
      </c>
      <c r="K585" s="9" t="e">
        <f>J585+#REF!</f>
        <v>#REF!</v>
      </c>
      <c r="L585" s="10" t="s">
        <v>41</v>
      </c>
      <c r="M585" s="11">
        <v>44894.821550925924</v>
      </c>
      <c r="N585" s="5" t="s">
        <v>64</v>
      </c>
      <c r="O585" s="5"/>
      <c r="P585" s="9">
        <v>44897.821550925924</v>
      </c>
      <c r="Q585" s="5" t="s">
        <v>64</v>
      </c>
      <c r="R585" s="9">
        <v>44896.821550925924</v>
      </c>
      <c r="S585" s="9">
        <v>44899.821550925924</v>
      </c>
      <c r="T585" s="9">
        <v>44895.821550925924</v>
      </c>
      <c r="U585" s="9">
        <v>44901.821550925924</v>
      </c>
      <c r="V585" s="12">
        <v>1</v>
      </c>
      <c r="W585" s="9">
        <v>44903.821550925924</v>
      </c>
      <c r="X585" s="9">
        <v>44906.821550925924</v>
      </c>
      <c r="Y585" s="9">
        <v>44909.821550925924</v>
      </c>
      <c r="Z585" s="5"/>
      <c r="AA585" s="5"/>
      <c r="AB585" s="13">
        <v>44920.821550925924</v>
      </c>
      <c r="AC585">
        <f t="shared" si="82"/>
        <v>10</v>
      </c>
      <c r="AD585">
        <f t="shared" si="83"/>
        <v>15</v>
      </c>
      <c r="AE585">
        <f t="shared" si="84"/>
        <v>1</v>
      </c>
      <c r="AF585">
        <f t="shared" si="85"/>
        <v>5</v>
      </c>
      <c r="AG585">
        <f t="shared" si="86"/>
        <v>2</v>
      </c>
      <c r="AH585">
        <f t="shared" si="87"/>
        <v>2</v>
      </c>
      <c r="AI585" t="str">
        <f t="shared" si="88"/>
        <v/>
      </c>
      <c r="AJ585" t="str">
        <f t="shared" si="89"/>
        <v/>
      </c>
    </row>
    <row r="586" spans="1:36">
      <c r="A586" s="5">
        <v>596</v>
      </c>
      <c r="B586" s="5" t="s">
        <v>1959</v>
      </c>
      <c r="C586" s="5" t="s">
        <v>1540</v>
      </c>
      <c r="D586" s="5" t="s">
        <v>1925</v>
      </c>
      <c r="E586" s="5" t="s">
        <v>1939</v>
      </c>
      <c r="F586" s="5" t="str">
        <f t="shared" si="81"/>
        <v>Finance-Principal Officer</v>
      </c>
      <c r="G586" s="5" t="s">
        <v>56</v>
      </c>
      <c r="H586" s="9">
        <v>44878.821550925924</v>
      </c>
      <c r="I586" s="9">
        <v>44881.821550925924</v>
      </c>
      <c r="J586" s="9" t="e">
        <f>I586+#REF!</f>
        <v>#REF!</v>
      </c>
      <c r="K586" s="9" t="e">
        <f>J586+#REF!</f>
        <v>#REF!</v>
      </c>
      <c r="L586" s="10" t="s">
        <v>41</v>
      </c>
      <c r="M586" s="11">
        <v>44895.821550925924</v>
      </c>
      <c r="N586" s="5" t="s">
        <v>64</v>
      </c>
      <c r="O586" s="5"/>
      <c r="P586" s="9">
        <v>44900.821550925924</v>
      </c>
      <c r="Q586" s="5" t="s">
        <v>64</v>
      </c>
      <c r="R586" s="9">
        <v>44897.821550925924</v>
      </c>
      <c r="S586" s="9">
        <v>44898.821550925924</v>
      </c>
      <c r="T586" s="9">
        <v>44898.821550925924</v>
      </c>
      <c r="U586" s="9">
        <v>44907.821550925924</v>
      </c>
      <c r="V586" s="12">
        <v>1</v>
      </c>
      <c r="W586" s="9">
        <v>44909.821550925924</v>
      </c>
      <c r="X586" s="9">
        <v>44910.821550925924</v>
      </c>
      <c r="Y586" s="9">
        <v>44913.821550925924</v>
      </c>
      <c r="Z586" s="5"/>
      <c r="AA586" s="5"/>
      <c r="AB586" s="13">
        <v>44928.821550925924</v>
      </c>
      <c r="AC586">
        <f t="shared" si="82"/>
        <v>14</v>
      </c>
      <c r="AD586">
        <f t="shared" si="83"/>
        <v>17</v>
      </c>
      <c r="AE586">
        <f t="shared" si="84"/>
        <v>3</v>
      </c>
      <c r="AF586">
        <f t="shared" si="85"/>
        <v>3</v>
      </c>
      <c r="AG586">
        <f t="shared" si="86"/>
        <v>2</v>
      </c>
      <c r="AH586">
        <f t="shared" si="87"/>
        <v>3</v>
      </c>
      <c r="AI586" t="str">
        <f t="shared" si="88"/>
        <v/>
      </c>
      <c r="AJ586" t="str">
        <f t="shared" si="89"/>
        <v/>
      </c>
    </row>
    <row r="587" spans="1:36">
      <c r="A587" s="5">
        <v>597</v>
      </c>
      <c r="B587" s="5" t="s">
        <v>1684</v>
      </c>
      <c r="C587" s="5" t="s">
        <v>1540</v>
      </c>
      <c r="D587" s="5" t="s">
        <v>1588</v>
      </c>
      <c r="E587" s="5" t="s">
        <v>1360</v>
      </c>
      <c r="F587" s="5" t="str">
        <f t="shared" si="81"/>
        <v>Finance-Fund Administrator</v>
      </c>
      <c r="G587" s="5" t="s">
        <v>147</v>
      </c>
      <c r="H587" s="9">
        <v>44878.821550925924</v>
      </c>
      <c r="I587" s="9">
        <v>44880.821550925924</v>
      </c>
      <c r="J587" s="9" t="e">
        <f>I587+#REF!</f>
        <v>#REF!</v>
      </c>
      <c r="K587" s="9" t="e">
        <f>J587+#REF!</f>
        <v>#REF!</v>
      </c>
      <c r="L587" s="10" t="s">
        <v>52</v>
      </c>
      <c r="M587" s="11"/>
      <c r="N587" s="5"/>
      <c r="O587" s="5"/>
      <c r="P587" s="9"/>
      <c r="Q587" s="5"/>
      <c r="R587" s="5"/>
      <c r="S587" s="5"/>
      <c r="T587" s="9"/>
      <c r="U587" s="5"/>
      <c r="V587" s="5">
        <v>0</v>
      </c>
      <c r="W587" s="5"/>
      <c r="X587" s="5"/>
      <c r="Y587" s="5"/>
      <c r="Z587" s="5"/>
      <c r="AA587" s="5"/>
      <c r="AC587" t="str">
        <f t="shared" si="82"/>
        <v/>
      </c>
      <c r="AD587" t="str">
        <f t="shared" si="83"/>
        <v/>
      </c>
      <c r="AE587" t="str">
        <f t="shared" si="84"/>
        <v/>
      </c>
      <c r="AF587" t="str">
        <f t="shared" si="85"/>
        <v/>
      </c>
      <c r="AG587" t="str">
        <f t="shared" si="86"/>
        <v/>
      </c>
      <c r="AH587">
        <f t="shared" si="87"/>
        <v>2</v>
      </c>
      <c r="AI587" t="str">
        <f t="shared" si="88"/>
        <v/>
      </c>
      <c r="AJ587" t="str">
        <f t="shared" si="89"/>
        <v/>
      </c>
    </row>
    <row r="588" spans="1:36">
      <c r="A588" s="5">
        <v>598</v>
      </c>
      <c r="B588" s="5" t="s">
        <v>1958</v>
      </c>
      <c r="C588" s="5" t="s">
        <v>1540</v>
      </c>
      <c r="D588" s="5" t="s">
        <v>1925</v>
      </c>
      <c r="E588" s="5" t="s">
        <v>1939</v>
      </c>
      <c r="F588" s="5" t="str">
        <f t="shared" si="81"/>
        <v>Finance-Principal Officer</v>
      </c>
      <c r="G588" s="5" t="s">
        <v>56</v>
      </c>
      <c r="H588" s="9">
        <v>44880.821550925924</v>
      </c>
      <c r="I588" s="9">
        <v>44884.821550925924</v>
      </c>
      <c r="J588" s="9" t="e">
        <f>I588+#REF!</f>
        <v>#REF!</v>
      </c>
      <c r="K588" s="9" t="e">
        <f>J588+#REF!</f>
        <v>#REF!</v>
      </c>
      <c r="L588" s="10" t="s">
        <v>41</v>
      </c>
      <c r="M588" s="11">
        <v>44892.821550925924</v>
      </c>
      <c r="N588" s="5" t="s">
        <v>64</v>
      </c>
      <c r="O588" s="5"/>
      <c r="P588" s="9">
        <v>44895.821550925924</v>
      </c>
      <c r="Q588" s="5" t="s">
        <v>64</v>
      </c>
      <c r="R588" s="9">
        <v>44894.821550925924</v>
      </c>
      <c r="S588" s="9">
        <v>44895.821550925924</v>
      </c>
      <c r="T588" s="9">
        <v>44893.821550925924</v>
      </c>
      <c r="U588" s="9">
        <v>44898.821550925924</v>
      </c>
      <c r="V588" s="12">
        <v>1</v>
      </c>
      <c r="W588" s="9">
        <v>44902.821550925924</v>
      </c>
      <c r="X588" s="9">
        <v>44905.821550925924</v>
      </c>
      <c r="Y588" s="9">
        <v>44907.821550925924</v>
      </c>
      <c r="Z588" s="5"/>
      <c r="AA588" s="5"/>
      <c r="AB588" s="13">
        <v>44919.821550925924</v>
      </c>
      <c r="AC588">
        <f t="shared" si="82"/>
        <v>8</v>
      </c>
      <c r="AD588">
        <f t="shared" si="83"/>
        <v>11</v>
      </c>
      <c r="AE588">
        <f t="shared" si="84"/>
        <v>1</v>
      </c>
      <c r="AF588">
        <f t="shared" si="85"/>
        <v>7</v>
      </c>
      <c r="AG588">
        <f t="shared" si="86"/>
        <v>4</v>
      </c>
      <c r="AH588">
        <f t="shared" si="87"/>
        <v>4</v>
      </c>
      <c r="AI588" t="str">
        <f t="shared" si="88"/>
        <v/>
      </c>
      <c r="AJ588" t="str">
        <f t="shared" si="89"/>
        <v/>
      </c>
    </row>
    <row r="589" spans="1:36">
      <c r="A589" s="5">
        <v>599</v>
      </c>
      <c r="B589" s="5" t="s">
        <v>1906</v>
      </c>
      <c r="C589" s="5" t="s">
        <v>1540</v>
      </c>
      <c r="D589" s="5" t="s">
        <v>1820</v>
      </c>
      <c r="E589" s="5" t="s">
        <v>1862</v>
      </c>
      <c r="F589" s="5" t="str">
        <f t="shared" si="81"/>
        <v>Finance-Billing Officer</v>
      </c>
      <c r="G589" s="5" t="s">
        <v>40</v>
      </c>
      <c r="H589" s="9">
        <v>44881.821550925924</v>
      </c>
      <c r="I589" s="9">
        <v>44883.821550925924</v>
      </c>
      <c r="J589" s="9" t="e">
        <f>I589+#REF!</f>
        <v>#REF!</v>
      </c>
      <c r="K589" s="9" t="e">
        <f>J589+#REF!</f>
        <v>#REF!</v>
      </c>
      <c r="L589" s="10" t="s">
        <v>41</v>
      </c>
      <c r="M589" s="11">
        <v>44899.821550925924</v>
      </c>
      <c r="N589" s="5" t="s">
        <v>42</v>
      </c>
      <c r="O589" s="5" t="s">
        <v>43</v>
      </c>
      <c r="P589" s="9"/>
      <c r="Q589" s="5"/>
      <c r="R589" s="5"/>
      <c r="S589" s="5"/>
      <c r="T589" s="9"/>
      <c r="U589" s="5"/>
      <c r="V589" s="5">
        <v>0</v>
      </c>
      <c r="W589" s="5"/>
      <c r="X589" s="5"/>
      <c r="Y589" s="5"/>
      <c r="Z589" s="5"/>
      <c r="AA589" s="5" t="s">
        <v>62</v>
      </c>
      <c r="AC589">
        <f t="shared" si="82"/>
        <v>16</v>
      </c>
      <c r="AD589" t="str">
        <f t="shared" si="83"/>
        <v/>
      </c>
      <c r="AE589" t="str">
        <f t="shared" si="84"/>
        <v/>
      </c>
      <c r="AF589" t="str">
        <f t="shared" si="85"/>
        <v/>
      </c>
      <c r="AG589" t="str">
        <f t="shared" si="86"/>
        <v/>
      </c>
      <c r="AH589">
        <f t="shared" si="87"/>
        <v>2</v>
      </c>
      <c r="AI589" t="str">
        <f t="shared" si="88"/>
        <v/>
      </c>
      <c r="AJ589" t="str">
        <f t="shared" si="89"/>
        <v/>
      </c>
    </row>
    <row r="590" spans="1:36">
      <c r="A590" s="5">
        <v>600</v>
      </c>
      <c r="B590" s="5" t="s">
        <v>1795</v>
      </c>
      <c r="C590" s="5" t="s">
        <v>1540</v>
      </c>
      <c r="D590" s="5" t="s">
        <v>1706</v>
      </c>
      <c r="E590" s="5" t="s">
        <v>269</v>
      </c>
      <c r="F590" s="5" t="str">
        <f t="shared" si="81"/>
        <v>Finance-Manager</v>
      </c>
      <c r="G590" s="5" t="s">
        <v>270</v>
      </c>
      <c r="H590" s="9">
        <v>44877.821550925924</v>
      </c>
      <c r="I590" s="9">
        <v>44881.821550925924</v>
      </c>
      <c r="J590" s="9" t="e">
        <f>I590+#REF!</f>
        <v>#REF!</v>
      </c>
      <c r="K590" s="9" t="e">
        <f>J590+#REF!</f>
        <v>#REF!</v>
      </c>
      <c r="L590" s="10" t="s">
        <v>41</v>
      </c>
      <c r="M590" s="11">
        <v>44891.821550925924</v>
      </c>
      <c r="N590" s="5" t="s">
        <v>42</v>
      </c>
      <c r="O590" s="5" t="s">
        <v>113</v>
      </c>
      <c r="P590" s="9"/>
      <c r="Q590" s="5"/>
      <c r="R590" s="5"/>
      <c r="S590" s="5"/>
      <c r="T590" s="9"/>
      <c r="U590" s="5"/>
      <c r="V590" s="5">
        <v>0</v>
      </c>
      <c r="W590" s="5"/>
      <c r="X590" s="5"/>
      <c r="Y590" s="5"/>
      <c r="Z590" s="5"/>
      <c r="AA590" s="5" t="s">
        <v>62</v>
      </c>
      <c r="AC590">
        <f t="shared" si="82"/>
        <v>10</v>
      </c>
      <c r="AD590" t="str">
        <f t="shared" si="83"/>
        <v/>
      </c>
      <c r="AE590" t="str">
        <f t="shared" si="84"/>
        <v/>
      </c>
      <c r="AF590" t="str">
        <f t="shared" si="85"/>
        <v/>
      </c>
      <c r="AG590" t="str">
        <f t="shared" si="86"/>
        <v/>
      </c>
      <c r="AH590">
        <f t="shared" si="87"/>
        <v>4</v>
      </c>
      <c r="AI590" t="str">
        <f t="shared" si="88"/>
        <v/>
      </c>
      <c r="AJ590" t="str">
        <f t="shared" si="89"/>
        <v/>
      </c>
    </row>
    <row r="591" spans="1:36">
      <c r="A591" s="5">
        <v>601</v>
      </c>
      <c r="B591" s="5" t="s">
        <v>1905</v>
      </c>
      <c r="C591" s="5" t="s">
        <v>1540</v>
      </c>
      <c r="D591" s="5" t="s">
        <v>1820</v>
      </c>
      <c r="E591" s="5" t="s">
        <v>1862</v>
      </c>
      <c r="F591" s="5" t="str">
        <f t="shared" si="81"/>
        <v>Finance-Billing Officer</v>
      </c>
      <c r="G591" s="5" t="s">
        <v>40</v>
      </c>
      <c r="H591" s="9">
        <v>44569.309340277781</v>
      </c>
      <c r="I591" s="9">
        <v>44572.309340277781</v>
      </c>
      <c r="J591" s="9" t="e">
        <f>I591+#REF!</f>
        <v>#REF!</v>
      </c>
      <c r="K591" s="9" t="e">
        <f>J591+#REF!</f>
        <v>#REF!</v>
      </c>
      <c r="L591" s="10" t="s">
        <v>52</v>
      </c>
      <c r="M591" s="11"/>
      <c r="N591" s="5"/>
      <c r="O591" s="5"/>
      <c r="P591" s="9"/>
      <c r="Q591" s="5"/>
      <c r="R591" s="5"/>
      <c r="S591" s="5"/>
      <c r="T591" s="9"/>
      <c r="U591" s="5"/>
      <c r="V591" s="5">
        <v>0</v>
      </c>
      <c r="W591" s="5"/>
      <c r="X591" s="5"/>
      <c r="Y591" s="5"/>
      <c r="Z591" s="5"/>
      <c r="AA591" s="5"/>
      <c r="AC591" t="str">
        <f t="shared" si="82"/>
        <v/>
      </c>
      <c r="AD591" t="str">
        <f t="shared" si="83"/>
        <v/>
      </c>
      <c r="AE591" t="str">
        <f t="shared" si="84"/>
        <v/>
      </c>
      <c r="AF591" t="str">
        <f t="shared" si="85"/>
        <v/>
      </c>
      <c r="AG591" t="str">
        <f t="shared" si="86"/>
        <v/>
      </c>
      <c r="AH591">
        <f t="shared" si="87"/>
        <v>3</v>
      </c>
      <c r="AI591" t="str">
        <f t="shared" si="88"/>
        <v/>
      </c>
      <c r="AJ591" t="str">
        <f t="shared" si="89"/>
        <v/>
      </c>
    </row>
    <row r="592" spans="1:36">
      <c r="A592" s="5">
        <v>602</v>
      </c>
      <c r="B592" s="5" t="s">
        <v>1957</v>
      </c>
      <c r="C592" s="5" t="s">
        <v>1540</v>
      </c>
      <c r="D592" s="5" t="s">
        <v>1925</v>
      </c>
      <c r="E592" s="5" t="s">
        <v>1939</v>
      </c>
      <c r="F592" s="5" t="str">
        <f t="shared" si="81"/>
        <v>Finance-Principal Officer</v>
      </c>
      <c r="G592" s="5" t="s">
        <v>56</v>
      </c>
      <c r="H592" s="9">
        <v>44571.309340277781</v>
      </c>
      <c r="I592" s="9">
        <v>44574.309340277781</v>
      </c>
      <c r="J592" s="9" t="e">
        <f>I592+#REF!</f>
        <v>#REF!</v>
      </c>
      <c r="K592" s="9" t="e">
        <f>J592+#REF!</f>
        <v>#REF!</v>
      </c>
      <c r="L592" s="10" t="s">
        <v>41</v>
      </c>
      <c r="M592" s="11">
        <v>44586.309340277781</v>
      </c>
      <c r="N592" s="5" t="s">
        <v>48</v>
      </c>
      <c r="O592" s="5"/>
      <c r="P592" s="9">
        <v>44591.309340277781</v>
      </c>
      <c r="Q592" s="5" t="s">
        <v>48</v>
      </c>
      <c r="R592" s="5"/>
      <c r="S592" s="5"/>
      <c r="T592" s="9">
        <v>44588.309340277781</v>
      </c>
      <c r="U592" s="5"/>
      <c r="V592" s="5">
        <v>0</v>
      </c>
      <c r="W592" s="5"/>
      <c r="X592" s="5"/>
      <c r="Y592" s="5"/>
      <c r="Z592" s="5"/>
      <c r="AA592" s="5"/>
      <c r="AC592">
        <f t="shared" si="82"/>
        <v>12</v>
      </c>
      <c r="AD592" t="str">
        <f t="shared" si="83"/>
        <v/>
      </c>
      <c r="AE592">
        <f t="shared" si="84"/>
        <v>2</v>
      </c>
      <c r="AF592" t="str">
        <f t="shared" si="85"/>
        <v/>
      </c>
      <c r="AG592" t="str">
        <f t="shared" si="86"/>
        <v/>
      </c>
      <c r="AH592">
        <f t="shared" si="87"/>
        <v>3</v>
      </c>
      <c r="AI592" t="str">
        <f t="shared" si="88"/>
        <v/>
      </c>
      <c r="AJ592" t="str">
        <f t="shared" si="89"/>
        <v/>
      </c>
    </row>
    <row r="593" spans="1:36">
      <c r="A593" s="5">
        <v>603</v>
      </c>
      <c r="B593" s="5" t="s">
        <v>1956</v>
      </c>
      <c r="C593" s="5" t="s">
        <v>1540</v>
      </c>
      <c r="D593" s="5" t="s">
        <v>1925</v>
      </c>
      <c r="E593" s="5" t="s">
        <v>1939</v>
      </c>
      <c r="F593" s="5" t="str">
        <f t="shared" si="81"/>
        <v>Finance-Principal Officer</v>
      </c>
      <c r="G593" s="5" t="s">
        <v>56</v>
      </c>
      <c r="H593" s="9">
        <v>44572.309340277781</v>
      </c>
      <c r="I593" s="9">
        <v>44573.309340277781</v>
      </c>
      <c r="J593" s="9" t="e">
        <f>I593+#REF!</f>
        <v>#REF!</v>
      </c>
      <c r="K593" s="9" t="e">
        <f>J593+#REF!</f>
        <v>#REF!</v>
      </c>
      <c r="L593" s="10" t="s">
        <v>41</v>
      </c>
      <c r="M593" s="11">
        <v>44589.309340277781</v>
      </c>
      <c r="N593" s="5" t="s">
        <v>64</v>
      </c>
      <c r="O593" s="5"/>
      <c r="P593" s="9">
        <v>44597.309340277781</v>
      </c>
      <c r="Q593" s="5" t="s">
        <v>64</v>
      </c>
      <c r="R593" s="9">
        <v>44590.309340277781</v>
      </c>
      <c r="S593" s="9">
        <v>44592.309340277781</v>
      </c>
      <c r="T593" s="9">
        <v>44593.309340277781</v>
      </c>
      <c r="U593" s="9">
        <v>44601.309340277781</v>
      </c>
      <c r="V593" s="12">
        <v>1</v>
      </c>
      <c r="W593" s="9">
        <v>44603.309340277781</v>
      </c>
      <c r="X593" s="9">
        <v>44604.309340277781</v>
      </c>
      <c r="Y593" s="9">
        <v>44606.309340277781</v>
      </c>
      <c r="Z593" s="5"/>
      <c r="AA593" s="5"/>
      <c r="AB593" s="13">
        <v>44617.309340277781</v>
      </c>
      <c r="AC593">
        <f t="shared" si="82"/>
        <v>16</v>
      </c>
      <c r="AD593">
        <f t="shared" si="83"/>
        <v>19</v>
      </c>
      <c r="AE593">
        <f t="shared" si="84"/>
        <v>4</v>
      </c>
      <c r="AF593">
        <f t="shared" si="85"/>
        <v>3</v>
      </c>
      <c r="AG593">
        <f t="shared" si="86"/>
        <v>2</v>
      </c>
      <c r="AH593">
        <f t="shared" si="87"/>
        <v>1</v>
      </c>
      <c r="AI593" t="str">
        <f t="shared" si="88"/>
        <v/>
      </c>
      <c r="AJ593" t="str">
        <f t="shared" si="89"/>
        <v/>
      </c>
    </row>
    <row r="594" spans="1:36">
      <c r="A594" s="5">
        <v>604</v>
      </c>
      <c r="B594" s="5" t="s">
        <v>1955</v>
      </c>
      <c r="C594" s="5" t="s">
        <v>1540</v>
      </c>
      <c r="D594" s="5" t="s">
        <v>1925</v>
      </c>
      <c r="E594" s="5" t="s">
        <v>1939</v>
      </c>
      <c r="F594" s="5" t="str">
        <f t="shared" si="81"/>
        <v>Finance-Principal Officer</v>
      </c>
      <c r="G594" s="5" t="s">
        <v>56</v>
      </c>
      <c r="H594" s="9">
        <v>44568.309340277781</v>
      </c>
      <c r="I594" s="9">
        <v>44571.309340277781</v>
      </c>
      <c r="J594" s="9" t="e">
        <f>I594+#REF!</f>
        <v>#REF!</v>
      </c>
      <c r="K594" s="9" t="e">
        <f>J594+#REF!</f>
        <v>#REF!</v>
      </c>
      <c r="L594" s="10" t="s">
        <v>41</v>
      </c>
      <c r="M594" s="11">
        <v>44588.309340277781</v>
      </c>
      <c r="N594" s="5" t="s">
        <v>167</v>
      </c>
      <c r="O594" s="5"/>
      <c r="P594" s="9">
        <v>44594.309340277781</v>
      </c>
      <c r="Q594" s="5" t="s">
        <v>167</v>
      </c>
      <c r="R594" s="5"/>
      <c r="S594" s="5"/>
      <c r="T594" s="9">
        <v>44591.309340277781</v>
      </c>
      <c r="U594" s="5"/>
      <c r="V594" s="5">
        <v>0</v>
      </c>
      <c r="W594" s="5"/>
      <c r="X594" s="5"/>
      <c r="Y594" s="5"/>
      <c r="Z594" s="5"/>
      <c r="AA594" s="5"/>
      <c r="AC594">
        <f t="shared" si="82"/>
        <v>17</v>
      </c>
      <c r="AD594" t="str">
        <f t="shared" si="83"/>
        <v/>
      </c>
      <c r="AE594">
        <f t="shared" si="84"/>
        <v>3</v>
      </c>
      <c r="AF594" t="str">
        <f t="shared" si="85"/>
        <v/>
      </c>
      <c r="AG594" t="str">
        <f t="shared" si="86"/>
        <v/>
      </c>
      <c r="AH594">
        <f t="shared" si="87"/>
        <v>3</v>
      </c>
      <c r="AI594" t="str">
        <f t="shared" si="88"/>
        <v/>
      </c>
      <c r="AJ594" t="str">
        <f t="shared" si="89"/>
        <v/>
      </c>
    </row>
    <row r="595" spans="1:36">
      <c r="A595" s="5">
        <v>605</v>
      </c>
      <c r="B595" s="5" t="s">
        <v>1683</v>
      </c>
      <c r="C595" s="5" t="s">
        <v>1540</v>
      </c>
      <c r="D595" s="5" t="s">
        <v>1588</v>
      </c>
      <c r="E595" s="5" t="s">
        <v>1360</v>
      </c>
      <c r="F595" s="5" t="str">
        <f t="shared" si="81"/>
        <v>Finance-Fund Administrator</v>
      </c>
      <c r="G595" s="5" t="s">
        <v>147</v>
      </c>
      <c r="H595" s="9">
        <v>44567.309340277781</v>
      </c>
      <c r="I595" s="9">
        <v>44571.309340277781</v>
      </c>
      <c r="J595" s="9" t="e">
        <f>I595+#REF!</f>
        <v>#REF!</v>
      </c>
      <c r="K595" s="9" t="e">
        <f>J595+#REF!</f>
        <v>#REF!</v>
      </c>
      <c r="L595" s="10" t="s">
        <v>41</v>
      </c>
      <c r="M595" s="11">
        <v>44590.309340277781</v>
      </c>
      <c r="N595" s="5" t="s">
        <v>64</v>
      </c>
      <c r="O595" s="5"/>
      <c r="P595" s="9">
        <v>44595.309340277781</v>
      </c>
      <c r="Q595" s="5" t="s">
        <v>64</v>
      </c>
      <c r="R595" s="9">
        <v>44592.309340277781</v>
      </c>
      <c r="S595" s="9">
        <v>44593.309340277781</v>
      </c>
      <c r="T595" s="9">
        <v>44593.309340277781</v>
      </c>
      <c r="U595" s="9">
        <v>44602.309340277781</v>
      </c>
      <c r="V595" s="12">
        <v>1</v>
      </c>
      <c r="W595" s="9">
        <v>44605.309340277781</v>
      </c>
      <c r="X595" s="9">
        <v>44608.309340277781</v>
      </c>
      <c r="Y595" s="9">
        <v>44611.309340277781</v>
      </c>
      <c r="Z595" s="5"/>
      <c r="AA595" s="5"/>
      <c r="AB595" s="13">
        <v>44618.309340277781</v>
      </c>
      <c r="AC595">
        <f t="shared" si="82"/>
        <v>19</v>
      </c>
      <c r="AD595">
        <f t="shared" si="83"/>
        <v>22</v>
      </c>
      <c r="AE595">
        <f t="shared" si="84"/>
        <v>3</v>
      </c>
      <c r="AF595">
        <f t="shared" si="85"/>
        <v>6</v>
      </c>
      <c r="AG595">
        <f t="shared" si="86"/>
        <v>3</v>
      </c>
      <c r="AH595">
        <f t="shared" si="87"/>
        <v>4</v>
      </c>
      <c r="AI595" t="str">
        <f t="shared" si="88"/>
        <v/>
      </c>
      <c r="AJ595" t="str">
        <f t="shared" si="89"/>
        <v/>
      </c>
    </row>
    <row r="596" spans="1:36">
      <c r="A596" s="5">
        <v>606</v>
      </c>
      <c r="B596" s="5" t="s">
        <v>1682</v>
      </c>
      <c r="C596" s="5" t="s">
        <v>1540</v>
      </c>
      <c r="D596" s="5" t="s">
        <v>1588</v>
      </c>
      <c r="E596" s="5" t="s">
        <v>1360</v>
      </c>
      <c r="F596" s="5" t="str">
        <f t="shared" si="81"/>
        <v>Finance-Fund Administrator</v>
      </c>
      <c r="G596" s="5" t="s">
        <v>147</v>
      </c>
      <c r="H596" s="9">
        <v>44572.309340277781</v>
      </c>
      <c r="I596" s="9">
        <v>44575.309340277781</v>
      </c>
      <c r="J596" s="9" t="e">
        <f>I596+#REF!</f>
        <v>#REF!</v>
      </c>
      <c r="K596" s="9" t="e">
        <f>J596+#REF!</f>
        <v>#REF!</v>
      </c>
      <c r="L596" s="10" t="s">
        <v>52</v>
      </c>
      <c r="M596" s="11"/>
      <c r="N596" s="5"/>
      <c r="O596" s="5"/>
      <c r="P596" s="9"/>
      <c r="Q596" s="5"/>
      <c r="R596" s="5"/>
      <c r="S596" s="5"/>
      <c r="T596" s="9"/>
      <c r="U596" s="5"/>
      <c r="V596" s="5">
        <v>0</v>
      </c>
      <c r="W596" s="5"/>
      <c r="X596" s="5"/>
      <c r="Y596" s="5"/>
      <c r="Z596" s="5"/>
      <c r="AA596" s="5"/>
      <c r="AC596" t="str">
        <f t="shared" si="82"/>
        <v/>
      </c>
      <c r="AD596" t="str">
        <f t="shared" si="83"/>
        <v/>
      </c>
      <c r="AE596" t="str">
        <f t="shared" si="84"/>
        <v/>
      </c>
      <c r="AF596" t="str">
        <f t="shared" si="85"/>
        <v/>
      </c>
      <c r="AG596" t="str">
        <f t="shared" si="86"/>
        <v/>
      </c>
      <c r="AH596">
        <f t="shared" si="87"/>
        <v>3</v>
      </c>
      <c r="AI596" t="str">
        <f t="shared" si="88"/>
        <v/>
      </c>
      <c r="AJ596" t="str">
        <f t="shared" si="89"/>
        <v/>
      </c>
    </row>
    <row r="597" spans="1:36">
      <c r="A597" s="5">
        <v>607</v>
      </c>
      <c r="B597" s="5" t="s">
        <v>1904</v>
      </c>
      <c r="C597" s="5" t="s">
        <v>1540</v>
      </c>
      <c r="D597" s="5" t="s">
        <v>1820</v>
      </c>
      <c r="E597" s="5" t="s">
        <v>1862</v>
      </c>
      <c r="F597" s="5" t="str">
        <f t="shared" si="81"/>
        <v>Finance-Billing Officer</v>
      </c>
      <c r="G597" s="5" t="s">
        <v>40</v>
      </c>
      <c r="H597" s="9">
        <v>44569.309340277781</v>
      </c>
      <c r="I597" s="9">
        <v>44571.309340277781</v>
      </c>
      <c r="J597" s="9" t="e">
        <f>I597+#REF!</f>
        <v>#REF!</v>
      </c>
      <c r="K597" s="9" t="e">
        <f>J597+#REF!</f>
        <v>#REF!</v>
      </c>
      <c r="L597" s="10" t="s">
        <v>41</v>
      </c>
      <c r="M597" s="11">
        <v>44581.309340277781</v>
      </c>
      <c r="N597" s="5" t="s">
        <v>48</v>
      </c>
      <c r="O597" s="5"/>
      <c r="P597" s="9">
        <v>44588.309340277781</v>
      </c>
      <c r="Q597" s="5" t="s">
        <v>48</v>
      </c>
      <c r="R597" s="5"/>
      <c r="S597" s="5"/>
      <c r="T597" s="9">
        <v>44584.309340277781</v>
      </c>
      <c r="U597" s="5"/>
      <c r="V597" s="5">
        <v>0</v>
      </c>
      <c r="W597" s="5"/>
      <c r="X597" s="5"/>
      <c r="Y597" s="5"/>
      <c r="Z597" s="5"/>
      <c r="AA597" s="5"/>
      <c r="AC597">
        <f t="shared" si="82"/>
        <v>10</v>
      </c>
      <c r="AD597" t="str">
        <f t="shared" si="83"/>
        <v/>
      </c>
      <c r="AE597">
        <f t="shared" si="84"/>
        <v>3</v>
      </c>
      <c r="AF597" t="str">
        <f t="shared" si="85"/>
        <v/>
      </c>
      <c r="AG597" t="str">
        <f t="shared" si="86"/>
        <v/>
      </c>
      <c r="AH597">
        <f t="shared" si="87"/>
        <v>2</v>
      </c>
      <c r="AI597" t="str">
        <f t="shared" si="88"/>
        <v/>
      </c>
      <c r="AJ597" t="str">
        <f t="shared" si="89"/>
        <v/>
      </c>
    </row>
    <row r="598" spans="1:36">
      <c r="A598" s="5">
        <v>608</v>
      </c>
      <c r="B598" s="5" t="s">
        <v>1681</v>
      </c>
      <c r="C598" s="5" t="s">
        <v>1540</v>
      </c>
      <c r="D598" s="5" t="s">
        <v>1588</v>
      </c>
      <c r="E598" s="5" t="s">
        <v>1360</v>
      </c>
      <c r="F598" s="5" t="str">
        <f t="shared" si="81"/>
        <v>Finance-Fund Administrator</v>
      </c>
      <c r="G598" s="5" t="s">
        <v>147</v>
      </c>
      <c r="H598" s="9">
        <v>44571.309340277781</v>
      </c>
      <c r="I598" s="9">
        <v>44574.309340277781</v>
      </c>
      <c r="J598" s="9" t="e">
        <f>I598+#REF!</f>
        <v>#REF!</v>
      </c>
      <c r="K598" s="9" t="e">
        <f>J598+#REF!</f>
        <v>#REF!</v>
      </c>
      <c r="L598" s="10" t="s">
        <v>52</v>
      </c>
      <c r="M598" s="11"/>
      <c r="N598" s="5"/>
      <c r="O598" s="5"/>
      <c r="P598" s="9"/>
      <c r="Q598" s="5"/>
      <c r="R598" s="5"/>
      <c r="S598" s="5"/>
      <c r="T598" s="9"/>
      <c r="U598" s="5"/>
      <c r="V598" s="5">
        <v>0</v>
      </c>
      <c r="W598" s="5"/>
      <c r="X598" s="5"/>
      <c r="Y598" s="5"/>
      <c r="Z598" s="5"/>
      <c r="AA598" s="5"/>
      <c r="AC598" t="str">
        <f t="shared" si="82"/>
        <v/>
      </c>
      <c r="AD598" t="str">
        <f t="shared" si="83"/>
        <v/>
      </c>
      <c r="AE598" t="str">
        <f t="shared" si="84"/>
        <v/>
      </c>
      <c r="AF598" t="str">
        <f t="shared" si="85"/>
        <v/>
      </c>
      <c r="AG598" t="str">
        <f t="shared" si="86"/>
        <v/>
      </c>
      <c r="AH598">
        <f t="shared" si="87"/>
        <v>3</v>
      </c>
      <c r="AI598" t="str">
        <f t="shared" si="88"/>
        <v/>
      </c>
      <c r="AJ598" t="str">
        <f t="shared" si="89"/>
        <v/>
      </c>
    </row>
    <row r="599" spans="1:36">
      <c r="A599" s="5">
        <v>609</v>
      </c>
      <c r="B599" s="5" t="s">
        <v>1794</v>
      </c>
      <c r="C599" s="5" t="s">
        <v>1540</v>
      </c>
      <c r="D599" s="5" t="s">
        <v>1706</v>
      </c>
      <c r="E599" s="5" t="s">
        <v>269</v>
      </c>
      <c r="F599" s="5" t="str">
        <f t="shared" si="81"/>
        <v>Finance-Manager</v>
      </c>
      <c r="G599" s="5" t="s">
        <v>270</v>
      </c>
      <c r="H599" s="9">
        <v>44571.309340277781</v>
      </c>
      <c r="I599" s="9">
        <v>44573.309340277781</v>
      </c>
      <c r="J599" s="9" t="e">
        <f>I599+#REF!</f>
        <v>#REF!</v>
      </c>
      <c r="K599" s="9" t="e">
        <f>J599+#REF!</f>
        <v>#REF!</v>
      </c>
      <c r="L599" s="10" t="s">
        <v>41</v>
      </c>
      <c r="M599" s="11">
        <v>44589.309340277781</v>
      </c>
      <c r="N599" s="5" t="s">
        <v>48</v>
      </c>
      <c r="O599" s="5"/>
      <c r="P599" s="9">
        <v>44595.309340277781</v>
      </c>
      <c r="Q599" s="5" t="s">
        <v>48</v>
      </c>
      <c r="R599" s="5"/>
      <c r="S599" s="5"/>
      <c r="T599" s="9">
        <v>44591.309340277781</v>
      </c>
      <c r="U599" s="5"/>
      <c r="V599" s="5">
        <v>0</v>
      </c>
      <c r="W599" s="5"/>
      <c r="X599" s="5"/>
      <c r="Y599" s="5"/>
      <c r="Z599" s="5"/>
      <c r="AA599" s="5"/>
      <c r="AC599">
        <f t="shared" si="82"/>
        <v>16</v>
      </c>
      <c r="AD599" t="str">
        <f t="shared" si="83"/>
        <v/>
      </c>
      <c r="AE599">
        <f t="shared" si="84"/>
        <v>2</v>
      </c>
      <c r="AF599" t="str">
        <f t="shared" si="85"/>
        <v/>
      </c>
      <c r="AG599" t="str">
        <f t="shared" si="86"/>
        <v/>
      </c>
      <c r="AH599">
        <f t="shared" si="87"/>
        <v>2</v>
      </c>
      <c r="AI599" t="str">
        <f t="shared" si="88"/>
        <v/>
      </c>
      <c r="AJ599" t="str">
        <f t="shared" si="89"/>
        <v/>
      </c>
    </row>
    <row r="600" spans="1:36">
      <c r="A600" s="5">
        <v>610</v>
      </c>
      <c r="B600" s="5" t="s">
        <v>2067</v>
      </c>
      <c r="C600" s="5" t="s">
        <v>1540</v>
      </c>
      <c r="D600" s="5" t="s">
        <v>1985</v>
      </c>
      <c r="E600" s="5" t="s">
        <v>1862</v>
      </c>
      <c r="F600" s="5" t="str">
        <f t="shared" si="81"/>
        <v>Finance-Billing Officer</v>
      </c>
      <c r="G600" s="5" t="s">
        <v>47</v>
      </c>
      <c r="H600" s="9">
        <v>44568.309340277781</v>
      </c>
      <c r="I600" s="9">
        <v>44571.309340277781</v>
      </c>
      <c r="J600" s="9" t="e">
        <f>I600+#REF!</f>
        <v>#REF!</v>
      </c>
      <c r="K600" s="9" t="e">
        <f>J600+#REF!</f>
        <v>#REF!</v>
      </c>
      <c r="L600" s="10" t="s">
        <v>41</v>
      </c>
      <c r="M600" s="11">
        <v>44587.309340277781</v>
      </c>
      <c r="N600" s="5" t="s">
        <v>42</v>
      </c>
      <c r="O600" s="5" t="s">
        <v>73</v>
      </c>
      <c r="P600" s="9"/>
      <c r="Q600" s="5"/>
      <c r="R600" s="5"/>
      <c r="S600" s="5"/>
      <c r="T600" s="9">
        <v>44590.309340277781</v>
      </c>
      <c r="U600" s="5"/>
      <c r="V600" s="5">
        <v>0</v>
      </c>
      <c r="W600" s="5"/>
      <c r="X600" s="5"/>
      <c r="Y600" s="5"/>
      <c r="Z600" s="5"/>
      <c r="AA600" s="5" t="s">
        <v>62</v>
      </c>
      <c r="AC600">
        <f t="shared" si="82"/>
        <v>16</v>
      </c>
      <c r="AD600" t="str">
        <f t="shared" si="83"/>
        <v/>
      </c>
      <c r="AE600">
        <f t="shared" si="84"/>
        <v>3</v>
      </c>
      <c r="AF600" t="str">
        <f t="shared" si="85"/>
        <v/>
      </c>
      <c r="AG600" t="str">
        <f t="shared" si="86"/>
        <v/>
      </c>
      <c r="AH600">
        <f t="shared" si="87"/>
        <v>3</v>
      </c>
      <c r="AI600" t="str">
        <f t="shared" si="88"/>
        <v/>
      </c>
      <c r="AJ600" t="str">
        <f t="shared" si="89"/>
        <v/>
      </c>
    </row>
    <row r="601" spans="1:36">
      <c r="A601" s="5">
        <v>612</v>
      </c>
      <c r="B601" s="5" t="s">
        <v>654</v>
      </c>
      <c r="C601" s="5" t="s">
        <v>100</v>
      </c>
      <c r="D601" s="5" t="s">
        <v>554</v>
      </c>
      <c r="E601" s="5" t="s">
        <v>597</v>
      </c>
      <c r="F601" s="5" t="str">
        <f t="shared" si="81"/>
        <v>Program Office-Business Partner</v>
      </c>
      <c r="G601" s="5" t="s">
        <v>47</v>
      </c>
      <c r="H601" s="9">
        <v>45155.885648148149</v>
      </c>
      <c r="I601" s="9">
        <v>45156.885648148149</v>
      </c>
      <c r="J601" s="9" t="e">
        <f>I601+#REF!</f>
        <v>#REF!</v>
      </c>
      <c r="K601" s="9" t="e">
        <f>J601+#REF!</f>
        <v>#REF!</v>
      </c>
      <c r="L601" s="10" t="s">
        <v>41</v>
      </c>
      <c r="M601" s="11">
        <v>45174.885648148149</v>
      </c>
      <c r="N601" s="5" t="s">
        <v>42</v>
      </c>
      <c r="O601" s="5" t="s">
        <v>43</v>
      </c>
      <c r="P601" s="9"/>
      <c r="Q601" s="5"/>
      <c r="R601" s="5"/>
      <c r="S601" s="5"/>
      <c r="T601" s="9">
        <v>45177.885648148149</v>
      </c>
      <c r="U601" s="5"/>
      <c r="V601" s="5">
        <v>0</v>
      </c>
      <c r="W601" s="5"/>
      <c r="X601" s="5"/>
      <c r="Y601" s="5"/>
      <c r="Z601" s="5"/>
      <c r="AA601" s="5" t="s">
        <v>44</v>
      </c>
      <c r="AC601">
        <f t="shared" si="82"/>
        <v>18</v>
      </c>
      <c r="AD601" t="str">
        <f t="shared" si="83"/>
        <v/>
      </c>
      <c r="AE601">
        <f t="shared" si="84"/>
        <v>3</v>
      </c>
      <c r="AF601" t="str">
        <f t="shared" si="85"/>
        <v/>
      </c>
      <c r="AG601" t="str">
        <f t="shared" si="86"/>
        <v/>
      </c>
      <c r="AH601">
        <f t="shared" si="87"/>
        <v>1</v>
      </c>
      <c r="AI601" t="str">
        <f t="shared" si="88"/>
        <v/>
      </c>
      <c r="AJ601" t="str">
        <f t="shared" si="89"/>
        <v/>
      </c>
    </row>
    <row r="602" spans="1:36">
      <c r="A602" s="5">
        <v>613</v>
      </c>
      <c r="B602" s="5" t="s">
        <v>368</v>
      </c>
      <c r="C602" s="5" t="s">
        <v>100</v>
      </c>
      <c r="D602" s="5" t="s">
        <v>268</v>
      </c>
      <c r="E602" s="5" t="s">
        <v>291</v>
      </c>
      <c r="F602" s="5" t="str">
        <f t="shared" si="81"/>
        <v>Program Office-Cordination Manager</v>
      </c>
      <c r="G602" s="5" t="s">
        <v>270</v>
      </c>
      <c r="H602" s="9">
        <v>45152.885648148149</v>
      </c>
      <c r="I602" s="9">
        <v>45155.885648148149</v>
      </c>
      <c r="J602" s="9" t="e">
        <f>I602+#REF!</f>
        <v>#REF!</v>
      </c>
      <c r="K602" s="9" t="e">
        <f>J602+#REF!</f>
        <v>#REF!</v>
      </c>
      <c r="L602" s="10" t="s">
        <v>41</v>
      </c>
      <c r="M602" s="11">
        <v>45177.885648148149</v>
      </c>
      <c r="N602" s="5" t="s">
        <v>64</v>
      </c>
      <c r="O602" s="5"/>
      <c r="P602" s="9">
        <v>45182.885648148149</v>
      </c>
      <c r="Q602" s="5" t="s">
        <v>64</v>
      </c>
      <c r="R602" s="9">
        <v>45178.885648148149</v>
      </c>
      <c r="S602" s="9">
        <v>45181.885648148149</v>
      </c>
      <c r="T602" s="9">
        <v>45180.885648148149</v>
      </c>
      <c r="U602" s="9">
        <v>45190.885648148149</v>
      </c>
      <c r="V602" s="12">
        <v>1</v>
      </c>
      <c r="W602" s="9">
        <v>45194.885648148149</v>
      </c>
      <c r="X602" s="9">
        <v>45195.885648148149</v>
      </c>
      <c r="Y602" s="9">
        <v>45197.885648148149</v>
      </c>
      <c r="Z602" s="5"/>
      <c r="AA602" s="5"/>
      <c r="AB602" s="13">
        <v>45210.885648148149</v>
      </c>
      <c r="AC602">
        <f t="shared" si="82"/>
        <v>22</v>
      </c>
      <c r="AD602">
        <f t="shared" si="83"/>
        <v>26</v>
      </c>
      <c r="AE602">
        <f t="shared" si="84"/>
        <v>3</v>
      </c>
      <c r="AF602">
        <f t="shared" si="85"/>
        <v>5</v>
      </c>
      <c r="AG602">
        <f t="shared" si="86"/>
        <v>4</v>
      </c>
      <c r="AH602">
        <f t="shared" si="87"/>
        <v>3</v>
      </c>
      <c r="AI602" t="str">
        <f t="shared" si="88"/>
        <v/>
      </c>
      <c r="AJ602" t="str">
        <f t="shared" si="89"/>
        <v/>
      </c>
    </row>
    <row r="603" spans="1:36">
      <c r="A603" s="5">
        <v>614</v>
      </c>
      <c r="B603" s="5" t="s">
        <v>367</v>
      </c>
      <c r="C603" s="5" t="s">
        <v>100</v>
      </c>
      <c r="D603" s="5" t="s">
        <v>268</v>
      </c>
      <c r="E603" s="5" t="s">
        <v>291</v>
      </c>
      <c r="F603" s="5" t="str">
        <f t="shared" si="81"/>
        <v>Program Office-Cordination Manager</v>
      </c>
      <c r="G603" s="5" t="s">
        <v>270</v>
      </c>
      <c r="H603" s="9">
        <v>45156.885648148149</v>
      </c>
      <c r="I603" s="9">
        <v>45157.885648148149</v>
      </c>
      <c r="J603" s="9" t="e">
        <f>I603+#REF!</f>
        <v>#REF!</v>
      </c>
      <c r="K603" s="9" t="e">
        <f>J603+#REF!</f>
        <v>#REF!</v>
      </c>
      <c r="L603" s="10" t="s">
        <v>41</v>
      </c>
      <c r="M603" s="11">
        <v>45165.885648148149</v>
      </c>
      <c r="N603" s="5" t="s">
        <v>64</v>
      </c>
      <c r="O603" s="5"/>
      <c r="P603" s="9">
        <v>45170.885648148149</v>
      </c>
      <c r="Q603" s="5" t="s">
        <v>64</v>
      </c>
      <c r="R603" s="9">
        <v>45167.885648148149</v>
      </c>
      <c r="S603" s="9">
        <v>45170.885648148149</v>
      </c>
      <c r="T603" s="9">
        <v>45168.885648148149</v>
      </c>
      <c r="U603" s="9">
        <v>45173.885648148149</v>
      </c>
      <c r="V603" s="12">
        <v>1</v>
      </c>
      <c r="W603" s="9">
        <v>45177.885648148149</v>
      </c>
      <c r="X603" s="9">
        <v>45179.885648148149</v>
      </c>
      <c r="Y603" s="9">
        <v>45180.885648148149</v>
      </c>
      <c r="Z603" s="5"/>
      <c r="AA603" s="5"/>
      <c r="AB603" s="13">
        <v>45195.885648148149</v>
      </c>
      <c r="AC603">
        <f t="shared" si="82"/>
        <v>8</v>
      </c>
      <c r="AD603">
        <f t="shared" si="83"/>
        <v>13</v>
      </c>
      <c r="AE603">
        <f t="shared" si="84"/>
        <v>3</v>
      </c>
      <c r="AF603">
        <f t="shared" si="85"/>
        <v>6</v>
      </c>
      <c r="AG603">
        <f t="shared" si="86"/>
        <v>4</v>
      </c>
      <c r="AH603">
        <f t="shared" si="87"/>
        <v>1</v>
      </c>
      <c r="AI603" t="str">
        <f t="shared" si="88"/>
        <v/>
      </c>
      <c r="AJ603" t="str">
        <f t="shared" si="89"/>
        <v/>
      </c>
    </row>
    <row r="604" spans="1:36">
      <c r="A604" s="5">
        <v>617</v>
      </c>
      <c r="B604" s="5" t="s">
        <v>366</v>
      </c>
      <c r="C604" s="5" t="s">
        <v>100</v>
      </c>
      <c r="D604" s="5" t="s">
        <v>268</v>
      </c>
      <c r="E604" s="5" t="s">
        <v>291</v>
      </c>
      <c r="F604" s="5" t="str">
        <f t="shared" si="81"/>
        <v>Program Office-Cordination Manager</v>
      </c>
      <c r="G604" s="5" t="s">
        <v>270</v>
      </c>
      <c r="H604" s="9">
        <v>45154.885648148149</v>
      </c>
      <c r="I604" s="9">
        <v>45157.885648148149</v>
      </c>
      <c r="J604" s="9" t="e">
        <f>I604+#REF!</f>
        <v>#REF!</v>
      </c>
      <c r="K604" s="9" t="e">
        <f>J604+#REF!</f>
        <v>#REF!</v>
      </c>
      <c r="L604" s="10" t="s">
        <v>41</v>
      </c>
      <c r="M604" s="11">
        <v>45178.885648148149</v>
      </c>
      <c r="N604" s="5" t="s">
        <v>64</v>
      </c>
      <c r="O604" s="5"/>
      <c r="P604" s="9">
        <v>45184.885648148149</v>
      </c>
      <c r="Q604" s="5" t="s">
        <v>64</v>
      </c>
      <c r="R604" s="9">
        <v>45179.885648148149</v>
      </c>
      <c r="S604" s="9">
        <v>45180.885648148149</v>
      </c>
      <c r="T604" s="9">
        <v>45180.885648148149</v>
      </c>
      <c r="U604" s="9">
        <v>45182.885648148149</v>
      </c>
      <c r="V604" s="12">
        <v>1</v>
      </c>
      <c r="W604" s="9">
        <v>45185.885648148149</v>
      </c>
      <c r="X604" s="9">
        <v>45186.885648148149</v>
      </c>
      <c r="Y604" s="9">
        <v>45188.885648148149</v>
      </c>
      <c r="Z604" s="5"/>
      <c r="AA604" s="5"/>
      <c r="AB604" s="13">
        <v>45205.885648148149</v>
      </c>
      <c r="AC604">
        <f t="shared" si="82"/>
        <v>21</v>
      </c>
      <c r="AD604">
        <f t="shared" si="83"/>
        <v>23</v>
      </c>
      <c r="AE604">
        <f t="shared" si="84"/>
        <v>2</v>
      </c>
      <c r="AF604">
        <f t="shared" si="85"/>
        <v>4</v>
      </c>
      <c r="AG604">
        <f t="shared" si="86"/>
        <v>3</v>
      </c>
      <c r="AH604">
        <f t="shared" si="87"/>
        <v>3</v>
      </c>
      <c r="AI604" t="str">
        <f t="shared" si="88"/>
        <v/>
      </c>
      <c r="AJ604" t="str">
        <f t="shared" si="89"/>
        <v/>
      </c>
    </row>
    <row r="605" spans="1:36">
      <c r="A605" s="5">
        <v>618</v>
      </c>
      <c r="B605" s="5" t="s">
        <v>534</v>
      </c>
      <c r="C605" s="5" t="s">
        <v>100</v>
      </c>
      <c r="D605" s="5" t="s">
        <v>506</v>
      </c>
      <c r="E605" s="5" t="s">
        <v>69</v>
      </c>
      <c r="F605" s="5" t="str">
        <f t="shared" si="81"/>
        <v>Program Office-Head of Department</v>
      </c>
      <c r="G605" s="5" t="s">
        <v>56</v>
      </c>
      <c r="H605" s="9">
        <v>45156.885648148149</v>
      </c>
      <c r="I605" s="9">
        <v>45158.885648148149</v>
      </c>
      <c r="J605" s="9" t="e">
        <f>I605+#REF!</f>
        <v>#REF!</v>
      </c>
      <c r="K605" s="9" t="e">
        <f>J605+#REF!</f>
        <v>#REF!</v>
      </c>
      <c r="L605" s="10" t="s">
        <v>41</v>
      </c>
      <c r="M605" s="11">
        <v>45172.885648148149</v>
      </c>
      <c r="N605" s="5" t="s">
        <v>64</v>
      </c>
      <c r="O605" s="5"/>
      <c r="P605" s="9">
        <v>45175.885648148149</v>
      </c>
      <c r="Q605" s="5" t="s">
        <v>64</v>
      </c>
      <c r="R605" s="9">
        <v>45174.885648148149</v>
      </c>
      <c r="S605" s="9">
        <v>45175.885648148149</v>
      </c>
      <c r="T605" s="9">
        <v>45173.885648148149</v>
      </c>
      <c r="U605" s="9">
        <v>45174.885648148149</v>
      </c>
      <c r="V605" s="12">
        <v>1</v>
      </c>
      <c r="W605" s="9">
        <v>45178.885648148149</v>
      </c>
      <c r="X605" s="9">
        <v>45179.885648148149</v>
      </c>
      <c r="Y605" s="9">
        <v>45180.885648148149</v>
      </c>
      <c r="Z605" s="5"/>
      <c r="AA605" s="5"/>
      <c r="AB605" s="13">
        <v>45199.885648148149</v>
      </c>
      <c r="AC605">
        <f t="shared" si="82"/>
        <v>14</v>
      </c>
      <c r="AD605">
        <f t="shared" si="83"/>
        <v>17</v>
      </c>
      <c r="AE605">
        <f t="shared" si="84"/>
        <v>1</v>
      </c>
      <c r="AF605">
        <f t="shared" si="85"/>
        <v>5</v>
      </c>
      <c r="AG605">
        <f t="shared" si="86"/>
        <v>4</v>
      </c>
      <c r="AH605">
        <f t="shared" si="87"/>
        <v>2</v>
      </c>
      <c r="AI605" t="str">
        <f t="shared" si="88"/>
        <v/>
      </c>
      <c r="AJ605" t="str">
        <f t="shared" si="89"/>
        <v/>
      </c>
    </row>
    <row r="606" spans="1:36">
      <c r="A606" s="5">
        <v>621</v>
      </c>
      <c r="B606" s="5" t="s">
        <v>2474</v>
      </c>
      <c r="C606" s="5" t="s">
        <v>2229</v>
      </c>
      <c r="D606" s="5" t="s">
        <v>2445</v>
      </c>
      <c r="E606" s="5" t="s">
        <v>388</v>
      </c>
      <c r="F606" s="5" t="str">
        <f t="shared" si="81"/>
        <v>Capacity Building-Extension Officer</v>
      </c>
      <c r="G606" s="5" t="s">
        <v>47</v>
      </c>
      <c r="H606" s="9">
        <v>44992.828541666669</v>
      </c>
      <c r="I606" s="9">
        <v>44995.828541666669</v>
      </c>
      <c r="J606" s="9" t="e">
        <f>I606+#REF!</f>
        <v>#REF!</v>
      </c>
      <c r="K606" s="9" t="e">
        <f>J606+#REF!</f>
        <v>#REF!</v>
      </c>
      <c r="L606" s="10" t="s">
        <v>41</v>
      </c>
      <c r="M606" s="11">
        <v>45005.828541666669</v>
      </c>
      <c r="N606" s="5" t="s">
        <v>64</v>
      </c>
      <c r="O606" s="5"/>
      <c r="P606" s="9">
        <v>45010.828541666669</v>
      </c>
      <c r="Q606" s="5" t="s">
        <v>64</v>
      </c>
      <c r="R606" s="9">
        <v>45006.828541666669</v>
      </c>
      <c r="S606" s="9">
        <v>45009.828541666669</v>
      </c>
      <c r="T606" s="9">
        <v>45008.828541666669</v>
      </c>
      <c r="U606" s="9">
        <v>45012.828541666669</v>
      </c>
      <c r="V606" s="12">
        <v>1</v>
      </c>
      <c r="W606" s="9">
        <v>45013.828541666669</v>
      </c>
      <c r="X606" s="9">
        <v>45016.828541666669</v>
      </c>
      <c r="Y606" s="9">
        <v>45019.828541666669</v>
      </c>
      <c r="Z606" s="5"/>
      <c r="AA606" s="5"/>
      <c r="AB606" s="13">
        <v>45037.828541666669</v>
      </c>
      <c r="AC606">
        <f t="shared" si="82"/>
        <v>10</v>
      </c>
      <c r="AD606">
        <f t="shared" si="83"/>
        <v>14</v>
      </c>
      <c r="AE606">
        <f t="shared" si="84"/>
        <v>3</v>
      </c>
      <c r="AF606">
        <f t="shared" si="85"/>
        <v>4</v>
      </c>
      <c r="AG606">
        <f t="shared" si="86"/>
        <v>1</v>
      </c>
      <c r="AH606">
        <f t="shared" si="87"/>
        <v>3</v>
      </c>
      <c r="AI606" t="str">
        <f t="shared" si="88"/>
        <v/>
      </c>
      <c r="AJ606" t="str">
        <f t="shared" si="89"/>
        <v/>
      </c>
    </row>
    <row r="607" spans="1:36">
      <c r="A607" s="5">
        <v>622</v>
      </c>
      <c r="B607" s="5" t="s">
        <v>2333</v>
      </c>
      <c r="C607" s="5" t="s">
        <v>2229</v>
      </c>
      <c r="D607" s="5" t="s">
        <v>2302</v>
      </c>
      <c r="E607" s="5" t="s">
        <v>269</v>
      </c>
      <c r="F607" s="5" t="str">
        <f t="shared" si="81"/>
        <v>Capacity Building-Manager</v>
      </c>
      <c r="G607" s="5" t="s">
        <v>270</v>
      </c>
      <c r="H607" s="9">
        <v>44992.828541666669</v>
      </c>
      <c r="I607" s="9">
        <v>44996.828541666669</v>
      </c>
      <c r="J607" s="9" t="e">
        <f>I607+#REF!</f>
        <v>#REF!</v>
      </c>
      <c r="K607" s="9" t="e">
        <f>J607+#REF!</f>
        <v>#REF!</v>
      </c>
      <c r="L607" s="10" t="s">
        <v>41</v>
      </c>
      <c r="M607" s="11">
        <v>45004.828541666669</v>
      </c>
      <c r="N607" s="5" t="s">
        <v>48</v>
      </c>
      <c r="O607" s="5"/>
      <c r="P607" s="9">
        <v>45009.828541666669</v>
      </c>
      <c r="Q607" s="5" t="s">
        <v>48</v>
      </c>
      <c r="R607" s="5"/>
      <c r="S607" s="5"/>
      <c r="T607" s="9">
        <v>45008.828541666669</v>
      </c>
      <c r="U607" s="5"/>
      <c r="V607" s="5">
        <v>0</v>
      </c>
      <c r="W607" s="5"/>
      <c r="X607" s="5"/>
      <c r="Y607" s="5"/>
      <c r="Z607" s="5"/>
      <c r="AA607" s="5"/>
      <c r="AC607">
        <f t="shared" si="82"/>
        <v>8</v>
      </c>
      <c r="AD607" t="str">
        <f t="shared" si="83"/>
        <v/>
      </c>
      <c r="AE607">
        <f t="shared" si="84"/>
        <v>4</v>
      </c>
      <c r="AF607" t="str">
        <f t="shared" si="85"/>
        <v/>
      </c>
      <c r="AG607" t="str">
        <f t="shared" si="86"/>
        <v/>
      </c>
      <c r="AH607">
        <f t="shared" si="87"/>
        <v>4</v>
      </c>
      <c r="AI607" t="str">
        <f t="shared" si="88"/>
        <v/>
      </c>
      <c r="AJ607" t="str">
        <f t="shared" si="89"/>
        <v/>
      </c>
    </row>
    <row r="608" spans="1:36">
      <c r="A608" s="5">
        <v>623</v>
      </c>
      <c r="B608" s="5" t="s">
        <v>2332</v>
      </c>
      <c r="C608" s="5" t="s">
        <v>2229</v>
      </c>
      <c r="D608" s="5" t="s">
        <v>2302</v>
      </c>
      <c r="E608" s="5" t="s">
        <v>269</v>
      </c>
      <c r="F608" s="5" t="str">
        <f t="shared" si="81"/>
        <v>Capacity Building-Manager</v>
      </c>
      <c r="G608" s="5" t="s">
        <v>270</v>
      </c>
      <c r="H608" s="9">
        <v>44991.828541666669</v>
      </c>
      <c r="I608" s="9">
        <v>44994.828541666669</v>
      </c>
      <c r="J608" s="9" t="e">
        <f>I608+#REF!</f>
        <v>#REF!</v>
      </c>
      <c r="K608" s="9" t="e">
        <f>J608+#REF!</f>
        <v>#REF!</v>
      </c>
      <c r="L608" s="10" t="s">
        <v>41</v>
      </c>
      <c r="M608" s="11">
        <v>45007.828541666669</v>
      </c>
      <c r="N608" s="5" t="s">
        <v>48</v>
      </c>
      <c r="O608" s="5"/>
      <c r="P608" s="9">
        <v>45012.828541666669</v>
      </c>
      <c r="Q608" s="5" t="s">
        <v>48</v>
      </c>
      <c r="R608" s="5"/>
      <c r="S608" s="5"/>
      <c r="T608" s="9">
        <v>45009.828541666669</v>
      </c>
      <c r="U608" s="5"/>
      <c r="V608" s="5">
        <v>0</v>
      </c>
      <c r="W608" s="5"/>
      <c r="X608" s="5"/>
      <c r="Y608" s="5"/>
      <c r="Z608" s="5"/>
      <c r="AA608" s="5"/>
      <c r="AC608">
        <f t="shared" si="82"/>
        <v>13</v>
      </c>
      <c r="AD608" t="str">
        <f t="shared" si="83"/>
        <v/>
      </c>
      <c r="AE608">
        <f t="shared" si="84"/>
        <v>2</v>
      </c>
      <c r="AF608" t="str">
        <f t="shared" si="85"/>
        <v/>
      </c>
      <c r="AG608" t="str">
        <f t="shared" si="86"/>
        <v/>
      </c>
      <c r="AH608">
        <f t="shared" si="87"/>
        <v>3</v>
      </c>
      <c r="AI608" t="str">
        <f t="shared" si="88"/>
        <v/>
      </c>
      <c r="AJ608" t="str">
        <f t="shared" si="89"/>
        <v/>
      </c>
    </row>
    <row r="609" spans="1:36">
      <c r="A609" s="5">
        <v>624</v>
      </c>
      <c r="B609" s="5" t="s">
        <v>2277</v>
      </c>
      <c r="C609" s="5" t="s">
        <v>2229</v>
      </c>
      <c r="D609" s="5" t="s">
        <v>2250</v>
      </c>
      <c r="E609" s="5" t="s">
        <v>1146</v>
      </c>
      <c r="F609" s="5" t="str">
        <f t="shared" si="81"/>
        <v>Capacity Building-Quality Assurance</v>
      </c>
      <c r="G609" s="5" t="s">
        <v>147</v>
      </c>
      <c r="H609" s="9">
        <v>44992.828541666669</v>
      </c>
      <c r="I609" s="9">
        <v>44994.828541666669</v>
      </c>
      <c r="J609" s="9" t="e">
        <f>I609+#REF!</f>
        <v>#REF!</v>
      </c>
      <c r="K609" s="9" t="e">
        <f>J609+#REF!</f>
        <v>#REF!</v>
      </c>
      <c r="L609" s="10" t="s">
        <v>41</v>
      </c>
      <c r="M609" s="11">
        <v>45008.828541666669</v>
      </c>
      <c r="N609" s="5" t="s">
        <v>64</v>
      </c>
      <c r="O609" s="5"/>
      <c r="P609" s="9">
        <v>45016.828541666669</v>
      </c>
      <c r="Q609" s="5" t="s">
        <v>64</v>
      </c>
      <c r="R609" s="9">
        <v>45010.828541666669</v>
      </c>
      <c r="S609" s="9">
        <v>45013.828541666669</v>
      </c>
      <c r="T609" s="9">
        <v>45012.828541666669</v>
      </c>
      <c r="U609" s="9">
        <v>45015.828541666669</v>
      </c>
      <c r="V609" s="12">
        <v>1</v>
      </c>
      <c r="W609" s="9">
        <v>45019.828541666669</v>
      </c>
      <c r="X609" s="9">
        <v>45020.828541666669</v>
      </c>
      <c r="Y609" s="9">
        <v>45021.828541666669</v>
      </c>
      <c r="Z609" s="5"/>
      <c r="AA609" s="5"/>
      <c r="AB609" s="13">
        <v>45039.828541666669</v>
      </c>
      <c r="AC609">
        <f t="shared" si="82"/>
        <v>14</v>
      </c>
      <c r="AD609">
        <f t="shared" si="83"/>
        <v>19</v>
      </c>
      <c r="AE609">
        <f t="shared" si="84"/>
        <v>4</v>
      </c>
      <c r="AF609">
        <f t="shared" si="85"/>
        <v>5</v>
      </c>
      <c r="AG609">
        <f t="shared" si="86"/>
        <v>4</v>
      </c>
      <c r="AH609">
        <f t="shared" si="87"/>
        <v>2</v>
      </c>
      <c r="AI609" t="str">
        <f t="shared" si="88"/>
        <v/>
      </c>
      <c r="AJ609" t="str">
        <f t="shared" si="89"/>
        <v/>
      </c>
    </row>
    <row r="610" spans="1:36">
      <c r="A610" s="5">
        <v>625</v>
      </c>
      <c r="B610" s="5" t="s">
        <v>2276</v>
      </c>
      <c r="C610" s="5" t="s">
        <v>2229</v>
      </c>
      <c r="D610" s="5" t="s">
        <v>2250</v>
      </c>
      <c r="E610" s="5" t="s">
        <v>1146</v>
      </c>
      <c r="F610" s="5" t="str">
        <f t="shared" si="81"/>
        <v>Capacity Building-Quality Assurance</v>
      </c>
      <c r="G610" s="5" t="s">
        <v>147</v>
      </c>
      <c r="H610" s="9">
        <v>44994.828541666669</v>
      </c>
      <c r="I610" s="9">
        <v>44997.828541666669</v>
      </c>
      <c r="J610" s="9" t="e">
        <f>I610+#REF!</f>
        <v>#REF!</v>
      </c>
      <c r="K610" s="9" t="e">
        <f>J610+#REF!</f>
        <v>#REF!</v>
      </c>
      <c r="L610" s="10" t="s">
        <v>41</v>
      </c>
      <c r="M610" s="11">
        <v>45013.828541666669</v>
      </c>
      <c r="N610" s="5" t="s">
        <v>48</v>
      </c>
      <c r="O610" s="5"/>
      <c r="P610" s="9">
        <v>45018.828541666669</v>
      </c>
      <c r="Q610" s="5" t="s">
        <v>48</v>
      </c>
      <c r="R610" s="5"/>
      <c r="S610" s="5"/>
      <c r="T610" s="9">
        <v>45016.828541666669</v>
      </c>
      <c r="U610" s="5"/>
      <c r="V610" s="5">
        <v>0</v>
      </c>
      <c r="W610" s="5"/>
      <c r="X610" s="5"/>
      <c r="Y610" s="5"/>
      <c r="Z610" s="5"/>
      <c r="AA610" s="5"/>
      <c r="AC610">
        <f t="shared" si="82"/>
        <v>16</v>
      </c>
      <c r="AD610" t="str">
        <f t="shared" si="83"/>
        <v/>
      </c>
      <c r="AE610">
        <f t="shared" si="84"/>
        <v>3</v>
      </c>
      <c r="AF610" t="str">
        <f t="shared" si="85"/>
        <v/>
      </c>
      <c r="AG610" t="str">
        <f t="shared" si="86"/>
        <v/>
      </c>
      <c r="AH610">
        <f t="shared" si="87"/>
        <v>3</v>
      </c>
      <c r="AI610" t="str">
        <f t="shared" si="88"/>
        <v/>
      </c>
      <c r="AJ610" t="str">
        <f t="shared" si="89"/>
        <v/>
      </c>
    </row>
    <row r="611" spans="1:36">
      <c r="A611" s="5">
        <v>626</v>
      </c>
      <c r="B611" s="5" t="s">
        <v>2380</v>
      </c>
      <c r="C611" s="5" t="s">
        <v>2229</v>
      </c>
      <c r="D611" s="5" t="s">
        <v>2350</v>
      </c>
      <c r="E611" s="5" t="s">
        <v>2351</v>
      </c>
      <c r="F611" s="5" t="str">
        <f t="shared" si="81"/>
        <v>Capacity Building-Training Associate</v>
      </c>
      <c r="G611" s="5" t="s">
        <v>40</v>
      </c>
      <c r="H611" s="9">
        <v>44995.828541666669</v>
      </c>
      <c r="I611" s="9">
        <v>44996.828541666669</v>
      </c>
      <c r="J611" s="9" t="e">
        <f>I611+#REF!</f>
        <v>#REF!</v>
      </c>
      <c r="K611" s="9" t="e">
        <f>J611+#REF!</f>
        <v>#REF!</v>
      </c>
      <c r="L611" s="10" t="s">
        <v>41</v>
      </c>
      <c r="M611" s="11">
        <v>45015.828541666669</v>
      </c>
      <c r="N611" s="5" t="s">
        <v>42</v>
      </c>
      <c r="O611" s="5" t="s">
        <v>113</v>
      </c>
      <c r="P611" s="9"/>
      <c r="Q611" s="5"/>
      <c r="R611" s="5"/>
      <c r="S611" s="5"/>
      <c r="T611" s="9"/>
      <c r="U611" s="5"/>
      <c r="V611" s="5">
        <v>0</v>
      </c>
      <c r="W611" s="5"/>
      <c r="X611" s="5"/>
      <c r="Y611" s="5"/>
      <c r="Z611" s="5"/>
      <c r="AA611" s="5" t="s">
        <v>44</v>
      </c>
      <c r="AC611">
        <f t="shared" si="82"/>
        <v>19</v>
      </c>
      <c r="AD611" t="str">
        <f t="shared" si="83"/>
        <v/>
      </c>
      <c r="AE611" t="str">
        <f t="shared" si="84"/>
        <v/>
      </c>
      <c r="AF611" t="str">
        <f t="shared" si="85"/>
        <v/>
      </c>
      <c r="AG611" t="str">
        <f t="shared" si="86"/>
        <v/>
      </c>
      <c r="AH611">
        <f t="shared" si="87"/>
        <v>1</v>
      </c>
      <c r="AI611" t="str">
        <f t="shared" si="88"/>
        <v/>
      </c>
      <c r="AJ611" t="str">
        <f t="shared" si="89"/>
        <v/>
      </c>
    </row>
    <row r="612" spans="1:36">
      <c r="A612" s="5">
        <v>627</v>
      </c>
      <c r="B612" s="5" t="s">
        <v>2473</v>
      </c>
      <c r="C612" s="5" t="s">
        <v>2229</v>
      </c>
      <c r="D612" s="5" t="s">
        <v>2445</v>
      </c>
      <c r="E612" s="5" t="s">
        <v>388</v>
      </c>
      <c r="F612" s="5" t="str">
        <f t="shared" si="81"/>
        <v>Capacity Building-Extension Officer</v>
      </c>
      <c r="G612" s="5" t="s">
        <v>47</v>
      </c>
      <c r="H612" s="9">
        <v>44993.828541666669</v>
      </c>
      <c r="I612" s="9">
        <v>44994.828541666669</v>
      </c>
      <c r="J612" s="9" t="e">
        <f>I612+#REF!</f>
        <v>#REF!</v>
      </c>
      <c r="K612" s="9" t="e">
        <f>J612+#REF!</f>
        <v>#REF!</v>
      </c>
      <c r="L612" s="10" t="s">
        <v>41</v>
      </c>
      <c r="M612" s="11">
        <v>45011.828541666669</v>
      </c>
      <c r="N612" s="5" t="s">
        <v>42</v>
      </c>
      <c r="O612" s="5" t="s">
        <v>43</v>
      </c>
      <c r="P612" s="9"/>
      <c r="Q612" s="5"/>
      <c r="R612" s="5"/>
      <c r="S612" s="5"/>
      <c r="T612" s="9"/>
      <c r="U612" s="5"/>
      <c r="V612" s="5">
        <v>0</v>
      </c>
      <c r="W612" s="5"/>
      <c r="X612" s="5"/>
      <c r="Y612" s="5"/>
      <c r="Z612" s="5"/>
      <c r="AA612" s="5" t="s">
        <v>44</v>
      </c>
      <c r="AC612">
        <f t="shared" si="82"/>
        <v>17</v>
      </c>
      <c r="AD612" t="str">
        <f t="shared" si="83"/>
        <v/>
      </c>
      <c r="AE612" t="str">
        <f t="shared" si="84"/>
        <v/>
      </c>
      <c r="AF612" t="str">
        <f t="shared" si="85"/>
        <v/>
      </c>
      <c r="AG612" t="str">
        <f t="shared" si="86"/>
        <v/>
      </c>
      <c r="AH612">
        <f t="shared" si="87"/>
        <v>1</v>
      </c>
      <c r="AI612" t="str">
        <f t="shared" si="88"/>
        <v/>
      </c>
      <c r="AJ612" t="str">
        <f t="shared" si="89"/>
        <v/>
      </c>
    </row>
    <row r="613" spans="1:36">
      <c r="A613" s="5">
        <v>628</v>
      </c>
      <c r="B613" s="5" t="s">
        <v>2421</v>
      </c>
      <c r="C613" s="5" t="s">
        <v>2229</v>
      </c>
      <c r="D613" s="5" t="s">
        <v>2403</v>
      </c>
      <c r="E613" s="5" t="s">
        <v>1939</v>
      </c>
      <c r="F613" s="5" t="str">
        <f t="shared" si="81"/>
        <v>Capacity Building-Principal Officer</v>
      </c>
      <c r="G613" s="5" t="s">
        <v>56</v>
      </c>
      <c r="H613" s="9">
        <v>44994.828541666669</v>
      </c>
      <c r="I613" s="9">
        <v>44998.828541666669</v>
      </c>
      <c r="J613" s="9" t="e">
        <f>I613+#REF!</f>
        <v>#REF!</v>
      </c>
      <c r="K613" s="9" t="e">
        <f>J613+#REF!</f>
        <v>#REF!</v>
      </c>
      <c r="L613" s="10" t="s">
        <v>41</v>
      </c>
      <c r="M613" s="11">
        <v>45006.828541666669</v>
      </c>
      <c r="N613" s="5" t="s">
        <v>42</v>
      </c>
      <c r="O613" s="5" t="s">
        <v>43</v>
      </c>
      <c r="P613" s="9"/>
      <c r="Q613" s="5"/>
      <c r="R613" s="5"/>
      <c r="S613" s="5"/>
      <c r="T613" s="9">
        <v>45009.828541666669</v>
      </c>
      <c r="U613" s="5"/>
      <c r="V613" s="5">
        <v>0</v>
      </c>
      <c r="W613" s="5"/>
      <c r="X613" s="5"/>
      <c r="Y613" s="5"/>
      <c r="Z613" s="5"/>
      <c r="AA613" s="5" t="s">
        <v>44</v>
      </c>
      <c r="AC613">
        <f t="shared" si="82"/>
        <v>8</v>
      </c>
      <c r="AD613" t="str">
        <f t="shared" si="83"/>
        <v/>
      </c>
      <c r="AE613">
        <f t="shared" si="84"/>
        <v>3</v>
      </c>
      <c r="AF613" t="str">
        <f t="shared" si="85"/>
        <v/>
      </c>
      <c r="AG613" t="str">
        <f t="shared" si="86"/>
        <v/>
      </c>
      <c r="AH613">
        <f t="shared" si="87"/>
        <v>4</v>
      </c>
      <c r="AI613" t="str">
        <f t="shared" si="88"/>
        <v/>
      </c>
      <c r="AJ613" t="str">
        <f t="shared" si="89"/>
        <v/>
      </c>
    </row>
    <row r="614" spans="1:36">
      <c r="A614" s="5">
        <v>629</v>
      </c>
      <c r="B614" s="5" t="s">
        <v>2331</v>
      </c>
      <c r="C614" s="5" t="s">
        <v>2229</v>
      </c>
      <c r="D614" s="5" t="s">
        <v>2302</v>
      </c>
      <c r="E614" s="5" t="s">
        <v>269</v>
      </c>
      <c r="F614" s="5" t="str">
        <f t="shared" si="81"/>
        <v>Capacity Building-Manager</v>
      </c>
      <c r="G614" s="5" t="s">
        <v>270</v>
      </c>
      <c r="H614" s="9">
        <v>44993.828541666669</v>
      </c>
      <c r="I614" s="9">
        <v>44994.828541666669</v>
      </c>
      <c r="J614" s="9" t="e">
        <f>I614+#REF!</f>
        <v>#REF!</v>
      </c>
      <c r="K614" s="9" t="e">
        <f>J614+#REF!</f>
        <v>#REF!</v>
      </c>
      <c r="L614" s="10" t="s">
        <v>41</v>
      </c>
      <c r="M614" s="11">
        <v>45018.828541666669</v>
      </c>
      <c r="N614" s="5" t="s">
        <v>42</v>
      </c>
      <c r="O614" s="5" t="s">
        <v>58</v>
      </c>
      <c r="P614" s="9"/>
      <c r="Q614" s="5"/>
      <c r="R614" s="5"/>
      <c r="S614" s="5"/>
      <c r="T614" s="9">
        <v>45020.828541666669</v>
      </c>
      <c r="U614" s="5"/>
      <c r="V614" s="5">
        <v>0</v>
      </c>
      <c r="W614" s="5"/>
      <c r="X614" s="5"/>
      <c r="Y614" s="5"/>
      <c r="Z614" s="5"/>
      <c r="AA614" s="5" t="s">
        <v>62</v>
      </c>
      <c r="AC614">
        <f t="shared" si="82"/>
        <v>24</v>
      </c>
      <c r="AD614" t="str">
        <f t="shared" si="83"/>
        <v/>
      </c>
      <c r="AE614">
        <f t="shared" si="84"/>
        <v>2</v>
      </c>
      <c r="AF614" t="str">
        <f t="shared" si="85"/>
        <v/>
      </c>
      <c r="AG614" t="str">
        <f t="shared" si="86"/>
        <v/>
      </c>
      <c r="AH614">
        <f t="shared" si="87"/>
        <v>1</v>
      </c>
      <c r="AI614" t="str">
        <f t="shared" si="88"/>
        <v/>
      </c>
      <c r="AJ614" t="str">
        <f t="shared" si="89"/>
        <v/>
      </c>
    </row>
    <row r="615" spans="1:36">
      <c r="A615" s="5">
        <v>630</v>
      </c>
      <c r="B615" s="5" t="s">
        <v>2330</v>
      </c>
      <c r="C615" s="5" t="s">
        <v>2229</v>
      </c>
      <c r="D615" s="5" t="s">
        <v>2302</v>
      </c>
      <c r="E615" s="5" t="s">
        <v>269</v>
      </c>
      <c r="F615" s="5" t="str">
        <f t="shared" si="81"/>
        <v>Capacity Building-Manager</v>
      </c>
      <c r="G615" s="5" t="s">
        <v>270</v>
      </c>
      <c r="H615" s="9">
        <v>44994.828541666669</v>
      </c>
      <c r="I615" s="9">
        <v>44998.828541666669</v>
      </c>
      <c r="J615" s="9" t="e">
        <f>I615+#REF!</f>
        <v>#REF!</v>
      </c>
      <c r="K615" s="9" t="e">
        <f>J615+#REF!</f>
        <v>#REF!</v>
      </c>
      <c r="L615" s="10" t="s">
        <v>41</v>
      </c>
      <c r="M615" s="11">
        <v>45012.828541666669</v>
      </c>
      <c r="N615" s="5" t="s">
        <v>48</v>
      </c>
      <c r="O615" s="5"/>
      <c r="P615" s="9">
        <v>45019.828541666669</v>
      </c>
      <c r="Q615" s="5" t="s">
        <v>48</v>
      </c>
      <c r="R615" s="5"/>
      <c r="S615" s="5"/>
      <c r="T615" s="9">
        <v>45016.828541666669</v>
      </c>
      <c r="U615" s="5"/>
      <c r="V615" s="5">
        <v>0</v>
      </c>
      <c r="W615" s="5"/>
      <c r="X615" s="5"/>
      <c r="Y615" s="5"/>
      <c r="Z615" s="5"/>
      <c r="AA615" s="5"/>
      <c r="AC615">
        <f t="shared" si="82"/>
        <v>14</v>
      </c>
      <c r="AD615" t="str">
        <f t="shared" si="83"/>
        <v/>
      </c>
      <c r="AE615">
        <f t="shared" si="84"/>
        <v>4</v>
      </c>
      <c r="AF615" t="str">
        <f t="shared" si="85"/>
        <v/>
      </c>
      <c r="AG615" t="str">
        <f t="shared" si="86"/>
        <v/>
      </c>
      <c r="AH615">
        <f t="shared" si="87"/>
        <v>4</v>
      </c>
      <c r="AI615" t="str">
        <f t="shared" si="88"/>
        <v/>
      </c>
      <c r="AJ615" t="str">
        <f t="shared" si="89"/>
        <v/>
      </c>
    </row>
    <row r="616" spans="1:36">
      <c r="A616" s="5">
        <v>632</v>
      </c>
      <c r="B616" s="5" t="s">
        <v>365</v>
      </c>
      <c r="C616" s="5" t="s">
        <v>100</v>
      </c>
      <c r="D616" s="5" t="s">
        <v>268</v>
      </c>
      <c r="E616" s="5" t="s">
        <v>291</v>
      </c>
      <c r="F616" s="5" t="str">
        <f t="shared" si="81"/>
        <v>Program Office-Cordination Manager</v>
      </c>
      <c r="G616" s="5" t="s">
        <v>270</v>
      </c>
      <c r="H616" s="9">
        <v>44827.302743055552</v>
      </c>
      <c r="I616" s="9">
        <v>44831.302743055552</v>
      </c>
      <c r="J616" s="9" t="e">
        <f>I616+#REF!</f>
        <v>#REF!</v>
      </c>
      <c r="K616" s="9" t="e">
        <f>J616+#REF!</f>
        <v>#REF!</v>
      </c>
      <c r="L616" s="10" t="s">
        <v>41</v>
      </c>
      <c r="M616" s="11">
        <v>44842.302743055552</v>
      </c>
      <c r="N616" s="5" t="s">
        <v>42</v>
      </c>
      <c r="O616" s="5" t="s">
        <v>73</v>
      </c>
      <c r="P616" s="9"/>
      <c r="Q616" s="5"/>
      <c r="R616" s="5"/>
      <c r="S616" s="5"/>
      <c r="T616" s="9"/>
      <c r="U616" s="5"/>
      <c r="V616" s="5">
        <v>0</v>
      </c>
      <c r="W616" s="5"/>
      <c r="X616" s="5"/>
      <c r="Y616" s="5"/>
      <c r="Z616" s="5"/>
      <c r="AA616" s="5" t="s">
        <v>62</v>
      </c>
      <c r="AC616">
        <f t="shared" si="82"/>
        <v>11</v>
      </c>
      <c r="AD616" t="str">
        <f t="shared" si="83"/>
        <v/>
      </c>
      <c r="AE616" t="str">
        <f t="shared" si="84"/>
        <v/>
      </c>
      <c r="AF616" t="str">
        <f t="shared" si="85"/>
        <v/>
      </c>
      <c r="AG616" t="str">
        <f t="shared" si="86"/>
        <v/>
      </c>
      <c r="AH616">
        <f t="shared" si="87"/>
        <v>4</v>
      </c>
      <c r="AI616" t="str">
        <f t="shared" si="88"/>
        <v/>
      </c>
      <c r="AJ616" t="str">
        <f t="shared" si="89"/>
        <v/>
      </c>
    </row>
    <row r="617" spans="1:36">
      <c r="A617" s="5">
        <v>633</v>
      </c>
      <c r="B617" s="5" t="s">
        <v>245</v>
      </c>
      <c r="C617" s="5" t="s">
        <v>100</v>
      </c>
      <c r="D617" s="5" t="s">
        <v>146</v>
      </c>
      <c r="E617" s="5" t="s">
        <v>39</v>
      </c>
      <c r="F617" s="5" t="str">
        <f t="shared" si="81"/>
        <v>Program Office-Analyst</v>
      </c>
      <c r="G617" s="5" t="s">
        <v>147</v>
      </c>
      <c r="H617" s="9">
        <v>44828.302743055552</v>
      </c>
      <c r="I617" s="9">
        <v>44832.302743055552</v>
      </c>
      <c r="J617" s="9" t="e">
        <f>I617+#REF!</f>
        <v>#REF!</v>
      </c>
      <c r="K617" s="9" t="e">
        <f>J617+#REF!</f>
        <v>#REF!</v>
      </c>
      <c r="L617" s="10" t="s">
        <v>52</v>
      </c>
      <c r="M617" s="11"/>
      <c r="N617" s="5"/>
      <c r="O617" s="5"/>
      <c r="P617" s="9"/>
      <c r="Q617" s="5"/>
      <c r="R617" s="5"/>
      <c r="S617" s="5"/>
      <c r="T617" s="9"/>
      <c r="U617" s="5"/>
      <c r="V617" s="5">
        <v>0</v>
      </c>
      <c r="W617" s="5"/>
      <c r="X617" s="5"/>
      <c r="Y617" s="5"/>
      <c r="Z617" s="5"/>
      <c r="AA617" s="5"/>
      <c r="AC617" t="str">
        <f t="shared" si="82"/>
        <v/>
      </c>
      <c r="AD617" t="str">
        <f t="shared" si="83"/>
        <v/>
      </c>
      <c r="AE617" t="str">
        <f t="shared" si="84"/>
        <v/>
      </c>
      <c r="AF617" t="str">
        <f t="shared" si="85"/>
        <v/>
      </c>
      <c r="AG617" t="str">
        <f t="shared" si="86"/>
        <v/>
      </c>
      <c r="AH617">
        <f t="shared" si="87"/>
        <v>4</v>
      </c>
      <c r="AI617" t="str">
        <f t="shared" si="88"/>
        <v/>
      </c>
      <c r="AJ617" t="str">
        <f t="shared" si="89"/>
        <v/>
      </c>
    </row>
    <row r="618" spans="1:36">
      <c r="A618" s="5">
        <v>636</v>
      </c>
      <c r="B618" s="5" t="s">
        <v>480</v>
      </c>
      <c r="C618" s="5" t="s">
        <v>100</v>
      </c>
      <c r="D618" s="5" t="s">
        <v>387</v>
      </c>
      <c r="E618" s="5" t="s">
        <v>473</v>
      </c>
      <c r="F618" s="5" t="str">
        <f t="shared" si="81"/>
        <v>Program Office-Officer</v>
      </c>
      <c r="G618" s="5" t="s">
        <v>40</v>
      </c>
      <c r="H618" s="9">
        <v>44826.302743055552</v>
      </c>
      <c r="I618" s="9">
        <v>44829.302743055552</v>
      </c>
      <c r="J618" s="9" t="e">
        <f>I618+#REF!</f>
        <v>#REF!</v>
      </c>
      <c r="K618" s="9" t="e">
        <f>J618+#REF!</f>
        <v>#REF!</v>
      </c>
      <c r="L618" s="10" t="s">
        <v>41</v>
      </c>
      <c r="M618" s="11">
        <v>44843.302743055552</v>
      </c>
      <c r="N618" s="5" t="s">
        <v>42</v>
      </c>
      <c r="O618" s="5" t="s">
        <v>43</v>
      </c>
      <c r="P618" s="9"/>
      <c r="Q618" s="5"/>
      <c r="R618" s="5"/>
      <c r="S618" s="5"/>
      <c r="T618" s="9"/>
      <c r="U618" s="5"/>
      <c r="V618" s="5">
        <v>0</v>
      </c>
      <c r="W618" s="5"/>
      <c r="X618" s="5"/>
      <c r="Y618" s="5"/>
      <c r="Z618" s="5"/>
      <c r="AA618" s="5" t="s">
        <v>44</v>
      </c>
      <c r="AC618">
        <f t="shared" si="82"/>
        <v>14</v>
      </c>
      <c r="AD618" t="str">
        <f t="shared" si="83"/>
        <v/>
      </c>
      <c r="AE618" t="str">
        <f t="shared" si="84"/>
        <v/>
      </c>
      <c r="AF618" t="str">
        <f t="shared" si="85"/>
        <v/>
      </c>
      <c r="AG618" t="str">
        <f t="shared" si="86"/>
        <v/>
      </c>
      <c r="AH618">
        <f t="shared" si="87"/>
        <v>3</v>
      </c>
      <c r="AI618" t="str">
        <f t="shared" si="88"/>
        <v/>
      </c>
      <c r="AJ618" t="str">
        <f t="shared" si="89"/>
        <v/>
      </c>
    </row>
    <row r="619" spans="1:36">
      <c r="A619" s="5">
        <v>637</v>
      </c>
      <c r="B619" s="5" t="s">
        <v>653</v>
      </c>
      <c r="C619" s="5" t="s">
        <v>100</v>
      </c>
      <c r="D619" s="5" t="s">
        <v>554</v>
      </c>
      <c r="E619" s="5" t="s">
        <v>597</v>
      </c>
      <c r="F619" s="5" t="str">
        <f t="shared" si="81"/>
        <v>Program Office-Business Partner</v>
      </c>
      <c r="G619" s="5" t="s">
        <v>47</v>
      </c>
      <c r="H619" s="9">
        <v>44828.302743055552</v>
      </c>
      <c r="I619" s="9">
        <v>44832.302743055552</v>
      </c>
      <c r="J619" s="9" t="e">
        <f>I619+#REF!</f>
        <v>#REF!</v>
      </c>
      <c r="K619" s="9" t="e">
        <f>J619+#REF!</f>
        <v>#REF!</v>
      </c>
      <c r="L619" s="10" t="s">
        <v>41</v>
      </c>
      <c r="M619" s="11">
        <v>44848.302743055552</v>
      </c>
      <c r="N619" s="5" t="s">
        <v>64</v>
      </c>
      <c r="O619" s="5"/>
      <c r="P619" s="9">
        <v>44852.302743055552</v>
      </c>
      <c r="Q619" s="5" t="s">
        <v>64</v>
      </c>
      <c r="R619" s="9">
        <v>44849.302743055552</v>
      </c>
      <c r="S619" s="9">
        <v>44851.302743055552</v>
      </c>
      <c r="T619" s="9">
        <v>44849.302743055552</v>
      </c>
      <c r="U619" s="9">
        <v>44851.302743055552</v>
      </c>
      <c r="V619" s="12">
        <v>1</v>
      </c>
      <c r="W619" s="9">
        <v>44853.302743055552</v>
      </c>
      <c r="X619" s="9">
        <v>44855.302743055552</v>
      </c>
      <c r="Y619" s="9">
        <v>44856.302743055552</v>
      </c>
      <c r="Z619" s="5"/>
      <c r="AA619" s="5"/>
      <c r="AB619" s="13">
        <v>44874.302743055552</v>
      </c>
      <c r="AC619">
        <f t="shared" si="82"/>
        <v>16</v>
      </c>
      <c r="AD619">
        <f t="shared" si="83"/>
        <v>19</v>
      </c>
      <c r="AE619">
        <f t="shared" si="84"/>
        <v>1</v>
      </c>
      <c r="AF619">
        <f t="shared" si="85"/>
        <v>4</v>
      </c>
      <c r="AG619">
        <f t="shared" si="86"/>
        <v>2</v>
      </c>
      <c r="AH619">
        <f t="shared" si="87"/>
        <v>4</v>
      </c>
      <c r="AI619" t="str">
        <f t="shared" si="88"/>
        <v/>
      </c>
      <c r="AJ619" t="str">
        <f t="shared" si="89"/>
        <v/>
      </c>
    </row>
    <row r="620" spans="1:36">
      <c r="A620" s="5">
        <v>639</v>
      </c>
      <c r="B620" s="5" t="s">
        <v>533</v>
      </c>
      <c r="C620" s="5" t="s">
        <v>100</v>
      </c>
      <c r="D620" s="5" t="s">
        <v>506</v>
      </c>
      <c r="E620" s="5" t="s">
        <v>69</v>
      </c>
      <c r="F620" s="5" t="str">
        <f t="shared" si="81"/>
        <v>Program Office-Head of Department</v>
      </c>
      <c r="G620" s="5" t="s">
        <v>56</v>
      </c>
      <c r="H620" s="9">
        <v>44827.302743055552</v>
      </c>
      <c r="I620" s="9">
        <v>44828.302743055552</v>
      </c>
      <c r="J620" s="9" t="e">
        <f>I620+#REF!</f>
        <v>#REF!</v>
      </c>
      <c r="K620" s="9" t="e">
        <f>J620+#REF!</f>
        <v>#REF!</v>
      </c>
      <c r="L620" s="10" t="s">
        <v>41</v>
      </c>
      <c r="M620" s="11">
        <v>44847.302743055552</v>
      </c>
      <c r="N620" s="5" t="s">
        <v>42</v>
      </c>
      <c r="O620" s="5" t="s">
        <v>43</v>
      </c>
      <c r="P620" s="9"/>
      <c r="Q620" s="5"/>
      <c r="R620" s="5"/>
      <c r="S620" s="5"/>
      <c r="T620" s="9"/>
      <c r="U620" s="5"/>
      <c r="V620" s="5">
        <v>0</v>
      </c>
      <c r="W620" s="5"/>
      <c r="X620" s="5"/>
      <c r="Y620" s="5"/>
      <c r="Z620" s="5"/>
      <c r="AA620" s="5" t="s">
        <v>44</v>
      </c>
      <c r="AC620">
        <f t="shared" si="82"/>
        <v>19</v>
      </c>
      <c r="AD620" t="str">
        <f t="shared" si="83"/>
        <v/>
      </c>
      <c r="AE620" t="str">
        <f t="shared" si="84"/>
        <v/>
      </c>
      <c r="AF620" t="str">
        <f t="shared" si="85"/>
        <v/>
      </c>
      <c r="AG620" t="str">
        <f t="shared" si="86"/>
        <v/>
      </c>
      <c r="AH620">
        <f t="shared" si="87"/>
        <v>1</v>
      </c>
      <c r="AI620" t="str">
        <f t="shared" si="88"/>
        <v/>
      </c>
      <c r="AJ620" t="str">
        <f t="shared" si="89"/>
        <v/>
      </c>
    </row>
    <row r="621" spans="1:36">
      <c r="A621" s="5">
        <v>640</v>
      </c>
      <c r="B621" s="5" t="s">
        <v>244</v>
      </c>
      <c r="C621" s="5" t="s">
        <v>100</v>
      </c>
      <c r="D621" s="5" t="s">
        <v>146</v>
      </c>
      <c r="E621" s="5" t="s">
        <v>39</v>
      </c>
      <c r="F621" s="5" t="str">
        <f t="shared" si="81"/>
        <v>Program Office-Analyst</v>
      </c>
      <c r="G621" s="5" t="s">
        <v>147</v>
      </c>
      <c r="H621" s="9">
        <v>44828.302743055552</v>
      </c>
      <c r="I621" s="9">
        <v>44832.302743055552</v>
      </c>
      <c r="J621" s="9" t="e">
        <f>I621+#REF!</f>
        <v>#REF!</v>
      </c>
      <c r="K621" s="9" t="e">
        <f>J621+#REF!</f>
        <v>#REF!</v>
      </c>
      <c r="L621" s="10" t="s">
        <v>41</v>
      </c>
      <c r="M621" s="11">
        <v>44841.302743055552</v>
      </c>
      <c r="N621" s="5" t="s">
        <v>42</v>
      </c>
      <c r="O621" s="5" t="s">
        <v>58</v>
      </c>
      <c r="P621" s="9"/>
      <c r="Q621" s="5"/>
      <c r="R621" s="5"/>
      <c r="S621" s="5"/>
      <c r="T621" s="9">
        <v>44845.302743055552</v>
      </c>
      <c r="U621" s="5"/>
      <c r="V621" s="5">
        <v>0</v>
      </c>
      <c r="W621" s="5"/>
      <c r="X621" s="5"/>
      <c r="Y621" s="5"/>
      <c r="Z621" s="5"/>
      <c r="AA621" s="5" t="s">
        <v>62</v>
      </c>
      <c r="AC621">
        <f t="shared" si="82"/>
        <v>9</v>
      </c>
      <c r="AD621" t="str">
        <f t="shared" si="83"/>
        <v/>
      </c>
      <c r="AE621">
        <f t="shared" si="84"/>
        <v>4</v>
      </c>
      <c r="AF621" t="str">
        <f t="shared" si="85"/>
        <v/>
      </c>
      <c r="AG621" t="str">
        <f t="shared" si="86"/>
        <v/>
      </c>
      <c r="AH621">
        <f t="shared" si="87"/>
        <v>4</v>
      </c>
      <c r="AI621" t="str">
        <f t="shared" si="88"/>
        <v/>
      </c>
      <c r="AJ621" t="str">
        <f t="shared" si="89"/>
        <v/>
      </c>
    </row>
    <row r="622" spans="1:36">
      <c r="A622" s="5">
        <v>642</v>
      </c>
      <c r="B622" s="5" t="s">
        <v>946</v>
      </c>
      <c r="C622" s="5" t="s">
        <v>796</v>
      </c>
      <c r="D622" s="5" t="s">
        <v>893</v>
      </c>
      <c r="E622" s="5" t="s">
        <v>269</v>
      </c>
      <c r="F622" s="5" t="str">
        <f t="shared" si="81"/>
        <v>M and E-Manager</v>
      </c>
      <c r="G622" s="5" t="s">
        <v>270</v>
      </c>
      <c r="H622" s="9">
        <v>44780.760729166665</v>
      </c>
      <c r="I622" s="9">
        <v>44782.760729166665</v>
      </c>
      <c r="J622" s="9" t="e">
        <f>I622+#REF!</f>
        <v>#REF!</v>
      </c>
      <c r="K622" s="9" t="e">
        <f>J622+#REF!</f>
        <v>#REF!</v>
      </c>
      <c r="L622" s="10" t="s">
        <v>41</v>
      </c>
      <c r="M622" s="11">
        <v>44792.760729166665</v>
      </c>
      <c r="N622" s="5" t="s">
        <v>48</v>
      </c>
      <c r="O622" s="5"/>
      <c r="P622" s="9">
        <v>44799.760729166665</v>
      </c>
      <c r="Q622" s="5" t="s">
        <v>48</v>
      </c>
      <c r="R622" s="5"/>
      <c r="S622" s="5"/>
      <c r="T622" s="9">
        <v>44796.760729166665</v>
      </c>
      <c r="U622" s="5"/>
      <c r="V622" s="5">
        <v>0</v>
      </c>
      <c r="W622" s="5"/>
      <c r="X622" s="5"/>
      <c r="Y622" s="5"/>
      <c r="Z622" s="5"/>
      <c r="AA622" s="5"/>
      <c r="AC622">
        <f t="shared" si="82"/>
        <v>10</v>
      </c>
      <c r="AD622" t="str">
        <f t="shared" si="83"/>
        <v/>
      </c>
      <c r="AE622">
        <f t="shared" si="84"/>
        <v>4</v>
      </c>
      <c r="AF622" t="str">
        <f t="shared" si="85"/>
        <v/>
      </c>
      <c r="AG622" t="str">
        <f t="shared" si="86"/>
        <v/>
      </c>
      <c r="AH622">
        <f t="shared" si="87"/>
        <v>2</v>
      </c>
      <c r="AI622" t="str">
        <f t="shared" si="88"/>
        <v/>
      </c>
      <c r="AJ622" t="str">
        <f t="shared" si="89"/>
        <v/>
      </c>
    </row>
    <row r="623" spans="1:36">
      <c r="A623" s="5">
        <v>643</v>
      </c>
      <c r="B623" s="5" t="s">
        <v>945</v>
      </c>
      <c r="C623" s="5" t="s">
        <v>796</v>
      </c>
      <c r="D623" s="5" t="s">
        <v>893</v>
      </c>
      <c r="E623" s="5" t="s">
        <v>269</v>
      </c>
      <c r="F623" s="5" t="str">
        <f t="shared" si="81"/>
        <v>M and E-Manager</v>
      </c>
      <c r="G623" s="5" t="s">
        <v>270</v>
      </c>
      <c r="H623" s="9">
        <v>44783.760729166665</v>
      </c>
      <c r="I623" s="9">
        <v>44785.760729166665</v>
      </c>
      <c r="J623" s="9" t="e">
        <f>I623+#REF!</f>
        <v>#REF!</v>
      </c>
      <c r="K623" s="9" t="e">
        <f>J623+#REF!</f>
        <v>#REF!</v>
      </c>
      <c r="L623" s="10" t="s">
        <v>41</v>
      </c>
      <c r="M623" s="11">
        <v>44802.760729166665</v>
      </c>
      <c r="N623" s="5" t="s">
        <v>42</v>
      </c>
      <c r="O623" s="5" t="s">
        <v>58</v>
      </c>
      <c r="P623" s="9"/>
      <c r="Q623" s="5"/>
      <c r="R623" s="5"/>
      <c r="S623" s="5"/>
      <c r="T623" s="9"/>
      <c r="U623" s="5"/>
      <c r="V623" s="5">
        <v>0</v>
      </c>
      <c r="W623" s="5"/>
      <c r="X623" s="5"/>
      <c r="Y623" s="5"/>
      <c r="Z623" s="5"/>
      <c r="AA623" s="5" t="s">
        <v>44</v>
      </c>
      <c r="AC623">
        <f t="shared" si="82"/>
        <v>17</v>
      </c>
      <c r="AD623" t="str">
        <f t="shared" si="83"/>
        <v/>
      </c>
      <c r="AE623" t="str">
        <f t="shared" si="84"/>
        <v/>
      </c>
      <c r="AF623" t="str">
        <f t="shared" si="85"/>
        <v/>
      </c>
      <c r="AG623" t="str">
        <f t="shared" si="86"/>
        <v/>
      </c>
      <c r="AH623">
        <f t="shared" si="87"/>
        <v>2</v>
      </c>
      <c r="AI623" t="str">
        <f t="shared" si="88"/>
        <v/>
      </c>
      <c r="AJ623" t="str">
        <f t="shared" si="89"/>
        <v/>
      </c>
    </row>
    <row r="624" spans="1:36">
      <c r="A624" s="5">
        <v>644</v>
      </c>
      <c r="B624" s="5" t="s">
        <v>889</v>
      </c>
      <c r="C624" s="5" t="s">
        <v>796</v>
      </c>
      <c r="D624" s="5" t="s">
        <v>814</v>
      </c>
      <c r="E624" s="5" t="s">
        <v>39</v>
      </c>
      <c r="F624" s="5" t="str">
        <f t="shared" si="81"/>
        <v>M and E-Analyst</v>
      </c>
      <c r="G624" s="5" t="s">
        <v>147</v>
      </c>
      <c r="H624" s="9">
        <v>44781.760729166665</v>
      </c>
      <c r="I624" s="9">
        <v>44784.760729166665</v>
      </c>
      <c r="J624" s="9" t="e">
        <f>I624+#REF!</f>
        <v>#REF!</v>
      </c>
      <c r="K624" s="9" t="e">
        <f>J624+#REF!</f>
        <v>#REF!</v>
      </c>
      <c r="L624" s="10" t="s">
        <v>41</v>
      </c>
      <c r="M624" s="11">
        <v>44797.760729166665</v>
      </c>
      <c r="N624" s="5" t="s">
        <v>64</v>
      </c>
      <c r="O624" s="5"/>
      <c r="P624" s="9">
        <v>44802.760729166665</v>
      </c>
      <c r="Q624" s="5" t="s">
        <v>64</v>
      </c>
      <c r="R624" s="9">
        <v>44798.760729166665</v>
      </c>
      <c r="S624" s="9">
        <v>44800.760729166665</v>
      </c>
      <c r="T624" s="9">
        <v>44801.760729166665</v>
      </c>
      <c r="U624" s="9">
        <v>44804.760729166665</v>
      </c>
      <c r="V624" s="12">
        <v>1</v>
      </c>
      <c r="W624" s="9">
        <v>44805.760729166665</v>
      </c>
      <c r="X624" s="9">
        <v>44808.760729166665</v>
      </c>
      <c r="Y624" s="9">
        <v>44809.760729166665</v>
      </c>
      <c r="Z624" s="5"/>
      <c r="AA624" s="5"/>
      <c r="AB624" s="13">
        <v>44830.760729166665</v>
      </c>
      <c r="AC624">
        <f t="shared" si="82"/>
        <v>13</v>
      </c>
      <c r="AD624">
        <f t="shared" si="83"/>
        <v>16</v>
      </c>
      <c r="AE624">
        <f t="shared" si="84"/>
        <v>4</v>
      </c>
      <c r="AF624">
        <f t="shared" si="85"/>
        <v>4</v>
      </c>
      <c r="AG624">
        <f t="shared" si="86"/>
        <v>1</v>
      </c>
      <c r="AH624">
        <f t="shared" si="87"/>
        <v>3</v>
      </c>
      <c r="AI624" t="str">
        <f t="shared" si="88"/>
        <v/>
      </c>
      <c r="AJ624" t="str">
        <f t="shared" si="89"/>
        <v/>
      </c>
    </row>
    <row r="625" spans="1:36">
      <c r="A625" s="5">
        <v>645</v>
      </c>
      <c r="B625" s="5" t="s">
        <v>888</v>
      </c>
      <c r="C625" s="5" t="s">
        <v>796</v>
      </c>
      <c r="D625" s="5" t="s">
        <v>814</v>
      </c>
      <c r="E625" s="5" t="s">
        <v>39</v>
      </c>
      <c r="F625" s="5" t="str">
        <f t="shared" si="81"/>
        <v>M and E-Analyst</v>
      </c>
      <c r="G625" s="5" t="s">
        <v>147</v>
      </c>
      <c r="H625" s="9">
        <v>44785.760729166665</v>
      </c>
      <c r="I625" s="9">
        <v>44786.760729166665</v>
      </c>
      <c r="J625" s="9" t="e">
        <f>I625+#REF!</f>
        <v>#REF!</v>
      </c>
      <c r="K625" s="9" t="e">
        <f>J625+#REF!</f>
        <v>#REF!</v>
      </c>
      <c r="L625" s="10" t="s">
        <v>41</v>
      </c>
      <c r="M625" s="11">
        <v>44792.760729166665</v>
      </c>
      <c r="N625" s="5" t="s">
        <v>64</v>
      </c>
      <c r="O625" s="5"/>
      <c r="P625" s="9">
        <v>44797.760729166665</v>
      </c>
      <c r="Q625" s="5" t="s">
        <v>64</v>
      </c>
      <c r="R625" s="9">
        <v>44793.760729166665</v>
      </c>
      <c r="S625" s="9">
        <v>44795.760729166665</v>
      </c>
      <c r="T625" s="9">
        <v>44795.760729166665</v>
      </c>
      <c r="U625" s="9">
        <v>44801.760729166665</v>
      </c>
      <c r="V625" s="12">
        <v>1</v>
      </c>
      <c r="W625" s="9">
        <v>44803.760729166665</v>
      </c>
      <c r="X625" s="9">
        <v>44806.760729166665</v>
      </c>
      <c r="Y625" s="9">
        <v>44809.760729166665</v>
      </c>
      <c r="Z625" s="5"/>
      <c r="AA625" s="5"/>
      <c r="AB625" s="13">
        <v>44817.760729166665</v>
      </c>
      <c r="AC625">
        <f t="shared" si="82"/>
        <v>6</v>
      </c>
      <c r="AD625">
        <f t="shared" si="83"/>
        <v>9</v>
      </c>
      <c r="AE625">
        <f t="shared" si="84"/>
        <v>3</v>
      </c>
      <c r="AF625">
        <f t="shared" si="85"/>
        <v>5</v>
      </c>
      <c r="AG625">
        <f t="shared" si="86"/>
        <v>2</v>
      </c>
      <c r="AH625">
        <f t="shared" si="87"/>
        <v>1</v>
      </c>
      <c r="AI625" t="str">
        <f t="shared" si="88"/>
        <v/>
      </c>
      <c r="AJ625" t="str">
        <f t="shared" si="89"/>
        <v/>
      </c>
    </row>
    <row r="626" spans="1:36">
      <c r="A626" s="5">
        <v>647</v>
      </c>
      <c r="B626" s="5" t="s">
        <v>1040</v>
      </c>
      <c r="C626" s="5" t="s">
        <v>796</v>
      </c>
      <c r="D626" s="5" t="s">
        <v>1026</v>
      </c>
      <c r="E626" s="5" t="s">
        <v>1039</v>
      </c>
      <c r="F626" s="5" t="str">
        <f t="shared" si="81"/>
        <v>M and E-Associate Director</v>
      </c>
      <c r="G626" s="5" t="s">
        <v>56</v>
      </c>
      <c r="H626" s="9">
        <v>44782.760729166665</v>
      </c>
      <c r="I626" s="9">
        <v>44785.760729166665</v>
      </c>
      <c r="J626" s="9" t="e">
        <f>I626+#REF!</f>
        <v>#REF!</v>
      </c>
      <c r="K626" s="9" t="e">
        <f>J626+#REF!</f>
        <v>#REF!</v>
      </c>
      <c r="L626" s="10" t="s">
        <v>52</v>
      </c>
      <c r="M626" s="11"/>
      <c r="N626" s="5"/>
      <c r="O626" s="5"/>
      <c r="P626" s="9"/>
      <c r="Q626" s="5"/>
      <c r="R626" s="5"/>
      <c r="S626" s="5"/>
      <c r="T626" s="9"/>
      <c r="U626" s="5"/>
      <c r="V626" s="5">
        <v>0</v>
      </c>
      <c r="W626" s="5"/>
      <c r="X626" s="5"/>
      <c r="Y626" s="5"/>
      <c r="Z626" s="5"/>
      <c r="AA626" s="5"/>
      <c r="AC626" t="str">
        <f t="shared" si="82"/>
        <v/>
      </c>
      <c r="AD626" t="str">
        <f t="shared" si="83"/>
        <v/>
      </c>
      <c r="AE626" t="str">
        <f t="shared" si="84"/>
        <v/>
      </c>
      <c r="AF626" t="str">
        <f t="shared" si="85"/>
        <v/>
      </c>
      <c r="AG626" t="str">
        <f t="shared" si="86"/>
        <v/>
      </c>
      <c r="AH626">
        <f t="shared" si="87"/>
        <v>3</v>
      </c>
      <c r="AI626" t="str">
        <f t="shared" si="88"/>
        <v/>
      </c>
      <c r="AJ626" t="str">
        <f t="shared" si="89"/>
        <v/>
      </c>
    </row>
    <row r="627" spans="1:36">
      <c r="A627" s="5">
        <v>648</v>
      </c>
      <c r="B627" s="5" t="s">
        <v>944</v>
      </c>
      <c r="C627" s="5" t="s">
        <v>796</v>
      </c>
      <c r="D627" s="5" t="s">
        <v>893</v>
      </c>
      <c r="E627" s="5" t="s">
        <v>269</v>
      </c>
      <c r="F627" s="5" t="str">
        <f t="shared" si="81"/>
        <v>M and E-Manager</v>
      </c>
      <c r="G627" s="5" t="s">
        <v>270</v>
      </c>
      <c r="H627" s="9">
        <v>44783.760729166665</v>
      </c>
      <c r="I627" s="9">
        <v>44787.760729166665</v>
      </c>
      <c r="J627" s="9" t="e">
        <f>I627+#REF!</f>
        <v>#REF!</v>
      </c>
      <c r="K627" s="9" t="e">
        <f>J627+#REF!</f>
        <v>#REF!</v>
      </c>
      <c r="L627" s="10" t="s">
        <v>52</v>
      </c>
      <c r="M627" s="11"/>
      <c r="N627" s="5"/>
      <c r="O627" s="5"/>
      <c r="P627" s="9"/>
      <c r="Q627" s="5"/>
      <c r="R627" s="5"/>
      <c r="S627" s="5"/>
      <c r="T627" s="9"/>
      <c r="U627" s="5"/>
      <c r="V627" s="5">
        <v>0</v>
      </c>
      <c r="W627" s="5"/>
      <c r="X627" s="5"/>
      <c r="Y627" s="5"/>
      <c r="Z627" s="5"/>
      <c r="AA627" s="5"/>
      <c r="AC627" t="str">
        <f t="shared" si="82"/>
        <v/>
      </c>
      <c r="AD627" t="str">
        <f t="shared" si="83"/>
        <v/>
      </c>
      <c r="AE627" t="str">
        <f t="shared" si="84"/>
        <v/>
      </c>
      <c r="AF627" t="str">
        <f t="shared" si="85"/>
        <v/>
      </c>
      <c r="AG627" t="str">
        <f t="shared" si="86"/>
        <v/>
      </c>
      <c r="AH627">
        <f t="shared" si="87"/>
        <v>4</v>
      </c>
      <c r="AI627" t="str">
        <f t="shared" si="88"/>
        <v/>
      </c>
      <c r="AJ627" t="str">
        <f t="shared" si="89"/>
        <v/>
      </c>
    </row>
    <row r="628" spans="1:36">
      <c r="A628" s="5">
        <v>649</v>
      </c>
      <c r="B628" s="5" t="s">
        <v>1038</v>
      </c>
      <c r="C628" s="5" t="s">
        <v>796</v>
      </c>
      <c r="D628" s="5" t="s">
        <v>1026</v>
      </c>
      <c r="E628" s="5" t="s">
        <v>1039</v>
      </c>
      <c r="F628" s="5" t="str">
        <f t="shared" si="81"/>
        <v>M and E-Associate Director</v>
      </c>
      <c r="G628" s="5" t="s">
        <v>56</v>
      </c>
      <c r="H628" s="9">
        <v>44783.760729166665</v>
      </c>
      <c r="I628" s="9">
        <v>44787.760729166665</v>
      </c>
      <c r="J628" s="9" t="e">
        <f>I628+#REF!</f>
        <v>#REF!</v>
      </c>
      <c r="K628" s="9" t="e">
        <f>J628+#REF!</f>
        <v>#REF!</v>
      </c>
      <c r="L628" s="10" t="s">
        <v>41</v>
      </c>
      <c r="M628" s="11">
        <v>44800.760729166665</v>
      </c>
      <c r="N628" s="5" t="s">
        <v>42</v>
      </c>
      <c r="O628" s="5" t="s">
        <v>43</v>
      </c>
      <c r="P628" s="9"/>
      <c r="Q628" s="5"/>
      <c r="R628" s="5"/>
      <c r="S628" s="5"/>
      <c r="T628" s="9"/>
      <c r="U628" s="5"/>
      <c r="V628" s="5">
        <v>0</v>
      </c>
      <c r="W628" s="5"/>
      <c r="X628" s="5"/>
      <c r="Y628" s="5"/>
      <c r="Z628" s="5"/>
      <c r="AA628" s="5" t="s">
        <v>62</v>
      </c>
      <c r="AC628">
        <f t="shared" si="82"/>
        <v>13</v>
      </c>
      <c r="AD628" t="str">
        <f t="shared" si="83"/>
        <v/>
      </c>
      <c r="AE628" t="str">
        <f t="shared" si="84"/>
        <v/>
      </c>
      <c r="AF628" t="str">
        <f t="shared" si="85"/>
        <v/>
      </c>
      <c r="AG628" t="str">
        <f t="shared" si="86"/>
        <v/>
      </c>
      <c r="AH628">
        <f t="shared" si="87"/>
        <v>4</v>
      </c>
      <c r="AI628" t="str">
        <f t="shared" si="88"/>
        <v/>
      </c>
      <c r="AJ628" t="str">
        <f t="shared" si="89"/>
        <v/>
      </c>
    </row>
    <row r="629" spans="1:36">
      <c r="A629" s="5">
        <v>650</v>
      </c>
      <c r="B629" s="5" t="s">
        <v>1113</v>
      </c>
      <c r="C629" s="5" t="s">
        <v>796</v>
      </c>
      <c r="D629" s="5" t="s">
        <v>1046</v>
      </c>
      <c r="E629" s="5" t="s">
        <v>597</v>
      </c>
      <c r="F629" s="5" t="str">
        <f t="shared" si="81"/>
        <v>M and E-Business Partner</v>
      </c>
      <c r="G629" s="5" t="s">
        <v>47</v>
      </c>
      <c r="H629" s="9">
        <v>44782.760729166665</v>
      </c>
      <c r="I629" s="9">
        <v>44786.760729166665</v>
      </c>
      <c r="J629" s="9" t="e">
        <f>I629+#REF!</f>
        <v>#REF!</v>
      </c>
      <c r="K629" s="9" t="e">
        <f>J629+#REF!</f>
        <v>#REF!</v>
      </c>
      <c r="L629" s="10" t="s">
        <v>41</v>
      </c>
      <c r="M629" s="11">
        <v>44792.760729166665</v>
      </c>
      <c r="N629" s="5" t="s">
        <v>42</v>
      </c>
      <c r="O629" s="5" t="s">
        <v>43</v>
      </c>
      <c r="P629" s="9"/>
      <c r="Q629" s="5"/>
      <c r="R629" s="5"/>
      <c r="S629" s="5"/>
      <c r="T629" s="9"/>
      <c r="U629" s="5"/>
      <c r="V629" s="5">
        <v>0</v>
      </c>
      <c r="W629" s="5"/>
      <c r="X629" s="5"/>
      <c r="Y629" s="5"/>
      <c r="Z629" s="5"/>
      <c r="AA629" s="5" t="s">
        <v>62</v>
      </c>
      <c r="AC629">
        <f t="shared" si="82"/>
        <v>6</v>
      </c>
      <c r="AD629" t="str">
        <f t="shared" si="83"/>
        <v/>
      </c>
      <c r="AE629" t="str">
        <f t="shared" si="84"/>
        <v/>
      </c>
      <c r="AF629" t="str">
        <f t="shared" si="85"/>
        <v/>
      </c>
      <c r="AG629" t="str">
        <f t="shared" si="86"/>
        <v/>
      </c>
      <c r="AH629">
        <f t="shared" si="87"/>
        <v>4</v>
      </c>
      <c r="AI629" t="str">
        <f t="shared" si="88"/>
        <v/>
      </c>
      <c r="AJ629" t="str">
        <f t="shared" si="89"/>
        <v/>
      </c>
    </row>
    <row r="630" spans="1:36">
      <c r="A630" s="5">
        <v>651</v>
      </c>
      <c r="B630" s="5" t="s">
        <v>243</v>
      </c>
      <c r="C630" s="5" t="s">
        <v>100</v>
      </c>
      <c r="D630" s="5" t="s">
        <v>146</v>
      </c>
      <c r="E630" s="5" t="s">
        <v>39</v>
      </c>
      <c r="F630" s="5" t="str">
        <f t="shared" si="81"/>
        <v>Program Office-Analyst</v>
      </c>
      <c r="G630" s="5" t="s">
        <v>147</v>
      </c>
      <c r="H630" s="9">
        <v>44917.016504629632</v>
      </c>
      <c r="I630" s="9">
        <v>44920.016504629632</v>
      </c>
      <c r="J630" s="9" t="e">
        <f>I630+#REF!</f>
        <v>#REF!</v>
      </c>
      <c r="K630" s="9" t="e">
        <f>J630+#REF!</f>
        <v>#REF!</v>
      </c>
      <c r="L630" s="10" t="s">
        <v>41</v>
      </c>
      <c r="M630" s="11">
        <v>44931.016504629632</v>
      </c>
      <c r="N630" s="5" t="s">
        <v>42</v>
      </c>
      <c r="O630" s="5" t="s">
        <v>43</v>
      </c>
      <c r="P630" s="9"/>
      <c r="Q630" s="5"/>
      <c r="R630" s="5"/>
      <c r="S630" s="5"/>
      <c r="T630" s="9"/>
      <c r="U630" s="5"/>
      <c r="V630" s="5">
        <v>0</v>
      </c>
      <c r="W630" s="5"/>
      <c r="X630" s="5"/>
      <c r="Y630" s="5"/>
      <c r="Z630" s="5"/>
      <c r="AA630" s="5" t="s">
        <v>62</v>
      </c>
      <c r="AC630">
        <f t="shared" si="82"/>
        <v>11</v>
      </c>
      <c r="AD630" t="str">
        <f t="shared" si="83"/>
        <v/>
      </c>
      <c r="AE630" t="str">
        <f t="shared" si="84"/>
        <v/>
      </c>
      <c r="AF630" t="str">
        <f t="shared" si="85"/>
        <v/>
      </c>
      <c r="AG630" t="str">
        <f t="shared" si="86"/>
        <v/>
      </c>
      <c r="AH630">
        <f t="shared" si="87"/>
        <v>3</v>
      </c>
      <c r="AI630" t="str">
        <f t="shared" si="88"/>
        <v/>
      </c>
      <c r="AJ630" t="str">
        <f t="shared" si="89"/>
        <v/>
      </c>
    </row>
    <row r="631" spans="1:36">
      <c r="A631" s="5">
        <v>653</v>
      </c>
      <c r="B631" s="5" t="s">
        <v>532</v>
      </c>
      <c r="C631" s="5" t="s">
        <v>100</v>
      </c>
      <c r="D631" s="5" t="s">
        <v>506</v>
      </c>
      <c r="E631" s="5" t="s">
        <v>55</v>
      </c>
      <c r="F631" s="5" t="str">
        <f t="shared" si="81"/>
        <v>Program Office-Director</v>
      </c>
      <c r="G631" s="5" t="s">
        <v>56</v>
      </c>
      <c r="H631" s="9">
        <v>44915.016504629632</v>
      </c>
      <c r="I631" s="9">
        <v>44917.016504629632</v>
      </c>
      <c r="J631" s="9" t="e">
        <f>I631+#REF!</f>
        <v>#REF!</v>
      </c>
      <c r="K631" s="9" t="e">
        <f>J631+#REF!</f>
        <v>#REF!</v>
      </c>
      <c r="L631" s="10" t="s">
        <v>41</v>
      </c>
      <c r="M631" s="11">
        <v>44927.016504629632</v>
      </c>
      <c r="N631" s="5" t="s">
        <v>64</v>
      </c>
      <c r="O631" s="5"/>
      <c r="P631" s="9">
        <v>44932.016504629632</v>
      </c>
      <c r="Q631" s="5" t="s">
        <v>64</v>
      </c>
      <c r="R631" s="9">
        <v>44928.016504629632</v>
      </c>
      <c r="S631" s="9">
        <v>44931.016504629632</v>
      </c>
      <c r="T631" s="9">
        <v>44928.016504629632</v>
      </c>
      <c r="U631" s="9">
        <v>44930.016504629632</v>
      </c>
      <c r="V631" s="12">
        <v>1</v>
      </c>
      <c r="W631" s="9">
        <v>44933.016504629632</v>
      </c>
      <c r="X631" s="9">
        <v>44936.016504629632</v>
      </c>
      <c r="Y631" s="9">
        <v>44938.016504629632</v>
      </c>
      <c r="Z631" s="5"/>
      <c r="AA631" s="5"/>
      <c r="AB631" s="13">
        <v>44960.016504629632</v>
      </c>
      <c r="AC631">
        <f t="shared" si="82"/>
        <v>10</v>
      </c>
      <c r="AD631">
        <f t="shared" si="83"/>
        <v>14</v>
      </c>
      <c r="AE631">
        <f t="shared" si="84"/>
        <v>1</v>
      </c>
      <c r="AF631">
        <f t="shared" si="85"/>
        <v>6</v>
      </c>
      <c r="AG631">
        <f t="shared" si="86"/>
        <v>3</v>
      </c>
      <c r="AH631">
        <f t="shared" si="87"/>
        <v>2</v>
      </c>
      <c r="AI631" t="str">
        <f t="shared" si="88"/>
        <v/>
      </c>
      <c r="AJ631" t="str">
        <f t="shared" si="89"/>
        <v/>
      </c>
    </row>
    <row r="632" spans="1:36">
      <c r="A632" s="5">
        <v>654</v>
      </c>
      <c r="B632" s="5" t="s">
        <v>242</v>
      </c>
      <c r="C632" s="5" t="s">
        <v>100</v>
      </c>
      <c r="D632" s="5" t="s">
        <v>146</v>
      </c>
      <c r="E632" s="5" t="s">
        <v>39</v>
      </c>
      <c r="F632" s="5" t="str">
        <f t="shared" si="81"/>
        <v>Program Office-Analyst</v>
      </c>
      <c r="G632" s="5" t="s">
        <v>147</v>
      </c>
      <c r="H632" s="9">
        <v>44917.016504629632</v>
      </c>
      <c r="I632" s="9">
        <v>44918.016504629632</v>
      </c>
      <c r="J632" s="9" t="e">
        <f>I632+#REF!</f>
        <v>#REF!</v>
      </c>
      <c r="K632" s="9" t="e">
        <f>J632+#REF!</f>
        <v>#REF!</v>
      </c>
      <c r="L632" s="10" t="s">
        <v>41</v>
      </c>
      <c r="M632" s="11">
        <v>44936.016504629632</v>
      </c>
      <c r="N632" s="5" t="s">
        <v>42</v>
      </c>
      <c r="O632" s="5" t="s">
        <v>58</v>
      </c>
      <c r="P632" s="9"/>
      <c r="Q632" s="5"/>
      <c r="R632" s="5"/>
      <c r="S632" s="5"/>
      <c r="T632" s="9"/>
      <c r="U632" s="5"/>
      <c r="V632" s="5">
        <v>0</v>
      </c>
      <c r="W632" s="5"/>
      <c r="X632" s="5"/>
      <c r="Y632" s="5"/>
      <c r="Z632" s="5"/>
      <c r="AA632" s="5" t="s">
        <v>44</v>
      </c>
      <c r="AC632">
        <f t="shared" si="82"/>
        <v>18</v>
      </c>
      <c r="AD632" t="str">
        <f t="shared" si="83"/>
        <v/>
      </c>
      <c r="AE632" t="str">
        <f t="shared" si="84"/>
        <v/>
      </c>
      <c r="AF632" t="str">
        <f t="shared" si="85"/>
        <v/>
      </c>
      <c r="AG632" t="str">
        <f t="shared" si="86"/>
        <v/>
      </c>
      <c r="AH632">
        <f t="shared" si="87"/>
        <v>1</v>
      </c>
      <c r="AI632" t="str">
        <f t="shared" si="88"/>
        <v/>
      </c>
      <c r="AJ632" t="str">
        <f t="shared" si="89"/>
        <v/>
      </c>
    </row>
    <row r="633" spans="1:36">
      <c r="A633" s="5">
        <v>655</v>
      </c>
      <c r="B633" s="5" t="s">
        <v>479</v>
      </c>
      <c r="C633" s="5" t="s">
        <v>100</v>
      </c>
      <c r="D633" s="5" t="s">
        <v>387</v>
      </c>
      <c r="E633" s="5" t="s">
        <v>473</v>
      </c>
      <c r="F633" s="5" t="str">
        <f t="shared" si="81"/>
        <v>Program Office-Officer</v>
      </c>
      <c r="G633" s="5" t="s">
        <v>40</v>
      </c>
      <c r="H633" s="9">
        <v>44913.016504629632</v>
      </c>
      <c r="I633" s="9">
        <v>44917.016504629632</v>
      </c>
      <c r="J633" s="9" t="e">
        <f>I633+#REF!</f>
        <v>#REF!</v>
      </c>
      <c r="K633" s="9" t="e">
        <f>J633+#REF!</f>
        <v>#REF!</v>
      </c>
      <c r="L633" s="10" t="s">
        <v>41</v>
      </c>
      <c r="M633" s="11">
        <v>44930.016504629632</v>
      </c>
      <c r="N633" s="5" t="s">
        <v>64</v>
      </c>
      <c r="O633" s="5"/>
      <c r="P633" s="9">
        <v>44935.016504629632</v>
      </c>
      <c r="Q633" s="5" t="s">
        <v>64</v>
      </c>
      <c r="R633" s="9">
        <v>44931.016504629632</v>
      </c>
      <c r="S633" s="9">
        <v>44935.016504629632</v>
      </c>
      <c r="T633" s="9">
        <v>44934.016504629632</v>
      </c>
      <c r="U633" s="9">
        <v>44939.016504629632</v>
      </c>
      <c r="V633" s="12">
        <v>1</v>
      </c>
      <c r="W633" s="9">
        <v>44943.016504629632</v>
      </c>
      <c r="X633" s="9">
        <v>44946.016504629632</v>
      </c>
      <c r="Y633" s="9">
        <v>44949.016504629632</v>
      </c>
      <c r="Z633" s="5"/>
      <c r="AA633" s="5"/>
      <c r="AB633" s="13">
        <v>44957.016504629632</v>
      </c>
      <c r="AC633">
        <f t="shared" si="82"/>
        <v>13</v>
      </c>
      <c r="AD633">
        <f t="shared" si="83"/>
        <v>18</v>
      </c>
      <c r="AE633">
        <f t="shared" si="84"/>
        <v>4</v>
      </c>
      <c r="AF633">
        <f t="shared" si="85"/>
        <v>7</v>
      </c>
      <c r="AG633">
        <f t="shared" si="86"/>
        <v>4</v>
      </c>
      <c r="AH633">
        <f t="shared" si="87"/>
        <v>4</v>
      </c>
      <c r="AI633" t="str">
        <f t="shared" si="88"/>
        <v/>
      </c>
      <c r="AJ633" t="str">
        <f t="shared" si="89"/>
        <v/>
      </c>
    </row>
    <row r="634" spans="1:36">
      <c r="A634" s="5">
        <v>656</v>
      </c>
      <c r="B634" s="5" t="s">
        <v>652</v>
      </c>
      <c r="C634" s="5" t="s">
        <v>100</v>
      </c>
      <c r="D634" s="5" t="s">
        <v>554</v>
      </c>
      <c r="E634" s="5" t="s">
        <v>597</v>
      </c>
      <c r="F634" s="5" t="str">
        <f t="shared" si="81"/>
        <v>Program Office-Business Partner</v>
      </c>
      <c r="G634" s="5" t="s">
        <v>47</v>
      </c>
      <c r="H634" s="9">
        <v>44916.016504629632</v>
      </c>
      <c r="I634" s="9">
        <v>44918.016504629632</v>
      </c>
      <c r="J634" s="9" t="e">
        <f>I634+#REF!</f>
        <v>#REF!</v>
      </c>
      <c r="K634" s="9" t="e">
        <f>J634+#REF!</f>
        <v>#REF!</v>
      </c>
      <c r="L634" s="10" t="s">
        <v>52</v>
      </c>
      <c r="M634" s="11"/>
      <c r="N634" s="5"/>
      <c r="O634" s="5"/>
      <c r="P634" s="9"/>
      <c r="Q634" s="5"/>
      <c r="R634" s="5"/>
      <c r="S634" s="5"/>
      <c r="T634" s="9"/>
      <c r="U634" s="5"/>
      <c r="V634" s="5">
        <v>0</v>
      </c>
      <c r="W634" s="5"/>
      <c r="X634" s="5"/>
      <c r="Y634" s="5"/>
      <c r="Z634" s="5"/>
      <c r="AA634" s="5"/>
      <c r="AC634" t="str">
        <f t="shared" si="82"/>
        <v/>
      </c>
      <c r="AD634" t="str">
        <f t="shared" si="83"/>
        <v/>
      </c>
      <c r="AE634" t="str">
        <f t="shared" si="84"/>
        <v/>
      </c>
      <c r="AF634" t="str">
        <f t="shared" si="85"/>
        <v/>
      </c>
      <c r="AG634" t="str">
        <f t="shared" si="86"/>
        <v/>
      </c>
      <c r="AH634">
        <f t="shared" si="87"/>
        <v>2</v>
      </c>
      <c r="AI634" t="str">
        <f t="shared" si="88"/>
        <v/>
      </c>
      <c r="AJ634" t="str">
        <f t="shared" si="89"/>
        <v/>
      </c>
    </row>
    <row r="635" spans="1:36">
      <c r="A635" s="5">
        <v>657</v>
      </c>
      <c r="B635" s="5" t="s">
        <v>241</v>
      </c>
      <c r="C635" s="5" t="s">
        <v>100</v>
      </c>
      <c r="D635" s="5" t="s">
        <v>146</v>
      </c>
      <c r="E635" s="5" t="s">
        <v>39</v>
      </c>
      <c r="F635" s="5" t="str">
        <f t="shared" si="81"/>
        <v>Program Office-Analyst</v>
      </c>
      <c r="G635" s="5" t="s">
        <v>147</v>
      </c>
      <c r="H635" s="9">
        <v>44918.016504629632</v>
      </c>
      <c r="I635" s="9">
        <v>44921.016504629632</v>
      </c>
      <c r="J635" s="9" t="e">
        <f>I635+#REF!</f>
        <v>#REF!</v>
      </c>
      <c r="K635" s="9" t="e">
        <f>J635+#REF!</f>
        <v>#REF!</v>
      </c>
      <c r="L635" s="10" t="s">
        <v>52</v>
      </c>
      <c r="M635" s="11"/>
      <c r="N635" s="5"/>
      <c r="O635" s="5"/>
      <c r="P635" s="9"/>
      <c r="Q635" s="5"/>
      <c r="R635" s="5"/>
      <c r="S635" s="5"/>
      <c r="T635" s="9"/>
      <c r="U635" s="5"/>
      <c r="V635" s="5">
        <v>0</v>
      </c>
      <c r="W635" s="5"/>
      <c r="X635" s="5"/>
      <c r="Y635" s="5"/>
      <c r="Z635" s="5"/>
      <c r="AA635" s="5"/>
      <c r="AC635" t="str">
        <f t="shared" si="82"/>
        <v/>
      </c>
      <c r="AD635" t="str">
        <f t="shared" si="83"/>
        <v/>
      </c>
      <c r="AE635" t="str">
        <f t="shared" si="84"/>
        <v/>
      </c>
      <c r="AF635" t="str">
        <f t="shared" si="85"/>
        <v/>
      </c>
      <c r="AG635" t="str">
        <f t="shared" si="86"/>
        <v/>
      </c>
      <c r="AH635">
        <f t="shared" si="87"/>
        <v>3</v>
      </c>
      <c r="AI635" t="str">
        <f t="shared" si="88"/>
        <v/>
      </c>
      <c r="AJ635" t="str">
        <f t="shared" si="89"/>
        <v/>
      </c>
    </row>
    <row r="636" spans="1:36">
      <c r="A636" s="5">
        <v>658</v>
      </c>
      <c r="B636" s="5" t="s">
        <v>531</v>
      </c>
      <c r="C636" s="5" t="s">
        <v>100</v>
      </c>
      <c r="D636" s="5" t="s">
        <v>506</v>
      </c>
      <c r="E636" s="5" t="s">
        <v>55</v>
      </c>
      <c r="F636" s="5" t="str">
        <f t="shared" si="81"/>
        <v>Program Office-Director</v>
      </c>
      <c r="G636" s="5" t="s">
        <v>56</v>
      </c>
      <c r="H636" s="9">
        <v>44914.016504629632</v>
      </c>
      <c r="I636" s="9">
        <v>44918.016504629632</v>
      </c>
      <c r="J636" s="9" t="e">
        <f>I636+#REF!</f>
        <v>#REF!</v>
      </c>
      <c r="K636" s="9" t="e">
        <f>J636+#REF!</f>
        <v>#REF!</v>
      </c>
      <c r="L636" s="10" t="s">
        <v>41</v>
      </c>
      <c r="M636" s="11">
        <v>44931.016504629632</v>
      </c>
      <c r="N636" s="5" t="s">
        <v>42</v>
      </c>
      <c r="O636" s="5" t="s">
        <v>43</v>
      </c>
      <c r="P636" s="9"/>
      <c r="Q636" s="5"/>
      <c r="R636" s="5"/>
      <c r="S636" s="5"/>
      <c r="T636" s="9">
        <v>44935.016504629632</v>
      </c>
      <c r="U636" s="5"/>
      <c r="V636" s="5">
        <v>0</v>
      </c>
      <c r="W636" s="5"/>
      <c r="X636" s="5"/>
      <c r="Y636" s="5"/>
      <c r="Z636" s="5"/>
      <c r="AA636" s="5" t="s">
        <v>44</v>
      </c>
      <c r="AC636">
        <f t="shared" si="82"/>
        <v>13</v>
      </c>
      <c r="AD636" t="str">
        <f t="shared" si="83"/>
        <v/>
      </c>
      <c r="AE636">
        <f t="shared" si="84"/>
        <v>4</v>
      </c>
      <c r="AF636" t="str">
        <f t="shared" si="85"/>
        <v/>
      </c>
      <c r="AG636" t="str">
        <f t="shared" si="86"/>
        <v/>
      </c>
      <c r="AH636">
        <f t="shared" si="87"/>
        <v>4</v>
      </c>
      <c r="AI636" t="str">
        <f t="shared" si="88"/>
        <v/>
      </c>
      <c r="AJ636" t="str">
        <f t="shared" si="89"/>
        <v/>
      </c>
    </row>
    <row r="637" spans="1:36">
      <c r="A637" s="5">
        <v>659</v>
      </c>
      <c r="B637" s="5" t="s">
        <v>478</v>
      </c>
      <c r="C637" s="5" t="s">
        <v>100</v>
      </c>
      <c r="D637" s="5" t="s">
        <v>387</v>
      </c>
      <c r="E637" s="5" t="s">
        <v>473</v>
      </c>
      <c r="F637" s="5" t="str">
        <f t="shared" si="81"/>
        <v>Program Office-Officer</v>
      </c>
      <c r="G637" s="5" t="s">
        <v>40</v>
      </c>
      <c r="H637" s="9">
        <v>44916.016504629632</v>
      </c>
      <c r="I637" s="9">
        <v>44920.016504629632</v>
      </c>
      <c r="J637" s="9" t="e">
        <f>I637+#REF!</f>
        <v>#REF!</v>
      </c>
      <c r="K637" s="9" t="e">
        <f>J637+#REF!</f>
        <v>#REF!</v>
      </c>
      <c r="L637" s="10" t="s">
        <v>41</v>
      </c>
      <c r="M637" s="11">
        <v>44928.016504629632</v>
      </c>
      <c r="N637" s="5" t="s">
        <v>42</v>
      </c>
      <c r="O637" s="5" t="s">
        <v>98</v>
      </c>
      <c r="P637" s="9"/>
      <c r="Q637" s="5"/>
      <c r="R637" s="5"/>
      <c r="S637" s="5"/>
      <c r="T637" s="9"/>
      <c r="U637" s="5"/>
      <c r="V637" s="5">
        <v>0</v>
      </c>
      <c r="W637" s="5"/>
      <c r="X637" s="5"/>
      <c r="Y637" s="5"/>
      <c r="Z637" s="5"/>
      <c r="AA637" s="5" t="s">
        <v>62</v>
      </c>
      <c r="AC637">
        <f t="shared" si="82"/>
        <v>8</v>
      </c>
      <c r="AD637" t="str">
        <f t="shared" si="83"/>
        <v/>
      </c>
      <c r="AE637" t="str">
        <f t="shared" si="84"/>
        <v/>
      </c>
      <c r="AF637" t="str">
        <f t="shared" si="85"/>
        <v/>
      </c>
      <c r="AG637" t="str">
        <f t="shared" si="86"/>
        <v/>
      </c>
      <c r="AH637">
        <f t="shared" si="87"/>
        <v>4</v>
      </c>
      <c r="AI637" t="str">
        <f t="shared" si="88"/>
        <v/>
      </c>
      <c r="AJ637" t="str">
        <f t="shared" si="89"/>
        <v/>
      </c>
    </row>
    <row r="638" spans="1:36">
      <c r="A638" s="5">
        <v>660</v>
      </c>
      <c r="B638" s="5" t="s">
        <v>651</v>
      </c>
      <c r="C638" s="5" t="s">
        <v>100</v>
      </c>
      <c r="D638" s="5" t="s">
        <v>554</v>
      </c>
      <c r="E638" s="5" t="s">
        <v>597</v>
      </c>
      <c r="F638" s="5" t="str">
        <f t="shared" si="81"/>
        <v>Program Office-Business Partner</v>
      </c>
      <c r="G638" s="5" t="s">
        <v>47</v>
      </c>
      <c r="H638" s="9">
        <v>44917.016504629632</v>
      </c>
      <c r="I638" s="9">
        <v>44919.016504629632</v>
      </c>
      <c r="J638" s="9" t="e">
        <f>I638+#REF!</f>
        <v>#REF!</v>
      </c>
      <c r="K638" s="9" t="e">
        <f>J638+#REF!</f>
        <v>#REF!</v>
      </c>
      <c r="L638" s="10" t="s">
        <v>41</v>
      </c>
      <c r="M638" s="11">
        <v>44927.016504629632</v>
      </c>
      <c r="N638" s="5" t="s">
        <v>42</v>
      </c>
      <c r="O638" s="5" t="s">
        <v>43</v>
      </c>
      <c r="P638" s="9"/>
      <c r="Q638" s="5"/>
      <c r="R638" s="5"/>
      <c r="S638" s="5"/>
      <c r="T638" s="9"/>
      <c r="U638" s="5"/>
      <c r="V638" s="5">
        <v>0</v>
      </c>
      <c r="W638" s="5"/>
      <c r="X638" s="5"/>
      <c r="Y638" s="5"/>
      <c r="Z638" s="5"/>
      <c r="AA638" s="5" t="s">
        <v>44</v>
      </c>
      <c r="AC638">
        <f t="shared" si="82"/>
        <v>8</v>
      </c>
      <c r="AD638" t="str">
        <f t="shared" si="83"/>
        <v/>
      </c>
      <c r="AE638" t="str">
        <f t="shared" si="84"/>
        <v/>
      </c>
      <c r="AF638" t="str">
        <f t="shared" si="85"/>
        <v/>
      </c>
      <c r="AG638" t="str">
        <f t="shared" si="86"/>
        <v/>
      </c>
      <c r="AH638">
        <f t="shared" si="87"/>
        <v>2</v>
      </c>
      <c r="AI638" t="str">
        <f t="shared" si="88"/>
        <v/>
      </c>
      <c r="AJ638" t="str">
        <f t="shared" si="89"/>
        <v/>
      </c>
    </row>
    <row r="639" spans="1:36">
      <c r="A639" s="5">
        <v>661</v>
      </c>
      <c r="B639" s="5" t="s">
        <v>2379</v>
      </c>
      <c r="C639" s="5" t="s">
        <v>2229</v>
      </c>
      <c r="D639" s="5" t="s">
        <v>2350</v>
      </c>
      <c r="E639" s="5" t="s">
        <v>2351</v>
      </c>
      <c r="F639" s="5" t="str">
        <f t="shared" si="81"/>
        <v>Capacity Building-Training Associate</v>
      </c>
      <c r="G639" s="5" t="s">
        <v>40</v>
      </c>
      <c r="H639" s="9">
        <v>44570.204074074078</v>
      </c>
      <c r="I639" s="9">
        <v>44572.204074074078</v>
      </c>
      <c r="J639" s="9" t="e">
        <f>I639+#REF!</f>
        <v>#REF!</v>
      </c>
      <c r="K639" s="9" t="e">
        <f>J639+#REF!</f>
        <v>#REF!</v>
      </c>
      <c r="L639" s="10" t="s">
        <v>41</v>
      </c>
      <c r="M639" s="11">
        <v>44580.204074074078</v>
      </c>
      <c r="N639" s="5" t="s">
        <v>42</v>
      </c>
      <c r="O639" s="5" t="s">
        <v>113</v>
      </c>
      <c r="P639" s="9"/>
      <c r="Q639" s="5"/>
      <c r="R639" s="5"/>
      <c r="S639" s="5"/>
      <c r="T639" s="9">
        <v>44584.204074074078</v>
      </c>
      <c r="U639" s="5"/>
      <c r="V639" s="5">
        <v>0</v>
      </c>
      <c r="W639" s="5"/>
      <c r="X639" s="5"/>
      <c r="Y639" s="5"/>
      <c r="Z639" s="5"/>
      <c r="AA639" s="5" t="s">
        <v>44</v>
      </c>
      <c r="AC639">
        <f t="shared" si="82"/>
        <v>8</v>
      </c>
      <c r="AD639" t="str">
        <f t="shared" si="83"/>
        <v/>
      </c>
      <c r="AE639">
        <f t="shared" si="84"/>
        <v>4</v>
      </c>
      <c r="AF639" t="str">
        <f t="shared" si="85"/>
        <v/>
      </c>
      <c r="AG639" t="str">
        <f t="shared" si="86"/>
        <v/>
      </c>
      <c r="AH639">
        <f t="shared" si="87"/>
        <v>2</v>
      </c>
      <c r="AI639" t="str">
        <f t="shared" si="88"/>
        <v/>
      </c>
      <c r="AJ639" t="str">
        <f t="shared" si="89"/>
        <v/>
      </c>
    </row>
    <row r="640" spans="1:36">
      <c r="A640" s="5">
        <v>662</v>
      </c>
      <c r="B640" s="5" t="s">
        <v>2420</v>
      </c>
      <c r="C640" s="5" t="s">
        <v>2229</v>
      </c>
      <c r="D640" s="5" t="s">
        <v>2403</v>
      </c>
      <c r="E640" s="5" t="s">
        <v>1939</v>
      </c>
      <c r="F640" s="5" t="str">
        <f t="shared" si="81"/>
        <v>Capacity Building-Principal Officer</v>
      </c>
      <c r="G640" s="5" t="s">
        <v>56</v>
      </c>
      <c r="H640" s="9">
        <v>44566.204074074078</v>
      </c>
      <c r="I640" s="9">
        <v>44570.204074074078</v>
      </c>
      <c r="J640" s="9" t="e">
        <f>I640+#REF!</f>
        <v>#REF!</v>
      </c>
      <c r="K640" s="9" t="e">
        <f>J640+#REF!</f>
        <v>#REF!</v>
      </c>
      <c r="L640" s="10" t="s">
        <v>41</v>
      </c>
      <c r="M640" s="11">
        <v>44582.204074074078</v>
      </c>
      <c r="N640" s="5" t="s">
        <v>64</v>
      </c>
      <c r="O640" s="5"/>
      <c r="P640" s="9">
        <v>44587.204074074078</v>
      </c>
      <c r="Q640" s="5" t="s">
        <v>64</v>
      </c>
      <c r="R640" s="9">
        <v>44584.204074074078</v>
      </c>
      <c r="S640" s="9">
        <v>44587.204074074078</v>
      </c>
      <c r="T640" s="9">
        <v>44586.204074074078</v>
      </c>
      <c r="U640" s="9">
        <v>44587.204074074078</v>
      </c>
      <c r="V640" s="12">
        <v>1</v>
      </c>
      <c r="W640" s="9">
        <v>44589.204074074078</v>
      </c>
      <c r="X640" s="9">
        <v>44590.204074074078</v>
      </c>
      <c r="Y640" s="9">
        <v>44591.204074074078</v>
      </c>
      <c r="Z640" s="5"/>
      <c r="AA640" s="5"/>
      <c r="AB640" s="13">
        <v>44605.204074074078</v>
      </c>
      <c r="AC640">
        <f t="shared" si="82"/>
        <v>12</v>
      </c>
      <c r="AD640">
        <f t="shared" si="83"/>
        <v>17</v>
      </c>
      <c r="AE640">
        <f t="shared" si="84"/>
        <v>4</v>
      </c>
      <c r="AF640">
        <f t="shared" si="85"/>
        <v>3</v>
      </c>
      <c r="AG640">
        <f t="shared" si="86"/>
        <v>2</v>
      </c>
      <c r="AH640">
        <f t="shared" si="87"/>
        <v>4</v>
      </c>
      <c r="AI640" t="str">
        <f t="shared" si="88"/>
        <v/>
      </c>
      <c r="AJ640" t="str">
        <f t="shared" si="89"/>
        <v/>
      </c>
    </row>
    <row r="641" spans="1:36">
      <c r="A641" s="5">
        <v>663</v>
      </c>
      <c r="B641" s="5" t="s">
        <v>2419</v>
      </c>
      <c r="C641" s="5" t="s">
        <v>2229</v>
      </c>
      <c r="D641" s="5" t="s">
        <v>2403</v>
      </c>
      <c r="E641" s="5" t="s">
        <v>1939</v>
      </c>
      <c r="F641" s="5" t="str">
        <f t="shared" si="81"/>
        <v>Capacity Building-Principal Officer</v>
      </c>
      <c r="G641" s="5" t="s">
        <v>56</v>
      </c>
      <c r="H641" s="9">
        <v>44568.204074074078</v>
      </c>
      <c r="I641" s="9">
        <v>44571.204074074078</v>
      </c>
      <c r="J641" s="9" t="e">
        <f>I641+#REF!</f>
        <v>#REF!</v>
      </c>
      <c r="K641" s="9" t="e">
        <f>J641+#REF!</f>
        <v>#REF!</v>
      </c>
      <c r="L641" s="10" t="s">
        <v>41</v>
      </c>
      <c r="M641" s="11">
        <v>44589.204074074078</v>
      </c>
      <c r="N641" s="5" t="s">
        <v>42</v>
      </c>
      <c r="O641" s="5" t="s">
        <v>58</v>
      </c>
      <c r="P641" s="9"/>
      <c r="Q641" s="5"/>
      <c r="R641" s="5"/>
      <c r="S641" s="5"/>
      <c r="T641" s="9"/>
      <c r="U641" s="5"/>
      <c r="V641" s="5">
        <v>0</v>
      </c>
      <c r="W641" s="5"/>
      <c r="X641" s="5"/>
      <c r="Y641" s="5"/>
      <c r="Z641" s="5"/>
      <c r="AA641" s="5" t="s">
        <v>44</v>
      </c>
      <c r="AC641">
        <f t="shared" si="82"/>
        <v>18</v>
      </c>
      <c r="AD641" t="str">
        <f t="shared" si="83"/>
        <v/>
      </c>
      <c r="AE641" t="str">
        <f t="shared" si="84"/>
        <v/>
      </c>
      <c r="AF641" t="str">
        <f t="shared" si="85"/>
        <v/>
      </c>
      <c r="AG641" t="str">
        <f t="shared" si="86"/>
        <v/>
      </c>
      <c r="AH641">
        <f t="shared" si="87"/>
        <v>3</v>
      </c>
      <c r="AI641" t="str">
        <f t="shared" si="88"/>
        <v/>
      </c>
      <c r="AJ641" t="str">
        <f t="shared" si="89"/>
        <v/>
      </c>
    </row>
    <row r="642" spans="1:36">
      <c r="A642" s="5">
        <v>664</v>
      </c>
      <c r="B642" s="5" t="s">
        <v>2378</v>
      </c>
      <c r="C642" s="5" t="s">
        <v>2229</v>
      </c>
      <c r="D642" s="5" t="s">
        <v>2350</v>
      </c>
      <c r="E642" s="5" t="s">
        <v>2351</v>
      </c>
      <c r="F642" s="5" t="str">
        <f t="shared" ref="F642:F705" si="90">_xlfn.CONCAT(C642,"-",E642)</f>
        <v>Capacity Building-Training Associate</v>
      </c>
      <c r="G642" s="5" t="s">
        <v>40</v>
      </c>
      <c r="H642" s="9">
        <v>44573.204074074078</v>
      </c>
      <c r="I642" s="9">
        <v>44575.204074074078</v>
      </c>
      <c r="J642" s="9" t="e">
        <f>I642+#REF!</f>
        <v>#REF!</v>
      </c>
      <c r="K642" s="9" t="e">
        <f>J642+#REF!</f>
        <v>#REF!</v>
      </c>
      <c r="L642" s="10" t="s">
        <v>41</v>
      </c>
      <c r="M642" s="11">
        <v>44590.204074074078</v>
      </c>
      <c r="N642" s="5" t="s">
        <v>42</v>
      </c>
      <c r="O642" s="5" t="s">
        <v>98</v>
      </c>
      <c r="P642" s="9"/>
      <c r="Q642" s="5"/>
      <c r="R642" s="5"/>
      <c r="S642" s="5"/>
      <c r="T642" s="9">
        <v>44594.204074074078</v>
      </c>
      <c r="U642" s="5"/>
      <c r="V642" s="5">
        <v>0</v>
      </c>
      <c r="W642" s="5"/>
      <c r="X642" s="5"/>
      <c r="Y642" s="5"/>
      <c r="Z642" s="5"/>
      <c r="AA642" s="5" t="s">
        <v>62</v>
      </c>
      <c r="AC642">
        <f t="shared" ref="AC642:AC705" si="91">IF(AND(ISNUMBER(M642), ISNUMBER(I642)), M642 - I642, "")</f>
        <v>15</v>
      </c>
      <c r="AD642" t="str">
        <f t="shared" si="83"/>
        <v/>
      </c>
      <c r="AE642">
        <f t="shared" si="84"/>
        <v>4</v>
      </c>
      <c r="AF642" t="str">
        <f t="shared" si="85"/>
        <v/>
      </c>
      <c r="AG642" t="str">
        <f t="shared" si="86"/>
        <v/>
      </c>
      <c r="AH642">
        <f t="shared" si="87"/>
        <v>2</v>
      </c>
      <c r="AI642" t="str">
        <f t="shared" si="88"/>
        <v/>
      </c>
      <c r="AJ642" t="str">
        <f t="shared" si="89"/>
        <v/>
      </c>
    </row>
    <row r="643" spans="1:36">
      <c r="A643" s="5">
        <v>665</v>
      </c>
      <c r="B643" s="5" t="s">
        <v>2275</v>
      </c>
      <c r="C643" s="5" t="s">
        <v>2229</v>
      </c>
      <c r="D643" s="5" t="s">
        <v>2250</v>
      </c>
      <c r="E643" s="5" t="s">
        <v>1146</v>
      </c>
      <c r="F643" s="5" t="str">
        <f t="shared" si="90"/>
        <v>Capacity Building-Quality Assurance</v>
      </c>
      <c r="G643" s="5" t="s">
        <v>147</v>
      </c>
      <c r="H643" s="9">
        <v>44570.204074074078</v>
      </c>
      <c r="I643" s="9">
        <v>44572.204074074078</v>
      </c>
      <c r="J643" s="9" t="e">
        <f>I643+#REF!</f>
        <v>#REF!</v>
      </c>
      <c r="K643" s="9" t="e">
        <f>J643+#REF!</f>
        <v>#REF!</v>
      </c>
      <c r="L643" s="10" t="s">
        <v>41</v>
      </c>
      <c r="M643" s="11">
        <v>44581.204074074078</v>
      </c>
      <c r="N643" s="5" t="s">
        <v>48</v>
      </c>
      <c r="O643" s="5"/>
      <c r="P643" s="9">
        <v>44585.204074074078</v>
      </c>
      <c r="Q643" s="5" t="s">
        <v>48</v>
      </c>
      <c r="R643" s="5"/>
      <c r="S643" s="5"/>
      <c r="T643" s="9">
        <v>44583.204074074078</v>
      </c>
      <c r="U643" s="5"/>
      <c r="V643" s="5">
        <v>0</v>
      </c>
      <c r="W643" s="5"/>
      <c r="X643" s="5"/>
      <c r="Y643" s="5"/>
      <c r="Z643" s="5"/>
      <c r="AA643" s="5"/>
      <c r="AC643">
        <f t="shared" si="91"/>
        <v>9</v>
      </c>
      <c r="AD643" t="str">
        <f t="shared" ref="AD643:AD706" si="92">IF(AND(ISNUMBER(S643), ISNUMBER(I643)), S643 - I643, "")</f>
        <v/>
      </c>
      <c r="AE643">
        <f t="shared" ref="AE643:AE706" si="93">IF(AND(ISNUMBER(T643), ISNUMBER(M643)), T643-M643, "")</f>
        <v>2</v>
      </c>
      <c r="AF643" t="str">
        <f t="shared" ref="AF643:AF706" si="94">IF(AND(ISNUMBER(X643), ISNUMBER(U643)), X643-U643,"")</f>
        <v/>
      </c>
      <c r="AG643" t="str">
        <f t="shared" ref="AG643:AG706" si="95">IF(AND(ISNUMBER(W643), ISNUMBER(U643)), W643-U643, "")</f>
        <v/>
      </c>
      <c r="AH643">
        <f t="shared" ref="AH643:AH706" si="96">IF(AND(ISNUMBER(I643), ISNUMBER(H643)), I643-H643,"")</f>
        <v>2</v>
      </c>
      <c r="AI643" t="str">
        <f t="shared" ref="AI643:AI706" si="97">IF(AND(ISNUMBER(J643),ISNUMBER(K643)),K643-J643,"")</f>
        <v/>
      </c>
      <c r="AJ643" t="str">
        <f t="shared" ref="AJ643:AJ706" si="98">IF(AND(ISNUMBER(J643),ISNUMBER(I643)), J643-I643,"")</f>
        <v/>
      </c>
    </row>
    <row r="644" spans="1:36">
      <c r="A644" s="5">
        <v>666</v>
      </c>
      <c r="B644" s="5" t="s">
        <v>2274</v>
      </c>
      <c r="C644" s="5" t="s">
        <v>2229</v>
      </c>
      <c r="D644" s="5" t="s">
        <v>2250</v>
      </c>
      <c r="E644" s="5" t="s">
        <v>1146</v>
      </c>
      <c r="F644" s="5" t="str">
        <f t="shared" si="90"/>
        <v>Capacity Building-Quality Assurance</v>
      </c>
      <c r="G644" s="5" t="s">
        <v>147</v>
      </c>
      <c r="H644" s="9">
        <v>44572.204074074078</v>
      </c>
      <c r="I644" s="9">
        <v>44575.204074074078</v>
      </c>
      <c r="J644" s="9" t="e">
        <f>I644+#REF!</f>
        <v>#REF!</v>
      </c>
      <c r="K644" s="9" t="e">
        <f>J644+#REF!</f>
        <v>#REF!</v>
      </c>
      <c r="L644" s="10" t="s">
        <v>41</v>
      </c>
      <c r="M644" s="11">
        <v>44591.204074074078</v>
      </c>
      <c r="N644" s="5" t="s">
        <v>167</v>
      </c>
      <c r="O644" s="5"/>
      <c r="P644" s="9">
        <v>44595.204074074078</v>
      </c>
      <c r="Q644" s="5" t="s">
        <v>167</v>
      </c>
      <c r="R644" s="5"/>
      <c r="S644" s="5"/>
      <c r="T644" s="9">
        <v>44592.204074074078</v>
      </c>
      <c r="U644" s="5"/>
      <c r="V644" s="5">
        <v>0</v>
      </c>
      <c r="W644" s="5"/>
      <c r="X644" s="5"/>
      <c r="Y644" s="5"/>
      <c r="Z644" s="5"/>
      <c r="AA644" s="5"/>
      <c r="AC644">
        <f t="shared" si="91"/>
        <v>16</v>
      </c>
      <c r="AD644" t="str">
        <f t="shared" si="92"/>
        <v/>
      </c>
      <c r="AE644">
        <f t="shared" si="93"/>
        <v>1</v>
      </c>
      <c r="AF644" t="str">
        <f t="shared" si="94"/>
        <v/>
      </c>
      <c r="AG644" t="str">
        <f t="shared" si="95"/>
        <v/>
      </c>
      <c r="AH644">
        <f t="shared" si="96"/>
        <v>3</v>
      </c>
      <c r="AI644" t="str">
        <f t="shared" si="97"/>
        <v/>
      </c>
      <c r="AJ644" t="str">
        <f t="shared" si="98"/>
        <v/>
      </c>
    </row>
    <row r="645" spans="1:36">
      <c r="A645" s="5">
        <v>667</v>
      </c>
      <c r="B645" s="5" t="s">
        <v>2472</v>
      </c>
      <c r="C645" s="5" t="s">
        <v>2229</v>
      </c>
      <c r="D645" s="5" t="s">
        <v>2445</v>
      </c>
      <c r="E645" s="5" t="s">
        <v>388</v>
      </c>
      <c r="F645" s="5" t="str">
        <f t="shared" si="90"/>
        <v>Capacity Building-Extension Officer</v>
      </c>
      <c r="G645" s="5" t="s">
        <v>47</v>
      </c>
      <c r="H645" s="9">
        <v>44566.204074074078</v>
      </c>
      <c r="I645" s="9">
        <v>44570.204074074078</v>
      </c>
      <c r="J645" s="9" t="e">
        <f>I645+#REF!</f>
        <v>#REF!</v>
      </c>
      <c r="K645" s="9" t="e">
        <f>J645+#REF!</f>
        <v>#REF!</v>
      </c>
      <c r="L645" s="10" t="s">
        <v>41</v>
      </c>
      <c r="M645" s="11">
        <v>44588.204074074078</v>
      </c>
      <c r="N645" s="5" t="s">
        <v>42</v>
      </c>
      <c r="O645" s="5" t="s">
        <v>43</v>
      </c>
      <c r="P645" s="9"/>
      <c r="Q645" s="5"/>
      <c r="R645" s="5"/>
      <c r="S645" s="5"/>
      <c r="T645" s="9">
        <v>44590.204074074078</v>
      </c>
      <c r="U645" s="5"/>
      <c r="V645" s="5">
        <v>0</v>
      </c>
      <c r="W645" s="5"/>
      <c r="X645" s="5"/>
      <c r="Y645" s="5"/>
      <c r="Z645" s="5"/>
      <c r="AA645" s="5" t="s">
        <v>44</v>
      </c>
      <c r="AC645">
        <f t="shared" si="91"/>
        <v>18</v>
      </c>
      <c r="AD645" t="str">
        <f t="shared" si="92"/>
        <v/>
      </c>
      <c r="AE645">
        <f t="shared" si="93"/>
        <v>2</v>
      </c>
      <c r="AF645" t="str">
        <f t="shared" si="94"/>
        <v/>
      </c>
      <c r="AG645" t="str">
        <f t="shared" si="95"/>
        <v/>
      </c>
      <c r="AH645">
        <f t="shared" si="96"/>
        <v>4</v>
      </c>
      <c r="AI645" t="str">
        <f t="shared" si="97"/>
        <v/>
      </c>
      <c r="AJ645" t="str">
        <f t="shared" si="98"/>
        <v/>
      </c>
    </row>
    <row r="646" spans="1:36">
      <c r="A646" s="5">
        <v>669</v>
      </c>
      <c r="B646" s="5" t="s">
        <v>2329</v>
      </c>
      <c r="C646" s="5" t="s">
        <v>2229</v>
      </c>
      <c r="D646" s="5" t="s">
        <v>2302</v>
      </c>
      <c r="E646" s="5" t="s">
        <v>269</v>
      </c>
      <c r="F646" s="5" t="str">
        <f t="shared" si="90"/>
        <v>Capacity Building-Manager</v>
      </c>
      <c r="G646" s="5" t="s">
        <v>270</v>
      </c>
      <c r="H646" s="9">
        <v>44570.204074074078</v>
      </c>
      <c r="I646" s="9">
        <v>44574.204074074078</v>
      </c>
      <c r="J646" s="9" t="e">
        <f>I646+#REF!</f>
        <v>#REF!</v>
      </c>
      <c r="K646" s="9" t="e">
        <f>J646+#REF!</f>
        <v>#REF!</v>
      </c>
      <c r="L646" s="10" t="s">
        <v>52</v>
      </c>
      <c r="M646" s="11"/>
      <c r="N646" s="5"/>
      <c r="O646" s="5"/>
      <c r="P646" s="9"/>
      <c r="Q646" s="5"/>
      <c r="R646" s="5"/>
      <c r="S646" s="5"/>
      <c r="T646" s="9"/>
      <c r="U646" s="5"/>
      <c r="V646" s="5">
        <v>0</v>
      </c>
      <c r="W646" s="5"/>
      <c r="X646" s="5"/>
      <c r="Y646" s="5"/>
      <c r="Z646" s="5"/>
      <c r="AA646" s="5"/>
      <c r="AC646" t="str">
        <f t="shared" si="91"/>
        <v/>
      </c>
      <c r="AD646" t="str">
        <f t="shared" si="92"/>
        <v/>
      </c>
      <c r="AE646" t="str">
        <f t="shared" si="93"/>
        <v/>
      </c>
      <c r="AF646" t="str">
        <f t="shared" si="94"/>
        <v/>
      </c>
      <c r="AG646" t="str">
        <f t="shared" si="95"/>
        <v/>
      </c>
      <c r="AH646">
        <f t="shared" si="96"/>
        <v>4</v>
      </c>
      <c r="AI646" t="str">
        <f t="shared" si="97"/>
        <v/>
      </c>
      <c r="AJ646" t="str">
        <f t="shared" si="98"/>
        <v/>
      </c>
    </row>
    <row r="647" spans="1:36">
      <c r="A647" s="5">
        <v>670</v>
      </c>
      <c r="B647" s="5" t="s">
        <v>2418</v>
      </c>
      <c r="C647" s="5" t="s">
        <v>2229</v>
      </c>
      <c r="D647" s="5" t="s">
        <v>2403</v>
      </c>
      <c r="E647" s="5" t="s">
        <v>1939</v>
      </c>
      <c r="F647" s="5" t="str">
        <f t="shared" si="90"/>
        <v>Capacity Building-Principal Officer</v>
      </c>
      <c r="G647" s="5" t="s">
        <v>56</v>
      </c>
      <c r="H647" s="9">
        <v>44570.204074074078</v>
      </c>
      <c r="I647" s="9">
        <v>44572.204074074078</v>
      </c>
      <c r="J647" s="9" t="e">
        <f>I647+#REF!</f>
        <v>#REF!</v>
      </c>
      <c r="K647" s="9" t="e">
        <f>J647+#REF!</f>
        <v>#REF!</v>
      </c>
      <c r="L647" s="10" t="s">
        <v>41</v>
      </c>
      <c r="M647" s="11">
        <v>44591.204074074078</v>
      </c>
      <c r="N647" s="5" t="s">
        <v>42</v>
      </c>
      <c r="O647" s="5" t="s">
        <v>113</v>
      </c>
      <c r="P647" s="9"/>
      <c r="Q647" s="5"/>
      <c r="R647" s="5"/>
      <c r="S647" s="5"/>
      <c r="T647" s="9"/>
      <c r="U647" s="5"/>
      <c r="V647" s="5">
        <v>0</v>
      </c>
      <c r="W647" s="5"/>
      <c r="X647" s="5"/>
      <c r="Y647" s="5"/>
      <c r="Z647" s="5"/>
      <c r="AA647" s="5" t="s">
        <v>62</v>
      </c>
      <c r="AC647">
        <f t="shared" si="91"/>
        <v>19</v>
      </c>
      <c r="AD647" t="str">
        <f t="shared" si="92"/>
        <v/>
      </c>
      <c r="AE647" t="str">
        <f t="shared" si="93"/>
        <v/>
      </c>
      <c r="AF647" t="str">
        <f t="shared" si="94"/>
        <v/>
      </c>
      <c r="AG647" t="str">
        <f t="shared" si="95"/>
        <v/>
      </c>
      <c r="AH647">
        <f t="shared" si="96"/>
        <v>2</v>
      </c>
      <c r="AI647" t="str">
        <f t="shared" si="97"/>
        <v/>
      </c>
      <c r="AJ647" t="str">
        <f t="shared" si="98"/>
        <v/>
      </c>
    </row>
    <row r="648" spans="1:36">
      <c r="A648" s="5">
        <v>671</v>
      </c>
      <c r="B648" s="5" t="s">
        <v>530</v>
      </c>
      <c r="C648" s="5" t="s">
        <v>100</v>
      </c>
      <c r="D648" s="5" t="s">
        <v>506</v>
      </c>
      <c r="E648" s="5" t="s">
        <v>55</v>
      </c>
      <c r="F648" s="5" t="str">
        <f t="shared" si="90"/>
        <v>Program Office-Director</v>
      </c>
      <c r="G648" s="5" t="s">
        <v>56</v>
      </c>
      <c r="H648" s="9">
        <v>45141.885671296295</v>
      </c>
      <c r="I648" s="9">
        <v>45142.885671296295</v>
      </c>
      <c r="J648" s="9" t="e">
        <f>I648+#REF!</f>
        <v>#REF!</v>
      </c>
      <c r="K648" s="9" t="e">
        <f>J648+#REF!</f>
        <v>#REF!</v>
      </c>
      <c r="L648" s="10" t="s">
        <v>41</v>
      </c>
      <c r="M648" s="11">
        <v>45160.885671296295</v>
      </c>
      <c r="N648" s="5" t="s">
        <v>42</v>
      </c>
      <c r="O648" s="5" t="s">
        <v>113</v>
      </c>
      <c r="P648" s="9"/>
      <c r="Q648" s="5"/>
      <c r="R648" s="5"/>
      <c r="S648" s="5"/>
      <c r="T648" s="9"/>
      <c r="U648" s="5"/>
      <c r="V648" s="5">
        <v>0</v>
      </c>
      <c r="W648" s="5"/>
      <c r="X648" s="5"/>
      <c r="Y648" s="5"/>
      <c r="Z648" s="5"/>
      <c r="AA648" s="5" t="s">
        <v>44</v>
      </c>
      <c r="AC648">
        <f t="shared" si="91"/>
        <v>18</v>
      </c>
      <c r="AD648" t="str">
        <f t="shared" si="92"/>
        <v/>
      </c>
      <c r="AE648" t="str">
        <f t="shared" si="93"/>
        <v/>
      </c>
      <c r="AF648" t="str">
        <f t="shared" si="94"/>
        <v/>
      </c>
      <c r="AG648" t="str">
        <f t="shared" si="95"/>
        <v/>
      </c>
      <c r="AH648">
        <f t="shared" si="96"/>
        <v>1</v>
      </c>
      <c r="AI648" t="str">
        <f t="shared" si="97"/>
        <v/>
      </c>
      <c r="AJ648" t="str">
        <f t="shared" si="98"/>
        <v/>
      </c>
    </row>
    <row r="649" spans="1:36">
      <c r="A649" s="5">
        <v>672</v>
      </c>
      <c r="B649" s="5" t="s">
        <v>650</v>
      </c>
      <c r="C649" s="5" t="s">
        <v>100</v>
      </c>
      <c r="D649" s="5" t="s">
        <v>554</v>
      </c>
      <c r="E649" s="5" t="s">
        <v>597</v>
      </c>
      <c r="F649" s="5" t="str">
        <f t="shared" si="90"/>
        <v>Program Office-Business Partner</v>
      </c>
      <c r="G649" s="5" t="s">
        <v>47</v>
      </c>
      <c r="H649" s="9">
        <v>45139.885671296295</v>
      </c>
      <c r="I649" s="9">
        <v>45142.885671296295</v>
      </c>
      <c r="J649" s="9" t="e">
        <f>I649+#REF!</f>
        <v>#REF!</v>
      </c>
      <c r="K649" s="9" t="e">
        <f>J649+#REF!</f>
        <v>#REF!</v>
      </c>
      <c r="L649" s="10" t="s">
        <v>41</v>
      </c>
      <c r="M649" s="11">
        <v>45156.885671296295</v>
      </c>
      <c r="N649" s="5" t="s">
        <v>42</v>
      </c>
      <c r="O649" s="5" t="s">
        <v>43</v>
      </c>
      <c r="P649" s="9"/>
      <c r="Q649" s="5"/>
      <c r="R649" s="5"/>
      <c r="S649" s="5"/>
      <c r="T649" s="9">
        <v>45157.885671296295</v>
      </c>
      <c r="U649" s="5"/>
      <c r="V649" s="5">
        <v>0</v>
      </c>
      <c r="W649" s="5"/>
      <c r="X649" s="5"/>
      <c r="Y649" s="5"/>
      <c r="Z649" s="5"/>
      <c r="AA649" s="5" t="s">
        <v>62</v>
      </c>
      <c r="AC649">
        <f t="shared" si="91"/>
        <v>14</v>
      </c>
      <c r="AD649" t="str">
        <f t="shared" si="92"/>
        <v/>
      </c>
      <c r="AE649">
        <f t="shared" si="93"/>
        <v>1</v>
      </c>
      <c r="AF649" t="str">
        <f t="shared" si="94"/>
        <v/>
      </c>
      <c r="AG649" t="str">
        <f t="shared" si="95"/>
        <v/>
      </c>
      <c r="AH649">
        <f t="shared" si="96"/>
        <v>3</v>
      </c>
      <c r="AI649" t="str">
        <f t="shared" si="97"/>
        <v/>
      </c>
      <c r="AJ649" t="str">
        <f t="shared" si="98"/>
        <v/>
      </c>
    </row>
    <row r="650" spans="1:36">
      <c r="A650" s="5">
        <v>673</v>
      </c>
      <c r="B650" s="5" t="s">
        <v>649</v>
      </c>
      <c r="C650" s="5" t="s">
        <v>100</v>
      </c>
      <c r="D650" s="5" t="s">
        <v>554</v>
      </c>
      <c r="E650" s="5" t="s">
        <v>597</v>
      </c>
      <c r="F650" s="5" t="str">
        <f t="shared" si="90"/>
        <v>Program Office-Business Partner</v>
      </c>
      <c r="G650" s="5" t="s">
        <v>47</v>
      </c>
      <c r="H650" s="9">
        <v>45141.885671296295</v>
      </c>
      <c r="I650" s="9">
        <v>45142.885671296295</v>
      </c>
      <c r="J650" s="9" t="e">
        <f>I650+#REF!</f>
        <v>#REF!</v>
      </c>
      <c r="K650" s="9" t="e">
        <f>J650+#REF!</f>
        <v>#REF!</v>
      </c>
      <c r="L650" s="10" t="s">
        <v>52</v>
      </c>
      <c r="M650" s="11"/>
      <c r="N650" s="5"/>
      <c r="O650" s="5"/>
      <c r="P650" s="9"/>
      <c r="Q650" s="5"/>
      <c r="R650" s="5"/>
      <c r="S650" s="5"/>
      <c r="T650" s="9"/>
      <c r="U650" s="5"/>
      <c r="V650" s="5">
        <v>0</v>
      </c>
      <c r="W650" s="5"/>
      <c r="X650" s="5"/>
      <c r="Y650" s="5"/>
      <c r="Z650" s="5"/>
      <c r="AA650" s="5"/>
      <c r="AC650" t="str">
        <f t="shared" si="91"/>
        <v/>
      </c>
      <c r="AD650" t="str">
        <f t="shared" si="92"/>
        <v/>
      </c>
      <c r="AE650" t="str">
        <f t="shared" si="93"/>
        <v/>
      </c>
      <c r="AF650" t="str">
        <f t="shared" si="94"/>
        <v/>
      </c>
      <c r="AG650" t="str">
        <f t="shared" si="95"/>
        <v/>
      </c>
      <c r="AH650">
        <f t="shared" si="96"/>
        <v>1</v>
      </c>
      <c r="AI650" t="str">
        <f t="shared" si="97"/>
        <v/>
      </c>
      <c r="AJ650" t="str">
        <f t="shared" si="98"/>
        <v/>
      </c>
    </row>
    <row r="651" spans="1:36">
      <c r="A651" s="5">
        <v>674</v>
      </c>
      <c r="B651" s="5" t="s">
        <v>364</v>
      </c>
      <c r="C651" s="5" t="s">
        <v>100</v>
      </c>
      <c r="D651" s="5" t="s">
        <v>268</v>
      </c>
      <c r="E651" s="5" t="s">
        <v>291</v>
      </c>
      <c r="F651" s="5" t="str">
        <f t="shared" si="90"/>
        <v>Program Office-Cordination Manager</v>
      </c>
      <c r="G651" s="5" t="s">
        <v>270</v>
      </c>
      <c r="H651" s="9">
        <v>45139.885671296295</v>
      </c>
      <c r="I651" s="9">
        <v>45142.885671296295</v>
      </c>
      <c r="J651" s="9" t="e">
        <f>I651+#REF!</f>
        <v>#REF!</v>
      </c>
      <c r="K651" s="9" t="e">
        <f>J651+#REF!</f>
        <v>#REF!</v>
      </c>
      <c r="L651" s="10" t="s">
        <v>41</v>
      </c>
      <c r="M651" s="11">
        <v>45159.885671296295</v>
      </c>
      <c r="N651" s="5" t="s">
        <v>42</v>
      </c>
      <c r="O651" s="5" t="s">
        <v>113</v>
      </c>
      <c r="P651" s="9"/>
      <c r="Q651" s="5"/>
      <c r="R651" s="5"/>
      <c r="S651" s="5"/>
      <c r="T651" s="9">
        <v>45161.885671296295</v>
      </c>
      <c r="U651" s="5"/>
      <c r="V651" s="5">
        <v>0</v>
      </c>
      <c r="W651" s="5"/>
      <c r="X651" s="5"/>
      <c r="Y651" s="5"/>
      <c r="Z651" s="5"/>
      <c r="AA651" s="5" t="s">
        <v>44</v>
      </c>
      <c r="AC651">
        <f t="shared" si="91"/>
        <v>17</v>
      </c>
      <c r="AD651" t="str">
        <f t="shared" si="92"/>
        <v/>
      </c>
      <c r="AE651">
        <f t="shared" si="93"/>
        <v>2</v>
      </c>
      <c r="AF651" t="str">
        <f t="shared" si="94"/>
        <v/>
      </c>
      <c r="AG651" t="str">
        <f t="shared" si="95"/>
        <v/>
      </c>
      <c r="AH651">
        <f t="shared" si="96"/>
        <v>3</v>
      </c>
      <c r="AI651" t="str">
        <f t="shared" si="97"/>
        <v/>
      </c>
      <c r="AJ651" t="str">
        <f t="shared" si="98"/>
        <v/>
      </c>
    </row>
    <row r="652" spans="1:36">
      <c r="A652" s="5">
        <v>675</v>
      </c>
      <c r="B652" s="5" t="s">
        <v>529</v>
      </c>
      <c r="C652" s="5" t="s">
        <v>100</v>
      </c>
      <c r="D652" s="5" t="s">
        <v>506</v>
      </c>
      <c r="E652" s="5" t="s">
        <v>55</v>
      </c>
      <c r="F652" s="5" t="str">
        <f t="shared" si="90"/>
        <v>Program Office-Director</v>
      </c>
      <c r="G652" s="5" t="s">
        <v>56</v>
      </c>
      <c r="H652" s="9">
        <v>45143.885671296295</v>
      </c>
      <c r="I652" s="9">
        <v>45145.885671296295</v>
      </c>
      <c r="J652" s="9" t="e">
        <f>I652+#REF!</f>
        <v>#REF!</v>
      </c>
      <c r="K652" s="9" t="e">
        <f>J652+#REF!</f>
        <v>#REF!</v>
      </c>
      <c r="L652" s="10" t="s">
        <v>41</v>
      </c>
      <c r="M652" s="11">
        <v>45159.885671296295</v>
      </c>
      <c r="N652" s="5" t="s">
        <v>42</v>
      </c>
      <c r="O652" s="5" t="s">
        <v>43</v>
      </c>
      <c r="P652" s="9"/>
      <c r="Q652" s="5"/>
      <c r="R652" s="5"/>
      <c r="S652" s="5"/>
      <c r="T652" s="9">
        <v>45162.885671296295</v>
      </c>
      <c r="U652" s="5"/>
      <c r="V652" s="5">
        <v>0</v>
      </c>
      <c r="W652" s="5"/>
      <c r="X652" s="5"/>
      <c r="Y652" s="5"/>
      <c r="Z652" s="5"/>
      <c r="AA652" s="5" t="s">
        <v>62</v>
      </c>
      <c r="AC652">
        <f t="shared" si="91"/>
        <v>14</v>
      </c>
      <c r="AD652" t="str">
        <f t="shared" si="92"/>
        <v/>
      </c>
      <c r="AE652">
        <f t="shared" si="93"/>
        <v>3</v>
      </c>
      <c r="AF652" t="str">
        <f t="shared" si="94"/>
        <v/>
      </c>
      <c r="AG652" t="str">
        <f t="shared" si="95"/>
        <v/>
      </c>
      <c r="AH652">
        <f t="shared" si="96"/>
        <v>2</v>
      </c>
      <c r="AI652" t="str">
        <f t="shared" si="97"/>
        <v/>
      </c>
      <c r="AJ652" t="str">
        <f t="shared" si="98"/>
        <v/>
      </c>
    </row>
    <row r="653" spans="1:36">
      <c r="A653" s="5">
        <v>676</v>
      </c>
      <c r="B653" s="5" t="s">
        <v>363</v>
      </c>
      <c r="C653" s="5" t="s">
        <v>100</v>
      </c>
      <c r="D653" s="5" t="s">
        <v>268</v>
      </c>
      <c r="E653" s="5" t="s">
        <v>291</v>
      </c>
      <c r="F653" s="5" t="str">
        <f t="shared" si="90"/>
        <v>Program Office-Cordination Manager</v>
      </c>
      <c r="G653" s="5" t="s">
        <v>270</v>
      </c>
      <c r="H653" s="9">
        <v>45142.885671296295</v>
      </c>
      <c r="I653" s="9">
        <v>45146.885671296295</v>
      </c>
      <c r="J653" s="9" t="e">
        <f>I653+#REF!</f>
        <v>#REF!</v>
      </c>
      <c r="K653" s="9" t="e">
        <f>J653+#REF!</f>
        <v>#REF!</v>
      </c>
      <c r="L653" s="10" t="s">
        <v>41</v>
      </c>
      <c r="M653" s="11">
        <v>45162.885671296295</v>
      </c>
      <c r="N653" s="5" t="s">
        <v>167</v>
      </c>
      <c r="O653" s="5"/>
      <c r="P653" s="9">
        <v>45167.885671296295</v>
      </c>
      <c r="Q653" s="5" t="s">
        <v>167</v>
      </c>
      <c r="R653" s="5"/>
      <c r="S653" s="5"/>
      <c r="T653" s="9">
        <v>45165.885671296295</v>
      </c>
      <c r="U653" s="5"/>
      <c r="V653" s="5">
        <v>0</v>
      </c>
      <c r="W653" s="5"/>
      <c r="X653" s="5"/>
      <c r="Y653" s="5"/>
      <c r="Z653" s="5"/>
      <c r="AA653" s="5"/>
      <c r="AC653">
        <f t="shared" si="91"/>
        <v>16</v>
      </c>
      <c r="AD653" t="str">
        <f t="shared" si="92"/>
        <v/>
      </c>
      <c r="AE653">
        <f t="shared" si="93"/>
        <v>3</v>
      </c>
      <c r="AF653" t="str">
        <f t="shared" si="94"/>
        <v/>
      </c>
      <c r="AG653" t="str">
        <f t="shared" si="95"/>
        <v/>
      </c>
      <c r="AH653">
        <f t="shared" si="96"/>
        <v>4</v>
      </c>
      <c r="AI653" t="str">
        <f t="shared" si="97"/>
        <v/>
      </c>
      <c r="AJ653" t="str">
        <f t="shared" si="98"/>
        <v/>
      </c>
    </row>
    <row r="654" spans="1:36">
      <c r="A654" s="5">
        <v>677</v>
      </c>
      <c r="B654" s="5" t="s">
        <v>240</v>
      </c>
      <c r="C654" s="5" t="s">
        <v>100</v>
      </c>
      <c r="D654" s="5" t="s">
        <v>146</v>
      </c>
      <c r="E654" s="5" t="s">
        <v>39</v>
      </c>
      <c r="F654" s="5" t="str">
        <f t="shared" si="90"/>
        <v>Program Office-Analyst</v>
      </c>
      <c r="G654" s="5" t="s">
        <v>147</v>
      </c>
      <c r="H654" s="9">
        <v>45141.885671296295</v>
      </c>
      <c r="I654" s="9">
        <v>45143.885671296295</v>
      </c>
      <c r="J654" s="9" t="e">
        <f>I654+#REF!</f>
        <v>#REF!</v>
      </c>
      <c r="K654" s="9" t="e">
        <f>J654+#REF!</f>
        <v>#REF!</v>
      </c>
      <c r="L654" s="10" t="s">
        <v>41</v>
      </c>
      <c r="M654" s="11">
        <v>45161.885671296295</v>
      </c>
      <c r="N654" s="5" t="s">
        <v>48</v>
      </c>
      <c r="O654" s="5"/>
      <c r="P654" s="9">
        <v>45164.885671296295</v>
      </c>
      <c r="Q654" s="5" t="s">
        <v>48</v>
      </c>
      <c r="R654" s="5"/>
      <c r="S654" s="5"/>
      <c r="T654" s="9">
        <v>45163.885671296295</v>
      </c>
      <c r="U654" s="5"/>
      <c r="V654" s="5">
        <v>0</v>
      </c>
      <c r="W654" s="5"/>
      <c r="X654" s="5"/>
      <c r="Y654" s="5"/>
      <c r="Z654" s="5"/>
      <c r="AA654" s="5"/>
      <c r="AC654">
        <f t="shared" si="91"/>
        <v>18</v>
      </c>
      <c r="AD654" t="str">
        <f t="shared" si="92"/>
        <v/>
      </c>
      <c r="AE654">
        <f t="shared" si="93"/>
        <v>2</v>
      </c>
      <c r="AF654" t="str">
        <f t="shared" si="94"/>
        <v/>
      </c>
      <c r="AG654" t="str">
        <f t="shared" si="95"/>
        <v/>
      </c>
      <c r="AH654">
        <f t="shared" si="96"/>
        <v>2</v>
      </c>
      <c r="AI654" t="str">
        <f t="shared" si="97"/>
        <v/>
      </c>
      <c r="AJ654" t="str">
        <f t="shared" si="98"/>
        <v/>
      </c>
    </row>
    <row r="655" spans="1:36">
      <c r="A655" s="5">
        <v>678</v>
      </c>
      <c r="B655" s="5" t="s">
        <v>239</v>
      </c>
      <c r="C655" s="5" t="s">
        <v>100</v>
      </c>
      <c r="D655" s="5" t="s">
        <v>146</v>
      </c>
      <c r="E655" s="5" t="s">
        <v>39</v>
      </c>
      <c r="F655" s="5" t="str">
        <f t="shared" si="90"/>
        <v>Program Office-Analyst</v>
      </c>
      <c r="G655" s="5" t="s">
        <v>147</v>
      </c>
      <c r="H655" s="9">
        <v>45143.885671296295</v>
      </c>
      <c r="I655" s="9">
        <v>45145.885671296295</v>
      </c>
      <c r="J655" s="9" t="e">
        <f>I655+#REF!</f>
        <v>#REF!</v>
      </c>
      <c r="K655" s="9" t="e">
        <f>J655+#REF!</f>
        <v>#REF!</v>
      </c>
      <c r="L655" s="10" t="s">
        <v>52</v>
      </c>
      <c r="M655" s="11"/>
      <c r="N655" s="5"/>
      <c r="O655" s="5"/>
      <c r="P655" s="9"/>
      <c r="Q655" s="5"/>
      <c r="R655" s="5"/>
      <c r="S655" s="5"/>
      <c r="T655" s="9"/>
      <c r="U655" s="5"/>
      <c r="V655" s="5">
        <v>0</v>
      </c>
      <c r="W655" s="5"/>
      <c r="X655" s="5"/>
      <c r="Y655" s="5"/>
      <c r="Z655" s="5"/>
      <c r="AA655" s="5"/>
      <c r="AC655" t="str">
        <f t="shared" si="91"/>
        <v/>
      </c>
      <c r="AD655" t="str">
        <f t="shared" si="92"/>
        <v/>
      </c>
      <c r="AE655" t="str">
        <f t="shared" si="93"/>
        <v/>
      </c>
      <c r="AF655" t="str">
        <f t="shared" si="94"/>
        <v/>
      </c>
      <c r="AG655" t="str">
        <f t="shared" si="95"/>
        <v/>
      </c>
      <c r="AH655">
        <f t="shared" si="96"/>
        <v>2</v>
      </c>
      <c r="AI655" t="str">
        <f t="shared" si="97"/>
        <v/>
      </c>
      <c r="AJ655" t="str">
        <f t="shared" si="98"/>
        <v/>
      </c>
    </row>
    <row r="656" spans="1:36">
      <c r="A656" s="5">
        <v>679</v>
      </c>
      <c r="B656" s="5" t="s">
        <v>528</v>
      </c>
      <c r="C656" s="5" t="s">
        <v>100</v>
      </c>
      <c r="D656" s="5" t="s">
        <v>506</v>
      </c>
      <c r="E656" s="5" t="s">
        <v>55</v>
      </c>
      <c r="F656" s="5" t="str">
        <f t="shared" si="90"/>
        <v>Program Office-Director</v>
      </c>
      <c r="G656" s="5" t="s">
        <v>56</v>
      </c>
      <c r="H656" s="9">
        <v>45142.885671296295</v>
      </c>
      <c r="I656" s="9">
        <v>45144.885671296295</v>
      </c>
      <c r="J656" s="9" t="e">
        <f>I656+#REF!</f>
        <v>#REF!</v>
      </c>
      <c r="K656" s="9" t="e">
        <f>J656+#REF!</f>
        <v>#REF!</v>
      </c>
      <c r="L656" s="10" t="s">
        <v>41</v>
      </c>
      <c r="M656" s="11">
        <v>45163.885671296295</v>
      </c>
      <c r="N656" s="5" t="s">
        <v>64</v>
      </c>
      <c r="O656" s="5"/>
      <c r="P656" s="9">
        <v>45168.885671296295</v>
      </c>
      <c r="Q656" s="5" t="s">
        <v>64</v>
      </c>
      <c r="R656" s="9">
        <v>45164.885671296295</v>
      </c>
      <c r="S656" s="9">
        <v>45167.885671296295</v>
      </c>
      <c r="T656" s="9">
        <v>45167.885671296295</v>
      </c>
      <c r="U656" s="9">
        <v>45176.885671296295</v>
      </c>
      <c r="V656" s="12">
        <v>1</v>
      </c>
      <c r="W656" s="9">
        <v>45179.885671296295</v>
      </c>
      <c r="X656" s="9">
        <v>45182.885671296295</v>
      </c>
      <c r="Y656" s="9">
        <v>45185.885671296295</v>
      </c>
      <c r="Z656" s="5"/>
      <c r="AA656" s="5"/>
      <c r="AB656" s="13">
        <v>45195.885671296295</v>
      </c>
      <c r="AC656">
        <f t="shared" si="91"/>
        <v>19</v>
      </c>
      <c r="AD656">
        <f t="shared" si="92"/>
        <v>23</v>
      </c>
      <c r="AE656">
        <f t="shared" si="93"/>
        <v>4</v>
      </c>
      <c r="AF656">
        <f t="shared" si="94"/>
        <v>6</v>
      </c>
      <c r="AG656">
        <f t="shared" si="95"/>
        <v>3</v>
      </c>
      <c r="AH656">
        <f t="shared" si="96"/>
        <v>2</v>
      </c>
      <c r="AI656" t="str">
        <f t="shared" si="97"/>
        <v/>
      </c>
      <c r="AJ656" t="str">
        <f t="shared" si="98"/>
        <v/>
      </c>
    </row>
    <row r="657" spans="1:36">
      <c r="A657" s="5">
        <v>680</v>
      </c>
      <c r="B657" s="5" t="s">
        <v>477</v>
      </c>
      <c r="C657" s="5" t="s">
        <v>100</v>
      </c>
      <c r="D657" s="5" t="s">
        <v>387</v>
      </c>
      <c r="E657" s="5" t="s">
        <v>473</v>
      </c>
      <c r="F657" s="5" t="str">
        <f t="shared" si="90"/>
        <v>Program Office-Officer</v>
      </c>
      <c r="G657" s="5" t="s">
        <v>40</v>
      </c>
      <c r="H657" s="9">
        <v>45140.885671296295</v>
      </c>
      <c r="I657" s="9">
        <v>45142.885671296295</v>
      </c>
      <c r="J657" s="9" t="e">
        <f>I657+#REF!</f>
        <v>#REF!</v>
      </c>
      <c r="K657" s="9" t="e">
        <f>J657+#REF!</f>
        <v>#REF!</v>
      </c>
      <c r="L657" s="10" t="s">
        <v>41</v>
      </c>
      <c r="M657" s="11">
        <v>45163.885671296295</v>
      </c>
      <c r="N657" s="5" t="s">
        <v>42</v>
      </c>
      <c r="O657" s="5" t="s">
        <v>73</v>
      </c>
      <c r="P657" s="9"/>
      <c r="Q657" s="5"/>
      <c r="R657" s="5"/>
      <c r="S657" s="5"/>
      <c r="T657" s="9">
        <v>45166.885671296295</v>
      </c>
      <c r="U657" s="5"/>
      <c r="V657" s="5">
        <v>0</v>
      </c>
      <c r="W657" s="5"/>
      <c r="X657" s="5"/>
      <c r="Y657" s="5"/>
      <c r="Z657" s="5"/>
      <c r="AA657" s="5" t="s">
        <v>62</v>
      </c>
      <c r="AC657">
        <f t="shared" si="91"/>
        <v>21</v>
      </c>
      <c r="AD657" t="str">
        <f t="shared" si="92"/>
        <v/>
      </c>
      <c r="AE657">
        <f t="shared" si="93"/>
        <v>3</v>
      </c>
      <c r="AF657" t="str">
        <f t="shared" si="94"/>
        <v/>
      </c>
      <c r="AG657" t="str">
        <f t="shared" si="95"/>
        <v/>
      </c>
      <c r="AH657">
        <f t="shared" si="96"/>
        <v>2</v>
      </c>
      <c r="AI657" t="str">
        <f t="shared" si="97"/>
        <v/>
      </c>
      <c r="AJ657" t="str">
        <f t="shared" si="98"/>
        <v/>
      </c>
    </row>
    <row r="658" spans="1:36">
      <c r="A658" s="5">
        <v>681</v>
      </c>
      <c r="B658" s="5" t="s">
        <v>699</v>
      </c>
      <c r="C658" s="10" t="s">
        <v>671</v>
      </c>
      <c r="D658" s="5" t="s">
        <v>672</v>
      </c>
      <c r="E658" s="5" t="s">
        <v>597</v>
      </c>
      <c r="F658" s="5" t="str">
        <f t="shared" si="90"/>
        <v>Operations-Business Partner</v>
      </c>
      <c r="G658" s="5" t="s">
        <v>40</v>
      </c>
      <c r="H658" s="9">
        <v>45100.115520833337</v>
      </c>
      <c r="I658" s="9">
        <v>45102.115520833337</v>
      </c>
      <c r="J658" s="9" t="e">
        <f>I658+#REF!</f>
        <v>#REF!</v>
      </c>
      <c r="K658" s="9" t="e">
        <f>J658+#REF!</f>
        <v>#REF!</v>
      </c>
      <c r="L658" s="10" t="s">
        <v>41</v>
      </c>
      <c r="M658" s="11">
        <v>45121.115520833337</v>
      </c>
      <c r="N658" s="5" t="s">
        <v>42</v>
      </c>
      <c r="O658" s="5" t="s">
        <v>58</v>
      </c>
      <c r="P658" s="9"/>
      <c r="Q658" s="5"/>
      <c r="R658" s="5"/>
      <c r="S658" s="5"/>
      <c r="T658" s="9"/>
      <c r="U658" s="5"/>
      <c r="V658" s="5">
        <v>0</v>
      </c>
      <c r="W658" s="5"/>
      <c r="X658" s="5"/>
      <c r="Y658" s="5"/>
      <c r="Z658" s="5"/>
      <c r="AA658" s="5" t="s">
        <v>44</v>
      </c>
      <c r="AC658">
        <f t="shared" si="91"/>
        <v>19</v>
      </c>
      <c r="AD658" t="str">
        <f t="shared" si="92"/>
        <v/>
      </c>
      <c r="AE658" t="str">
        <f t="shared" si="93"/>
        <v/>
      </c>
      <c r="AF658" t="str">
        <f t="shared" si="94"/>
        <v/>
      </c>
      <c r="AG658" t="str">
        <f t="shared" si="95"/>
        <v/>
      </c>
      <c r="AH658">
        <f t="shared" si="96"/>
        <v>2</v>
      </c>
      <c r="AI658" t="str">
        <f t="shared" si="97"/>
        <v/>
      </c>
      <c r="AJ658" t="str">
        <f t="shared" si="98"/>
        <v/>
      </c>
    </row>
    <row r="659" spans="1:36">
      <c r="A659" s="5">
        <v>682</v>
      </c>
      <c r="B659" s="5" t="s">
        <v>2145</v>
      </c>
      <c r="C659" s="10" t="s">
        <v>2089</v>
      </c>
      <c r="D659" s="5" t="s">
        <v>2114</v>
      </c>
      <c r="E659" s="5" t="s">
        <v>388</v>
      </c>
      <c r="F659" s="5" t="str">
        <f t="shared" si="90"/>
        <v>Communication and Advocacy-Extension Officer</v>
      </c>
      <c r="G659" s="5" t="s">
        <v>147</v>
      </c>
      <c r="H659" s="9">
        <v>45103.115520833337</v>
      </c>
      <c r="I659" s="9">
        <v>45105.115520833337</v>
      </c>
      <c r="J659" s="9" t="e">
        <f>I659+#REF!</f>
        <v>#REF!</v>
      </c>
      <c r="K659" s="9" t="e">
        <f>J659+#REF!</f>
        <v>#REF!</v>
      </c>
      <c r="L659" s="10" t="s">
        <v>41</v>
      </c>
      <c r="M659" s="11">
        <v>45108.115520833337</v>
      </c>
      <c r="N659" s="5" t="s">
        <v>42</v>
      </c>
      <c r="O659" s="5" t="s">
        <v>58</v>
      </c>
      <c r="P659" s="9"/>
      <c r="Q659" s="5"/>
      <c r="R659" s="5"/>
      <c r="S659" s="5"/>
      <c r="T659" s="9"/>
      <c r="U659" s="5"/>
      <c r="V659" s="5">
        <v>0</v>
      </c>
      <c r="W659" s="5"/>
      <c r="X659" s="5"/>
      <c r="Y659" s="5"/>
      <c r="Z659" s="5"/>
      <c r="AA659" s="5" t="s">
        <v>62</v>
      </c>
      <c r="AC659">
        <f t="shared" si="91"/>
        <v>3</v>
      </c>
      <c r="AD659" t="str">
        <f t="shared" si="92"/>
        <v/>
      </c>
      <c r="AE659" t="str">
        <f t="shared" si="93"/>
        <v/>
      </c>
      <c r="AF659" t="str">
        <f t="shared" si="94"/>
        <v/>
      </c>
      <c r="AG659" t="str">
        <f t="shared" si="95"/>
        <v/>
      </c>
      <c r="AH659">
        <f t="shared" si="96"/>
        <v>2</v>
      </c>
      <c r="AI659" t="str">
        <f t="shared" si="97"/>
        <v/>
      </c>
      <c r="AJ659" t="str">
        <f t="shared" si="98"/>
        <v/>
      </c>
    </row>
    <row r="660" spans="1:36">
      <c r="A660" s="5">
        <v>683</v>
      </c>
      <c r="B660" s="5" t="s">
        <v>771</v>
      </c>
      <c r="C660" s="10" t="s">
        <v>671</v>
      </c>
      <c r="D660" s="5" t="s">
        <v>747</v>
      </c>
      <c r="E660" s="5" t="s">
        <v>69</v>
      </c>
      <c r="F660" s="5" t="str">
        <f t="shared" si="90"/>
        <v>Operations-Head of Department</v>
      </c>
      <c r="G660" s="5" t="s">
        <v>47</v>
      </c>
      <c r="H660" s="9">
        <v>45099.115520833337</v>
      </c>
      <c r="I660" s="9">
        <v>45100.115520833337</v>
      </c>
      <c r="J660" s="9" t="e">
        <f>I660+#REF!</f>
        <v>#REF!</v>
      </c>
      <c r="K660" s="9" t="e">
        <f>J660+#REF!</f>
        <v>#REF!</v>
      </c>
      <c r="L660" s="10" t="s">
        <v>41</v>
      </c>
      <c r="M660" s="11">
        <v>45114.115520833337</v>
      </c>
      <c r="N660" s="5" t="s">
        <v>42</v>
      </c>
      <c r="O660" s="5" t="s">
        <v>43</v>
      </c>
      <c r="P660" s="9"/>
      <c r="Q660" s="5"/>
      <c r="R660" s="5"/>
      <c r="S660" s="5"/>
      <c r="T660" s="9">
        <v>45118.115520833337</v>
      </c>
      <c r="U660" s="5"/>
      <c r="V660" s="5">
        <v>0</v>
      </c>
      <c r="W660" s="5"/>
      <c r="X660" s="5"/>
      <c r="Y660" s="5"/>
      <c r="Z660" s="5"/>
      <c r="AA660" s="5" t="s">
        <v>62</v>
      </c>
      <c r="AC660">
        <f t="shared" si="91"/>
        <v>14</v>
      </c>
      <c r="AD660" t="str">
        <f t="shared" si="92"/>
        <v/>
      </c>
      <c r="AE660">
        <f t="shared" si="93"/>
        <v>4</v>
      </c>
      <c r="AF660" t="str">
        <f t="shared" si="94"/>
        <v/>
      </c>
      <c r="AG660" t="str">
        <f t="shared" si="95"/>
        <v/>
      </c>
      <c r="AH660">
        <f t="shared" si="96"/>
        <v>1</v>
      </c>
      <c r="AI660" t="str">
        <f t="shared" si="97"/>
        <v/>
      </c>
      <c r="AJ660" t="str">
        <f t="shared" si="98"/>
        <v/>
      </c>
    </row>
    <row r="661" spans="1:36">
      <c r="A661" s="5">
        <v>685</v>
      </c>
      <c r="B661" s="5" t="s">
        <v>2190</v>
      </c>
      <c r="C661" s="10" t="s">
        <v>2089</v>
      </c>
      <c r="D661" s="5" t="s">
        <v>2167</v>
      </c>
      <c r="E661" s="5" t="s">
        <v>269</v>
      </c>
      <c r="F661" s="5" t="str">
        <f t="shared" si="90"/>
        <v>Communication and Advocacy-Manager</v>
      </c>
      <c r="G661" s="5" t="s">
        <v>270</v>
      </c>
      <c r="H661" s="9">
        <v>45101.115520833337</v>
      </c>
      <c r="I661" s="9">
        <v>45103.115520833337</v>
      </c>
      <c r="J661" s="9" t="e">
        <f>I661+#REF!</f>
        <v>#REF!</v>
      </c>
      <c r="K661" s="9" t="e">
        <f>J661+#REF!</f>
        <v>#REF!</v>
      </c>
      <c r="L661" s="10" t="s">
        <v>41</v>
      </c>
      <c r="M661" s="11">
        <v>45122.115520833337</v>
      </c>
      <c r="N661" s="5" t="s">
        <v>42</v>
      </c>
      <c r="O661" s="5" t="s">
        <v>58</v>
      </c>
      <c r="P661" s="9"/>
      <c r="Q661" s="5"/>
      <c r="R661" s="5"/>
      <c r="S661" s="5"/>
      <c r="T661" s="9">
        <v>45125.115520833337</v>
      </c>
      <c r="U661" s="5"/>
      <c r="V661" s="5">
        <v>0</v>
      </c>
      <c r="W661" s="5"/>
      <c r="X661" s="5"/>
      <c r="Y661" s="5"/>
      <c r="Z661" s="5"/>
      <c r="AA661" s="5" t="s">
        <v>62</v>
      </c>
      <c r="AC661">
        <f t="shared" si="91"/>
        <v>19</v>
      </c>
      <c r="AD661" t="str">
        <f t="shared" si="92"/>
        <v/>
      </c>
      <c r="AE661">
        <f t="shared" si="93"/>
        <v>3</v>
      </c>
      <c r="AF661" t="str">
        <f t="shared" si="94"/>
        <v/>
      </c>
      <c r="AG661" t="str">
        <f t="shared" si="95"/>
        <v/>
      </c>
      <c r="AH661">
        <f t="shared" si="96"/>
        <v>2</v>
      </c>
      <c r="AI661" t="str">
        <f t="shared" si="97"/>
        <v/>
      </c>
      <c r="AJ661" t="str">
        <f t="shared" si="98"/>
        <v/>
      </c>
    </row>
    <row r="662" spans="1:36">
      <c r="A662" s="5">
        <v>686</v>
      </c>
      <c r="B662" s="5" t="s">
        <v>725</v>
      </c>
      <c r="C662" s="10" t="s">
        <v>671</v>
      </c>
      <c r="D662" s="5" t="s">
        <v>708</v>
      </c>
      <c r="E662" s="5" t="s">
        <v>55</v>
      </c>
      <c r="F662" s="5" t="str">
        <f t="shared" si="90"/>
        <v>Operations-Director</v>
      </c>
      <c r="G662" s="5" t="s">
        <v>56</v>
      </c>
      <c r="H662" s="9">
        <v>45102.115520833337</v>
      </c>
      <c r="I662" s="9">
        <v>45104.115520833337</v>
      </c>
      <c r="J662" s="9" t="e">
        <f>I662+#REF!</f>
        <v>#REF!</v>
      </c>
      <c r="K662" s="9" t="e">
        <f>J662+#REF!</f>
        <v>#REF!</v>
      </c>
      <c r="L662" s="10" t="s">
        <v>41</v>
      </c>
      <c r="M662" s="11">
        <v>45110.115520833337</v>
      </c>
      <c r="N662" s="5" t="s">
        <v>42</v>
      </c>
      <c r="O662" s="5" t="s">
        <v>113</v>
      </c>
      <c r="P662" s="9"/>
      <c r="Q662" s="5"/>
      <c r="R662" s="5"/>
      <c r="S662" s="5"/>
      <c r="T662" s="9"/>
      <c r="U662" s="5"/>
      <c r="V662" s="5">
        <v>0</v>
      </c>
      <c r="W662" s="5"/>
      <c r="X662" s="5"/>
      <c r="Y662" s="5"/>
      <c r="Z662" s="5"/>
      <c r="AA662" s="5" t="s">
        <v>62</v>
      </c>
      <c r="AC662">
        <f t="shared" si="91"/>
        <v>6</v>
      </c>
      <c r="AD662" t="str">
        <f t="shared" si="92"/>
        <v/>
      </c>
      <c r="AE662" t="str">
        <f t="shared" si="93"/>
        <v/>
      </c>
      <c r="AF662" t="str">
        <f t="shared" si="94"/>
        <v/>
      </c>
      <c r="AG662" t="str">
        <f t="shared" si="95"/>
        <v/>
      </c>
      <c r="AH662">
        <f t="shared" si="96"/>
        <v>2</v>
      </c>
      <c r="AI662" t="str">
        <f t="shared" si="97"/>
        <v/>
      </c>
      <c r="AJ662" t="str">
        <f t="shared" si="98"/>
        <v/>
      </c>
    </row>
    <row r="663" spans="1:36">
      <c r="A663" s="5">
        <v>687</v>
      </c>
      <c r="B663" s="5" t="s">
        <v>2189</v>
      </c>
      <c r="C663" s="10" t="s">
        <v>2089</v>
      </c>
      <c r="D663" s="5" t="s">
        <v>2167</v>
      </c>
      <c r="E663" s="5" t="s">
        <v>269</v>
      </c>
      <c r="F663" s="5" t="str">
        <f t="shared" si="90"/>
        <v>Communication and Advocacy-Manager</v>
      </c>
      <c r="G663" s="5" t="s">
        <v>270</v>
      </c>
      <c r="H663" s="9">
        <v>45099.115520833337</v>
      </c>
      <c r="I663" s="9">
        <v>45100.115520833337</v>
      </c>
      <c r="J663" s="9" t="e">
        <f>I663+#REF!</f>
        <v>#REF!</v>
      </c>
      <c r="K663" s="9" t="e">
        <f>J663+#REF!</f>
        <v>#REF!</v>
      </c>
      <c r="L663" s="10" t="s">
        <v>41</v>
      </c>
      <c r="M663" s="11">
        <v>45122.115520833337</v>
      </c>
      <c r="N663" s="5" t="s">
        <v>64</v>
      </c>
      <c r="O663" s="5"/>
      <c r="P663" s="9">
        <v>45128.115520833337</v>
      </c>
      <c r="Q663" s="5" t="s">
        <v>64</v>
      </c>
      <c r="R663" s="9">
        <v>45123.115520833337</v>
      </c>
      <c r="S663" s="9">
        <v>45127.115520833337</v>
      </c>
      <c r="T663" s="9">
        <v>45126.115520833337</v>
      </c>
      <c r="U663" s="9">
        <v>45133.115520833337</v>
      </c>
      <c r="V663" s="12">
        <v>1</v>
      </c>
      <c r="W663" s="9">
        <v>45136.115520833337</v>
      </c>
      <c r="X663" s="9">
        <v>45138.115520833337</v>
      </c>
      <c r="Y663" s="9">
        <v>45141.115520833337</v>
      </c>
      <c r="Z663" s="5"/>
      <c r="AA663" s="5"/>
      <c r="AB663" s="13">
        <v>45155.115520833337</v>
      </c>
      <c r="AC663">
        <f t="shared" si="91"/>
        <v>22</v>
      </c>
      <c r="AD663">
        <f t="shared" si="92"/>
        <v>27</v>
      </c>
      <c r="AE663">
        <f t="shared" si="93"/>
        <v>4</v>
      </c>
      <c r="AF663">
        <f t="shared" si="94"/>
        <v>5</v>
      </c>
      <c r="AG663">
        <f t="shared" si="95"/>
        <v>3</v>
      </c>
      <c r="AH663">
        <f t="shared" si="96"/>
        <v>1</v>
      </c>
      <c r="AI663" t="str">
        <f t="shared" si="97"/>
        <v/>
      </c>
      <c r="AJ663" t="str">
        <f t="shared" si="98"/>
        <v/>
      </c>
    </row>
    <row r="664" spans="1:36">
      <c r="A664" s="5">
        <v>688</v>
      </c>
      <c r="B664" s="5" t="s">
        <v>2144</v>
      </c>
      <c r="C664" s="10" t="s">
        <v>2089</v>
      </c>
      <c r="D664" s="5" t="s">
        <v>2114</v>
      </c>
      <c r="E664" s="5" t="s">
        <v>388</v>
      </c>
      <c r="F664" s="5" t="str">
        <f t="shared" si="90"/>
        <v>Communication and Advocacy-Extension Officer</v>
      </c>
      <c r="G664" s="5" t="s">
        <v>147</v>
      </c>
      <c r="H664" s="9">
        <v>45102.115520833337</v>
      </c>
      <c r="I664" s="9">
        <v>45104.115520833337</v>
      </c>
      <c r="J664" s="9" t="e">
        <f>I664+#REF!</f>
        <v>#REF!</v>
      </c>
      <c r="K664" s="9" t="e">
        <f>J664+#REF!</f>
        <v>#REF!</v>
      </c>
      <c r="L664" s="10" t="s">
        <v>41</v>
      </c>
      <c r="M664" s="11">
        <v>45119.115520833337</v>
      </c>
      <c r="N664" s="5" t="s">
        <v>48</v>
      </c>
      <c r="O664" s="5"/>
      <c r="P664" s="9">
        <v>45121.115520833337</v>
      </c>
      <c r="Q664" s="5" t="s">
        <v>48</v>
      </c>
      <c r="R664" s="5"/>
      <c r="S664" s="5"/>
      <c r="T664" s="9">
        <v>45120.115520833337</v>
      </c>
      <c r="U664" s="5"/>
      <c r="V664" s="5">
        <v>0</v>
      </c>
      <c r="W664" s="5"/>
      <c r="X664" s="5"/>
      <c r="Y664" s="5"/>
      <c r="Z664" s="5"/>
      <c r="AA664" s="5"/>
      <c r="AC664">
        <f t="shared" si="91"/>
        <v>15</v>
      </c>
      <c r="AD664" t="str">
        <f t="shared" si="92"/>
        <v/>
      </c>
      <c r="AE664">
        <f t="shared" si="93"/>
        <v>1</v>
      </c>
      <c r="AF664" t="str">
        <f t="shared" si="94"/>
        <v/>
      </c>
      <c r="AG664" t="str">
        <f t="shared" si="95"/>
        <v/>
      </c>
      <c r="AH664">
        <f t="shared" si="96"/>
        <v>2</v>
      </c>
      <c r="AI664" t="str">
        <f t="shared" si="97"/>
        <v/>
      </c>
      <c r="AJ664" t="str">
        <f t="shared" si="98"/>
        <v/>
      </c>
    </row>
    <row r="665" spans="1:36">
      <c r="A665" s="5">
        <v>689</v>
      </c>
      <c r="B665" s="5" t="s">
        <v>2188</v>
      </c>
      <c r="C665" s="10" t="s">
        <v>2089</v>
      </c>
      <c r="D665" s="5" t="s">
        <v>2167</v>
      </c>
      <c r="E665" s="5" t="s">
        <v>269</v>
      </c>
      <c r="F665" s="5" t="str">
        <f t="shared" si="90"/>
        <v>Communication and Advocacy-Manager</v>
      </c>
      <c r="G665" s="5" t="s">
        <v>270</v>
      </c>
      <c r="H665" s="9">
        <v>45103.115520833337</v>
      </c>
      <c r="I665" s="9">
        <v>45105.115520833337</v>
      </c>
      <c r="J665" s="9" t="e">
        <f>I665+#REF!</f>
        <v>#REF!</v>
      </c>
      <c r="K665" s="9" t="e">
        <f>J665+#REF!</f>
        <v>#REF!</v>
      </c>
      <c r="L665" s="10" t="s">
        <v>41</v>
      </c>
      <c r="M665" s="11">
        <v>45113.115520833337</v>
      </c>
      <c r="N665" s="5" t="s">
        <v>42</v>
      </c>
      <c r="O665" s="5" t="s">
        <v>98</v>
      </c>
      <c r="P665" s="9"/>
      <c r="Q665" s="5"/>
      <c r="R665" s="5"/>
      <c r="S665" s="5"/>
      <c r="T665" s="9"/>
      <c r="U665" s="5"/>
      <c r="V665" s="5">
        <v>0</v>
      </c>
      <c r="W665" s="5"/>
      <c r="X665" s="5"/>
      <c r="Y665" s="5"/>
      <c r="Z665" s="5"/>
      <c r="AA665" s="5" t="s">
        <v>62</v>
      </c>
      <c r="AC665">
        <f t="shared" si="91"/>
        <v>8</v>
      </c>
      <c r="AD665" t="str">
        <f t="shared" si="92"/>
        <v/>
      </c>
      <c r="AE665" t="str">
        <f t="shared" si="93"/>
        <v/>
      </c>
      <c r="AF665" t="str">
        <f t="shared" si="94"/>
        <v/>
      </c>
      <c r="AG665" t="str">
        <f t="shared" si="95"/>
        <v/>
      </c>
      <c r="AH665">
        <f t="shared" si="96"/>
        <v>2</v>
      </c>
      <c r="AI665" t="str">
        <f t="shared" si="97"/>
        <v/>
      </c>
      <c r="AJ665" t="str">
        <f t="shared" si="98"/>
        <v/>
      </c>
    </row>
    <row r="666" spans="1:36">
      <c r="A666" s="5">
        <v>690</v>
      </c>
      <c r="B666" s="5" t="s">
        <v>770</v>
      </c>
      <c r="C666" s="10" t="s">
        <v>671</v>
      </c>
      <c r="D666" s="5" t="s">
        <v>747</v>
      </c>
      <c r="E666" s="5" t="s">
        <v>69</v>
      </c>
      <c r="F666" s="5" t="str">
        <f t="shared" si="90"/>
        <v>Operations-Head of Department</v>
      </c>
      <c r="G666" s="5" t="s">
        <v>47</v>
      </c>
      <c r="H666" s="9">
        <v>45099.115520833337</v>
      </c>
      <c r="I666" s="9">
        <v>45103.115520833337</v>
      </c>
      <c r="J666" s="9" t="e">
        <f>I666+#REF!</f>
        <v>#REF!</v>
      </c>
      <c r="K666" s="9" t="e">
        <f>J666+#REF!</f>
        <v>#REF!</v>
      </c>
      <c r="L666" s="10" t="s">
        <v>41</v>
      </c>
      <c r="M666" s="11">
        <v>45113.115520833337</v>
      </c>
      <c r="N666" s="5" t="s">
        <v>42</v>
      </c>
      <c r="O666" s="5" t="s">
        <v>98</v>
      </c>
      <c r="P666" s="9"/>
      <c r="Q666" s="5"/>
      <c r="R666" s="5"/>
      <c r="S666" s="5"/>
      <c r="T666" s="9"/>
      <c r="U666" s="5"/>
      <c r="V666" s="5">
        <v>0</v>
      </c>
      <c r="W666" s="5"/>
      <c r="X666" s="5"/>
      <c r="Y666" s="5"/>
      <c r="Z666" s="5"/>
      <c r="AA666" s="5" t="s">
        <v>62</v>
      </c>
      <c r="AC666">
        <f t="shared" si="91"/>
        <v>10</v>
      </c>
      <c r="AD666" t="str">
        <f t="shared" si="92"/>
        <v/>
      </c>
      <c r="AE666" t="str">
        <f t="shared" si="93"/>
        <v/>
      </c>
      <c r="AF666" t="str">
        <f t="shared" si="94"/>
        <v/>
      </c>
      <c r="AG666" t="str">
        <f t="shared" si="95"/>
        <v/>
      </c>
      <c r="AH666">
        <f t="shared" si="96"/>
        <v>4</v>
      </c>
      <c r="AI666" t="str">
        <f t="shared" si="97"/>
        <v/>
      </c>
      <c r="AJ666" t="str">
        <f t="shared" si="98"/>
        <v/>
      </c>
    </row>
    <row r="667" spans="1:36">
      <c r="A667" s="5">
        <v>692</v>
      </c>
      <c r="B667" s="5" t="s">
        <v>1017</v>
      </c>
      <c r="C667" s="5" t="s">
        <v>796</v>
      </c>
      <c r="D667" s="5" t="s">
        <v>957</v>
      </c>
      <c r="E667" s="5" t="s">
        <v>388</v>
      </c>
      <c r="F667" s="5" t="str">
        <f t="shared" si="90"/>
        <v>M and E-Extension Officer</v>
      </c>
      <c r="G667" s="5" t="s">
        <v>40</v>
      </c>
      <c r="H667" s="9">
        <v>44865.289201388892</v>
      </c>
      <c r="I667" s="9">
        <v>44869.289201388892</v>
      </c>
      <c r="J667" s="9" t="e">
        <f>I667+#REF!</f>
        <v>#REF!</v>
      </c>
      <c r="K667" s="9" t="e">
        <f>J667+#REF!</f>
        <v>#REF!</v>
      </c>
      <c r="L667" s="10" t="s">
        <v>41</v>
      </c>
      <c r="M667" s="11">
        <v>44890.289201388892</v>
      </c>
      <c r="N667" s="5" t="s">
        <v>42</v>
      </c>
      <c r="O667" s="5" t="s">
        <v>58</v>
      </c>
      <c r="P667" s="9"/>
      <c r="Q667" s="5"/>
      <c r="R667" s="5"/>
      <c r="S667" s="5"/>
      <c r="T667" s="9"/>
      <c r="U667" s="5"/>
      <c r="V667" s="5">
        <v>0</v>
      </c>
      <c r="W667" s="5"/>
      <c r="X667" s="5"/>
      <c r="Y667" s="5"/>
      <c r="Z667" s="5"/>
      <c r="AA667" s="5" t="s">
        <v>44</v>
      </c>
      <c r="AC667">
        <f t="shared" si="91"/>
        <v>21</v>
      </c>
      <c r="AD667" t="str">
        <f t="shared" si="92"/>
        <v/>
      </c>
      <c r="AE667" t="str">
        <f t="shared" si="93"/>
        <v/>
      </c>
      <c r="AF667" t="str">
        <f t="shared" si="94"/>
        <v/>
      </c>
      <c r="AG667" t="str">
        <f t="shared" si="95"/>
        <v/>
      </c>
      <c r="AH667">
        <f t="shared" si="96"/>
        <v>4</v>
      </c>
      <c r="AI667" t="str">
        <f t="shared" si="97"/>
        <v/>
      </c>
      <c r="AJ667" t="str">
        <f t="shared" si="98"/>
        <v/>
      </c>
    </row>
    <row r="668" spans="1:36">
      <c r="A668" s="5">
        <v>694</v>
      </c>
      <c r="B668" s="5" t="s">
        <v>1112</v>
      </c>
      <c r="C668" s="5" t="s">
        <v>796</v>
      </c>
      <c r="D668" s="5" t="s">
        <v>1046</v>
      </c>
      <c r="E668" s="5" t="s">
        <v>597</v>
      </c>
      <c r="F668" s="5" t="str">
        <f t="shared" si="90"/>
        <v>M and E-Business Partner</v>
      </c>
      <c r="G668" s="5" t="s">
        <v>47</v>
      </c>
      <c r="H668" s="9">
        <v>44868.289201388892</v>
      </c>
      <c r="I668" s="9">
        <v>44870.289201388892</v>
      </c>
      <c r="J668" s="9" t="e">
        <f>I668+#REF!</f>
        <v>#REF!</v>
      </c>
      <c r="K668" s="9" t="e">
        <f>J668+#REF!</f>
        <v>#REF!</v>
      </c>
      <c r="L668" s="10" t="s">
        <v>41</v>
      </c>
      <c r="M668" s="11">
        <v>44883.289201388892</v>
      </c>
      <c r="N668" s="5" t="s">
        <v>64</v>
      </c>
      <c r="O668" s="5"/>
      <c r="P668" s="9">
        <v>44888.289201388892</v>
      </c>
      <c r="Q668" s="5" t="s">
        <v>64</v>
      </c>
      <c r="R668" s="9">
        <v>44884.289201388892</v>
      </c>
      <c r="S668" s="9">
        <v>44885.289201388892</v>
      </c>
      <c r="T668" s="9">
        <v>44886.289201388892</v>
      </c>
      <c r="U668" s="9">
        <v>44894.289201388892</v>
      </c>
      <c r="V668" s="12">
        <v>1</v>
      </c>
      <c r="W668" s="9">
        <v>44896.289201388892</v>
      </c>
      <c r="X668" s="9">
        <v>44897.289201388892</v>
      </c>
      <c r="Y668" s="9">
        <v>44900.289201388892</v>
      </c>
      <c r="Z668" s="5"/>
      <c r="AA668" s="5"/>
      <c r="AB668" s="13">
        <v>44910.289201388892</v>
      </c>
      <c r="AC668">
        <f t="shared" si="91"/>
        <v>13</v>
      </c>
      <c r="AD668">
        <f t="shared" si="92"/>
        <v>15</v>
      </c>
      <c r="AE668">
        <f t="shared" si="93"/>
        <v>3</v>
      </c>
      <c r="AF668">
        <f t="shared" si="94"/>
        <v>3</v>
      </c>
      <c r="AG668">
        <f t="shared" si="95"/>
        <v>2</v>
      </c>
      <c r="AH668">
        <f t="shared" si="96"/>
        <v>2</v>
      </c>
      <c r="AI668" t="str">
        <f t="shared" si="97"/>
        <v/>
      </c>
      <c r="AJ668" t="str">
        <f t="shared" si="98"/>
        <v/>
      </c>
    </row>
    <row r="669" spans="1:36">
      <c r="A669" s="5">
        <v>695</v>
      </c>
      <c r="B669" s="5" t="s">
        <v>943</v>
      </c>
      <c r="C669" s="5" t="s">
        <v>796</v>
      </c>
      <c r="D669" s="5" t="s">
        <v>893</v>
      </c>
      <c r="E669" s="5" t="s">
        <v>269</v>
      </c>
      <c r="F669" s="5" t="str">
        <f t="shared" si="90"/>
        <v>M and E-Manager</v>
      </c>
      <c r="G669" s="5" t="s">
        <v>270</v>
      </c>
      <c r="H669" s="9">
        <v>44869.289201388892</v>
      </c>
      <c r="I669" s="9">
        <v>44871.289201388892</v>
      </c>
      <c r="J669" s="9" t="e">
        <f>I669+#REF!</f>
        <v>#REF!</v>
      </c>
      <c r="K669" s="9" t="e">
        <f>J669+#REF!</f>
        <v>#REF!</v>
      </c>
      <c r="L669" s="10" t="s">
        <v>41</v>
      </c>
      <c r="M669" s="11">
        <v>44882.289201388892</v>
      </c>
      <c r="N669" s="5" t="s">
        <v>42</v>
      </c>
      <c r="O669" s="5" t="s">
        <v>43</v>
      </c>
      <c r="P669" s="9"/>
      <c r="Q669" s="5"/>
      <c r="R669" s="5"/>
      <c r="S669" s="5"/>
      <c r="T669" s="9">
        <v>44883.289201388892</v>
      </c>
      <c r="U669" s="5"/>
      <c r="V669" s="5">
        <v>0</v>
      </c>
      <c r="W669" s="5"/>
      <c r="X669" s="5"/>
      <c r="Y669" s="5"/>
      <c r="Z669" s="5"/>
      <c r="AA669" s="5" t="s">
        <v>44</v>
      </c>
      <c r="AC669">
        <f t="shared" si="91"/>
        <v>11</v>
      </c>
      <c r="AD669" t="str">
        <f t="shared" si="92"/>
        <v/>
      </c>
      <c r="AE669">
        <f t="shared" si="93"/>
        <v>1</v>
      </c>
      <c r="AF669" t="str">
        <f t="shared" si="94"/>
        <v/>
      </c>
      <c r="AG669" t="str">
        <f t="shared" si="95"/>
        <v/>
      </c>
      <c r="AH669">
        <f t="shared" si="96"/>
        <v>2</v>
      </c>
      <c r="AI669" t="str">
        <f t="shared" si="97"/>
        <v/>
      </c>
      <c r="AJ669" t="str">
        <f t="shared" si="98"/>
        <v/>
      </c>
    </row>
    <row r="670" spans="1:36">
      <c r="A670" s="5">
        <v>696</v>
      </c>
      <c r="B670" s="5" t="s">
        <v>942</v>
      </c>
      <c r="C670" s="5" t="s">
        <v>796</v>
      </c>
      <c r="D670" s="5" t="s">
        <v>893</v>
      </c>
      <c r="E670" s="5" t="s">
        <v>269</v>
      </c>
      <c r="F670" s="5" t="str">
        <f t="shared" si="90"/>
        <v>M and E-Manager</v>
      </c>
      <c r="G670" s="5" t="s">
        <v>270</v>
      </c>
      <c r="H670" s="9">
        <v>44868.289201388892</v>
      </c>
      <c r="I670" s="9">
        <v>44869.289201388892</v>
      </c>
      <c r="J670" s="9" t="e">
        <f>I670+#REF!</f>
        <v>#REF!</v>
      </c>
      <c r="K670" s="9" t="e">
        <f>J670+#REF!</f>
        <v>#REF!</v>
      </c>
      <c r="L670" s="10" t="s">
        <v>52</v>
      </c>
      <c r="M670" s="11"/>
      <c r="N670" s="5"/>
      <c r="O670" s="5"/>
      <c r="P670" s="9"/>
      <c r="Q670" s="5"/>
      <c r="R670" s="5"/>
      <c r="S670" s="5"/>
      <c r="T670" s="9"/>
      <c r="U670" s="5"/>
      <c r="V670" s="5">
        <v>0</v>
      </c>
      <c r="W670" s="5"/>
      <c r="X670" s="5"/>
      <c r="Y670" s="5"/>
      <c r="Z670" s="5"/>
      <c r="AA670" s="5"/>
      <c r="AC670" t="str">
        <f t="shared" si="91"/>
        <v/>
      </c>
      <c r="AD670" t="str">
        <f t="shared" si="92"/>
        <v/>
      </c>
      <c r="AE670" t="str">
        <f t="shared" si="93"/>
        <v/>
      </c>
      <c r="AF670" t="str">
        <f t="shared" si="94"/>
        <v/>
      </c>
      <c r="AG670" t="str">
        <f t="shared" si="95"/>
        <v/>
      </c>
      <c r="AH670">
        <f t="shared" si="96"/>
        <v>1</v>
      </c>
      <c r="AI670" t="str">
        <f t="shared" si="97"/>
        <v/>
      </c>
      <c r="AJ670" t="str">
        <f t="shared" si="98"/>
        <v/>
      </c>
    </row>
    <row r="671" spans="1:36">
      <c r="A671" s="5">
        <v>697</v>
      </c>
      <c r="B671" s="5" t="s">
        <v>1037</v>
      </c>
      <c r="C671" s="5" t="s">
        <v>796</v>
      </c>
      <c r="D671" s="5" t="s">
        <v>1026</v>
      </c>
      <c r="E671" s="5" t="s">
        <v>709</v>
      </c>
      <c r="F671" s="5" t="str">
        <f t="shared" si="90"/>
        <v>M and E-Lead</v>
      </c>
      <c r="G671" s="5" t="s">
        <v>56</v>
      </c>
      <c r="H671" s="9">
        <v>44868.289201388892</v>
      </c>
      <c r="I671" s="9">
        <v>44871.289201388892</v>
      </c>
      <c r="J671" s="9" t="e">
        <f>I671+#REF!</f>
        <v>#REF!</v>
      </c>
      <c r="K671" s="9" t="e">
        <f>J671+#REF!</f>
        <v>#REF!</v>
      </c>
      <c r="L671" s="10" t="s">
        <v>41</v>
      </c>
      <c r="M671" s="11">
        <v>44883.289201388892</v>
      </c>
      <c r="N671" s="5" t="s">
        <v>42</v>
      </c>
      <c r="O671" s="5" t="s">
        <v>98</v>
      </c>
      <c r="P671" s="9"/>
      <c r="Q671" s="5"/>
      <c r="R671" s="5"/>
      <c r="S671" s="5"/>
      <c r="T671" s="9">
        <v>44886.289201388892</v>
      </c>
      <c r="U671" s="5"/>
      <c r="V671" s="5">
        <v>0</v>
      </c>
      <c r="W671" s="5"/>
      <c r="X671" s="5"/>
      <c r="Y671" s="5"/>
      <c r="Z671" s="5"/>
      <c r="AA671" s="5" t="s">
        <v>44</v>
      </c>
      <c r="AC671">
        <f t="shared" si="91"/>
        <v>12</v>
      </c>
      <c r="AD671" t="str">
        <f t="shared" si="92"/>
        <v/>
      </c>
      <c r="AE671">
        <f t="shared" si="93"/>
        <v>3</v>
      </c>
      <c r="AF671" t="str">
        <f t="shared" si="94"/>
        <v/>
      </c>
      <c r="AG671" t="str">
        <f t="shared" si="95"/>
        <v/>
      </c>
      <c r="AH671">
        <f t="shared" si="96"/>
        <v>3</v>
      </c>
      <c r="AI671" t="str">
        <f t="shared" si="97"/>
        <v/>
      </c>
      <c r="AJ671" t="str">
        <f t="shared" si="98"/>
        <v/>
      </c>
    </row>
    <row r="672" spans="1:36">
      <c r="A672" s="5">
        <v>698</v>
      </c>
      <c r="B672" s="5" t="s">
        <v>941</v>
      </c>
      <c r="C672" s="5" t="s">
        <v>796</v>
      </c>
      <c r="D672" s="5" t="s">
        <v>893</v>
      </c>
      <c r="E672" s="5" t="s">
        <v>269</v>
      </c>
      <c r="F672" s="5" t="str">
        <f t="shared" si="90"/>
        <v>M and E-Manager</v>
      </c>
      <c r="G672" s="5" t="s">
        <v>270</v>
      </c>
      <c r="H672" s="9">
        <v>44873.289201388892</v>
      </c>
      <c r="I672" s="9">
        <v>44874.289201388892</v>
      </c>
      <c r="J672" s="9" t="e">
        <f>I672+#REF!</f>
        <v>#REF!</v>
      </c>
      <c r="K672" s="9" t="e">
        <f>J672+#REF!</f>
        <v>#REF!</v>
      </c>
      <c r="L672" s="10" t="s">
        <v>52</v>
      </c>
      <c r="M672" s="11"/>
      <c r="N672" s="5"/>
      <c r="O672" s="5"/>
      <c r="P672" s="9"/>
      <c r="Q672" s="5"/>
      <c r="R672" s="5"/>
      <c r="S672" s="5"/>
      <c r="T672" s="9"/>
      <c r="U672" s="5"/>
      <c r="V672" s="5">
        <v>0</v>
      </c>
      <c r="W672" s="5"/>
      <c r="X672" s="5"/>
      <c r="Y672" s="5"/>
      <c r="Z672" s="5"/>
      <c r="AA672" s="5"/>
      <c r="AC672" t="str">
        <f t="shared" si="91"/>
        <v/>
      </c>
      <c r="AD672" t="str">
        <f t="shared" si="92"/>
        <v/>
      </c>
      <c r="AE672" t="str">
        <f t="shared" si="93"/>
        <v/>
      </c>
      <c r="AF672" t="str">
        <f t="shared" si="94"/>
        <v/>
      </c>
      <c r="AG672" t="str">
        <f t="shared" si="95"/>
        <v/>
      </c>
      <c r="AH672">
        <f t="shared" si="96"/>
        <v>1</v>
      </c>
      <c r="AI672" t="str">
        <f t="shared" si="97"/>
        <v/>
      </c>
      <c r="AJ672" t="str">
        <f t="shared" si="98"/>
        <v/>
      </c>
    </row>
    <row r="673" spans="1:36">
      <c r="A673" s="5">
        <v>699</v>
      </c>
      <c r="B673" s="5" t="s">
        <v>940</v>
      </c>
      <c r="C673" s="5" t="s">
        <v>796</v>
      </c>
      <c r="D673" s="5" t="s">
        <v>893</v>
      </c>
      <c r="E673" s="5" t="s">
        <v>269</v>
      </c>
      <c r="F673" s="5" t="str">
        <f t="shared" si="90"/>
        <v>M and E-Manager</v>
      </c>
      <c r="G673" s="5" t="s">
        <v>270</v>
      </c>
      <c r="H673" s="9">
        <v>44871.289201388892</v>
      </c>
      <c r="I673" s="9">
        <v>44873.289201388892</v>
      </c>
      <c r="J673" s="9" t="e">
        <f>I673+#REF!</f>
        <v>#REF!</v>
      </c>
      <c r="K673" s="9" t="e">
        <f>J673+#REF!</f>
        <v>#REF!</v>
      </c>
      <c r="L673" s="10" t="s">
        <v>41</v>
      </c>
      <c r="M673" s="11">
        <v>44885.289201388892</v>
      </c>
      <c r="N673" s="5" t="s">
        <v>42</v>
      </c>
      <c r="O673" s="5" t="s">
        <v>58</v>
      </c>
      <c r="P673" s="9"/>
      <c r="Q673" s="5"/>
      <c r="R673" s="5"/>
      <c r="S673" s="5"/>
      <c r="T673" s="9">
        <v>44887.289201388892</v>
      </c>
      <c r="U673" s="5"/>
      <c r="V673" s="5">
        <v>0</v>
      </c>
      <c r="W673" s="5"/>
      <c r="X673" s="5"/>
      <c r="Y673" s="5"/>
      <c r="Z673" s="5"/>
      <c r="AA673" s="5" t="s">
        <v>44</v>
      </c>
      <c r="AC673">
        <f t="shared" si="91"/>
        <v>12</v>
      </c>
      <c r="AD673" t="str">
        <f t="shared" si="92"/>
        <v/>
      </c>
      <c r="AE673">
        <f t="shared" si="93"/>
        <v>2</v>
      </c>
      <c r="AF673" t="str">
        <f t="shared" si="94"/>
        <v/>
      </c>
      <c r="AG673" t="str">
        <f t="shared" si="95"/>
        <v/>
      </c>
      <c r="AH673">
        <f t="shared" si="96"/>
        <v>2</v>
      </c>
      <c r="AI673" t="str">
        <f t="shared" si="97"/>
        <v/>
      </c>
      <c r="AJ673" t="str">
        <f t="shared" si="98"/>
        <v/>
      </c>
    </row>
    <row r="674" spans="1:36">
      <c r="A674" s="5">
        <v>700</v>
      </c>
      <c r="B674" s="5" t="s">
        <v>887</v>
      </c>
      <c r="C674" s="5" t="s">
        <v>796</v>
      </c>
      <c r="D674" s="5" t="s">
        <v>814</v>
      </c>
      <c r="E674" s="5" t="s">
        <v>39</v>
      </c>
      <c r="F674" s="5" t="str">
        <f t="shared" si="90"/>
        <v>M and E-Analyst</v>
      </c>
      <c r="G674" s="5" t="s">
        <v>147</v>
      </c>
      <c r="H674" s="9">
        <v>44870.289201388892</v>
      </c>
      <c r="I674" s="9">
        <v>44874.289201388892</v>
      </c>
      <c r="J674" s="9" t="e">
        <f>I674+#REF!</f>
        <v>#REF!</v>
      </c>
      <c r="K674" s="9" t="e">
        <f>J674+#REF!</f>
        <v>#REF!</v>
      </c>
      <c r="L674" s="10" t="s">
        <v>41</v>
      </c>
      <c r="M674" s="11">
        <v>44878.289201388892</v>
      </c>
      <c r="N674" s="5" t="s">
        <v>42</v>
      </c>
      <c r="O674" s="5" t="s">
        <v>58</v>
      </c>
      <c r="P674" s="9"/>
      <c r="Q674" s="5"/>
      <c r="R674" s="5"/>
      <c r="S674" s="5"/>
      <c r="T674" s="9"/>
      <c r="U674" s="5"/>
      <c r="V674" s="5">
        <v>0</v>
      </c>
      <c r="W674" s="5"/>
      <c r="X674" s="5"/>
      <c r="Y674" s="5"/>
      <c r="Z674" s="5"/>
      <c r="AA674" s="5" t="s">
        <v>44</v>
      </c>
      <c r="AC674">
        <f t="shared" si="91"/>
        <v>4</v>
      </c>
      <c r="AD674" t="str">
        <f t="shared" si="92"/>
        <v/>
      </c>
      <c r="AE674" t="str">
        <f t="shared" si="93"/>
        <v/>
      </c>
      <c r="AF674" t="str">
        <f t="shared" si="94"/>
        <v/>
      </c>
      <c r="AG674" t="str">
        <f t="shared" si="95"/>
        <v/>
      </c>
      <c r="AH674">
        <f t="shared" si="96"/>
        <v>4</v>
      </c>
      <c r="AI674" t="str">
        <f t="shared" si="97"/>
        <v/>
      </c>
      <c r="AJ674" t="str">
        <f t="shared" si="98"/>
        <v/>
      </c>
    </row>
    <row r="675" spans="1:36">
      <c r="A675" s="5">
        <v>701</v>
      </c>
      <c r="B675" s="5" t="s">
        <v>1680</v>
      </c>
      <c r="C675" s="5" t="s">
        <v>1540</v>
      </c>
      <c r="D675" s="5" t="s">
        <v>1588</v>
      </c>
      <c r="E675" s="5" t="s">
        <v>1360</v>
      </c>
      <c r="F675" s="5" t="str">
        <f t="shared" si="90"/>
        <v>Finance-Fund Administrator</v>
      </c>
      <c r="G675" s="5" t="s">
        <v>147</v>
      </c>
      <c r="H675" s="9">
        <v>45118.640983796293</v>
      </c>
      <c r="I675" s="9">
        <v>45120.640983796293</v>
      </c>
      <c r="J675" s="9" t="e">
        <f>I675+#REF!</f>
        <v>#REF!</v>
      </c>
      <c r="K675" s="9" t="e">
        <f>J675+#REF!</f>
        <v>#REF!</v>
      </c>
      <c r="L675" s="10" t="s">
        <v>41</v>
      </c>
      <c r="M675" s="11">
        <v>45127.640983796293</v>
      </c>
      <c r="N675" s="5" t="s">
        <v>42</v>
      </c>
      <c r="O675" s="5" t="s">
        <v>58</v>
      </c>
      <c r="P675" s="9"/>
      <c r="Q675" s="5"/>
      <c r="R675" s="5"/>
      <c r="S675" s="5"/>
      <c r="T675" s="9"/>
      <c r="U675" s="5"/>
      <c r="V675" s="5">
        <v>0</v>
      </c>
      <c r="W675" s="5"/>
      <c r="X675" s="5"/>
      <c r="Y675" s="5"/>
      <c r="Z675" s="5"/>
      <c r="AA675" s="5" t="s">
        <v>44</v>
      </c>
      <c r="AC675">
        <f t="shared" si="91"/>
        <v>7</v>
      </c>
      <c r="AD675" t="str">
        <f t="shared" si="92"/>
        <v/>
      </c>
      <c r="AE675" t="str">
        <f t="shared" si="93"/>
        <v/>
      </c>
      <c r="AF675" t="str">
        <f t="shared" si="94"/>
        <v/>
      </c>
      <c r="AG675" t="str">
        <f t="shared" si="95"/>
        <v/>
      </c>
      <c r="AH675">
        <f t="shared" si="96"/>
        <v>2</v>
      </c>
      <c r="AI675" t="str">
        <f t="shared" si="97"/>
        <v/>
      </c>
      <c r="AJ675" t="str">
        <f t="shared" si="98"/>
        <v/>
      </c>
    </row>
    <row r="676" spans="1:36">
      <c r="A676" s="5">
        <v>702</v>
      </c>
      <c r="B676" s="5" t="s">
        <v>1903</v>
      </c>
      <c r="C676" s="5" t="s">
        <v>1540</v>
      </c>
      <c r="D676" s="5" t="s">
        <v>1820</v>
      </c>
      <c r="E676" s="5" t="s">
        <v>1862</v>
      </c>
      <c r="F676" s="5" t="str">
        <f t="shared" si="90"/>
        <v>Finance-Billing Officer</v>
      </c>
      <c r="G676" s="5" t="s">
        <v>40</v>
      </c>
      <c r="H676" s="9">
        <v>45119.640983796293</v>
      </c>
      <c r="I676" s="9">
        <v>45120.640983796293</v>
      </c>
      <c r="J676" s="9" t="e">
        <f>I676+#REF!</f>
        <v>#REF!</v>
      </c>
      <c r="K676" s="9" t="e">
        <f>J676+#REF!</f>
        <v>#REF!</v>
      </c>
      <c r="L676" s="10" t="s">
        <v>41</v>
      </c>
      <c r="M676" s="11">
        <v>45126.640983796293</v>
      </c>
      <c r="N676" s="5" t="s">
        <v>42</v>
      </c>
      <c r="O676" s="5" t="s">
        <v>73</v>
      </c>
      <c r="P676" s="9"/>
      <c r="Q676" s="5"/>
      <c r="R676" s="5"/>
      <c r="S676" s="5"/>
      <c r="T676" s="9">
        <v>45127.640983796293</v>
      </c>
      <c r="U676" s="5"/>
      <c r="V676" s="5">
        <v>0</v>
      </c>
      <c r="W676" s="5"/>
      <c r="X676" s="5"/>
      <c r="Y676" s="5"/>
      <c r="Z676" s="5"/>
      <c r="AA676" s="5" t="s">
        <v>44</v>
      </c>
      <c r="AC676">
        <f t="shared" si="91"/>
        <v>6</v>
      </c>
      <c r="AD676" t="str">
        <f t="shared" si="92"/>
        <v/>
      </c>
      <c r="AE676">
        <f t="shared" si="93"/>
        <v>1</v>
      </c>
      <c r="AF676" t="str">
        <f t="shared" si="94"/>
        <v/>
      </c>
      <c r="AG676" t="str">
        <f t="shared" si="95"/>
        <v/>
      </c>
      <c r="AH676">
        <f t="shared" si="96"/>
        <v>1</v>
      </c>
      <c r="AI676" t="str">
        <f t="shared" si="97"/>
        <v/>
      </c>
      <c r="AJ676" t="str">
        <f t="shared" si="98"/>
        <v/>
      </c>
    </row>
    <row r="677" spans="1:36">
      <c r="A677" s="5">
        <v>703</v>
      </c>
      <c r="B677" s="5" t="s">
        <v>1902</v>
      </c>
      <c r="C677" s="5" t="s">
        <v>1540</v>
      </c>
      <c r="D677" s="5" t="s">
        <v>1820</v>
      </c>
      <c r="E677" s="5" t="s">
        <v>1862</v>
      </c>
      <c r="F677" s="5" t="str">
        <f t="shared" si="90"/>
        <v>Finance-Billing Officer</v>
      </c>
      <c r="G677" s="5" t="s">
        <v>40</v>
      </c>
      <c r="H677" s="9">
        <v>45115.640983796293</v>
      </c>
      <c r="I677" s="9">
        <v>45116.640983796293</v>
      </c>
      <c r="J677" s="9" t="e">
        <f>I677+#REF!</f>
        <v>#REF!</v>
      </c>
      <c r="K677" s="9" t="e">
        <f>J677+#REF!</f>
        <v>#REF!</v>
      </c>
      <c r="L677" s="10" t="s">
        <v>41</v>
      </c>
      <c r="M677" s="11">
        <v>45134.640983796293</v>
      </c>
      <c r="N677" s="5" t="s">
        <v>64</v>
      </c>
      <c r="O677" s="5"/>
      <c r="P677" s="9">
        <v>45139.640983796293</v>
      </c>
      <c r="Q677" s="5" t="s">
        <v>64</v>
      </c>
      <c r="R677" s="9">
        <v>45135.640983796293</v>
      </c>
      <c r="S677" s="9">
        <v>45138.640983796293</v>
      </c>
      <c r="T677" s="9">
        <v>45136.640983796293</v>
      </c>
      <c r="U677" s="9">
        <v>45144.640983796293</v>
      </c>
      <c r="V677" s="12">
        <v>1</v>
      </c>
      <c r="W677" s="9">
        <v>45147.640983796293</v>
      </c>
      <c r="X677" s="9">
        <v>45150.640983796293</v>
      </c>
      <c r="Y677" s="9">
        <v>45151.640983796293</v>
      </c>
      <c r="Z677" s="5"/>
      <c r="AA677" s="5"/>
      <c r="AB677" s="13">
        <v>45160.640983796293</v>
      </c>
      <c r="AC677">
        <f t="shared" si="91"/>
        <v>18</v>
      </c>
      <c r="AD677">
        <f t="shared" si="92"/>
        <v>22</v>
      </c>
      <c r="AE677">
        <f t="shared" si="93"/>
        <v>2</v>
      </c>
      <c r="AF677">
        <f t="shared" si="94"/>
        <v>6</v>
      </c>
      <c r="AG677">
        <f t="shared" si="95"/>
        <v>3</v>
      </c>
      <c r="AH677">
        <f t="shared" si="96"/>
        <v>1</v>
      </c>
      <c r="AI677" t="str">
        <f t="shared" si="97"/>
        <v/>
      </c>
      <c r="AJ677" t="str">
        <f t="shared" si="98"/>
        <v/>
      </c>
    </row>
    <row r="678" spans="1:36">
      <c r="A678" s="5">
        <v>704</v>
      </c>
      <c r="B678" s="5" t="s">
        <v>1793</v>
      </c>
      <c r="C678" s="5" t="s">
        <v>1540</v>
      </c>
      <c r="D678" s="5" t="s">
        <v>1706</v>
      </c>
      <c r="E678" s="5" t="s">
        <v>269</v>
      </c>
      <c r="F678" s="5" t="str">
        <f t="shared" si="90"/>
        <v>Finance-Manager</v>
      </c>
      <c r="G678" s="5" t="s">
        <v>270</v>
      </c>
      <c r="H678" s="9">
        <v>45115.640983796293</v>
      </c>
      <c r="I678" s="9">
        <v>45119.640983796293</v>
      </c>
      <c r="J678" s="9" t="e">
        <f>I678+#REF!</f>
        <v>#REF!</v>
      </c>
      <c r="K678" s="9" t="e">
        <f>J678+#REF!</f>
        <v>#REF!</v>
      </c>
      <c r="L678" s="10" t="s">
        <v>52</v>
      </c>
      <c r="M678" s="11"/>
      <c r="N678" s="5"/>
      <c r="O678" s="5"/>
      <c r="P678" s="9"/>
      <c r="Q678" s="5"/>
      <c r="R678" s="5"/>
      <c r="S678" s="5"/>
      <c r="T678" s="9"/>
      <c r="U678" s="5"/>
      <c r="V678" s="5">
        <v>0</v>
      </c>
      <c r="W678" s="5"/>
      <c r="X678" s="5"/>
      <c r="Y678" s="5"/>
      <c r="Z678" s="5"/>
      <c r="AA678" s="5"/>
      <c r="AC678" t="str">
        <f t="shared" si="91"/>
        <v/>
      </c>
      <c r="AD678" t="str">
        <f t="shared" si="92"/>
        <v/>
      </c>
      <c r="AE678" t="str">
        <f t="shared" si="93"/>
        <v/>
      </c>
      <c r="AF678" t="str">
        <f t="shared" si="94"/>
        <v/>
      </c>
      <c r="AG678" t="str">
        <f t="shared" si="95"/>
        <v/>
      </c>
      <c r="AH678">
        <f t="shared" si="96"/>
        <v>4</v>
      </c>
      <c r="AI678" t="str">
        <f t="shared" si="97"/>
        <v/>
      </c>
      <c r="AJ678" t="str">
        <f t="shared" si="98"/>
        <v/>
      </c>
    </row>
    <row r="679" spans="1:36">
      <c r="A679" s="5">
        <v>705</v>
      </c>
      <c r="B679" s="5" t="s">
        <v>1679</v>
      </c>
      <c r="C679" s="5" t="s">
        <v>1540</v>
      </c>
      <c r="D679" s="5" t="s">
        <v>1588</v>
      </c>
      <c r="E679" s="5" t="s">
        <v>1360</v>
      </c>
      <c r="F679" s="5" t="str">
        <f t="shared" si="90"/>
        <v>Finance-Fund Administrator</v>
      </c>
      <c r="G679" s="5" t="s">
        <v>147</v>
      </c>
      <c r="H679" s="9">
        <v>45115.640983796293</v>
      </c>
      <c r="I679" s="9">
        <v>45119.640983796293</v>
      </c>
      <c r="J679" s="9" t="e">
        <f>I679+#REF!</f>
        <v>#REF!</v>
      </c>
      <c r="K679" s="9" t="e">
        <f>J679+#REF!</f>
        <v>#REF!</v>
      </c>
      <c r="L679" s="10" t="s">
        <v>41</v>
      </c>
      <c r="M679" s="11">
        <v>45123.640983796293</v>
      </c>
      <c r="N679" s="5" t="s">
        <v>64</v>
      </c>
      <c r="O679" s="5"/>
      <c r="P679" s="9">
        <v>45130.640983796293</v>
      </c>
      <c r="Q679" s="5" t="s">
        <v>64</v>
      </c>
      <c r="R679" s="9">
        <v>45125.640983796293</v>
      </c>
      <c r="S679" s="9">
        <v>45128.640983796293</v>
      </c>
      <c r="T679" s="9">
        <v>45126.640983796293</v>
      </c>
      <c r="U679" s="9">
        <v>45133.640983796293</v>
      </c>
      <c r="V679" s="12">
        <v>1</v>
      </c>
      <c r="W679" s="9">
        <v>45134.640983796293</v>
      </c>
      <c r="X679" s="9">
        <v>45136.640983796293</v>
      </c>
      <c r="Y679" s="9">
        <v>45138.640983796293</v>
      </c>
      <c r="Z679" s="5"/>
      <c r="AA679" s="5"/>
      <c r="AB679" s="13">
        <v>45149.640983796293</v>
      </c>
      <c r="AC679">
        <f t="shared" si="91"/>
        <v>4</v>
      </c>
      <c r="AD679">
        <f t="shared" si="92"/>
        <v>9</v>
      </c>
      <c r="AE679">
        <f t="shared" si="93"/>
        <v>3</v>
      </c>
      <c r="AF679">
        <f t="shared" si="94"/>
        <v>3</v>
      </c>
      <c r="AG679">
        <f t="shared" si="95"/>
        <v>1</v>
      </c>
      <c r="AH679">
        <f t="shared" si="96"/>
        <v>4</v>
      </c>
      <c r="AI679" t="str">
        <f t="shared" si="97"/>
        <v/>
      </c>
      <c r="AJ679" t="str">
        <f t="shared" si="98"/>
        <v/>
      </c>
    </row>
    <row r="680" spans="1:36">
      <c r="A680" s="5">
        <v>706</v>
      </c>
      <c r="B680" s="5" t="s">
        <v>1954</v>
      </c>
      <c r="C680" s="5" t="s">
        <v>1540</v>
      </c>
      <c r="D680" s="5" t="s">
        <v>1925</v>
      </c>
      <c r="E680" s="5" t="s">
        <v>1939</v>
      </c>
      <c r="F680" s="5" t="str">
        <f t="shared" si="90"/>
        <v>Finance-Principal Officer</v>
      </c>
      <c r="G680" s="5" t="s">
        <v>56</v>
      </c>
      <c r="H680" s="9">
        <v>45115.640983796293</v>
      </c>
      <c r="I680" s="9">
        <v>45117.640983796293</v>
      </c>
      <c r="J680" s="9" t="e">
        <f>I680+#REF!</f>
        <v>#REF!</v>
      </c>
      <c r="K680" s="9" t="e">
        <f>J680+#REF!</f>
        <v>#REF!</v>
      </c>
      <c r="L680" s="10" t="s">
        <v>41</v>
      </c>
      <c r="M680" s="11">
        <v>45126.640983796293</v>
      </c>
      <c r="N680" s="5" t="s">
        <v>167</v>
      </c>
      <c r="O680" s="5"/>
      <c r="P680" s="9">
        <v>45130.640983796293</v>
      </c>
      <c r="Q680" s="5" t="s">
        <v>167</v>
      </c>
      <c r="R680" s="5"/>
      <c r="S680" s="5"/>
      <c r="T680" s="9">
        <v>45128.640983796293</v>
      </c>
      <c r="U680" s="5"/>
      <c r="V680" s="5">
        <v>0</v>
      </c>
      <c r="W680" s="5"/>
      <c r="X680" s="5"/>
      <c r="Y680" s="5"/>
      <c r="Z680" s="5"/>
      <c r="AA680" s="5"/>
      <c r="AC680">
        <f t="shared" si="91"/>
        <v>9</v>
      </c>
      <c r="AD680" t="str">
        <f t="shared" si="92"/>
        <v/>
      </c>
      <c r="AE680">
        <f t="shared" si="93"/>
        <v>2</v>
      </c>
      <c r="AF680" t="str">
        <f t="shared" si="94"/>
        <v/>
      </c>
      <c r="AG680" t="str">
        <f t="shared" si="95"/>
        <v/>
      </c>
      <c r="AH680">
        <f t="shared" si="96"/>
        <v>2</v>
      </c>
      <c r="AI680" t="str">
        <f t="shared" si="97"/>
        <v/>
      </c>
      <c r="AJ680" t="str">
        <f t="shared" si="98"/>
        <v/>
      </c>
    </row>
    <row r="681" spans="1:36">
      <c r="A681" s="5">
        <v>708</v>
      </c>
      <c r="B681" s="5" t="s">
        <v>1953</v>
      </c>
      <c r="C681" s="5" t="s">
        <v>1540</v>
      </c>
      <c r="D681" s="5" t="s">
        <v>1925</v>
      </c>
      <c r="E681" s="5" t="s">
        <v>1939</v>
      </c>
      <c r="F681" s="5" t="str">
        <f t="shared" si="90"/>
        <v>Finance-Principal Officer</v>
      </c>
      <c r="G681" s="5" t="s">
        <v>56</v>
      </c>
      <c r="H681" s="9">
        <v>45114.640983796293</v>
      </c>
      <c r="I681" s="9">
        <v>45115.640983796293</v>
      </c>
      <c r="J681" s="9" t="e">
        <f>I681+#REF!</f>
        <v>#REF!</v>
      </c>
      <c r="K681" s="9" t="e">
        <f>J681+#REF!</f>
        <v>#REF!</v>
      </c>
      <c r="L681" s="10" t="s">
        <v>41</v>
      </c>
      <c r="M681" s="11">
        <v>45128.640983796293</v>
      </c>
      <c r="N681" s="5" t="s">
        <v>48</v>
      </c>
      <c r="O681" s="5"/>
      <c r="P681" s="9">
        <v>45131.640983796293</v>
      </c>
      <c r="Q681" s="5" t="s">
        <v>48</v>
      </c>
      <c r="R681" s="5"/>
      <c r="S681" s="5"/>
      <c r="T681" s="9">
        <v>45130.640983796293</v>
      </c>
      <c r="U681" s="5"/>
      <c r="V681" s="5">
        <v>0</v>
      </c>
      <c r="W681" s="5"/>
      <c r="X681" s="5"/>
      <c r="Y681" s="5"/>
      <c r="Z681" s="5"/>
      <c r="AA681" s="5"/>
      <c r="AC681">
        <f t="shared" si="91"/>
        <v>13</v>
      </c>
      <c r="AD681" t="str">
        <f t="shared" si="92"/>
        <v/>
      </c>
      <c r="AE681">
        <f t="shared" si="93"/>
        <v>2</v>
      </c>
      <c r="AF681" t="str">
        <f t="shared" si="94"/>
        <v/>
      </c>
      <c r="AG681" t="str">
        <f t="shared" si="95"/>
        <v/>
      </c>
      <c r="AH681">
        <f t="shared" si="96"/>
        <v>1</v>
      </c>
      <c r="AI681" t="str">
        <f t="shared" si="97"/>
        <v/>
      </c>
      <c r="AJ681" t="str">
        <f t="shared" si="98"/>
        <v/>
      </c>
    </row>
    <row r="682" spans="1:36">
      <c r="A682" s="5">
        <v>709</v>
      </c>
      <c r="B682" s="5" t="s">
        <v>1952</v>
      </c>
      <c r="C682" s="5" t="s">
        <v>1540</v>
      </c>
      <c r="D682" s="5" t="s">
        <v>1925</v>
      </c>
      <c r="E682" s="5" t="s">
        <v>1939</v>
      </c>
      <c r="F682" s="5" t="str">
        <f t="shared" si="90"/>
        <v>Finance-Principal Officer</v>
      </c>
      <c r="G682" s="5" t="s">
        <v>56</v>
      </c>
      <c r="H682" s="9">
        <v>45113.640983796293</v>
      </c>
      <c r="I682" s="9">
        <v>45117.640983796293</v>
      </c>
      <c r="J682" s="9" t="e">
        <f>I682+#REF!</f>
        <v>#REF!</v>
      </c>
      <c r="K682" s="9" t="e">
        <f>J682+#REF!</f>
        <v>#REF!</v>
      </c>
      <c r="L682" s="10" t="s">
        <v>41</v>
      </c>
      <c r="M682" s="11">
        <v>45136.640983796293</v>
      </c>
      <c r="N682" s="5" t="s">
        <v>42</v>
      </c>
      <c r="O682" s="5" t="s">
        <v>98</v>
      </c>
      <c r="P682" s="9"/>
      <c r="Q682" s="5"/>
      <c r="R682" s="5"/>
      <c r="S682" s="5"/>
      <c r="T682" s="9">
        <v>45140.640983796293</v>
      </c>
      <c r="U682" s="5"/>
      <c r="V682" s="5">
        <v>0</v>
      </c>
      <c r="W682" s="5"/>
      <c r="X682" s="5"/>
      <c r="Y682" s="5"/>
      <c r="Z682" s="5"/>
      <c r="AA682" s="5" t="s">
        <v>44</v>
      </c>
      <c r="AC682">
        <f t="shared" si="91"/>
        <v>19</v>
      </c>
      <c r="AD682" t="str">
        <f t="shared" si="92"/>
        <v/>
      </c>
      <c r="AE682">
        <f t="shared" si="93"/>
        <v>4</v>
      </c>
      <c r="AF682" t="str">
        <f t="shared" si="94"/>
        <v/>
      </c>
      <c r="AG682" t="str">
        <f t="shared" si="95"/>
        <v/>
      </c>
      <c r="AH682">
        <f t="shared" si="96"/>
        <v>4</v>
      </c>
      <c r="AI682" t="str">
        <f t="shared" si="97"/>
        <v/>
      </c>
      <c r="AJ682" t="str">
        <f t="shared" si="98"/>
        <v/>
      </c>
    </row>
    <row r="683" spans="1:36">
      <c r="A683" s="5">
        <v>711</v>
      </c>
      <c r="B683" s="5" t="s">
        <v>238</v>
      </c>
      <c r="C683" s="5" t="s">
        <v>100</v>
      </c>
      <c r="D683" s="5" t="s">
        <v>146</v>
      </c>
      <c r="E683" s="5" t="s">
        <v>39</v>
      </c>
      <c r="F683" s="5" t="str">
        <f t="shared" si="90"/>
        <v>Program Office-Analyst</v>
      </c>
      <c r="G683" s="5" t="s">
        <v>147</v>
      </c>
      <c r="H683" s="9">
        <v>44625.686331018522</v>
      </c>
      <c r="I683" s="9">
        <v>44629.686331018522</v>
      </c>
      <c r="J683" s="9" t="e">
        <f>I683+#REF!</f>
        <v>#REF!</v>
      </c>
      <c r="K683" s="9" t="e">
        <f>J683+#REF!</f>
        <v>#REF!</v>
      </c>
      <c r="L683" s="10" t="s">
        <v>41</v>
      </c>
      <c r="M683" s="11">
        <v>44645.686331018522</v>
      </c>
      <c r="N683" s="5" t="s">
        <v>64</v>
      </c>
      <c r="O683" s="5"/>
      <c r="P683" s="9">
        <v>44648.686331018522</v>
      </c>
      <c r="Q683" s="5" t="s">
        <v>64</v>
      </c>
      <c r="R683" s="9">
        <v>44647.686331018522</v>
      </c>
      <c r="S683" s="9">
        <v>44650.686331018522</v>
      </c>
      <c r="T683" s="9">
        <v>44646.686331018522</v>
      </c>
      <c r="U683" s="9">
        <v>44652.686331018522</v>
      </c>
      <c r="V683" s="12">
        <v>1</v>
      </c>
      <c r="W683" s="9">
        <v>44653.686331018522</v>
      </c>
      <c r="X683" s="9">
        <v>44656.686331018522</v>
      </c>
      <c r="Y683" s="9">
        <v>44659.686331018522</v>
      </c>
      <c r="Z683" s="5"/>
      <c r="AA683" s="5"/>
      <c r="AB683" s="13">
        <v>44667.686331018522</v>
      </c>
      <c r="AC683">
        <f t="shared" si="91"/>
        <v>16</v>
      </c>
      <c r="AD683">
        <f t="shared" si="92"/>
        <v>21</v>
      </c>
      <c r="AE683">
        <f t="shared" si="93"/>
        <v>1</v>
      </c>
      <c r="AF683">
        <f t="shared" si="94"/>
        <v>4</v>
      </c>
      <c r="AG683">
        <f t="shared" si="95"/>
        <v>1</v>
      </c>
      <c r="AH683">
        <f t="shared" si="96"/>
        <v>4</v>
      </c>
      <c r="AI683" t="str">
        <f t="shared" si="97"/>
        <v/>
      </c>
      <c r="AJ683" t="str">
        <f t="shared" si="98"/>
        <v/>
      </c>
    </row>
    <row r="684" spans="1:36">
      <c r="A684" s="5">
        <v>712</v>
      </c>
      <c r="B684" s="5" t="s">
        <v>362</v>
      </c>
      <c r="C684" s="5" t="s">
        <v>100</v>
      </c>
      <c r="D684" s="5" t="s">
        <v>268</v>
      </c>
      <c r="E684" s="5" t="s">
        <v>291</v>
      </c>
      <c r="F684" s="5" t="str">
        <f t="shared" si="90"/>
        <v>Program Office-Cordination Manager</v>
      </c>
      <c r="G684" s="5" t="s">
        <v>270</v>
      </c>
      <c r="H684" s="9">
        <v>44629.686331018522</v>
      </c>
      <c r="I684" s="9">
        <v>44633.686331018522</v>
      </c>
      <c r="J684" s="9" t="e">
        <f>I684+#REF!</f>
        <v>#REF!</v>
      </c>
      <c r="K684" s="9" t="e">
        <f>J684+#REF!</f>
        <v>#REF!</v>
      </c>
      <c r="L684" s="10" t="s">
        <v>41</v>
      </c>
      <c r="M684" s="11">
        <v>44648.686331018522</v>
      </c>
      <c r="N684" s="5" t="s">
        <v>42</v>
      </c>
      <c r="O684" s="5" t="s">
        <v>43</v>
      </c>
      <c r="P684" s="9"/>
      <c r="Q684" s="5"/>
      <c r="R684" s="5"/>
      <c r="S684" s="5"/>
      <c r="T684" s="9">
        <v>44651.686331018522</v>
      </c>
      <c r="U684" s="5"/>
      <c r="V684" s="5">
        <v>0</v>
      </c>
      <c r="W684" s="5"/>
      <c r="X684" s="5"/>
      <c r="Y684" s="5"/>
      <c r="Z684" s="5"/>
      <c r="AA684" s="5" t="s">
        <v>62</v>
      </c>
      <c r="AC684">
        <f t="shared" si="91"/>
        <v>15</v>
      </c>
      <c r="AD684" t="str">
        <f t="shared" si="92"/>
        <v/>
      </c>
      <c r="AE684">
        <f t="shared" si="93"/>
        <v>3</v>
      </c>
      <c r="AF684" t="str">
        <f t="shared" si="94"/>
        <v/>
      </c>
      <c r="AG684" t="str">
        <f t="shared" si="95"/>
        <v/>
      </c>
      <c r="AH684">
        <f t="shared" si="96"/>
        <v>4</v>
      </c>
      <c r="AI684" t="str">
        <f t="shared" si="97"/>
        <v/>
      </c>
      <c r="AJ684" t="str">
        <f t="shared" si="98"/>
        <v/>
      </c>
    </row>
    <row r="685" spans="1:36">
      <c r="A685" s="5">
        <v>713</v>
      </c>
      <c r="B685" s="5" t="s">
        <v>527</v>
      </c>
      <c r="C685" s="5" t="s">
        <v>100</v>
      </c>
      <c r="D685" s="5" t="s">
        <v>506</v>
      </c>
      <c r="E685" s="5" t="s">
        <v>55</v>
      </c>
      <c r="F685" s="5" t="str">
        <f t="shared" si="90"/>
        <v>Program Office-Director</v>
      </c>
      <c r="G685" s="5" t="s">
        <v>56</v>
      </c>
      <c r="H685" s="9">
        <v>44625.686331018522</v>
      </c>
      <c r="I685" s="9">
        <v>44628.686331018522</v>
      </c>
      <c r="J685" s="9" t="e">
        <f>I685+#REF!</f>
        <v>#REF!</v>
      </c>
      <c r="K685" s="9" t="e">
        <f>J685+#REF!</f>
        <v>#REF!</v>
      </c>
      <c r="L685" s="10" t="s">
        <v>52</v>
      </c>
      <c r="M685" s="11"/>
      <c r="N685" s="5"/>
      <c r="O685" s="5"/>
      <c r="P685" s="9"/>
      <c r="Q685" s="5"/>
      <c r="R685" s="5"/>
      <c r="S685" s="5"/>
      <c r="T685" s="9"/>
      <c r="U685" s="5"/>
      <c r="V685" s="5">
        <v>0</v>
      </c>
      <c r="W685" s="5"/>
      <c r="X685" s="5"/>
      <c r="Y685" s="5"/>
      <c r="Z685" s="5"/>
      <c r="AA685" s="5"/>
      <c r="AC685" t="str">
        <f t="shared" si="91"/>
        <v/>
      </c>
      <c r="AD685" t="str">
        <f t="shared" si="92"/>
        <v/>
      </c>
      <c r="AE685" t="str">
        <f t="shared" si="93"/>
        <v/>
      </c>
      <c r="AF685" t="str">
        <f t="shared" si="94"/>
        <v/>
      </c>
      <c r="AG685" t="str">
        <f t="shared" si="95"/>
        <v/>
      </c>
      <c r="AH685">
        <f t="shared" si="96"/>
        <v>3</v>
      </c>
      <c r="AI685" t="str">
        <f t="shared" si="97"/>
        <v/>
      </c>
      <c r="AJ685" t="str">
        <f t="shared" si="98"/>
        <v/>
      </c>
    </row>
    <row r="686" spans="1:36">
      <c r="A686" s="5">
        <v>714</v>
      </c>
      <c r="B686" s="5" t="s">
        <v>648</v>
      </c>
      <c r="C686" s="5" t="s">
        <v>100</v>
      </c>
      <c r="D686" s="5" t="s">
        <v>554</v>
      </c>
      <c r="E686" s="5" t="s">
        <v>597</v>
      </c>
      <c r="F686" s="5" t="str">
        <f t="shared" si="90"/>
        <v>Program Office-Business Partner</v>
      </c>
      <c r="G686" s="5" t="s">
        <v>47</v>
      </c>
      <c r="H686" s="9">
        <v>44630.686331018522</v>
      </c>
      <c r="I686" s="9">
        <v>44631.686331018522</v>
      </c>
      <c r="J686" s="9" t="e">
        <f>I686+#REF!</f>
        <v>#REF!</v>
      </c>
      <c r="K686" s="9" t="e">
        <f>J686+#REF!</f>
        <v>#REF!</v>
      </c>
      <c r="L686" s="10" t="s">
        <v>41</v>
      </c>
      <c r="M686" s="11">
        <v>44648.686331018522</v>
      </c>
      <c r="N686" s="5" t="s">
        <v>42</v>
      </c>
      <c r="O686" s="5" t="s">
        <v>98</v>
      </c>
      <c r="P686" s="9"/>
      <c r="Q686" s="5"/>
      <c r="R686" s="5"/>
      <c r="S686" s="5"/>
      <c r="T686" s="9"/>
      <c r="U686" s="5"/>
      <c r="V686" s="5">
        <v>0</v>
      </c>
      <c r="W686" s="5"/>
      <c r="X686" s="5"/>
      <c r="Y686" s="5"/>
      <c r="Z686" s="5"/>
      <c r="AA686" s="5" t="s">
        <v>62</v>
      </c>
      <c r="AC686">
        <f t="shared" si="91"/>
        <v>17</v>
      </c>
      <c r="AD686" t="str">
        <f t="shared" si="92"/>
        <v/>
      </c>
      <c r="AE686" t="str">
        <f t="shared" si="93"/>
        <v/>
      </c>
      <c r="AF686" t="str">
        <f t="shared" si="94"/>
        <v/>
      </c>
      <c r="AG686" t="str">
        <f t="shared" si="95"/>
        <v/>
      </c>
      <c r="AH686">
        <f t="shared" si="96"/>
        <v>1</v>
      </c>
      <c r="AI686" t="str">
        <f t="shared" si="97"/>
        <v/>
      </c>
      <c r="AJ686" t="str">
        <f t="shared" si="98"/>
        <v/>
      </c>
    </row>
    <row r="687" spans="1:36">
      <c r="A687" s="5">
        <v>715</v>
      </c>
      <c r="B687" s="5" t="s">
        <v>237</v>
      </c>
      <c r="C687" s="5" t="s">
        <v>100</v>
      </c>
      <c r="D687" s="5" t="s">
        <v>146</v>
      </c>
      <c r="E687" s="5" t="s">
        <v>39</v>
      </c>
      <c r="F687" s="5" t="str">
        <f t="shared" si="90"/>
        <v>Program Office-Analyst</v>
      </c>
      <c r="G687" s="5" t="s">
        <v>147</v>
      </c>
      <c r="H687" s="9">
        <v>44626.686331018522</v>
      </c>
      <c r="I687" s="9">
        <v>44628.686331018522</v>
      </c>
      <c r="J687" s="9" t="e">
        <f>I687+#REF!</f>
        <v>#REF!</v>
      </c>
      <c r="K687" s="9" t="e">
        <f>J687+#REF!</f>
        <v>#REF!</v>
      </c>
      <c r="L687" s="10" t="s">
        <v>41</v>
      </c>
      <c r="M687" s="11">
        <v>44640.686331018522</v>
      </c>
      <c r="N687" s="5" t="s">
        <v>42</v>
      </c>
      <c r="O687" s="5" t="s">
        <v>43</v>
      </c>
      <c r="P687" s="9"/>
      <c r="Q687" s="5"/>
      <c r="R687" s="5"/>
      <c r="S687" s="5"/>
      <c r="T687" s="9"/>
      <c r="U687" s="5"/>
      <c r="V687" s="5">
        <v>0</v>
      </c>
      <c r="W687" s="5"/>
      <c r="X687" s="5"/>
      <c r="Y687" s="5"/>
      <c r="Z687" s="5"/>
      <c r="AA687" s="5" t="s">
        <v>62</v>
      </c>
      <c r="AC687">
        <f t="shared" si="91"/>
        <v>12</v>
      </c>
      <c r="AD687" t="str">
        <f t="shared" si="92"/>
        <v/>
      </c>
      <c r="AE687" t="str">
        <f t="shared" si="93"/>
        <v/>
      </c>
      <c r="AF687" t="str">
        <f t="shared" si="94"/>
        <v/>
      </c>
      <c r="AG687" t="str">
        <f t="shared" si="95"/>
        <v/>
      </c>
      <c r="AH687">
        <f t="shared" si="96"/>
        <v>2</v>
      </c>
      <c r="AI687" t="str">
        <f t="shared" si="97"/>
        <v/>
      </c>
      <c r="AJ687" t="str">
        <f t="shared" si="98"/>
        <v/>
      </c>
    </row>
    <row r="688" spans="1:36">
      <c r="A688" s="5">
        <v>716</v>
      </c>
      <c r="B688" s="5" t="s">
        <v>526</v>
      </c>
      <c r="C688" s="5" t="s">
        <v>100</v>
      </c>
      <c r="D688" s="5" t="s">
        <v>506</v>
      </c>
      <c r="E688" s="5" t="s">
        <v>55</v>
      </c>
      <c r="F688" s="5" t="str">
        <f t="shared" si="90"/>
        <v>Program Office-Director</v>
      </c>
      <c r="G688" s="5" t="s">
        <v>56</v>
      </c>
      <c r="H688" s="9">
        <v>44630.686331018522</v>
      </c>
      <c r="I688" s="9">
        <v>44633.686331018522</v>
      </c>
      <c r="J688" s="9" t="e">
        <f>I688+#REF!</f>
        <v>#REF!</v>
      </c>
      <c r="K688" s="9" t="e">
        <f>J688+#REF!</f>
        <v>#REF!</v>
      </c>
      <c r="L688" s="10" t="s">
        <v>41</v>
      </c>
      <c r="M688" s="11">
        <v>44638.686331018522</v>
      </c>
      <c r="N688" s="5" t="s">
        <v>42</v>
      </c>
      <c r="O688" s="5" t="s">
        <v>98</v>
      </c>
      <c r="P688" s="9"/>
      <c r="Q688" s="5"/>
      <c r="R688" s="5"/>
      <c r="S688" s="5"/>
      <c r="T688" s="9"/>
      <c r="U688" s="5"/>
      <c r="V688" s="5">
        <v>0</v>
      </c>
      <c r="W688" s="5"/>
      <c r="X688" s="5"/>
      <c r="Y688" s="5"/>
      <c r="Z688" s="5"/>
      <c r="AA688" s="5" t="s">
        <v>62</v>
      </c>
      <c r="AC688">
        <f t="shared" si="91"/>
        <v>5</v>
      </c>
      <c r="AD688" t="str">
        <f t="shared" si="92"/>
        <v/>
      </c>
      <c r="AE688" t="str">
        <f t="shared" si="93"/>
        <v/>
      </c>
      <c r="AF688" t="str">
        <f t="shared" si="94"/>
        <v/>
      </c>
      <c r="AG688" t="str">
        <f t="shared" si="95"/>
        <v/>
      </c>
      <c r="AH688">
        <f t="shared" si="96"/>
        <v>3</v>
      </c>
      <c r="AI688" t="str">
        <f t="shared" si="97"/>
        <v/>
      </c>
      <c r="AJ688" t="str">
        <f t="shared" si="98"/>
        <v/>
      </c>
    </row>
    <row r="689" spans="1:36">
      <c r="A689" s="5">
        <v>717</v>
      </c>
      <c r="B689" s="5" t="s">
        <v>647</v>
      </c>
      <c r="C689" s="5" t="s">
        <v>100</v>
      </c>
      <c r="D689" s="5" t="s">
        <v>554</v>
      </c>
      <c r="E689" s="5" t="s">
        <v>597</v>
      </c>
      <c r="F689" s="5" t="str">
        <f t="shared" si="90"/>
        <v>Program Office-Business Partner</v>
      </c>
      <c r="G689" s="5" t="s">
        <v>47</v>
      </c>
      <c r="H689" s="9">
        <v>44627.686331018522</v>
      </c>
      <c r="I689" s="9">
        <v>44630.686331018522</v>
      </c>
      <c r="J689" s="9" t="e">
        <f>I689+#REF!</f>
        <v>#REF!</v>
      </c>
      <c r="K689" s="9" t="e">
        <f>J689+#REF!</f>
        <v>#REF!</v>
      </c>
      <c r="L689" s="10" t="s">
        <v>41</v>
      </c>
      <c r="M689" s="11">
        <v>44640.686331018522</v>
      </c>
      <c r="N689" s="5" t="s">
        <v>64</v>
      </c>
      <c r="O689" s="5"/>
      <c r="P689" s="9">
        <v>44644.686331018522</v>
      </c>
      <c r="Q689" s="5" t="s">
        <v>64</v>
      </c>
      <c r="R689" s="9">
        <v>44642.686331018522</v>
      </c>
      <c r="S689" s="9">
        <v>44646.686331018522</v>
      </c>
      <c r="T689" s="9">
        <v>44641.686331018522</v>
      </c>
      <c r="U689" s="9">
        <v>44649.686331018522</v>
      </c>
      <c r="V689" s="12">
        <v>1</v>
      </c>
      <c r="W689" s="9">
        <v>44651.686331018522</v>
      </c>
      <c r="X689" s="9">
        <v>44654.686331018522</v>
      </c>
      <c r="Y689" s="9">
        <v>44656.686331018522</v>
      </c>
      <c r="Z689" s="5"/>
      <c r="AA689" s="5"/>
      <c r="AB689" s="13">
        <v>44675.686331018522</v>
      </c>
      <c r="AC689">
        <f t="shared" si="91"/>
        <v>10</v>
      </c>
      <c r="AD689">
        <f t="shared" si="92"/>
        <v>16</v>
      </c>
      <c r="AE689">
        <f t="shared" si="93"/>
        <v>1</v>
      </c>
      <c r="AF689">
        <f t="shared" si="94"/>
        <v>5</v>
      </c>
      <c r="AG689">
        <f t="shared" si="95"/>
        <v>2</v>
      </c>
      <c r="AH689">
        <f t="shared" si="96"/>
        <v>3</v>
      </c>
      <c r="AI689" t="str">
        <f t="shared" si="97"/>
        <v/>
      </c>
      <c r="AJ689" t="str">
        <f t="shared" si="98"/>
        <v/>
      </c>
    </row>
    <row r="690" spans="1:36">
      <c r="A690" s="5">
        <v>718</v>
      </c>
      <c r="B690" s="5" t="s">
        <v>361</v>
      </c>
      <c r="C690" s="5" t="s">
        <v>100</v>
      </c>
      <c r="D690" s="5" t="s">
        <v>268</v>
      </c>
      <c r="E690" s="5" t="s">
        <v>291</v>
      </c>
      <c r="F690" s="5" t="str">
        <f t="shared" si="90"/>
        <v>Program Office-Cordination Manager</v>
      </c>
      <c r="G690" s="5" t="s">
        <v>270</v>
      </c>
      <c r="H690" s="9">
        <v>44629.686331018522</v>
      </c>
      <c r="I690" s="9">
        <v>44630.686331018522</v>
      </c>
      <c r="J690" s="9" t="e">
        <f>I690+#REF!</f>
        <v>#REF!</v>
      </c>
      <c r="K690" s="9" t="e">
        <f>J690+#REF!</f>
        <v>#REF!</v>
      </c>
      <c r="L690" s="10" t="s">
        <v>41</v>
      </c>
      <c r="M690" s="11">
        <v>44643.686331018522</v>
      </c>
      <c r="N690" s="5" t="s">
        <v>48</v>
      </c>
      <c r="O690" s="5"/>
      <c r="P690" s="9">
        <v>44645.686331018522</v>
      </c>
      <c r="Q690" s="5" t="s">
        <v>48</v>
      </c>
      <c r="R690" s="5"/>
      <c r="S690" s="5"/>
      <c r="T690" s="9">
        <v>44644.686331018522</v>
      </c>
      <c r="U690" s="5"/>
      <c r="V690" s="5">
        <v>0</v>
      </c>
      <c r="W690" s="5"/>
      <c r="X690" s="5"/>
      <c r="Y690" s="5"/>
      <c r="Z690" s="5"/>
      <c r="AA690" s="5"/>
      <c r="AC690">
        <f t="shared" si="91"/>
        <v>13</v>
      </c>
      <c r="AD690" t="str">
        <f t="shared" si="92"/>
        <v/>
      </c>
      <c r="AE690">
        <f t="shared" si="93"/>
        <v>1</v>
      </c>
      <c r="AF690" t="str">
        <f t="shared" si="94"/>
        <v/>
      </c>
      <c r="AG690" t="str">
        <f t="shared" si="95"/>
        <v/>
      </c>
      <c r="AH690">
        <f t="shared" si="96"/>
        <v>1</v>
      </c>
      <c r="AI690" t="str">
        <f t="shared" si="97"/>
        <v/>
      </c>
      <c r="AJ690" t="str">
        <f t="shared" si="98"/>
        <v/>
      </c>
    </row>
    <row r="691" spans="1:36">
      <c r="A691" s="5">
        <v>719</v>
      </c>
      <c r="B691" s="5" t="s">
        <v>525</v>
      </c>
      <c r="C691" s="5" t="s">
        <v>100</v>
      </c>
      <c r="D691" s="5" t="s">
        <v>506</v>
      </c>
      <c r="E691" s="5" t="s">
        <v>55</v>
      </c>
      <c r="F691" s="5" t="str">
        <f t="shared" si="90"/>
        <v>Program Office-Director</v>
      </c>
      <c r="G691" s="5" t="s">
        <v>56</v>
      </c>
      <c r="H691" s="9">
        <v>44627.686331018522</v>
      </c>
      <c r="I691" s="9">
        <v>44630.686331018522</v>
      </c>
      <c r="J691" s="9" t="e">
        <f>I691+#REF!</f>
        <v>#REF!</v>
      </c>
      <c r="K691" s="9" t="e">
        <f>J691+#REF!</f>
        <v>#REF!</v>
      </c>
      <c r="L691" s="10" t="s">
        <v>41</v>
      </c>
      <c r="M691" s="11">
        <v>44647.686331018522</v>
      </c>
      <c r="N691" s="5" t="s">
        <v>42</v>
      </c>
      <c r="O691" s="5" t="s">
        <v>73</v>
      </c>
      <c r="P691" s="9"/>
      <c r="Q691" s="5"/>
      <c r="R691" s="5"/>
      <c r="S691" s="5"/>
      <c r="T691" s="9">
        <v>44648.686331018522</v>
      </c>
      <c r="U691" s="5"/>
      <c r="V691" s="5">
        <v>0</v>
      </c>
      <c r="W691" s="5"/>
      <c r="X691" s="5"/>
      <c r="Y691" s="5"/>
      <c r="Z691" s="5"/>
      <c r="AA691" s="5" t="s">
        <v>62</v>
      </c>
      <c r="AC691">
        <f t="shared" si="91"/>
        <v>17</v>
      </c>
      <c r="AD691" t="str">
        <f t="shared" si="92"/>
        <v/>
      </c>
      <c r="AE691">
        <f t="shared" si="93"/>
        <v>1</v>
      </c>
      <c r="AF691" t="str">
        <f t="shared" si="94"/>
        <v/>
      </c>
      <c r="AG691" t="str">
        <f t="shared" si="95"/>
        <v/>
      </c>
      <c r="AH691">
        <f t="shared" si="96"/>
        <v>3</v>
      </c>
      <c r="AI691" t="str">
        <f t="shared" si="97"/>
        <v/>
      </c>
      <c r="AJ691" t="str">
        <f t="shared" si="98"/>
        <v/>
      </c>
    </row>
    <row r="692" spans="1:36">
      <c r="A692" s="5">
        <v>720</v>
      </c>
      <c r="B692" s="5" t="s">
        <v>476</v>
      </c>
      <c r="C692" s="5" t="s">
        <v>100</v>
      </c>
      <c r="D692" s="5" t="s">
        <v>387</v>
      </c>
      <c r="E692" s="5" t="s">
        <v>473</v>
      </c>
      <c r="F692" s="5" t="str">
        <f t="shared" si="90"/>
        <v>Program Office-Officer</v>
      </c>
      <c r="G692" s="5" t="s">
        <v>40</v>
      </c>
      <c r="H692" s="9">
        <v>44629.686331018522</v>
      </c>
      <c r="I692" s="9">
        <v>44630.686331018522</v>
      </c>
      <c r="J692" s="9" t="e">
        <f>I692+#REF!</f>
        <v>#REF!</v>
      </c>
      <c r="K692" s="9" t="e">
        <f>J692+#REF!</f>
        <v>#REF!</v>
      </c>
      <c r="L692" s="10" t="s">
        <v>41</v>
      </c>
      <c r="M692" s="11">
        <v>44650.686331018522</v>
      </c>
      <c r="N692" s="5" t="s">
        <v>42</v>
      </c>
      <c r="O692" s="5" t="s">
        <v>43</v>
      </c>
      <c r="P692" s="9"/>
      <c r="Q692" s="5"/>
      <c r="R692" s="5"/>
      <c r="S692" s="5"/>
      <c r="T692" s="9">
        <v>44652.686331018522</v>
      </c>
      <c r="U692" s="5"/>
      <c r="V692" s="5">
        <v>0</v>
      </c>
      <c r="W692" s="5"/>
      <c r="X692" s="5"/>
      <c r="Y692" s="5"/>
      <c r="Z692" s="5"/>
      <c r="AA692" s="5" t="s">
        <v>44</v>
      </c>
      <c r="AC692">
        <f t="shared" si="91"/>
        <v>20</v>
      </c>
      <c r="AD692" t="str">
        <f t="shared" si="92"/>
        <v/>
      </c>
      <c r="AE692">
        <f t="shared" si="93"/>
        <v>2</v>
      </c>
      <c r="AF692" t="str">
        <f t="shared" si="94"/>
        <v/>
      </c>
      <c r="AG692" t="str">
        <f t="shared" si="95"/>
        <v/>
      </c>
      <c r="AH692">
        <f t="shared" si="96"/>
        <v>1</v>
      </c>
      <c r="AI692" t="str">
        <f t="shared" si="97"/>
        <v/>
      </c>
      <c r="AJ692" t="str">
        <f t="shared" si="98"/>
        <v/>
      </c>
    </row>
    <row r="693" spans="1:36">
      <c r="A693" s="5">
        <v>721</v>
      </c>
      <c r="B693" s="5" t="s">
        <v>360</v>
      </c>
      <c r="C693" s="5" t="s">
        <v>100</v>
      </c>
      <c r="D693" s="5" t="s">
        <v>268</v>
      </c>
      <c r="E693" s="5" t="s">
        <v>291</v>
      </c>
      <c r="F693" s="5" t="str">
        <f t="shared" si="90"/>
        <v>Program Office-Cordination Manager</v>
      </c>
      <c r="G693" s="5" t="s">
        <v>270</v>
      </c>
      <c r="H693" s="9">
        <v>44603.660578703704</v>
      </c>
      <c r="I693" s="9">
        <v>44607.660578703704</v>
      </c>
      <c r="J693" s="9" t="e">
        <f>I693+#REF!</f>
        <v>#REF!</v>
      </c>
      <c r="K693" s="9" t="e">
        <f>J693+#REF!</f>
        <v>#REF!</v>
      </c>
      <c r="L693" s="10" t="s">
        <v>41</v>
      </c>
      <c r="M693" s="11">
        <v>44619.660578703704</v>
      </c>
      <c r="N693" s="5" t="s">
        <v>167</v>
      </c>
      <c r="O693" s="5"/>
      <c r="P693" s="9">
        <v>44624.660578703704</v>
      </c>
      <c r="Q693" s="5" t="s">
        <v>167</v>
      </c>
      <c r="R693" s="5"/>
      <c r="S693" s="5"/>
      <c r="T693" s="9">
        <v>44620.660578703704</v>
      </c>
      <c r="U693" s="5"/>
      <c r="V693" s="5">
        <v>0</v>
      </c>
      <c r="W693" s="5"/>
      <c r="X693" s="5"/>
      <c r="Y693" s="5"/>
      <c r="Z693" s="5"/>
      <c r="AA693" s="5"/>
      <c r="AC693">
        <f t="shared" si="91"/>
        <v>12</v>
      </c>
      <c r="AD693" t="str">
        <f t="shared" si="92"/>
        <v/>
      </c>
      <c r="AE693">
        <f t="shared" si="93"/>
        <v>1</v>
      </c>
      <c r="AF693" t="str">
        <f t="shared" si="94"/>
        <v/>
      </c>
      <c r="AG693" t="str">
        <f t="shared" si="95"/>
        <v/>
      </c>
      <c r="AH693">
        <f t="shared" si="96"/>
        <v>4</v>
      </c>
      <c r="AI693" t="str">
        <f t="shared" si="97"/>
        <v/>
      </c>
      <c r="AJ693" t="str">
        <f t="shared" si="98"/>
        <v/>
      </c>
    </row>
    <row r="694" spans="1:36">
      <c r="A694" s="5">
        <v>722</v>
      </c>
      <c r="B694" s="5" t="s">
        <v>359</v>
      </c>
      <c r="C694" s="5" t="s">
        <v>100</v>
      </c>
      <c r="D694" s="5" t="s">
        <v>268</v>
      </c>
      <c r="E694" s="5" t="s">
        <v>291</v>
      </c>
      <c r="F694" s="5" t="str">
        <f t="shared" si="90"/>
        <v>Program Office-Cordination Manager</v>
      </c>
      <c r="G694" s="5" t="s">
        <v>270</v>
      </c>
      <c r="H694" s="9">
        <v>44602.660578703704</v>
      </c>
      <c r="I694" s="9">
        <v>44606.660578703704</v>
      </c>
      <c r="J694" s="9" t="e">
        <f>I694+#REF!</f>
        <v>#REF!</v>
      </c>
      <c r="K694" s="9" t="e">
        <f>J694+#REF!</f>
        <v>#REF!</v>
      </c>
      <c r="L694" s="10" t="s">
        <v>41</v>
      </c>
      <c r="M694" s="11">
        <v>44624.660578703704</v>
      </c>
      <c r="N694" s="5" t="s">
        <v>42</v>
      </c>
      <c r="O694" s="5" t="s">
        <v>43</v>
      </c>
      <c r="P694" s="9"/>
      <c r="Q694" s="5"/>
      <c r="R694" s="5"/>
      <c r="S694" s="5"/>
      <c r="T694" s="9"/>
      <c r="U694" s="5"/>
      <c r="V694" s="5">
        <v>0</v>
      </c>
      <c r="W694" s="5"/>
      <c r="X694" s="5"/>
      <c r="Y694" s="5"/>
      <c r="Z694" s="5"/>
      <c r="AA694" s="5" t="s">
        <v>44</v>
      </c>
      <c r="AC694">
        <f t="shared" si="91"/>
        <v>18</v>
      </c>
      <c r="AD694" t="str">
        <f t="shared" si="92"/>
        <v/>
      </c>
      <c r="AE694" t="str">
        <f t="shared" si="93"/>
        <v/>
      </c>
      <c r="AF694" t="str">
        <f t="shared" si="94"/>
        <v/>
      </c>
      <c r="AG694" t="str">
        <f t="shared" si="95"/>
        <v/>
      </c>
      <c r="AH694">
        <f t="shared" si="96"/>
        <v>4</v>
      </c>
      <c r="AI694" t="str">
        <f t="shared" si="97"/>
        <v/>
      </c>
      <c r="AJ694" t="str">
        <f t="shared" si="98"/>
        <v/>
      </c>
    </row>
    <row r="695" spans="1:36">
      <c r="A695" s="5">
        <v>723</v>
      </c>
      <c r="B695" s="5" t="s">
        <v>358</v>
      </c>
      <c r="C695" s="5" t="s">
        <v>100</v>
      </c>
      <c r="D695" s="5" t="s">
        <v>268</v>
      </c>
      <c r="E695" s="5" t="s">
        <v>291</v>
      </c>
      <c r="F695" s="5" t="str">
        <f t="shared" si="90"/>
        <v>Program Office-Cordination Manager</v>
      </c>
      <c r="G695" s="5" t="s">
        <v>270</v>
      </c>
      <c r="H695" s="9">
        <v>44602.660578703704</v>
      </c>
      <c r="I695" s="9">
        <v>44606.660578703704</v>
      </c>
      <c r="J695" s="9" t="e">
        <f>I695+#REF!</f>
        <v>#REF!</v>
      </c>
      <c r="K695" s="9" t="e">
        <f>J695+#REF!</f>
        <v>#REF!</v>
      </c>
      <c r="L695" s="10" t="s">
        <v>41</v>
      </c>
      <c r="M695" s="11">
        <v>44619.660578703704</v>
      </c>
      <c r="N695" s="5" t="s">
        <v>42</v>
      </c>
      <c r="O695" s="5" t="s">
        <v>113</v>
      </c>
      <c r="P695" s="9"/>
      <c r="Q695" s="5"/>
      <c r="R695" s="5"/>
      <c r="S695" s="5"/>
      <c r="T695" s="9"/>
      <c r="U695" s="5"/>
      <c r="V695" s="5">
        <v>0</v>
      </c>
      <c r="W695" s="5"/>
      <c r="X695" s="5"/>
      <c r="Y695" s="5"/>
      <c r="Z695" s="5"/>
      <c r="AA695" s="5" t="s">
        <v>44</v>
      </c>
      <c r="AC695">
        <f t="shared" si="91"/>
        <v>13</v>
      </c>
      <c r="AD695" t="str">
        <f t="shared" si="92"/>
        <v/>
      </c>
      <c r="AE695" t="str">
        <f t="shared" si="93"/>
        <v/>
      </c>
      <c r="AF695" t="str">
        <f t="shared" si="94"/>
        <v/>
      </c>
      <c r="AG695" t="str">
        <f t="shared" si="95"/>
        <v/>
      </c>
      <c r="AH695">
        <f t="shared" si="96"/>
        <v>4</v>
      </c>
      <c r="AI695" t="str">
        <f t="shared" si="97"/>
        <v/>
      </c>
      <c r="AJ695" t="str">
        <f t="shared" si="98"/>
        <v/>
      </c>
    </row>
    <row r="696" spans="1:36">
      <c r="A696" s="5">
        <v>724</v>
      </c>
      <c r="B696" s="5" t="s">
        <v>357</v>
      </c>
      <c r="C696" s="5" t="s">
        <v>100</v>
      </c>
      <c r="D696" s="5" t="s">
        <v>268</v>
      </c>
      <c r="E696" s="5" t="s">
        <v>291</v>
      </c>
      <c r="F696" s="5" t="str">
        <f t="shared" si="90"/>
        <v>Program Office-Cordination Manager</v>
      </c>
      <c r="G696" s="5" t="s">
        <v>270</v>
      </c>
      <c r="H696" s="9">
        <v>44604.660578703704</v>
      </c>
      <c r="I696" s="9">
        <v>44606.660578703704</v>
      </c>
      <c r="J696" s="9" t="e">
        <f>I696+#REF!</f>
        <v>#REF!</v>
      </c>
      <c r="K696" s="9" t="e">
        <f>J696+#REF!</f>
        <v>#REF!</v>
      </c>
      <c r="L696" s="10" t="s">
        <v>41</v>
      </c>
      <c r="M696" s="11">
        <v>44622.660578703704</v>
      </c>
      <c r="N696" s="5" t="s">
        <v>42</v>
      </c>
      <c r="O696" s="5" t="s">
        <v>113</v>
      </c>
      <c r="P696" s="9"/>
      <c r="Q696" s="5"/>
      <c r="R696" s="5"/>
      <c r="S696" s="5"/>
      <c r="T696" s="9"/>
      <c r="U696" s="5"/>
      <c r="V696" s="5">
        <v>0</v>
      </c>
      <c r="W696" s="5"/>
      <c r="X696" s="5"/>
      <c r="Y696" s="5"/>
      <c r="Z696" s="5"/>
      <c r="AA696" s="5" t="s">
        <v>62</v>
      </c>
      <c r="AC696">
        <f t="shared" si="91"/>
        <v>16</v>
      </c>
      <c r="AD696" t="str">
        <f t="shared" si="92"/>
        <v/>
      </c>
      <c r="AE696" t="str">
        <f t="shared" si="93"/>
        <v/>
      </c>
      <c r="AF696" t="str">
        <f t="shared" si="94"/>
        <v/>
      </c>
      <c r="AG696" t="str">
        <f t="shared" si="95"/>
        <v/>
      </c>
      <c r="AH696">
        <f t="shared" si="96"/>
        <v>2</v>
      </c>
      <c r="AI696" t="str">
        <f t="shared" si="97"/>
        <v/>
      </c>
      <c r="AJ696" t="str">
        <f t="shared" si="98"/>
        <v/>
      </c>
    </row>
    <row r="697" spans="1:36">
      <c r="A697" s="5">
        <v>725</v>
      </c>
      <c r="B697" s="5" t="s">
        <v>356</v>
      </c>
      <c r="C697" s="5" t="s">
        <v>100</v>
      </c>
      <c r="D697" s="5" t="s">
        <v>268</v>
      </c>
      <c r="E697" s="5" t="s">
        <v>291</v>
      </c>
      <c r="F697" s="5" t="str">
        <f t="shared" si="90"/>
        <v>Program Office-Cordination Manager</v>
      </c>
      <c r="G697" s="5" t="s">
        <v>270</v>
      </c>
      <c r="H697" s="9">
        <v>44607.660578703704</v>
      </c>
      <c r="I697" s="9">
        <v>44608.660578703704</v>
      </c>
      <c r="J697" s="9" t="e">
        <f>I697+#REF!</f>
        <v>#REF!</v>
      </c>
      <c r="K697" s="9" t="e">
        <f>J697+#REF!</f>
        <v>#REF!</v>
      </c>
      <c r="L697" s="10" t="s">
        <v>41</v>
      </c>
      <c r="M697" s="11">
        <v>44614.660578703704</v>
      </c>
      <c r="N697" s="5" t="s">
        <v>42</v>
      </c>
      <c r="O697" s="5" t="s">
        <v>113</v>
      </c>
      <c r="P697" s="9"/>
      <c r="Q697" s="5"/>
      <c r="R697" s="5"/>
      <c r="S697" s="5"/>
      <c r="T697" s="9">
        <v>44618.660578703704</v>
      </c>
      <c r="U697" s="5"/>
      <c r="V697" s="5">
        <v>0</v>
      </c>
      <c r="W697" s="5"/>
      <c r="X697" s="5"/>
      <c r="Y697" s="5"/>
      <c r="Z697" s="5"/>
      <c r="AA697" s="5" t="s">
        <v>44</v>
      </c>
      <c r="AC697">
        <f t="shared" si="91"/>
        <v>6</v>
      </c>
      <c r="AD697" t="str">
        <f t="shared" si="92"/>
        <v/>
      </c>
      <c r="AE697">
        <f t="shared" si="93"/>
        <v>4</v>
      </c>
      <c r="AF697" t="str">
        <f t="shared" si="94"/>
        <v/>
      </c>
      <c r="AG697" t="str">
        <f t="shared" si="95"/>
        <v/>
      </c>
      <c r="AH697">
        <f t="shared" si="96"/>
        <v>1</v>
      </c>
      <c r="AI697" t="str">
        <f t="shared" si="97"/>
        <v/>
      </c>
      <c r="AJ697" t="str">
        <f t="shared" si="98"/>
        <v/>
      </c>
    </row>
    <row r="698" spans="1:36">
      <c r="A698" s="5">
        <v>726</v>
      </c>
      <c r="B698" s="5" t="s">
        <v>236</v>
      </c>
      <c r="C698" s="5" t="s">
        <v>100</v>
      </c>
      <c r="D698" s="5" t="s">
        <v>146</v>
      </c>
      <c r="E698" s="5" t="s">
        <v>39</v>
      </c>
      <c r="F698" s="5" t="str">
        <f t="shared" si="90"/>
        <v>Program Office-Analyst</v>
      </c>
      <c r="G698" s="5" t="s">
        <v>147</v>
      </c>
      <c r="H698" s="9">
        <v>44603.660578703704</v>
      </c>
      <c r="I698" s="9">
        <v>44607.660578703704</v>
      </c>
      <c r="J698" s="9" t="e">
        <f>I698+#REF!</f>
        <v>#REF!</v>
      </c>
      <c r="K698" s="9" t="e">
        <f>J698+#REF!</f>
        <v>#REF!</v>
      </c>
      <c r="L698" s="10" t="s">
        <v>41</v>
      </c>
      <c r="M698" s="11">
        <v>44616.660578703704</v>
      </c>
      <c r="N698" s="5" t="s">
        <v>48</v>
      </c>
      <c r="O698" s="5"/>
      <c r="P698" s="9">
        <v>44620.660578703704</v>
      </c>
      <c r="Q698" s="5" t="s">
        <v>48</v>
      </c>
      <c r="R698" s="5"/>
      <c r="S698" s="5"/>
      <c r="T698" s="9">
        <v>44618.660578703704</v>
      </c>
      <c r="U698" s="5"/>
      <c r="V698" s="5">
        <v>0</v>
      </c>
      <c r="W698" s="5"/>
      <c r="X698" s="5"/>
      <c r="Y698" s="5"/>
      <c r="Z698" s="5"/>
      <c r="AA698" s="5"/>
      <c r="AC698">
        <f t="shared" si="91"/>
        <v>9</v>
      </c>
      <c r="AD698" t="str">
        <f t="shared" si="92"/>
        <v/>
      </c>
      <c r="AE698">
        <f t="shared" si="93"/>
        <v>2</v>
      </c>
      <c r="AF698" t="str">
        <f t="shared" si="94"/>
        <v/>
      </c>
      <c r="AG698" t="str">
        <f t="shared" si="95"/>
        <v/>
      </c>
      <c r="AH698">
        <f t="shared" si="96"/>
        <v>4</v>
      </c>
      <c r="AI698" t="str">
        <f t="shared" si="97"/>
        <v/>
      </c>
      <c r="AJ698" t="str">
        <f t="shared" si="98"/>
        <v/>
      </c>
    </row>
    <row r="699" spans="1:36">
      <c r="A699" s="5">
        <v>728</v>
      </c>
      <c r="B699" s="5" t="s">
        <v>524</v>
      </c>
      <c r="C699" s="5" t="s">
        <v>100</v>
      </c>
      <c r="D699" s="5" t="s">
        <v>506</v>
      </c>
      <c r="E699" s="5" t="s">
        <v>55</v>
      </c>
      <c r="F699" s="5" t="str">
        <f t="shared" si="90"/>
        <v>Program Office-Director</v>
      </c>
      <c r="G699" s="5" t="s">
        <v>56</v>
      </c>
      <c r="H699" s="9">
        <v>44605.660578703704</v>
      </c>
      <c r="I699" s="9">
        <v>44607.660578703704</v>
      </c>
      <c r="J699" s="9" t="e">
        <f>I699+#REF!</f>
        <v>#REF!</v>
      </c>
      <c r="K699" s="9" t="e">
        <f>J699+#REF!</f>
        <v>#REF!</v>
      </c>
      <c r="L699" s="10" t="s">
        <v>41</v>
      </c>
      <c r="M699" s="11">
        <v>44618.660578703704</v>
      </c>
      <c r="N699" s="5" t="s">
        <v>42</v>
      </c>
      <c r="O699" s="5" t="s">
        <v>113</v>
      </c>
      <c r="P699" s="9"/>
      <c r="Q699" s="5"/>
      <c r="R699" s="5"/>
      <c r="S699" s="5"/>
      <c r="T699" s="9">
        <v>44620.660578703704</v>
      </c>
      <c r="U699" s="5"/>
      <c r="V699" s="5">
        <v>0</v>
      </c>
      <c r="W699" s="5"/>
      <c r="X699" s="5"/>
      <c r="Y699" s="5"/>
      <c r="Z699" s="5"/>
      <c r="AA699" s="5" t="s">
        <v>62</v>
      </c>
      <c r="AC699">
        <f t="shared" si="91"/>
        <v>11</v>
      </c>
      <c r="AD699" t="str">
        <f t="shared" si="92"/>
        <v/>
      </c>
      <c r="AE699">
        <f t="shared" si="93"/>
        <v>2</v>
      </c>
      <c r="AF699" t="str">
        <f t="shared" si="94"/>
        <v/>
      </c>
      <c r="AG699" t="str">
        <f t="shared" si="95"/>
        <v/>
      </c>
      <c r="AH699">
        <f t="shared" si="96"/>
        <v>2</v>
      </c>
      <c r="AI699" t="str">
        <f t="shared" si="97"/>
        <v/>
      </c>
      <c r="AJ699" t="str">
        <f t="shared" si="98"/>
        <v/>
      </c>
    </row>
    <row r="700" spans="1:36">
      <c r="A700" s="5">
        <v>729</v>
      </c>
      <c r="B700" s="5" t="s">
        <v>235</v>
      </c>
      <c r="C700" s="5" t="s">
        <v>100</v>
      </c>
      <c r="D700" s="5" t="s">
        <v>146</v>
      </c>
      <c r="E700" s="5" t="s">
        <v>39</v>
      </c>
      <c r="F700" s="5" t="str">
        <f t="shared" si="90"/>
        <v>Program Office-Analyst</v>
      </c>
      <c r="G700" s="5" t="s">
        <v>147</v>
      </c>
      <c r="H700" s="9">
        <v>44608.660578703704</v>
      </c>
      <c r="I700" s="9">
        <v>44610.660578703704</v>
      </c>
      <c r="J700" s="9" t="e">
        <f>I700+#REF!</f>
        <v>#REF!</v>
      </c>
      <c r="K700" s="9" t="e">
        <f>J700+#REF!</f>
        <v>#REF!</v>
      </c>
      <c r="L700" s="10" t="s">
        <v>41</v>
      </c>
      <c r="M700" s="11">
        <v>44619.660578703704</v>
      </c>
      <c r="N700" s="5" t="s">
        <v>64</v>
      </c>
      <c r="O700" s="5"/>
      <c r="P700" s="9">
        <v>44624.660578703704</v>
      </c>
      <c r="Q700" s="5" t="s">
        <v>64</v>
      </c>
      <c r="R700" s="9">
        <v>44620.660578703704</v>
      </c>
      <c r="S700" s="9">
        <v>44623.660578703704</v>
      </c>
      <c r="T700" s="9">
        <v>44621.660578703704</v>
      </c>
      <c r="U700" s="9">
        <v>44623.660578703704</v>
      </c>
      <c r="V700" s="12">
        <v>1</v>
      </c>
      <c r="W700" s="9">
        <v>44624.660578703704</v>
      </c>
      <c r="X700" s="9">
        <v>44627.660578703704</v>
      </c>
      <c r="Y700" s="9">
        <v>44629.660578703704</v>
      </c>
      <c r="Z700" s="5"/>
      <c r="AA700" s="5"/>
      <c r="AB700" s="13">
        <v>44639.660578703704</v>
      </c>
      <c r="AC700">
        <f t="shared" si="91"/>
        <v>9</v>
      </c>
      <c r="AD700">
        <f t="shared" si="92"/>
        <v>13</v>
      </c>
      <c r="AE700">
        <f t="shared" si="93"/>
        <v>2</v>
      </c>
      <c r="AF700">
        <f t="shared" si="94"/>
        <v>4</v>
      </c>
      <c r="AG700">
        <f t="shared" si="95"/>
        <v>1</v>
      </c>
      <c r="AH700">
        <f t="shared" si="96"/>
        <v>2</v>
      </c>
      <c r="AI700" t="str">
        <f t="shared" si="97"/>
        <v/>
      </c>
      <c r="AJ700" t="str">
        <f t="shared" si="98"/>
        <v/>
      </c>
    </row>
    <row r="701" spans="1:36">
      <c r="A701" s="5">
        <v>730</v>
      </c>
      <c r="B701" s="5" t="s">
        <v>475</v>
      </c>
      <c r="C701" s="5" t="s">
        <v>100</v>
      </c>
      <c r="D701" s="5" t="s">
        <v>387</v>
      </c>
      <c r="E701" s="5" t="s">
        <v>473</v>
      </c>
      <c r="F701" s="5" t="str">
        <f t="shared" si="90"/>
        <v>Program Office-Officer</v>
      </c>
      <c r="G701" s="5" t="s">
        <v>40</v>
      </c>
      <c r="H701" s="9">
        <v>44605.660578703704</v>
      </c>
      <c r="I701" s="9">
        <v>44608.660578703704</v>
      </c>
      <c r="J701" s="9" t="e">
        <f>I701+#REF!</f>
        <v>#REF!</v>
      </c>
      <c r="K701" s="9" t="e">
        <f>J701+#REF!</f>
        <v>#REF!</v>
      </c>
      <c r="L701" s="10" t="s">
        <v>41</v>
      </c>
      <c r="M701" s="11">
        <v>44620.660578703704</v>
      </c>
      <c r="N701" s="5" t="s">
        <v>48</v>
      </c>
      <c r="O701" s="5"/>
      <c r="P701" s="9">
        <v>44627.660578703704</v>
      </c>
      <c r="Q701" s="5" t="s">
        <v>48</v>
      </c>
      <c r="R701" s="5"/>
      <c r="S701" s="5"/>
      <c r="T701" s="9">
        <v>44623.660578703704</v>
      </c>
      <c r="U701" s="5"/>
      <c r="V701" s="5">
        <v>0</v>
      </c>
      <c r="W701" s="5"/>
      <c r="X701" s="5"/>
      <c r="Y701" s="5"/>
      <c r="Z701" s="5"/>
      <c r="AA701" s="5"/>
      <c r="AC701">
        <f t="shared" si="91"/>
        <v>12</v>
      </c>
      <c r="AD701" t="str">
        <f t="shared" si="92"/>
        <v/>
      </c>
      <c r="AE701">
        <f t="shared" si="93"/>
        <v>3</v>
      </c>
      <c r="AF701" t="str">
        <f t="shared" si="94"/>
        <v/>
      </c>
      <c r="AG701" t="str">
        <f t="shared" si="95"/>
        <v/>
      </c>
      <c r="AH701">
        <f t="shared" si="96"/>
        <v>3</v>
      </c>
      <c r="AI701" t="str">
        <f t="shared" si="97"/>
        <v/>
      </c>
      <c r="AJ701" t="str">
        <f t="shared" si="98"/>
        <v/>
      </c>
    </row>
    <row r="702" spans="1:36">
      <c r="A702" s="5">
        <v>731</v>
      </c>
      <c r="B702" s="5" t="s">
        <v>769</v>
      </c>
      <c r="C702" s="10" t="s">
        <v>671</v>
      </c>
      <c r="D702" s="5" t="s">
        <v>747</v>
      </c>
      <c r="E702" s="5" t="s">
        <v>69</v>
      </c>
      <c r="F702" s="5" t="str">
        <f t="shared" si="90"/>
        <v>Operations-Head of Department</v>
      </c>
      <c r="G702" s="5" t="s">
        <v>47</v>
      </c>
      <c r="H702" s="9">
        <v>45041.644548611112</v>
      </c>
      <c r="I702" s="9">
        <v>45044.644548611112</v>
      </c>
      <c r="J702" s="9" t="e">
        <f>I702+#REF!</f>
        <v>#REF!</v>
      </c>
      <c r="K702" s="9" t="e">
        <f>J702+#REF!</f>
        <v>#REF!</v>
      </c>
      <c r="L702" s="10" t="s">
        <v>41</v>
      </c>
      <c r="M702" s="11">
        <v>45058.644548611112</v>
      </c>
      <c r="N702" s="5" t="s">
        <v>48</v>
      </c>
      <c r="O702" s="5"/>
      <c r="P702" s="9">
        <v>45064.644548611112</v>
      </c>
      <c r="Q702" s="5" t="s">
        <v>48</v>
      </c>
      <c r="R702" s="5"/>
      <c r="S702" s="5"/>
      <c r="T702" s="9">
        <v>45062.644548611112</v>
      </c>
      <c r="U702" s="5"/>
      <c r="V702" s="5">
        <v>0</v>
      </c>
      <c r="W702" s="5"/>
      <c r="X702" s="5"/>
      <c r="Y702" s="5"/>
      <c r="Z702" s="5"/>
      <c r="AA702" s="5"/>
      <c r="AC702">
        <f t="shared" si="91"/>
        <v>14</v>
      </c>
      <c r="AD702" t="str">
        <f t="shared" si="92"/>
        <v/>
      </c>
      <c r="AE702">
        <f t="shared" si="93"/>
        <v>4</v>
      </c>
      <c r="AF702" t="str">
        <f t="shared" si="94"/>
        <v/>
      </c>
      <c r="AG702" t="str">
        <f t="shared" si="95"/>
        <v/>
      </c>
      <c r="AH702">
        <f t="shared" si="96"/>
        <v>3</v>
      </c>
      <c r="AI702" t="str">
        <f t="shared" si="97"/>
        <v/>
      </c>
      <c r="AJ702" t="str">
        <f t="shared" si="98"/>
        <v/>
      </c>
    </row>
    <row r="703" spans="1:36">
      <c r="A703" s="5">
        <v>732</v>
      </c>
      <c r="B703" s="5" t="s">
        <v>768</v>
      </c>
      <c r="C703" s="10" t="s">
        <v>671</v>
      </c>
      <c r="D703" s="5" t="s">
        <v>747</v>
      </c>
      <c r="E703" s="5" t="s">
        <v>55</v>
      </c>
      <c r="F703" s="5" t="str">
        <f t="shared" si="90"/>
        <v>Operations-Director</v>
      </c>
      <c r="G703" s="5" t="s">
        <v>47</v>
      </c>
      <c r="H703" s="9">
        <v>45044.644548611112</v>
      </c>
      <c r="I703" s="9">
        <v>45046.644548611112</v>
      </c>
      <c r="J703" s="9" t="e">
        <f>I703+#REF!</f>
        <v>#REF!</v>
      </c>
      <c r="K703" s="9" t="e">
        <f>J703+#REF!</f>
        <v>#REF!</v>
      </c>
      <c r="L703" s="10" t="s">
        <v>41</v>
      </c>
      <c r="M703" s="11">
        <v>45049.644548611112</v>
      </c>
      <c r="N703" s="5" t="s">
        <v>42</v>
      </c>
      <c r="O703" s="5" t="s">
        <v>58</v>
      </c>
      <c r="P703" s="9"/>
      <c r="Q703" s="5"/>
      <c r="R703" s="5"/>
      <c r="S703" s="5"/>
      <c r="T703" s="9"/>
      <c r="U703" s="5"/>
      <c r="V703" s="5">
        <v>0</v>
      </c>
      <c r="W703" s="5"/>
      <c r="X703" s="5"/>
      <c r="Y703" s="5"/>
      <c r="Z703" s="5"/>
      <c r="AA703" s="5" t="s">
        <v>62</v>
      </c>
      <c r="AC703">
        <f t="shared" si="91"/>
        <v>3</v>
      </c>
      <c r="AD703" t="str">
        <f t="shared" si="92"/>
        <v/>
      </c>
      <c r="AE703" t="str">
        <f t="shared" si="93"/>
        <v/>
      </c>
      <c r="AF703" t="str">
        <f t="shared" si="94"/>
        <v/>
      </c>
      <c r="AG703" t="str">
        <f t="shared" si="95"/>
        <v/>
      </c>
      <c r="AH703">
        <f t="shared" si="96"/>
        <v>2</v>
      </c>
      <c r="AI703" t="str">
        <f t="shared" si="97"/>
        <v/>
      </c>
      <c r="AJ703" t="str">
        <f t="shared" si="98"/>
        <v/>
      </c>
    </row>
    <row r="704" spans="1:36">
      <c r="A704" s="5">
        <v>733</v>
      </c>
      <c r="B704" s="5" t="s">
        <v>698</v>
      </c>
      <c r="C704" s="10" t="s">
        <v>671</v>
      </c>
      <c r="D704" s="5" t="s">
        <v>672</v>
      </c>
      <c r="E704" s="5" t="s">
        <v>597</v>
      </c>
      <c r="F704" s="5" t="str">
        <f t="shared" si="90"/>
        <v>Operations-Business Partner</v>
      </c>
      <c r="G704" s="5" t="s">
        <v>40</v>
      </c>
      <c r="H704" s="9">
        <v>45038.644548611112</v>
      </c>
      <c r="I704" s="9">
        <v>45042.644548611112</v>
      </c>
      <c r="J704" s="9" t="e">
        <f>I704+#REF!</f>
        <v>#REF!</v>
      </c>
      <c r="K704" s="9" t="e">
        <f>J704+#REF!</f>
        <v>#REF!</v>
      </c>
      <c r="L704" s="10" t="s">
        <v>41</v>
      </c>
      <c r="M704" s="11">
        <v>45060.644548611112</v>
      </c>
      <c r="N704" s="5" t="s">
        <v>64</v>
      </c>
      <c r="O704" s="5"/>
      <c r="P704" s="9">
        <v>45065.644548611112</v>
      </c>
      <c r="Q704" s="5" t="s">
        <v>64</v>
      </c>
      <c r="R704" s="9">
        <v>45061.644548611112</v>
      </c>
      <c r="S704" s="9">
        <v>45062.644548611112</v>
      </c>
      <c r="T704" s="9">
        <v>45064.644548611112</v>
      </c>
      <c r="U704" s="9">
        <v>45073.644548611112</v>
      </c>
      <c r="V704" s="12">
        <v>1</v>
      </c>
      <c r="W704" s="9">
        <v>45076.644548611112</v>
      </c>
      <c r="X704" s="9">
        <v>45077.644548611112</v>
      </c>
      <c r="Y704" s="9">
        <v>45079.644548611112</v>
      </c>
      <c r="Z704" s="5"/>
      <c r="AA704" s="5"/>
      <c r="AB704" s="13">
        <v>45094.644548611112</v>
      </c>
      <c r="AC704">
        <f t="shared" si="91"/>
        <v>18</v>
      </c>
      <c r="AD704">
        <f t="shared" si="92"/>
        <v>20</v>
      </c>
      <c r="AE704">
        <f t="shared" si="93"/>
        <v>4</v>
      </c>
      <c r="AF704">
        <f t="shared" si="94"/>
        <v>4</v>
      </c>
      <c r="AG704">
        <f t="shared" si="95"/>
        <v>3</v>
      </c>
      <c r="AH704">
        <f t="shared" si="96"/>
        <v>4</v>
      </c>
      <c r="AI704" t="str">
        <f t="shared" si="97"/>
        <v/>
      </c>
      <c r="AJ704" t="str">
        <f t="shared" si="98"/>
        <v/>
      </c>
    </row>
    <row r="705" spans="1:36">
      <c r="A705" s="5">
        <v>734</v>
      </c>
      <c r="B705" s="5" t="s">
        <v>2143</v>
      </c>
      <c r="C705" s="10" t="s">
        <v>2089</v>
      </c>
      <c r="D705" s="5" t="s">
        <v>2114</v>
      </c>
      <c r="E705" s="5" t="s">
        <v>388</v>
      </c>
      <c r="F705" s="5" t="str">
        <f t="shared" si="90"/>
        <v>Communication and Advocacy-Extension Officer</v>
      </c>
      <c r="G705" s="5" t="s">
        <v>147</v>
      </c>
      <c r="H705" s="9">
        <v>45041.644548611112</v>
      </c>
      <c r="I705" s="9">
        <v>45043.644548611112</v>
      </c>
      <c r="J705" s="9" t="e">
        <f>I705+#REF!</f>
        <v>#REF!</v>
      </c>
      <c r="K705" s="9" t="e">
        <f>J705+#REF!</f>
        <v>#REF!</v>
      </c>
      <c r="L705" s="10" t="s">
        <v>41</v>
      </c>
      <c r="M705" s="11">
        <v>45050.644548611112</v>
      </c>
      <c r="N705" s="5" t="s">
        <v>48</v>
      </c>
      <c r="O705" s="5"/>
      <c r="P705" s="9">
        <v>45057.644548611112</v>
      </c>
      <c r="Q705" s="5" t="s">
        <v>48</v>
      </c>
      <c r="R705" s="5"/>
      <c r="S705" s="5"/>
      <c r="T705" s="9">
        <v>45053.644548611112</v>
      </c>
      <c r="U705" s="5"/>
      <c r="V705" s="5">
        <v>0</v>
      </c>
      <c r="W705" s="5"/>
      <c r="X705" s="5"/>
      <c r="Y705" s="5"/>
      <c r="Z705" s="5"/>
      <c r="AA705" s="5"/>
      <c r="AC705">
        <f t="shared" si="91"/>
        <v>7</v>
      </c>
      <c r="AD705" t="str">
        <f t="shared" si="92"/>
        <v/>
      </c>
      <c r="AE705">
        <f t="shared" si="93"/>
        <v>3</v>
      </c>
      <c r="AF705" t="str">
        <f t="shared" si="94"/>
        <v/>
      </c>
      <c r="AG705" t="str">
        <f t="shared" si="95"/>
        <v/>
      </c>
      <c r="AH705">
        <f t="shared" si="96"/>
        <v>2</v>
      </c>
      <c r="AI705" t="str">
        <f t="shared" si="97"/>
        <v/>
      </c>
      <c r="AJ705" t="str">
        <f t="shared" si="98"/>
        <v/>
      </c>
    </row>
    <row r="706" spans="1:36">
      <c r="A706" s="5">
        <v>735</v>
      </c>
      <c r="B706" s="5" t="s">
        <v>2187</v>
      </c>
      <c r="C706" s="10" t="s">
        <v>2089</v>
      </c>
      <c r="D706" s="5" t="s">
        <v>2167</v>
      </c>
      <c r="E706" s="5" t="s">
        <v>269</v>
      </c>
      <c r="F706" s="5" t="str">
        <f t="shared" ref="F706:F769" si="99">_xlfn.CONCAT(C706,"-",E706)</f>
        <v>Communication and Advocacy-Manager</v>
      </c>
      <c r="G706" s="5" t="s">
        <v>270</v>
      </c>
      <c r="H706" s="9">
        <v>45043.644548611112</v>
      </c>
      <c r="I706" s="9">
        <v>45046.644548611112</v>
      </c>
      <c r="J706" s="9" t="e">
        <f>I706+#REF!</f>
        <v>#REF!</v>
      </c>
      <c r="K706" s="9" t="e">
        <f>J706+#REF!</f>
        <v>#REF!</v>
      </c>
      <c r="L706" s="10" t="s">
        <v>41</v>
      </c>
      <c r="M706" s="11">
        <v>45059.644548611112</v>
      </c>
      <c r="N706" s="5" t="s">
        <v>64</v>
      </c>
      <c r="O706" s="5"/>
      <c r="P706" s="9">
        <v>45066.644548611112</v>
      </c>
      <c r="Q706" s="5" t="s">
        <v>64</v>
      </c>
      <c r="R706" s="9">
        <v>45060.644548611112</v>
      </c>
      <c r="S706" s="9">
        <v>45061.644548611112</v>
      </c>
      <c r="T706" s="9">
        <v>45063.644548611112</v>
      </c>
      <c r="U706" s="9">
        <v>45070.644548611112</v>
      </c>
      <c r="V706" s="12">
        <v>1</v>
      </c>
      <c r="W706" s="9">
        <v>45072.644548611112</v>
      </c>
      <c r="X706" s="9">
        <v>45074.644548611112</v>
      </c>
      <c r="Y706" s="9">
        <v>45075.644548611112</v>
      </c>
      <c r="Z706" s="5"/>
      <c r="AA706" s="5"/>
      <c r="AB706" s="13">
        <v>45084.644548611112</v>
      </c>
      <c r="AC706">
        <f t="shared" ref="AC706:AC769" si="100">IF(AND(ISNUMBER(M706), ISNUMBER(I706)), M706 - I706, "")</f>
        <v>13</v>
      </c>
      <c r="AD706">
        <f t="shared" si="92"/>
        <v>15</v>
      </c>
      <c r="AE706">
        <f t="shared" si="93"/>
        <v>4</v>
      </c>
      <c r="AF706">
        <f t="shared" si="94"/>
        <v>4</v>
      </c>
      <c r="AG706">
        <f t="shared" si="95"/>
        <v>2</v>
      </c>
      <c r="AH706">
        <f t="shared" si="96"/>
        <v>3</v>
      </c>
      <c r="AI706" t="str">
        <f t="shared" si="97"/>
        <v/>
      </c>
      <c r="AJ706" t="str">
        <f t="shared" si="98"/>
        <v/>
      </c>
    </row>
    <row r="707" spans="1:36">
      <c r="A707" s="5">
        <v>736</v>
      </c>
      <c r="B707" s="5" t="s">
        <v>697</v>
      </c>
      <c r="C707" s="10" t="s">
        <v>671</v>
      </c>
      <c r="D707" s="5" t="s">
        <v>672</v>
      </c>
      <c r="E707" s="5" t="s">
        <v>597</v>
      </c>
      <c r="F707" s="5" t="str">
        <f t="shared" si="99"/>
        <v>Operations-Business Partner</v>
      </c>
      <c r="G707" s="5" t="s">
        <v>40</v>
      </c>
      <c r="H707" s="9">
        <v>45040.644548611112</v>
      </c>
      <c r="I707" s="9">
        <v>45043.644548611112</v>
      </c>
      <c r="J707" s="9" t="e">
        <f>I707+#REF!</f>
        <v>#REF!</v>
      </c>
      <c r="K707" s="9" t="e">
        <f>J707+#REF!</f>
        <v>#REF!</v>
      </c>
      <c r="L707" s="10" t="s">
        <v>52</v>
      </c>
      <c r="M707" s="11"/>
      <c r="N707" s="5"/>
      <c r="O707" s="5"/>
      <c r="P707" s="9"/>
      <c r="Q707" s="5"/>
      <c r="R707" s="5"/>
      <c r="S707" s="5"/>
      <c r="T707" s="9"/>
      <c r="U707" s="5"/>
      <c r="V707" s="5">
        <v>0</v>
      </c>
      <c r="W707" s="5"/>
      <c r="X707" s="5"/>
      <c r="Y707" s="5"/>
      <c r="Z707" s="5"/>
      <c r="AA707" s="5"/>
      <c r="AC707" t="str">
        <f t="shared" si="100"/>
        <v/>
      </c>
      <c r="AD707" t="str">
        <f t="shared" ref="AD707:AD770" si="101">IF(AND(ISNUMBER(S707), ISNUMBER(I707)), S707 - I707, "")</f>
        <v/>
      </c>
      <c r="AE707" t="str">
        <f t="shared" ref="AE707:AE770" si="102">IF(AND(ISNUMBER(T707), ISNUMBER(M707)), T707-M707, "")</f>
        <v/>
      </c>
      <c r="AF707" t="str">
        <f t="shared" ref="AF707:AF770" si="103">IF(AND(ISNUMBER(X707), ISNUMBER(U707)), X707-U707,"")</f>
        <v/>
      </c>
      <c r="AG707" t="str">
        <f t="shared" ref="AG707:AG770" si="104">IF(AND(ISNUMBER(W707), ISNUMBER(U707)), W707-U707, "")</f>
        <v/>
      </c>
      <c r="AH707">
        <f t="shared" ref="AH707:AH770" si="105">IF(AND(ISNUMBER(I707), ISNUMBER(H707)), I707-H707,"")</f>
        <v>3</v>
      </c>
      <c r="AI707" t="str">
        <f t="shared" ref="AI707:AI770" si="106">IF(AND(ISNUMBER(J707),ISNUMBER(K707)),K707-J707,"")</f>
        <v/>
      </c>
      <c r="AJ707" t="str">
        <f t="shared" ref="AJ707:AJ770" si="107">IF(AND(ISNUMBER(J707),ISNUMBER(I707)), J707-I707,"")</f>
        <v/>
      </c>
    </row>
    <row r="708" spans="1:36">
      <c r="A708" s="5">
        <v>737</v>
      </c>
      <c r="B708" s="5" t="s">
        <v>2186</v>
      </c>
      <c r="C708" s="10" t="s">
        <v>2089</v>
      </c>
      <c r="D708" s="5" t="s">
        <v>2167</v>
      </c>
      <c r="E708" s="5" t="s">
        <v>269</v>
      </c>
      <c r="F708" s="5" t="str">
        <f t="shared" si="99"/>
        <v>Communication and Advocacy-Manager</v>
      </c>
      <c r="G708" s="5" t="s">
        <v>270</v>
      </c>
      <c r="H708" s="9">
        <v>45037.644548611112</v>
      </c>
      <c r="I708" s="9">
        <v>45041.644548611112</v>
      </c>
      <c r="J708" s="9" t="e">
        <f>I708+#REF!</f>
        <v>#REF!</v>
      </c>
      <c r="K708" s="9" t="e">
        <f>J708+#REF!</f>
        <v>#REF!</v>
      </c>
      <c r="L708" s="10" t="s">
        <v>41</v>
      </c>
      <c r="M708" s="11">
        <v>45051.644548611112</v>
      </c>
      <c r="N708" s="5" t="s">
        <v>167</v>
      </c>
      <c r="O708" s="5"/>
      <c r="P708" s="9">
        <v>45059.644548611112</v>
      </c>
      <c r="Q708" s="5" t="s">
        <v>167</v>
      </c>
      <c r="R708" s="5"/>
      <c r="S708" s="5"/>
      <c r="T708" s="9">
        <v>45055.644548611112</v>
      </c>
      <c r="U708" s="5"/>
      <c r="V708" s="5">
        <v>0</v>
      </c>
      <c r="W708" s="5"/>
      <c r="X708" s="5"/>
      <c r="Y708" s="5"/>
      <c r="Z708" s="5"/>
      <c r="AA708" s="5"/>
      <c r="AC708">
        <f t="shared" si="100"/>
        <v>10</v>
      </c>
      <c r="AD708" t="str">
        <f t="shared" si="101"/>
        <v/>
      </c>
      <c r="AE708">
        <f t="shared" si="102"/>
        <v>4</v>
      </c>
      <c r="AF708" t="str">
        <f t="shared" si="103"/>
        <v/>
      </c>
      <c r="AG708" t="str">
        <f t="shared" si="104"/>
        <v/>
      </c>
      <c r="AH708">
        <f t="shared" si="105"/>
        <v>4</v>
      </c>
      <c r="AI708" t="str">
        <f t="shared" si="106"/>
        <v/>
      </c>
      <c r="AJ708" t="str">
        <f t="shared" si="107"/>
        <v/>
      </c>
    </row>
    <row r="709" spans="1:36">
      <c r="A709" s="5">
        <v>738</v>
      </c>
      <c r="B709" s="5" t="s">
        <v>2185</v>
      </c>
      <c r="C709" s="10" t="s">
        <v>2089</v>
      </c>
      <c r="D709" s="5" t="s">
        <v>2167</v>
      </c>
      <c r="E709" s="5" t="s">
        <v>269</v>
      </c>
      <c r="F709" s="5" t="str">
        <f t="shared" si="99"/>
        <v>Communication and Advocacy-Manager</v>
      </c>
      <c r="G709" s="5" t="s">
        <v>270</v>
      </c>
      <c r="H709" s="9">
        <v>45039.644548611112</v>
      </c>
      <c r="I709" s="9">
        <v>45043.644548611112</v>
      </c>
      <c r="J709" s="9" t="e">
        <f>I709+#REF!</f>
        <v>#REF!</v>
      </c>
      <c r="K709" s="9" t="e">
        <f>J709+#REF!</f>
        <v>#REF!</v>
      </c>
      <c r="L709" s="10" t="s">
        <v>41</v>
      </c>
      <c r="M709" s="11">
        <v>45053.644548611112</v>
      </c>
      <c r="N709" s="5" t="s">
        <v>42</v>
      </c>
      <c r="O709" s="5" t="s">
        <v>113</v>
      </c>
      <c r="P709" s="9"/>
      <c r="Q709" s="5"/>
      <c r="R709" s="5"/>
      <c r="S709" s="5"/>
      <c r="T709" s="9">
        <v>45056.644548611112</v>
      </c>
      <c r="U709" s="5"/>
      <c r="V709" s="5">
        <v>0</v>
      </c>
      <c r="W709" s="5"/>
      <c r="X709" s="5"/>
      <c r="Y709" s="5"/>
      <c r="Z709" s="5"/>
      <c r="AA709" s="5" t="s">
        <v>62</v>
      </c>
      <c r="AC709">
        <f t="shared" si="100"/>
        <v>10</v>
      </c>
      <c r="AD709" t="str">
        <f t="shared" si="101"/>
        <v/>
      </c>
      <c r="AE709">
        <f t="shared" si="102"/>
        <v>3</v>
      </c>
      <c r="AF709" t="str">
        <f t="shared" si="103"/>
        <v/>
      </c>
      <c r="AG709" t="str">
        <f t="shared" si="104"/>
        <v/>
      </c>
      <c r="AH709">
        <f t="shared" si="105"/>
        <v>4</v>
      </c>
      <c r="AI709" t="str">
        <f t="shared" si="106"/>
        <v/>
      </c>
      <c r="AJ709" t="str">
        <f t="shared" si="107"/>
        <v/>
      </c>
    </row>
    <row r="710" spans="1:36">
      <c r="A710" s="5">
        <v>739</v>
      </c>
      <c r="B710" s="5" t="s">
        <v>2142</v>
      </c>
      <c r="C710" s="10" t="s">
        <v>2089</v>
      </c>
      <c r="D710" s="5" t="s">
        <v>2114</v>
      </c>
      <c r="E710" s="5" t="s">
        <v>388</v>
      </c>
      <c r="F710" s="5" t="str">
        <f t="shared" si="99"/>
        <v>Communication and Advocacy-Extension Officer</v>
      </c>
      <c r="G710" s="5" t="s">
        <v>147</v>
      </c>
      <c r="H710" s="9">
        <v>45043.644548611112</v>
      </c>
      <c r="I710" s="9">
        <v>45044.644548611112</v>
      </c>
      <c r="J710" s="9" t="e">
        <f>I710+#REF!</f>
        <v>#REF!</v>
      </c>
      <c r="K710" s="9" t="e">
        <f>J710+#REF!</f>
        <v>#REF!</v>
      </c>
      <c r="L710" s="10" t="s">
        <v>41</v>
      </c>
      <c r="M710" s="11">
        <v>45057.644548611112</v>
      </c>
      <c r="N710" s="5" t="s">
        <v>42</v>
      </c>
      <c r="O710" s="5" t="s">
        <v>43</v>
      </c>
      <c r="P710" s="9"/>
      <c r="Q710" s="5"/>
      <c r="R710" s="5"/>
      <c r="S710" s="5"/>
      <c r="T710" s="9">
        <v>45060.644548611112</v>
      </c>
      <c r="U710" s="5"/>
      <c r="V710" s="5">
        <v>0</v>
      </c>
      <c r="W710" s="5"/>
      <c r="X710" s="5"/>
      <c r="Y710" s="5"/>
      <c r="Z710" s="5"/>
      <c r="AA710" s="5" t="s">
        <v>62</v>
      </c>
      <c r="AC710">
        <f t="shared" si="100"/>
        <v>13</v>
      </c>
      <c r="AD710" t="str">
        <f t="shared" si="101"/>
        <v/>
      </c>
      <c r="AE710">
        <f t="shared" si="102"/>
        <v>3</v>
      </c>
      <c r="AF710" t="str">
        <f t="shared" si="103"/>
        <v/>
      </c>
      <c r="AG710" t="str">
        <f t="shared" si="104"/>
        <v/>
      </c>
      <c r="AH710">
        <f t="shared" si="105"/>
        <v>1</v>
      </c>
      <c r="AI710" t="str">
        <f t="shared" si="106"/>
        <v/>
      </c>
      <c r="AJ710" t="str">
        <f t="shared" si="107"/>
        <v/>
      </c>
    </row>
    <row r="711" spans="1:36">
      <c r="A711" s="5">
        <v>740</v>
      </c>
      <c r="B711" s="5" t="s">
        <v>724</v>
      </c>
      <c r="C711" s="10" t="s">
        <v>671</v>
      </c>
      <c r="D711" s="5" t="s">
        <v>708</v>
      </c>
      <c r="E711" s="5" t="s">
        <v>709</v>
      </c>
      <c r="F711" s="5" t="str">
        <f t="shared" si="99"/>
        <v>Operations-Lead</v>
      </c>
      <c r="G711" s="5" t="s">
        <v>56</v>
      </c>
      <c r="H711" s="9">
        <v>45041.644548611112</v>
      </c>
      <c r="I711" s="9">
        <v>45044.644548611112</v>
      </c>
      <c r="J711" s="9" t="e">
        <f>I711+#REF!</f>
        <v>#REF!</v>
      </c>
      <c r="K711" s="9" t="e">
        <f>J711+#REF!</f>
        <v>#REF!</v>
      </c>
      <c r="L711" s="10" t="s">
        <v>52</v>
      </c>
      <c r="M711" s="11"/>
      <c r="N711" s="5"/>
      <c r="O711" s="5"/>
      <c r="P711" s="9"/>
      <c r="Q711" s="5"/>
      <c r="R711" s="5"/>
      <c r="S711" s="5"/>
      <c r="T711" s="9"/>
      <c r="U711" s="5"/>
      <c r="V711" s="5">
        <v>0</v>
      </c>
      <c r="W711" s="5"/>
      <c r="X711" s="5"/>
      <c r="Y711" s="5"/>
      <c r="Z711" s="5"/>
      <c r="AA711" s="5"/>
      <c r="AC711" t="str">
        <f t="shared" si="100"/>
        <v/>
      </c>
      <c r="AD711" t="str">
        <f t="shared" si="101"/>
        <v/>
      </c>
      <c r="AE711" t="str">
        <f t="shared" si="102"/>
        <v/>
      </c>
      <c r="AF711" t="str">
        <f t="shared" si="103"/>
        <v/>
      </c>
      <c r="AG711" t="str">
        <f t="shared" si="104"/>
        <v/>
      </c>
      <c r="AH711">
        <f t="shared" si="105"/>
        <v>3</v>
      </c>
      <c r="AI711" t="str">
        <f t="shared" si="106"/>
        <v/>
      </c>
      <c r="AJ711" t="str">
        <f t="shared" si="107"/>
        <v/>
      </c>
    </row>
    <row r="712" spans="1:36">
      <c r="A712" s="5">
        <v>741</v>
      </c>
      <c r="B712" s="5" t="s">
        <v>1951</v>
      </c>
      <c r="C712" s="5" t="s">
        <v>1540</v>
      </c>
      <c r="D712" s="5" t="s">
        <v>1925</v>
      </c>
      <c r="E712" s="5" t="s">
        <v>1939</v>
      </c>
      <c r="F712" s="5" t="str">
        <f t="shared" si="99"/>
        <v>Finance-Principal Officer</v>
      </c>
      <c r="G712" s="5" t="s">
        <v>56</v>
      </c>
      <c r="H712" s="9">
        <v>44869.220567129632</v>
      </c>
      <c r="I712" s="9">
        <v>44870.220567129632</v>
      </c>
      <c r="J712" s="9" t="e">
        <f>I712+#REF!</f>
        <v>#REF!</v>
      </c>
      <c r="K712" s="9" t="e">
        <f>J712+#REF!</f>
        <v>#REF!</v>
      </c>
      <c r="L712" s="10" t="s">
        <v>41</v>
      </c>
      <c r="M712" s="11">
        <v>44892.220567129632</v>
      </c>
      <c r="N712" s="5" t="s">
        <v>167</v>
      </c>
      <c r="O712" s="5"/>
      <c r="P712" s="9">
        <v>44896.220567129632</v>
      </c>
      <c r="Q712" s="5" t="s">
        <v>167</v>
      </c>
      <c r="R712" s="5"/>
      <c r="S712" s="5"/>
      <c r="T712" s="9">
        <v>44894.220567129632</v>
      </c>
      <c r="U712" s="5"/>
      <c r="V712" s="5">
        <v>0</v>
      </c>
      <c r="W712" s="5"/>
      <c r="X712" s="5"/>
      <c r="Y712" s="5"/>
      <c r="Z712" s="5"/>
      <c r="AA712" s="5"/>
      <c r="AC712">
        <f t="shared" si="100"/>
        <v>22</v>
      </c>
      <c r="AD712" t="str">
        <f t="shared" si="101"/>
        <v/>
      </c>
      <c r="AE712">
        <f t="shared" si="102"/>
        <v>2</v>
      </c>
      <c r="AF712" t="str">
        <f t="shared" si="103"/>
        <v/>
      </c>
      <c r="AG712" t="str">
        <f t="shared" si="104"/>
        <v/>
      </c>
      <c r="AH712">
        <f t="shared" si="105"/>
        <v>1</v>
      </c>
      <c r="AI712" t="str">
        <f t="shared" si="106"/>
        <v/>
      </c>
      <c r="AJ712" t="str">
        <f t="shared" si="107"/>
        <v/>
      </c>
    </row>
    <row r="713" spans="1:36">
      <c r="A713" s="5">
        <v>742</v>
      </c>
      <c r="B713" s="5" t="s">
        <v>1950</v>
      </c>
      <c r="C713" s="5" t="s">
        <v>1540</v>
      </c>
      <c r="D713" s="5" t="s">
        <v>1925</v>
      </c>
      <c r="E713" s="5" t="s">
        <v>1939</v>
      </c>
      <c r="F713" s="5" t="str">
        <f t="shared" si="99"/>
        <v>Finance-Principal Officer</v>
      </c>
      <c r="G713" s="5" t="s">
        <v>56</v>
      </c>
      <c r="H713" s="9">
        <v>44864.220567129632</v>
      </c>
      <c r="I713" s="9">
        <v>44868.220567129632</v>
      </c>
      <c r="J713" s="9" t="e">
        <f>I713+#REF!</f>
        <v>#REF!</v>
      </c>
      <c r="K713" s="9" t="e">
        <f>J713+#REF!</f>
        <v>#REF!</v>
      </c>
      <c r="L713" s="10" t="s">
        <v>41</v>
      </c>
      <c r="M713" s="11">
        <v>44885.220567129632</v>
      </c>
      <c r="N713" s="5" t="s">
        <v>42</v>
      </c>
      <c r="O713" s="5" t="s">
        <v>98</v>
      </c>
      <c r="P713" s="9"/>
      <c r="Q713" s="5"/>
      <c r="R713" s="5"/>
      <c r="S713" s="5"/>
      <c r="T713" s="9"/>
      <c r="U713" s="5"/>
      <c r="V713" s="5">
        <v>0</v>
      </c>
      <c r="W713" s="5"/>
      <c r="X713" s="5"/>
      <c r="Y713" s="5"/>
      <c r="Z713" s="5"/>
      <c r="AA713" s="5" t="s">
        <v>62</v>
      </c>
      <c r="AC713">
        <f t="shared" si="100"/>
        <v>17</v>
      </c>
      <c r="AD713" t="str">
        <f t="shared" si="101"/>
        <v/>
      </c>
      <c r="AE713" t="str">
        <f t="shared" si="102"/>
        <v/>
      </c>
      <c r="AF713" t="str">
        <f t="shared" si="103"/>
        <v/>
      </c>
      <c r="AG713" t="str">
        <f t="shared" si="104"/>
        <v/>
      </c>
      <c r="AH713">
        <f t="shared" si="105"/>
        <v>4</v>
      </c>
      <c r="AI713" t="str">
        <f t="shared" si="106"/>
        <v/>
      </c>
      <c r="AJ713" t="str">
        <f t="shared" si="107"/>
        <v/>
      </c>
    </row>
    <row r="714" spans="1:36">
      <c r="A714" s="5">
        <v>743</v>
      </c>
      <c r="B714" s="5" t="s">
        <v>1901</v>
      </c>
      <c r="C714" s="5" t="s">
        <v>1540</v>
      </c>
      <c r="D714" s="5" t="s">
        <v>1820</v>
      </c>
      <c r="E714" s="5" t="s">
        <v>1862</v>
      </c>
      <c r="F714" s="5" t="str">
        <f t="shared" si="99"/>
        <v>Finance-Billing Officer</v>
      </c>
      <c r="G714" s="5" t="s">
        <v>40</v>
      </c>
      <c r="H714" s="9">
        <v>44870.220567129632</v>
      </c>
      <c r="I714" s="9">
        <v>44871.220567129632</v>
      </c>
      <c r="J714" s="9" t="e">
        <f>I714+#REF!</f>
        <v>#REF!</v>
      </c>
      <c r="K714" s="9" t="e">
        <f>J714+#REF!</f>
        <v>#REF!</v>
      </c>
      <c r="L714" s="10" t="s">
        <v>52</v>
      </c>
      <c r="M714" s="11"/>
      <c r="N714" s="5"/>
      <c r="O714" s="5"/>
      <c r="P714" s="9"/>
      <c r="Q714" s="5"/>
      <c r="R714" s="5"/>
      <c r="S714" s="5"/>
      <c r="T714" s="9"/>
      <c r="U714" s="5"/>
      <c r="V714" s="5">
        <v>0</v>
      </c>
      <c r="W714" s="5"/>
      <c r="X714" s="5"/>
      <c r="Y714" s="5"/>
      <c r="Z714" s="5"/>
      <c r="AA714" s="5"/>
      <c r="AC714" t="str">
        <f t="shared" si="100"/>
        <v/>
      </c>
      <c r="AD714" t="str">
        <f t="shared" si="101"/>
        <v/>
      </c>
      <c r="AE714" t="str">
        <f t="shared" si="102"/>
        <v/>
      </c>
      <c r="AF714" t="str">
        <f t="shared" si="103"/>
        <v/>
      </c>
      <c r="AG714" t="str">
        <f t="shared" si="104"/>
        <v/>
      </c>
      <c r="AH714">
        <f t="shared" si="105"/>
        <v>1</v>
      </c>
      <c r="AI714" t="str">
        <f t="shared" si="106"/>
        <v/>
      </c>
      <c r="AJ714" t="str">
        <f t="shared" si="107"/>
        <v/>
      </c>
    </row>
    <row r="715" spans="1:36">
      <c r="A715" s="5">
        <v>744</v>
      </c>
      <c r="B715" s="5" t="s">
        <v>2066</v>
      </c>
      <c r="C715" s="5" t="s">
        <v>1540</v>
      </c>
      <c r="D715" s="5" t="s">
        <v>1985</v>
      </c>
      <c r="E715" s="5" t="s">
        <v>1862</v>
      </c>
      <c r="F715" s="5" t="str">
        <f t="shared" si="99"/>
        <v>Finance-Billing Officer</v>
      </c>
      <c r="G715" s="5" t="s">
        <v>47</v>
      </c>
      <c r="H715" s="9">
        <v>44872.220567129632</v>
      </c>
      <c r="I715" s="9">
        <v>44873.220567129632</v>
      </c>
      <c r="J715" s="9" t="e">
        <f>I715+#REF!</f>
        <v>#REF!</v>
      </c>
      <c r="K715" s="9" t="e">
        <f>J715+#REF!</f>
        <v>#REF!</v>
      </c>
      <c r="L715" s="10" t="s">
        <v>52</v>
      </c>
      <c r="M715" s="11"/>
      <c r="N715" s="5"/>
      <c r="O715" s="5"/>
      <c r="P715" s="9"/>
      <c r="Q715" s="5"/>
      <c r="R715" s="5"/>
      <c r="S715" s="5"/>
      <c r="T715" s="9"/>
      <c r="U715" s="5"/>
      <c r="V715" s="5">
        <v>0</v>
      </c>
      <c r="W715" s="5"/>
      <c r="X715" s="5"/>
      <c r="Y715" s="5"/>
      <c r="Z715" s="5"/>
      <c r="AA715" s="5"/>
      <c r="AC715" t="str">
        <f t="shared" si="100"/>
        <v/>
      </c>
      <c r="AD715" t="str">
        <f t="shared" si="101"/>
        <v/>
      </c>
      <c r="AE715" t="str">
        <f t="shared" si="102"/>
        <v/>
      </c>
      <c r="AF715" t="str">
        <f t="shared" si="103"/>
        <v/>
      </c>
      <c r="AG715" t="str">
        <f t="shared" si="104"/>
        <v/>
      </c>
      <c r="AH715">
        <f t="shared" si="105"/>
        <v>1</v>
      </c>
      <c r="AI715" t="str">
        <f t="shared" si="106"/>
        <v/>
      </c>
      <c r="AJ715" t="str">
        <f t="shared" si="107"/>
        <v/>
      </c>
    </row>
    <row r="716" spans="1:36">
      <c r="A716" s="5">
        <v>745</v>
      </c>
      <c r="B716" s="5" t="s">
        <v>1678</v>
      </c>
      <c r="C716" s="5" t="s">
        <v>1540</v>
      </c>
      <c r="D716" s="5" t="s">
        <v>1588</v>
      </c>
      <c r="E716" s="5" t="s">
        <v>1360</v>
      </c>
      <c r="F716" s="5" t="str">
        <f t="shared" si="99"/>
        <v>Finance-Fund Administrator</v>
      </c>
      <c r="G716" s="5" t="s">
        <v>147</v>
      </c>
      <c r="H716" s="9">
        <v>44869.220567129632</v>
      </c>
      <c r="I716" s="9">
        <v>44873.220567129632</v>
      </c>
      <c r="J716" s="9" t="e">
        <f>I716+#REF!</f>
        <v>#REF!</v>
      </c>
      <c r="K716" s="9" t="e">
        <f>J716+#REF!</f>
        <v>#REF!</v>
      </c>
      <c r="L716" s="10" t="s">
        <v>41</v>
      </c>
      <c r="M716" s="11">
        <v>44891.220567129632</v>
      </c>
      <c r="N716" s="5" t="s">
        <v>48</v>
      </c>
      <c r="O716" s="5"/>
      <c r="P716" s="9">
        <v>44899.220567129632</v>
      </c>
      <c r="Q716" s="5" t="s">
        <v>48</v>
      </c>
      <c r="R716" s="5"/>
      <c r="S716" s="5"/>
      <c r="T716" s="9">
        <v>44895.220567129632</v>
      </c>
      <c r="U716" s="5"/>
      <c r="V716" s="5">
        <v>0</v>
      </c>
      <c r="W716" s="5"/>
      <c r="X716" s="5"/>
      <c r="Y716" s="5"/>
      <c r="Z716" s="5"/>
      <c r="AA716" s="5"/>
      <c r="AC716">
        <f t="shared" si="100"/>
        <v>18</v>
      </c>
      <c r="AD716" t="str">
        <f t="shared" si="101"/>
        <v/>
      </c>
      <c r="AE716">
        <f t="shared" si="102"/>
        <v>4</v>
      </c>
      <c r="AF716" t="str">
        <f t="shared" si="103"/>
        <v/>
      </c>
      <c r="AG716" t="str">
        <f t="shared" si="104"/>
        <v/>
      </c>
      <c r="AH716">
        <f t="shared" si="105"/>
        <v>4</v>
      </c>
      <c r="AI716" t="str">
        <f t="shared" si="106"/>
        <v/>
      </c>
      <c r="AJ716" t="str">
        <f t="shared" si="107"/>
        <v/>
      </c>
    </row>
    <row r="717" spans="1:36">
      <c r="A717" s="5">
        <v>746</v>
      </c>
      <c r="B717" s="5" t="s">
        <v>1900</v>
      </c>
      <c r="C717" s="5" t="s">
        <v>1540</v>
      </c>
      <c r="D717" s="5" t="s">
        <v>1820</v>
      </c>
      <c r="E717" s="5" t="s">
        <v>1862</v>
      </c>
      <c r="F717" s="5" t="str">
        <f t="shared" si="99"/>
        <v>Finance-Billing Officer</v>
      </c>
      <c r="G717" s="5" t="s">
        <v>40</v>
      </c>
      <c r="H717" s="9">
        <v>44866.220567129632</v>
      </c>
      <c r="I717" s="9">
        <v>44869.220567129632</v>
      </c>
      <c r="J717" s="9" t="e">
        <f>I717+#REF!</f>
        <v>#REF!</v>
      </c>
      <c r="K717" s="9" t="e">
        <f>J717+#REF!</f>
        <v>#REF!</v>
      </c>
      <c r="L717" s="10" t="s">
        <v>52</v>
      </c>
      <c r="M717" s="11"/>
      <c r="N717" s="5"/>
      <c r="O717" s="5"/>
      <c r="P717" s="9"/>
      <c r="Q717" s="5"/>
      <c r="R717" s="5"/>
      <c r="S717" s="5"/>
      <c r="T717" s="9"/>
      <c r="U717" s="5"/>
      <c r="V717" s="5">
        <v>0</v>
      </c>
      <c r="W717" s="5"/>
      <c r="X717" s="5"/>
      <c r="Y717" s="5"/>
      <c r="Z717" s="5"/>
      <c r="AA717" s="5"/>
      <c r="AC717" t="str">
        <f t="shared" si="100"/>
        <v/>
      </c>
      <c r="AD717" t="str">
        <f t="shared" si="101"/>
        <v/>
      </c>
      <c r="AE717" t="str">
        <f t="shared" si="102"/>
        <v/>
      </c>
      <c r="AF717" t="str">
        <f t="shared" si="103"/>
        <v/>
      </c>
      <c r="AG717" t="str">
        <f t="shared" si="104"/>
        <v/>
      </c>
      <c r="AH717">
        <f t="shared" si="105"/>
        <v>3</v>
      </c>
      <c r="AI717" t="str">
        <f t="shared" si="106"/>
        <v/>
      </c>
      <c r="AJ717" t="str">
        <f t="shared" si="107"/>
        <v/>
      </c>
    </row>
    <row r="718" spans="1:36">
      <c r="A718" s="5">
        <v>747</v>
      </c>
      <c r="B718" s="5" t="s">
        <v>1792</v>
      </c>
      <c r="C718" s="5" t="s">
        <v>1540</v>
      </c>
      <c r="D718" s="5" t="s">
        <v>1706</v>
      </c>
      <c r="E718" s="5" t="s">
        <v>269</v>
      </c>
      <c r="F718" s="5" t="str">
        <f t="shared" si="99"/>
        <v>Finance-Manager</v>
      </c>
      <c r="G718" s="5" t="s">
        <v>270</v>
      </c>
      <c r="H718" s="9">
        <v>44867.220567129632</v>
      </c>
      <c r="I718" s="9">
        <v>44871.220567129632</v>
      </c>
      <c r="J718" s="9" t="e">
        <f>I718+#REF!</f>
        <v>#REF!</v>
      </c>
      <c r="K718" s="9" t="e">
        <f>J718+#REF!</f>
        <v>#REF!</v>
      </c>
      <c r="L718" s="10" t="s">
        <v>52</v>
      </c>
      <c r="M718" s="11"/>
      <c r="N718" s="5"/>
      <c r="O718" s="5"/>
      <c r="P718" s="9"/>
      <c r="Q718" s="5"/>
      <c r="R718" s="5"/>
      <c r="S718" s="5"/>
      <c r="T718" s="9"/>
      <c r="U718" s="5"/>
      <c r="V718" s="5">
        <v>0</v>
      </c>
      <c r="W718" s="5"/>
      <c r="X718" s="5"/>
      <c r="Y718" s="5"/>
      <c r="Z718" s="5"/>
      <c r="AA718" s="5"/>
      <c r="AC718" t="str">
        <f t="shared" si="100"/>
        <v/>
      </c>
      <c r="AD718" t="str">
        <f t="shared" si="101"/>
        <v/>
      </c>
      <c r="AE718" t="str">
        <f t="shared" si="102"/>
        <v/>
      </c>
      <c r="AF718" t="str">
        <f t="shared" si="103"/>
        <v/>
      </c>
      <c r="AG718" t="str">
        <f t="shared" si="104"/>
        <v/>
      </c>
      <c r="AH718">
        <f t="shared" si="105"/>
        <v>4</v>
      </c>
      <c r="AI718" t="str">
        <f t="shared" si="106"/>
        <v/>
      </c>
      <c r="AJ718" t="str">
        <f t="shared" si="107"/>
        <v/>
      </c>
    </row>
    <row r="719" spans="1:36">
      <c r="A719" s="5">
        <v>748</v>
      </c>
      <c r="B719" s="5" t="s">
        <v>1677</v>
      </c>
      <c r="C719" s="5" t="s">
        <v>1540</v>
      </c>
      <c r="D719" s="5" t="s">
        <v>1588</v>
      </c>
      <c r="E719" s="5" t="s">
        <v>1360</v>
      </c>
      <c r="F719" s="5" t="str">
        <f t="shared" si="99"/>
        <v>Finance-Fund Administrator</v>
      </c>
      <c r="G719" s="5" t="s">
        <v>147</v>
      </c>
      <c r="H719" s="9">
        <v>44864.220567129632</v>
      </c>
      <c r="I719" s="9">
        <v>44868.220567129632</v>
      </c>
      <c r="J719" s="9" t="e">
        <f>I719+#REF!</f>
        <v>#REF!</v>
      </c>
      <c r="K719" s="9" t="e">
        <f>J719+#REF!</f>
        <v>#REF!</v>
      </c>
      <c r="L719" s="10" t="s">
        <v>41</v>
      </c>
      <c r="M719" s="11">
        <v>44881.220567129632</v>
      </c>
      <c r="N719" s="5" t="s">
        <v>42</v>
      </c>
      <c r="O719" s="5" t="s">
        <v>58</v>
      </c>
      <c r="P719" s="9"/>
      <c r="Q719" s="5"/>
      <c r="R719" s="5"/>
      <c r="S719" s="5"/>
      <c r="T719" s="9"/>
      <c r="U719" s="5"/>
      <c r="V719" s="5">
        <v>0</v>
      </c>
      <c r="W719" s="5"/>
      <c r="X719" s="5"/>
      <c r="Y719" s="5"/>
      <c r="Z719" s="5"/>
      <c r="AA719" s="5" t="s">
        <v>44</v>
      </c>
      <c r="AC719">
        <f t="shared" si="100"/>
        <v>13</v>
      </c>
      <c r="AD719" t="str">
        <f t="shared" si="101"/>
        <v/>
      </c>
      <c r="AE719" t="str">
        <f t="shared" si="102"/>
        <v/>
      </c>
      <c r="AF719" t="str">
        <f t="shared" si="103"/>
        <v/>
      </c>
      <c r="AG719" t="str">
        <f t="shared" si="104"/>
        <v/>
      </c>
      <c r="AH719">
        <f t="shared" si="105"/>
        <v>4</v>
      </c>
      <c r="AI719" t="str">
        <f t="shared" si="106"/>
        <v/>
      </c>
      <c r="AJ719" t="str">
        <f t="shared" si="107"/>
        <v/>
      </c>
    </row>
    <row r="720" spans="1:36">
      <c r="A720" s="5">
        <v>749</v>
      </c>
      <c r="B720" s="5" t="s">
        <v>2065</v>
      </c>
      <c r="C720" s="5" t="s">
        <v>1540</v>
      </c>
      <c r="D720" s="5" t="s">
        <v>1985</v>
      </c>
      <c r="E720" s="5" t="s">
        <v>1862</v>
      </c>
      <c r="F720" s="5" t="str">
        <f t="shared" si="99"/>
        <v>Finance-Billing Officer</v>
      </c>
      <c r="G720" s="5" t="s">
        <v>47</v>
      </c>
      <c r="H720" s="9">
        <v>44868.220567129632</v>
      </c>
      <c r="I720" s="9">
        <v>44869.220567129632</v>
      </c>
      <c r="J720" s="9" t="e">
        <f>I720+#REF!</f>
        <v>#REF!</v>
      </c>
      <c r="K720" s="9" t="e">
        <f>J720+#REF!</f>
        <v>#REF!</v>
      </c>
      <c r="L720" s="10" t="s">
        <v>41</v>
      </c>
      <c r="M720" s="11">
        <v>44879.220567129632</v>
      </c>
      <c r="N720" s="5" t="s">
        <v>48</v>
      </c>
      <c r="O720" s="5"/>
      <c r="P720" s="9">
        <v>44882.220567129632</v>
      </c>
      <c r="Q720" s="5" t="s">
        <v>48</v>
      </c>
      <c r="R720" s="5"/>
      <c r="S720" s="5"/>
      <c r="T720" s="9">
        <v>44881.220567129632</v>
      </c>
      <c r="U720" s="5"/>
      <c r="V720" s="5">
        <v>0</v>
      </c>
      <c r="W720" s="5"/>
      <c r="X720" s="5"/>
      <c r="Y720" s="5"/>
      <c r="Z720" s="5"/>
      <c r="AA720" s="5"/>
      <c r="AC720">
        <f t="shared" si="100"/>
        <v>10</v>
      </c>
      <c r="AD720" t="str">
        <f t="shared" si="101"/>
        <v/>
      </c>
      <c r="AE720">
        <f t="shared" si="102"/>
        <v>2</v>
      </c>
      <c r="AF720" t="str">
        <f t="shared" si="103"/>
        <v/>
      </c>
      <c r="AG720" t="str">
        <f t="shared" si="104"/>
        <v/>
      </c>
      <c r="AH720">
        <f t="shared" si="105"/>
        <v>1</v>
      </c>
      <c r="AI720" t="str">
        <f t="shared" si="106"/>
        <v/>
      </c>
      <c r="AJ720" t="str">
        <f t="shared" si="107"/>
        <v/>
      </c>
    </row>
    <row r="721" spans="1:36">
      <c r="A721" s="5">
        <v>750</v>
      </c>
      <c r="B721" s="5" t="s">
        <v>1791</v>
      </c>
      <c r="C721" s="5" t="s">
        <v>1540</v>
      </c>
      <c r="D721" s="5" t="s">
        <v>1706</v>
      </c>
      <c r="E721" s="5" t="s">
        <v>269</v>
      </c>
      <c r="F721" s="5" t="str">
        <f t="shared" si="99"/>
        <v>Finance-Manager</v>
      </c>
      <c r="G721" s="5" t="s">
        <v>270</v>
      </c>
      <c r="H721" s="9">
        <v>44869.220567129632</v>
      </c>
      <c r="I721" s="9">
        <v>44870.220567129632</v>
      </c>
      <c r="J721" s="9" t="e">
        <f>I721+#REF!</f>
        <v>#REF!</v>
      </c>
      <c r="K721" s="9" t="e">
        <f>J721+#REF!</f>
        <v>#REF!</v>
      </c>
      <c r="L721" s="10" t="s">
        <v>52</v>
      </c>
      <c r="M721" s="11"/>
      <c r="N721" s="5"/>
      <c r="O721" s="5"/>
      <c r="P721" s="9"/>
      <c r="Q721" s="5"/>
      <c r="R721" s="5"/>
      <c r="S721" s="5"/>
      <c r="T721" s="9"/>
      <c r="U721" s="5"/>
      <c r="V721" s="5">
        <v>0</v>
      </c>
      <c r="W721" s="5"/>
      <c r="X721" s="5"/>
      <c r="Y721" s="5"/>
      <c r="Z721" s="5"/>
      <c r="AA721" s="5"/>
      <c r="AC721" t="str">
        <f t="shared" si="100"/>
        <v/>
      </c>
      <c r="AD721" t="str">
        <f t="shared" si="101"/>
        <v/>
      </c>
      <c r="AE721" t="str">
        <f t="shared" si="102"/>
        <v/>
      </c>
      <c r="AF721" t="str">
        <f t="shared" si="103"/>
        <v/>
      </c>
      <c r="AG721" t="str">
        <f t="shared" si="104"/>
        <v/>
      </c>
      <c r="AH721">
        <f t="shared" si="105"/>
        <v>1</v>
      </c>
      <c r="AI721" t="str">
        <f t="shared" si="106"/>
        <v/>
      </c>
      <c r="AJ721" t="str">
        <f t="shared" si="107"/>
        <v/>
      </c>
    </row>
    <row r="722" spans="1:36">
      <c r="A722" s="5">
        <v>751</v>
      </c>
      <c r="B722" s="5" t="s">
        <v>1111</v>
      </c>
      <c r="C722" s="5" t="s">
        <v>796</v>
      </c>
      <c r="D722" s="5" t="s">
        <v>1046</v>
      </c>
      <c r="E722" s="5" t="s">
        <v>597</v>
      </c>
      <c r="F722" s="5" t="str">
        <f t="shared" si="99"/>
        <v>M and E-Business Partner</v>
      </c>
      <c r="G722" s="5" t="s">
        <v>47</v>
      </c>
      <c r="H722" s="9">
        <v>44937.883877314816</v>
      </c>
      <c r="I722" s="9">
        <v>44941.883877314816</v>
      </c>
      <c r="J722" s="9" t="e">
        <f>I722+#REF!</f>
        <v>#REF!</v>
      </c>
      <c r="K722" s="9" t="e">
        <f>J722+#REF!</f>
        <v>#REF!</v>
      </c>
      <c r="L722" s="10" t="s">
        <v>41</v>
      </c>
      <c r="M722" s="11">
        <v>44962.883877314816</v>
      </c>
      <c r="N722" s="5" t="s">
        <v>48</v>
      </c>
      <c r="O722" s="5"/>
      <c r="P722" s="9">
        <v>44967.883877314816</v>
      </c>
      <c r="Q722" s="5" t="s">
        <v>48</v>
      </c>
      <c r="R722" s="5"/>
      <c r="S722" s="5"/>
      <c r="T722" s="9">
        <v>44964.883877314816</v>
      </c>
      <c r="U722" s="5"/>
      <c r="V722" s="5">
        <v>0</v>
      </c>
      <c r="W722" s="5"/>
      <c r="X722" s="5"/>
      <c r="Y722" s="5"/>
      <c r="Z722" s="5"/>
      <c r="AA722" s="5"/>
      <c r="AC722">
        <f t="shared" si="100"/>
        <v>21</v>
      </c>
      <c r="AD722" t="str">
        <f t="shared" si="101"/>
        <v/>
      </c>
      <c r="AE722">
        <f t="shared" si="102"/>
        <v>2</v>
      </c>
      <c r="AF722" t="str">
        <f t="shared" si="103"/>
        <v/>
      </c>
      <c r="AG722" t="str">
        <f t="shared" si="104"/>
        <v/>
      </c>
      <c r="AH722">
        <f t="shared" si="105"/>
        <v>4</v>
      </c>
      <c r="AI722" t="str">
        <f t="shared" si="106"/>
        <v/>
      </c>
      <c r="AJ722" t="str">
        <f t="shared" si="107"/>
        <v/>
      </c>
    </row>
    <row r="723" spans="1:36">
      <c r="A723" s="5">
        <v>752</v>
      </c>
      <c r="B723" s="5" t="s">
        <v>939</v>
      </c>
      <c r="C723" s="5" t="s">
        <v>796</v>
      </c>
      <c r="D723" s="5" t="s">
        <v>893</v>
      </c>
      <c r="E723" s="5" t="s">
        <v>269</v>
      </c>
      <c r="F723" s="5" t="str">
        <f t="shared" si="99"/>
        <v>M and E-Manager</v>
      </c>
      <c r="G723" s="5" t="s">
        <v>270</v>
      </c>
      <c r="H723" s="9">
        <v>44943.883877314816</v>
      </c>
      <c r="I723" s="9">
        <v>44945.883877314816</v>
      </c>
      <c r="J723" s="9" t="e">
        <f>I723+#REF!</f>
        <v>#REF!</v>
      </c>
      <c r="K723" s="9" t="e">
        <f>J723+#REF!</f>
        <v>#REF!</v>
      </c>
      <c r="L723" s="10" t="s">
        <v>41</v>
      </c>
      <c r="M723" s="11">
        <v>44953.883877314816</v>
      </c>
      <c r="N723" s="5" t="s">
        <v>64</v>
      </c>
      <c r="O723" s="5"/>
      <c r="P723" s="9">
        <v>44956.883877314816</v>
      </c>
      <c r="Q723" s="5" t="s">
        <v>64</v>
      </c>
      <c r="R723" s="9">
        <v>44954.883877314816</v>
      </c>
      <c r="S723" s="9">
        <v>44955.883877314816</v>
      </c>
      <c r="T723" s="9">
        <v>44954.883877314816</v>
      </c>
      <c r="U723" s="9">
        <v>44962.883877314816</v>
      </c>
      <c r="V723" s="12">
        <v>1</v>
      </c>
      <c r="W723" s="9">
        <v>44965.883877314816</v>
      </c>
      <c r="X723" s="9">
        <v>44966.883877314816</v>
      </c>
      <c r="Y723" s="9">
        <v>44968.883877314816</v>
      </c>
      <c r="Z723" s="5"/>
      <c r="AA723" s="5"/>
      <c r="AB723" s="13">
        <v>44980.883877314816</v>
      </c>
      <c r="AC723">
        <f t="shared" si="100"/>
        <v>8</v>
      </c>
      <c r="AD723">
        <f t="shared" si="101"/>
        <v>10</v>
      </c>
      <c r="AE723">
        <f t="shared" si="102"/>
        <v>1</v>
      </c>
      <c r="AF723">
        <f t="shared" si="103"/>
        <v>4</v>
      </c>
      <c r="AG723">
        <f t="shared" si="104"/>
        <v>3</v>
      </c>
      <c r="AH723">
        <f t="shared" si="105"/>
        <v>2</v>
      </c>
      <c r="AI723" t="str">
        <f t="shared" si="106"/>
        <v/>
      </c>
      <c r="AJ723" t="str">
        <f t="shared" si="107"/>
        <v/>
      </c>
    </row>
    <row r="724" spans="1:36">
      <c r="A724" s="5">
        <v>753</v>
      </c>
      <c r="B724" s="5" t="s">
        <v>886</v>
      </c>
      <c r="C724" s="5" t="s">
        <v>796</v>
      </c>
      <c r="D724" s="5" t="s">
        <v>814</v>
      </c>
      <c r="E724" s="5" t="s">
        <v>39</v>
      </c>
      <c r="F724" s="5" t="str">
        <f t="shared" si="99"/>
        <v>M and E-Analyst</v>
      </c>
      <c r="G724" s="5" t="s">
        <v>147</v>
      </c>
      <c r="H724" s="9">
        <v>44941.883877314816</v>
      </c>
      <c r="I724" s="9">
        <v>44942.883877314816</v>
      </c>
      <c r="J724" s="9" t="e">
        <f>I724+#REF!</f>
        <v>#REF!</v>
      </c>
      <c r="K724" s="9" t="e">
        <f>J724+#REF!</f>
        <v>#REF!</v>
      </c>
      <c r="L724" s="10" t="s">
        <v>41</v>
      </c>
      <c r="M724" s="11">
        <v>44963.883877314816</v>
      </c>
      <c r="N724" s="5" t="s">
        <v>42</v>
      </c>
      <c r="O724" s="5" t="s">
        <v>98</v>
      </c>
      <c r="P724" s="9"/>
      <c r="Q724" s="5"/>
      <c r="R724" s="5"/>
      <c r="S724" s="5"/>
      <c r="T724" s="9"/>
      <c r="U724" s="5"/>
      <c r="V724" s="5">
        <v>0</v>
      </c>
      <c r="W724" s="5"/>
      <c r="X724" s="5"/>
      <c r="Y724" s="5"/>
      <c r="Z724" s="5"/>
      <c r="AA724" s="5" t="s">
        <v>62</v>
      </c>
      <c r="AC724">
        <f t="shared" si="100"/>
        <v>21</v>
      </c>
      <c r="AD724" t="str">
        <f t="shared" si="101"/>
        <v/>
      </c>
      <c r="AE724" t="str">
        <f t="shared" si="102"/>
        <v/>
      </c>
      <c r="AF724" t="str">
        <f t="shared" si="103"/>
        <v/>
      </c>
      <c r="AG724" t="str">
        <f t="shared" si="104"/>
        <v/>
      </c>
      <c r="AH724">
        <f t="shared" si="105"/>
        <v>1</v>
      </c>
      <c r="AI724" t="str">
        <f t="shared" si="106"/>
        <v/>
      </c>
      <c r="AJ724" t="str">
        <f t="shared" si="107"/>
        <v/>
      </c>
    </row>
    <row r="725" spans="1:36">
      <c r="A725" s="5">
        <v>754</v>
      </c>
      <c r="B725" s="5" t="s">
        <v>1016</v>
      </c>
      <c r="C725" s="5" t="s">
        <v>796</v>
      </c>
      <c r="D725" s="5" t="s">
        <v>957</v>
      </c>
      <c r="E725" s="5" t="s">
        <v>388</v>
      </c>
      <c r="F725" s="5" t="str">
        <f t="shared" si="99"/>
        <v>M and E-Extension Officer</v>
      </c>
      <c r="G725" s="5" t="s">
        <v>40</v>
      </c>
      <c r="H725" s="9">
        <v>44943.883877314816</v>
      </c>
      <c r="I725" s="9">
        <v>44944.883877314816</v>
      </c>
      <c r="J725" s="9" t="e">
        <f>I725+#REF!</f>
        <v>#REF!</v>
      </c>
      <c r="K725" s="9" t="e">
        <f>J725+#REF!</f>
        <v>#REF!</v>
      </c>
      <c r="L725" s="10" t="s">
        <v>41</v>
      </c>
      <c r="M725" s="11">
        <v>44954.883877314816</v>
      </c>
      <c r="N725" s="5" t="s">
        <v>48</v>
      </c>
      <c r="O725" s="5"/>
      <c r="P725" s="9">
        <v>44959.883877314816</v>
      </c>
      <c r="Q725" s="5" t="s">
        <v>48</v>
      </c>
      <c r="R725" s="5"/>
      <c r="S725" s="5"/>
      <c r="T725" s="9">
        <v>44957.883877314816</v>
      </c>
      <c r="U725" s="5"/>
      <c r="V725" s="5">
        <v>0</v>
      </c>
      <c r="W725" s="5"/>
      <c r="X725" s="5"/>
      <c r="Y725" s="5"/>
      <c r="Z725" s="5"/>
      <c r="AA725" s="5"/>
      <c r="AC725">
        <f t="shared" si="100"/>
        <v>10</v>
      </c>
      <c r="AD725" t="str">
        <f t="shared" si="101"/>
        <v/>
      </c>
      <c r="AE725">
        <f t="shared" si="102"/>
        <v>3</v>
      </c>
      <c r="AF725" t="str">
        <f t="shared" si="103"/>
        <v/>
      </c>
      <c r="AG725" t="str">
        <f t="shared" si="104"/>
        <v/>
      </c>
      <c r="AH725">
        <f t="shared" si="105"/>
        <v>1</v>
      </c>
      <c r="AI725" t="str">
        <f t="shared" si="106"/>
        <v/>
      </c>
      <c r="AJ725" t="str">
        <f t="shared" si="107"/>
        <v/>
      </c>
    </row>
    <row r="726" spans="1:36">
      <c r="A726" s="5">
        <v>755</v>
      </c>
      <c r="B726" s="5" t="s">
        <v>1015</v>
      </c>
      <c r="C726" s="5" t="s">
        <v>796</v>
      </c>
      <c r="D726" s="5" t="s">
        <v>957</v>
      </c>
      <c r="E726" s="5" t="s">
        <v>388</v>
      </c>
      <c r="F726" s="5" t="str">
        <f t="shared" si="99"/>
        <v>M and E-Extension Officer</v>
      </c>
      <c r="G726" s="5" t="s">
        <v>40</v>
      </c>
      <c r="H726" s="9">
        <v>44942.883877314816</v>
      </c>
      <c r="I726" s="9">
        <v>44946.883877314816</v>
      </c>
      <c r="J726" s="9" t="e">
        <f>I726+#REF!</f>
        <v>#REF!</v>
      </c>
      <c r="K726" s="9" t="e">
        <f>J726+#REF!</f>
        <v>#REF!</v>
      </c>
      <c r="L726" s="10" t="s">
        <v>41</v>
      </c>
      <c r="M726" s="11">
        <v>44965.883877314816</v>
      </c>
      <c r="N726" s="5" t="s">
        <v>48</v>
      </c>
      <c r="O726" s="5"/>
      <c r="P726" s="9">
        <v>44970.883877314816</v>
      </c>
      <c r="Q726" s="5" t="s">
        <v>48</v>
      </c>
      <c r="R726" s="5"/>
      <c r="S726" s="5"/>
      <c r="T726" s="9">
        <v>44967.883877314816</v>
      </c>
      <c r="U726" s="5"/>
      <c r="V726" s="5">
        <v>0</v>
      </c>
      <c r="W726" s="5"/>
      <c r="X726" s="5"/>
      <c r="Y726" s="5"/>
      <c r="Z726" s="5"/>
      <c r="AA726" s="5"/>
      <c r="AC726">
        <f t="shared" si="100"/>
        <v>19</v>
      </c>
      <c r="AD726" t="str">
        <f t="shared" si="101"/>
        <v/>
      </c>
      <c r="AE726">
        <f t="shared" si="102"/>
        <v>2</v>
      </c>
      <c r="AF726" t="str">
        <f t="shared" si="103"/>
        <v/>
      </c>
      <c r="AG726" t="str">
        <f t="shared" si="104"/>
        <v/>
      </c>
      <c r="AH726">
        <f t="shared" si="105"/>
        <v>4</v>
      </c>
      <c r="AI726" t="str">
        <f t="shared" si="106"/>
        <v/>
      </c>
      <c r="AJ726" t="str">
        <f t="shared" si="107"/>
        <v/>
      </c>
    </row>
    <row r="727" spans="1:36">
      <c r="A727" s="5">
        <v>756</v>
      </c>
      <c r="B727" s="5" t="s">
        <v>1036</v>
      </c>
      <c r="C727" s="5" t="s">
        <v>796</v>
      </c>
      <c r="D727" s="5" t="s">
        <v>1026</v>
      </c>
      <c r="E727" s="5" t="s">
        <v>709</v>
      </c>
      <c r="F727" s="5" t="str">
        <f t="shared" si="99"/>
        <v>M and E-Lead</v>
      </c>
      <c r="G727" s="5" t="s">
        <v>56</v>
      </c>
      <c r="H727" s="9">
        <v>44941.883877314816</v>
      </c>
      <c r="I727" s="9">
        <v>44945.883877314816</v>
      </c>
      <c r="J727" s="9" t="e">
        <f>I727+#REF!</f>
        <v>#REF!</v>
      </c>
      <c r="K727" s="9" t="e">
        <f>J727+#REF!</f>
        <v>#REF!</v>
      </c>
      <c r="L727" s="10" t="s">
        <v>41</v>
      </c>
      <c r="M727" s="11">
        <v>44964.883877314816</v>
      </c>
      <c r="N727" s="5" t="s">
        <v>48</v>
      </c>
      <c r="O727" s="5"/>
      <c r="P727" s="9">
        <v>44971.883877314816</v>
      </c>
      <c r="Q727" s="5" t="s">
        <v>48</v>
      </c>
      <c r="R727" s="5"/>
      <c r="S727" s="5"/>
      <c r="T727" s="9">
        <v>44968.883877314816</v>
      </c>
      <c r="U727" s="5"/>
      <c r="V727" s="5">
        <v>0</v>
      </c>
      <c r="W727" s="5"/>
      <c r="X727" s="5"/>
      <c r="Y727" s="5"/>
      <c r="Z727" s="5"/>
      <c r="AA727" s="5"/>
      <c r="AC727">
        <f t="shared" si="100"/>
        <v>19</v>
      </c>
      <c r="AD727" t="str">
        <f t="shared" si="101"/>
        <v/>
      </c>
      <c r="AE727">
        <f t="shared" si="102"/>
        <v>4</v>
      </c>
      <c r="AF727" t="str">
        <f t="shared" si="103"/>
        <v/>
      </c>
      <c r="AG727" t="str">
        <f t="shared" si="104"/>
        <v/>
      </c>
      <c r="AH727">
        <f t="shared" si="105"/>
        <v>4</v>
      </c>
      <c r="AI727" t="str">
        <f t="shared" si="106"/>
        <v/>
      </c>
      <c r="AJ727" t="str">
        <f t="shared" si="107"/>
        <v/>
      </c>
    </row>
    <row r="728" spans="1:36">
      <c r="A728" s="5">
        <v>757</v>
      </c>
      <c r="B728" s="5" t="s">
        <v>1110</v>
      </c>
      <c r="C728" s="5" t="s">
        <v>796</v>
      </c>
      <c r="D728" s="5" t="s">
        <v>1046</v>
      </c>
      <c r="E728" s="5" t="s">
        <v>597</v>
      </c>
      <c r="F728" s="5" t="str">
        <f t="shared" si="99"/>
        <v>M and E-Business Partner</v>
      </c>
      <c r="G728" s="5" t="s">
        <v>47</v>
      </c>
      <c r="H728" s="9">
        <v>44943.883877314816</v>
      </c>
      <c r="I728" s="9">
        <v>44945.883877314816</v>
      </c>
      <c r="J728" s="9" t="e">
        <f>I728+#REF!</f>
        <v>#REF!</v>
      </c>
      <c r="K728" s="9" t="e">
        <f>J728+#REF!</f>
        <v>#REF!</v>
      </c>
      <c r="L728" s="10" t="s">
        <v>52</v>
      </c>
      <c r="M728" s="11"/>
      <c r="N728" s="5"/>
      <c r="O728" s="5"/>
      <c r="P728" s="9"/>
      <c r="Q728" s="5"/>
      <c r="R728" s="5"/>
      <c r="S728" s="5"/>
      <c r="T728" s="9"/>
      <c r="U728" s="5"/>
      <c r="V728" s="5">
        <v>0</v>
      </c>
      <c r="W728" s="5"/>
      <c r="X728" s="5"/>
      <c r="Y728" s="5"/>
      <c r="Z728" s="5"/>
      <c r="AA728" s="5"/>
      <c r="AC728" t="str">
        <f t="shared" si="100"/>
        <v/>
      </c>
      <c r="AD728" t="str">
        <f t="shared" si="101"/>
        <v/>
      </c>
      <c r="AE728" t="str">
        <f t="shared" si="102"/>
        <v/>
      </c>
      <c r="AF728" t="str">
        <f t="shared" si="103"/>
        <v/>
      </c>
      <c r="AG728" t="str">
        <f t="shared" si="104"/>
        <v/>
      </c>
      <c r="AH728">
        <f t="shared" si="105"/>
        <v>2</v>
      </c>
      <c r="AI728" t="str">
        <f t="shared" si="106"/>
        <v/>
      </c>
      <c r="AJ728" t="str">
        <f t="shared" si="107"/>
        <v/>
      </c>
    </row>
    <row r="729" spans="1:36">
      <c r="A729" s="5">
        <v>758</v>
      </c>
      <c r="B729" s="5" t="s">
        <v>1014</v>
      </c>
      <c r="C729" s="5" t="s">
        <v>796</v>
      </c>
      <c r="D729" s="5" t="s">
        <v>957</v>
      </c>
      <c r="E729" s="5" t="s">
        <v>388</v>
      </c>
      <c r="F729" s="5" t="str">
        <f t="shared" si="99"/>
        <v>M and E-Extension Officer</v>
      </c>
      <c r="G729" s="5" t="s">
        <v>40</v>
      </c>
      <c r="H729" s="9">
        <v>44940.883877314816</v>
      </c>
      <c r="I729" s="9">
        <v>44943.883877314816</v>
      </c>
      <c r="J729" s="9" t="e">
        <f>I729+#REF!</f>
        <v>#REF!</v>
      </c>
      <c r="K729" s="9" t="e">
        <f>J729+#REF!</f>
        <v>#REF!</v>
      </c>
      <c r="L729" s="10" t="s">
        <v>41</v>
      </c>
      <c r="M729" s="11">
        <v>44956.883877314816</v>
      </c>
      <c r="N729" s="5" t="s">
        <v>167</v>
      </c>
      <c r="O729" s="5"/>
      <c r="P729" s="9">
        <v>44962.883877314816</v>
      </c>
      <c r="Q729" s="5" t="s">
        <v>167</v>
      </c>
      <c r="R729" s="5"/>
      <c r="S729" s="5"/>
      <c r="T729" s="9">
        <v>44959.883877314816</v>
      </c>
      <c r="U729" s="5"/>
      <c r="V729" s="5">
        <v>0</v>
      </c>
      <c r="W729" s="5"/>
      <c r="X729" s="5"/>
      <c r="Y729" s="5"/>
      <c r="Z729" s="5"/>
      <c r="AA729" s="5"/>
      <c r="AC729">
        <f t="shared" si="100"/>
        <v>13</v>
      </c>
      <c r="AD729" t="str">
        <f t="shared" si="101"/>
        <v/>
      </c>
      <c r="AE729">
        <f t="shared" si="102"/>
        <v>3</v>
      </c>
      <c r="AF729" t="str">
        <f t="shared" si="103"/>
        <v/>
      </c>
      <c r="AG729" t="str">
        <f t="shared" si="104"/>
        <v/>
      </c>
      <c r="AH729">
        <f t="shared" si="105"/>
        <v>3</v>
      </c>
      <c r="AI729" t="str">
        <f t="shared" si="106"/>
        <v/>
      </c>
      <c r="AJ729" t="str">
        <f t="shared" si="107"/>
        <v/>
      </c>
    </row>
    <row r="730" spans="1:36">
      <c r="A730" s="5">
        <v>760</v>
      </c>
      <c r="B730" s="5" t="s">
        <v>1109</v>
      </c>
      <c r="C730" s="5" t="s">
        <v>796</v>
      </c>
      <c r="D730" s="5" t="s">
        <v>1046</v>
      </c>
      <c r="E730" s="5" t="s">
        <v>597</v>
      </c>
      <c r="F730" s="5" t="str">
        <f t="shared" si="99"/>
        <v>M and E-Business Partner</v>
      </c>
      <c r="G730" s="5" t="s">
        <v>47</v>
      </c>
      <c r="H730" s="9">
        <v>44942.883877314816</v>
      </c>
      <c r="I730" s="9">
        <v>44943.883877314816</v>
      </c>
      <c r="J730" s="9" t="e">
        <f>I730+#REF!</f>
        <v>#REF!</v>
      </c>
      <c r="K730" s="9" t="e">
        <f>J730+#REF!</f>
        <v>#REF!</v>
      </c>
      <c r="L730" s="10" t="s">
        <v>41</v>
      </c>
      <c r="M730" s="11">
        <v>44960.883877314816</v>
      </c>
      <c r="N730" s="5" t="s">
        <v>167</v>
      </c>
      <c r="O730" s="5"/>
      <c r="P730" s="9">
        <v>44964.883877314816</v>
      </c>
      <c r="Q730" s="5" t="s">
        <v>167</v>
      </c>
      <c r="R730" s="5"/>
      <c r="S730" s="5"/>
      <c r="T730" s="9">
        <v>44962.883877314816</v>
      </c>
      <c r="U730" s="5"/>
      <c r="V730" s="5">
        <v>0</v>
      </c>
      <c r="W730" s="5"/>
      <c r="X730" s="5"/>
      <c r="Y730" s="5"/>
      <c r="Z730" s="5"/>
      <c r="AA730" s="5"/>
      <c r="AC730">
        <f t="shared" si="100"/>
        <v>17</v>
      </c>
      <c r="AD730" t="str">
        <f t="shared" si="101"/>
        <v/>
      </c>
      <c r="AE730">
        <f t="shared" si="102"/>
        <v>2</v>
      </c>
      <c r="AF730" t="str">
        <f t="shared" si="103"/>
        <v/>
      </c>
      <c r="AG730" t="str">
        <f t="shared" si="104"/>
        <v/>
      </c>
      <c r="AH730">
        <f t="shared" si="105"/>
        <v>1</v>
      </c>
      <c r="AI730" t="str">
        <f t="shared" si="106"/>
        <v/>
      </c>
      <c r="AJ730" t="str">
        <f t="shared" si="107"/>
        <v/>
      </c>
    </row>
    <row r="731" spans="1:36">
      <c r="A731" s="5">
        <v>761</v>
      </c>
      <c r="B731" s="5" t="s">
        <v>474</v>
      </c>
      <c r="C731" s="5" t="s">
        <v>100</v>
      </c>
      <c r="D731" s="5" t="s">
        <v>387</v>
      </c>
      <c r="E731" s="5" t="s">
        <v>473</v>
      </c>
      <c r="F731" s="5" t="str">
        <f t="shared" si="99"/>
        <v>Program Office-Officer</v>
      </c>
      <c r="G731" s="5" t="s">
        <v>40</v>
      </c>
      <c r="H731" s="9">
        <v>44729.736145833333</v>
      </c>
      <c r="I731" s="9">
        <v>44731.736145833333</v>
      </c>
      <c r="J731" s="9" t="e">
        <f>I731+#REF!</f>
        <v>#REF!</v>
      </c>
      <c r="K731" s="9" t="e">
        <f>J731+#REF!</f>
        <v>#REF!</v>
      </c>
      <c r="L731" s="10" t="s">
        <v>41</v>
      </c>
      <c r="M731" s="11">
        <v>44745.736145833333</v>
      </c>
      <c r="N731" s="5" t="s">
        <v>64</v>
      </c>
      <c r="O731" s="5"/>
      <c r="P731" s="9">
        <v>44752.736145833333</v>
      </c>
      <c r="Q731" s="5" t="s">
        <v>64</v>
      </c>
      <c r="R731" s="9">
        <v>44746.736145833333</v>
      </c>
      <c r="S731" s="9">
        <v>44747.736145833333</v>
      </c>
      <c r="T731" s="9">
        <v>44749.736145833333</v>
      </c>
      <c r="U731" s="9">
        <v>44752.736145833333</v>
      </c>
      <c r="V731" s="12">
        <v>1</v>
      </c>
      <c r="W731" s="9">
        <v>44756.736145833333</v>
      </c>
      <c r="X731" s="9">
        <v>44759.736145833333</v>
      </c>
      <c r="Y731" s="9">
        <v>44762.736145833333</v>
      </c>
      <c r="Z731" s="5"/>
      <c r="AA731" s="5"/>
      <c r="AB731" s="13">
        <v>44774.736145833333</v>
      </c>
      <c r="AC731">
        <f t="shared" si="100"/>
        <v>14</v>
      </c>
      <c r="AD731">
        <f t="shared" si="101"/>
        <v>16</v>
      </c>
      <c r="AE731">
        <f t="shared" si="102"/>
        <v>4</v>
      </c>
      <c r="AF731">
        <f t="shared" si="103"/>
        <v>7</v>
      </c>
      <c r="AG731">
        <f t="shared" si="104"/>
        <v>4</v>
      </c>
      <c r="AH731">
        <f t="shared" si="105"/>
        <v>2</v>
      </c>
      <c r="AI731" t="str">
        <f t="shared" si="106"/>
        <v/>
      </c>
      <c r="AJ731" t="str">
        <f t="shared" si="107"/>
        <v/>
      </c>
    </row>
    <row r="732" spans="1:36">
      <c r="A732" s="5">
        <v>762</v>
      </c>
      <c r="B732" s="5" t="s">
        <v>234</v>
      </c>
      <c r="C732" s="5" t="s">
        <v>100</v>
      </c>
      <c r="D732" s="5" t="s">
        <v>146</v>
      </c>
      <c r="E732" s="5" t="s">
        <v>39</v>
      </c>
      <c r="F732" s="5" t="str">
        <f t="shared" si="99"/>
        <v>Program Office-Analyst</v>
      </c>
      <c r="G732" s="5" t="s">
        <v>147</v>
      </c>
      <c r="H732" s="9">
        <v>44728.736145833333</v>
      </c>
      <c r="I732" s="9">
        <v>44729.736145833333</v>
      </c>
      <c r="J732" s="9" t="e">
        <f>I732+#REF!</f>
        <v>#REF!</v>
      </c>
      <c r="K732" s="9" t="e">
        <f>J732+#REF!</f>
        <v>#REF!</v>
      </c>
      <c r="L732" s="10" t="s">
        <v>41</v>
      </c>
      <c r="M732" s="11">
        <v>44744.736145833333</v>
      </c>
      <c r="N732" s="5" t="s">
        <v>64</v>
      </c>
      <c r="O732" s="5"/>
      <c r="P732" s="9">
        <v>44749.736145833333</v>
      </c>
      <c r="Q732" s="5" t="s">
        <v>64</v>
      </c>
      <c r="R732" s="9">
        <v>44746.736145833333</v>
      </c>
      <c r="S732" s="9">
        <v>44750.736145833333</v>
      </c>
      <c r="T732" s="9">
        <v>44745.736145833333</v>
      </c>
      <c r="U732" s="9">
        <v>44751.736145833333</v>
      </c>
      <c r="V732" s="12">
        <v>1</v>
      </c>
      <c r="W732" s="9">
        <v>44755.736145833333</v>
      </c>
      <c r="X732" s="9">
        <v>44756.736145833333</v>
      </c>
      <c r="Y732" s="9">
        <v>44759.736145833333</v>
      </c>
      <c r="Z732" s="5"/>
      <c r="AA732" s="5"/>
      <c r="AB732" s="13">
        <v>44778.736145833333</v>
      </c>
      <c r="AC732">
        <f t="shared" si="100"/>
        <v>15</v>
      </c>
      <c r="AD732">
        <f t="shared" si="101"/>
        <v>21</v>
      </c>
      <c r="AE732">
        <f t="shared" si="102"/>
        <v>1</v>
      </c>
      <c r="AF732">
        <f t="shared" si="103"/>
        <v>5</v>
      </c>
      <c r="AG732">
        <f t="shared" si="104"/>
        <v>4</v>
      </c>
      <c r="AH732">
        <f t="shared" si="105"/>
        <v>1</v>
      </c>
      <c r="AI732" t="str">
        <f t="shared" si="106"/>
        <v/>
      </c>
      <c r="AJ732" t="str">
        <f t="shared" si="107"/>
        <v/>
      </c>
    </row>
    <row r="733" spans="1:36">
      <c r="A733" s="5">
        <v>763</v>
      </c>
      <c r="B733" s="5" t="s">
        <v>523</v>
      </c>
      <c r="C733" s="5" t="s">
        <v>100</v>
      </c>
      <c r="D733" s="5" t="s">
        <v>506</v>
      </c>
      <c r="E733" s="5" t="s">
        <v>55</v>
      </c>
      <c r="F733" s="5" t="str">
        <f t="shared" si="99"/>
        <v>Program Office-Director</v>
      </c>
      <c r="G733" s="5" t="s">
        <v>56</v>
      </c>
      <c r="H733" s="9">
        <v>44728.736145833333</v>
      </c>
      <c r="I733" s="9">
        <v>44732.736145833333</v>
      </c>
      <c r="J733" s="9" t="e">
        <f>I733+#REF!</f>
        <v>#REF!</v>
      </c>
      <c r="K733" s="9" t="e">
        <f>J733+#REF!</f>
        <v>#REF!</v>
      </c>
      <c r="L733" s="10" t="s">
        <v>41</v>
      </c>
      <c r="M733" s="11">
        <v>44744.736145833333</v>
      </c>
      <c r="N733" s="5" t="s">
        <v>42</v>
      </c>
      <c r="O733" s="5" t="s">
        <v>113</v>
      </c>
      <c r="P733" s="9"/>
      <c r="Q733" s="5"/>
      <c r="R733" s="5"/>
      <c r="S733" s="5"/>
      <c r="T733" s="9">
        <v>44745.736145833333</v>
      </c>
      <c r="U733" s="5"/>
      <c r="V733" s="5">
        <v>0</v>
      </c>
      <c r="W733" s="5"/>
      <c r="X733" s="5"/>
      <c r="Y733" s="5"/>
      <c r="Z733" s="5"/>
      <c r="AA733" s="5" t="s">
        <v>44</v>
      </c>
      <c r="AC733">
        <f t="shared" si="100"/>
        <v>12</v>
      </c>
      <c r="AD733" t="str">
        <f t="shared" si="101"/>
        <v/>
      </c>
      <c r="AE733">
        <f t="shared" si="102"/>
        <v>1</v>
      </c>
      <c r="AF733" t="str">
        <f t="shared" si="103"/>
        <v/>
      </c>
      <c r="AG733" t="str">
        <f t="shared" si="104"/>
        <v/>
      </c>
      <c r="AH733">
        <f t="shared" si="105"/>
        <v>4</v>
      </c>
      <c r="AI733" t="str">
        <f t="shared" si="106"/>
        <v/>
      </c>
      <c r="AJ733" t="str">
        <f t="shared" si="107"/>
        <v/>
      </c>
    </row>
    <row r="734" spans="1:36">
      <c r="A734" s="5">
        <v>764</v>
      </c>
      <c r="B734" s="5" t="s">
        <v>355</v>
      </c>
      <c r="C734" s="5" t="s">
        <v>100</v>
      </c>
      <c r="D734" s="5" t="s">
        <v>268</v>
      </c>
      <c r="E734" s="5" t="s">
        <v>291</v>
      </c>
      <c r="F734" s="5" t="str">
        <f t="shared" si="99"/>
        <v>Program Office-Cordination Manager</v>
      </c>
      <c r="G734" s="5" t="s">
        <v>270</v>
      </c>
      <c r="H734" s="9">
        <v>44724.736145833333</v>
      </c>
      <c r="I734" s="9">
        <v>44728.736145833333</v>
      </c>
      <c r="J734" s="9" t="e">
        <f>I734+#REF!</f>
        <v>#REF!</v>
      </c>
      <c r="K734" s="9" t="e">
        <f>J734+#REF!</f>
        <v>#REF!</v>
      </c>
      <c r="L734" s="10" t="s">
        <v>41</v>
      </c>
      <c r="M734" s="11">
        <v>44737.736145833333</v>
      </c>
      <c r="N734" s="5" t="s">
        <v>42</v>
      </c>
      <c r="O734" s="5" t="s">
        <v>98</v>
      </c>
      <c r="P734" s="9"/>
      <c r="Q734" s="5"/>
      <c r="R734" s="5"/>
      <c r="S734" s="5"/>
      <c r="T734" s="9"/>
      <c r="U734" s="5"/>
      <c r="V734" s="5">
        <v>0</v>
      </c>
      <c r="W734" s="5"/>
      <c r="X734" s="5"/>
      <c r="Y734" s="5"/>
      <c r="Z734" s="5"/>
      <c r="AA734" s="5" t="s">
        <v>62</v>
      </c>
      <c r="AC734">
        <f t="shared" si="100"/>
        <v>9</v>
      </c>
      <c r="AD734" t="str">
        <f t="shared" si="101"/>
        <v/>
      </c>
      <c r="AE734" t="str">
        <f t="shared" si="102"/>
        <v/>
      </c>
      <c r="AF734" t="str">
        <f t="shared" si="103"/>
        <v/>
      </c>
      <c r="AG734" t="str">
        <f t="shared" si="104"/>
        <v/>
      </c>
      <c r="AH734">
        <f t="shared" si="105"/>
        <v>4</v>
      </c>
      <c r="AI734" t="str">
        <f t="shared" si="106"/>
        <v/>
      </c>
      <c r="AJ734" t="str">
        <f t="shared" si="107"/>
        <v/>
      </c>
    </row>
    <row r="735" spans="1:36">
      <c r="A735" s="5">
        <v>765</v>
      </c>
      <c r="B735" s="5" t="s">
        <v>472</v>
      </c>
      <c r="C735" s="5" t="s">
        <v>100</v>
      </c>
      <c r="D735" s="5" t="s">
        <v>387</v>
      </c>
      <c r="E735" s="5" t="s">
        <v>473</v>
      </c>
      <c r="F735" s="5" t="str">
        <f t="shared" si="99"/>
        <v>Program Office-Officer</v>
      </c>
      <c r="G735" s="5" t="s">
        <v>40</v>
      </c>
      <c r="H735" s="9">
        <v>44723.736145833333</v>
      </c>
      <c r="I735" s="9">
        <v>44727.736145833333</v>
      </c>
      <c r="J735" s="9" t="e">
        <f>I735+#REF!</f>
        <v>#REF!</v>
      </c>
      <c r="K735" s="9" t="e">
        <f>J735+#REF!</f>
        <v>#REF!</v>
      </c>
      <c r="L735" s="10" t="s">
        <v>52</v>
      </c>
      <c r="M735" s="11"/>
      <c r="N735" s="5"/>
      <c r="O735" s="5"/>
      <c r="P735" s="9"/>
      <c r="Q735" s="5"/>
      <c r="R735" s="5"/>
      <c r="S735" s="5"/>
      <c r="T735" s="9"/>
      <c r="U735" s="5"/>
      <c r="V735" s="5">
        <v>0</v>
      </c>
      <c r="W735" s="5"/>
      <c r="X735" s="5"/>
      <c r="Y735" s="5"/>
      <c r="Z735" s="5"/>
      <c r="AA735" s="5"/>
      <c r="AC735" t="str">
        <f t="shared" si="100"/>
        <v/>
      </c>
      <c r="AD735" t="str">
        <f t="shared" si="101"/>
        <v/>
      </c>
      <c r="AE735" t="str">
        <f t="shared" si="102"/>
        <v/>
      </c>
      <c r="AF735" t="str">
        <f t="shared" si="103"/>
        <v/>
      </c>
      <c r="AG735" t="str">
        <f t="shared" si="104"/>
        <v/>
      </c>
      <c r="AH735">
        <f t="shared" si="105"/>
        <v>4</v>
      </c>
      <c r="AI735" t="str">
        <f t="shared" si="106"/>
        <v/>
      </c>
      <c r="AJ735" t="str">
        <f t="shared" si="107"/>
        <v/>
      </c>
    </row>
    <row r="736" spans="1:36">
      <c r="A736" s="5">
        <v>766</v>
      </c>
      <c r="B736" s="5" t="s">
        <v>471</v>
      </c>
      <c r="C736" s="5" t="s">
        <v>100</v>
      </c>
      <c r="D736" s="5" t="s">
        <v>387</v>
      </c>
      <c r="E736" s="5" t="s">
        <v>388</v>
      </c>
      <c r="F736" s="5" t="str">
        <f t="shared" si="99"/>
        <v>Program Office-Extension Officer</v>
      </c>
      <c r="G736" s="5" t="s">
        <v>40</v>
      </c>
      <c r="H736" s="9">
        <v>44725.736145833333</v>
      </c>
      <c r="I736" s="9">
        <v>44729.736145833333</v>
      </c>
      <c r="J736" s="9" t="e">
        <f>I736+#REF!</f>
        <v>#REF!</v>
      </c>
      <c r="K736" s="9" t="e">
        <f>J736+#REF!</f>
        <v>#REF!</v>
      </c>
      <c r="L736" s="10" t="s">
        <v>52</v>
      </c>
      <c r="M736" s="11"/>
      <c r="N736" s="5"/>
      <c r="O736" s="5"/>
      <c r="P736" s="9"/>
      <c r="Q736" s="5"/>
      <c r="R736" s="5"/>
      <c r="S736" s="5"/>
      <c r="T736" s="9"/>
      <c r="U736" s="5"/>
      <c r="V736" s="5">
        <v>0</v>
      </c>
      <c r="W736" s="5"/>
      <c r="X736" s="5"/>
      <c r="Y736" s="5"/>
      <c r="Z736" s="5"/>
      <c r="AA736" s="5"/>
      <c r="AC736" t="str">
        <f t="shared" si="100"/>
        <v/>
      </c>
      <c r="AD736" t="str">
        <f t="shared" si="101"/>
        <v/>
      </c>
      <c r="AE736" t="str">
        <f t="shared" si="102"/>
        <v/>
      </c>
      <c r="AF736" t="str">
        <f t="shared" si="103"/>
        <v/>
      </c>
      <c r="AG736" t="str">
        <f t="shared" si="104"/>
        <v/>
      </c>
      <c r="AH736">
        <f t="shared" si="105"/>
        <v>4</v>
      </c>
      <c r="AI736" t="str">
        <f t="shared" si="106"/>
        <v/>
      </c>
      <c r="AJ736" t="str">
        <f t="shared" si="107"/>
        <v/>
      </c>
    </row>
    <row r="737" spans="1:36">
      <c r="A737" s="5">
        <v>767</v>
      </c>
      <c r="B737" s="5" t="s">
        <v>233</v>
      </c>
      <c r="C737" s="5" t="s">
        <v>100</v>
      </c>
      <c r="D737" s="5" t="s">
        <v>146</v>
      </c>
      <c r="E737" s="5" t="s">
        <v>39</v>
      </c>
      <c r="F737" s="5" t="str">
        <f t="shared" si="99"/>
        <v>Program Office-Analyst</v>
      </c>
      <c r="G737" s="5" t="s">
        <v>147</v>
      </c>
      <c r="H737" s="9">
        <v>44726.736145833333</v>
      </c>
      <c r="I737" s="9">
        <v>44727.736145833333</v>
      </c>
      <c r="J737" s="9" t="e">
        <f>I737+#REF!</f>
        <v>#REF!</v>
      </c>
      <c r="K737" s="9" t="e">
        <f>J737+#REF!</f>
        <v>#REF!</v>
      </c>
      <c r="L737" s="10" t="s">
        <v>41</v>
      </c>
      <c r="M737" s="11">
        <v>44746.736145833333</v>
      </c>
      <c r="N737" s="5" t="s">
        <v>42</v>
      </c>
      <c r="O737" s="5" t="s">
        <v>73</v>
      </c>
      <c r="P737" s="9"/>
      <c r="Q737" s="5"/>
      <c r="R737" s="5"/>
      <c r="S737" s="5"/>
      <c r="T737" s="9">
        <v>44747.736145833333</v>
      </c>
      <c r="U737" s="5"/>
      <c r="V737" s="5">
        <v>0</v>
      </c>
      <c r="W737" s="5"/>
      <c r="X737" s="5"/>
      <c r="Y737" s="5"/>
      <c r="Z737" s="5"/>
      <c r="AA737" s="5" t="s">
        <v>62</v>
      </c>
      <c r="AC737">
        <f t="shared" si="100"/>
        <v>19</v>
      </c>
      <c r="AD737" t="str">
        <f t="shared" si="101"/>
        <v/>
      </c>
      <c r="AE737">
        <f t="shared" si="102"/>
        <v>1</v>
      </c>
      <c r="AF737" t="str">
        <f t="shared" si="103"/>
        <v/>
      </c>
      <c r="AG737" t="str">
        <f t="shared" si="104"/>
        <v/>
      </c>
      <c r="AH737">
        <f t="shared" si="105"/>
        <v>1</v>
      </c>
      <c r="AI737" t="str">
        <f t="shared" si="106"/>
        <v/>
      </c>
      <c r="AJ737" t="str">
        <f t="shared" si="107"/>
        <v/>
      </c>
    </row>
    <row r="738" spans="1:36">
      <c r="A738" s="5">
        <v>768</v>
      </c>
      <c r="B738" s="5" t="s">
        <v>354</v>
      </c>
      <c r="C738" s="5" t="s">
        <v>100</v>
      </c>
      <c r="D738" s="5" t="s">
        <v>268</v>
      </c>
      <c r="E738" s="5" t="s">
        <v>291</v>
      </c>
      <c r="F738" s="5" t="str">
        <f t="shared" si="99"/>
        <v>Program Office-Cordination Manager</v>
      </c>
      <c r="G738" s="5" t="s">
        <v>270</v>
      </c>
      <c r="H738" s="9">
        <v>44729.736145833333</v>
      </c>
      <c r="I738" s="9">
        <v>44731.736145833333</v>
      </c>
      <c r="J738" s="9" t="e">
        <f>I738+#REF!</f>
        <v>#REF!</v>
      </c>
      <c r="K738" s="9" t="e">
        <f>J738+#REF!</f>
        <v>#REF!</v>
      </c>
      <c r="L738" s="10" t="s">
        <v>41</v>
      </c>
      <c r="M738" s="11">
        <v>44742.736145833333</v>
      </c>
      <c r="N738" s="5" t="s">
        <v>42</v>
      </c>
      <c r="O738" s="5" t="s">
        <v>58</v>
      </c>
      <c r="P738" s="9"/>
      <c r="Q738" s="5"/>
      <c r="R738" s="5"/>
      <c r="S738" s="5"/>
      <c r="T738" s="9">
        <v>44745.736145833333</v>
      </c>
      <c r="U738" s="5"/>
      <c r="V738" s="5">
        <v>0</v>
      </c>
      <c r="W738" s="5"/>
      <c r="X738" s="5"/>
      <c r="Y738" s="5"/>
      <c r="Z738" s="5"/>
      <c r="AA738" s="5" t="s">
        <v>44</v>
      </c>
      <c r="AC738">
        <f t="shared" si="100"/>
        <v>11</v>
      </c>
      <c r="AD738" t="str">
        <f t="shared" si="101"/>
        <v/>
      </c>
      <c r="AE738">
        <f t="shared" si="102"/>
        <v>3</v>
      </c>
      <c r="AF738" t="str">
        <f t="shared" si="103"/>
        <v/>
      </c>
      <c r="AG738" t="str">
        <f t="shared" si="104"/>
        <v/>
      </c>
      <c r="AH738">
        <f t="shared" si="105"/>
        <v>2</v>
      </c>
      <c r="AI738" t="str">
        <f t="shared" si="106"/>
        <v/>
      </c>
      <c r="AJ738" t="str">
        <f t="shared" si="107"/>
        <v/>
      </c>
    </row>
    <row r="739" spans="1:36">
      <c r="A739" s="5">
        <v>769</v>
      </c>
      <c r="B739" s="5" t="s">
        <v>353</v>
      </c>
      <c r="C739" s="5" t="s">
        <v>100</v>
      </c>
      <c r="D739" s="5" t="s">
        <v>268</v>
      </c>
      <c r="E739" s="5" t="s">
        <v>291</v>
      </c>
      <c r="F739" s="5" t="str">
        <f t="shared" si="99"/>
        <v>Program Office-Cordination Manager</v>
      </c>
      <c r="G739" s="5" t="s">
        <v>270</v>
      </c>
      <c r="H739" s="9">
        <v>44726.736145833333</v>
      </c>
      <c r="I739" s="9">
        <v>44729.736145833333</v>
      </c>
      <c r="J739" s="9" t="e">
        <f>I739+#REF!</f>
        <v>#REF!</v>
      </c>
      <c r="K739" s="9" t="e">
        <f>J739+#REF!</f>
        <v>#REF!</v>
      </c>
      <c r="L739" s="10" t="s">
        <v>41</v>
      </c>
      <c r="M739" s="11">
        <v>44746.736145833333</v>
      </c>
      <c r="N739" s="5" t="s">
        <v>167</v>
      </c>
      <c r="O739" s="5"/>
      <c r="P739" s="9">
        <v>44748.736145833333</v>
      </c>
      <c r="Q739" s="5" t="s">
        <v>167</v>
      </c>
      <c r="R739" s="5"/>
      <c r="S739" s="5"/>
      <c r="T739" s="9">
        <v>44747.736145833333</v>
      </c>
      <c r="U739" s="5"/>
      <c r="V739" s="5">
        <v>0</v>
      </c>
      <c r="W739" s="5"/>
      <c r="X739" s="5"/>
      <c r="Y739" s="5"/>
      <c r="Z739" s="5"/>
      <c r="AA739" s="5"/>
      <c r="AC739">
        <f t="shared" si="100"/>
        <v>17</v>
      </c>
      <c r="AD739" t="str">
        <f t="shared" si="101"/>
        <v/>
      </c>
      <c r="AE739">
        <f t="shared" si="102"/>
        <v>1</v>
      </c>
      <c r="AF739" t="str">
        <f t="shared" si="103"/>
        <v/>
      </c>
      <c r="AG739" t="str">
        <f t="shared" si="104"/>
        <v/>
      </c>
      <c r="AH739">
        <f t="shared" si="105"/>
        <v>3</v>
      </c>
      <c r="AI739" t="str">
        <f t="shared" si="106"/>
        <v/>
      </c>
      <c r="AJ739" t="str">
        <f t="shared" si="107"/>
        <v/>
      </c>
    </row>
    <row r="740" spans="1:36">
      <c r="A740" s="5">
        <v>770</v>
      </c>
      <c r="B740" s="5" t="s">
        <v>646</v>
      </c>
      <c r="C740" s="5" t="s">
        <v>100</v>
      </c>
      <c r="D740" s="5" t="s">
        <v>554</v>
      </c>
      <c r="E740" s="5" t="s">
        <v>597</v>
      </c>
      <c r="F740" s="5" t="str">
        <f t="shared" si="99"/>
        <v>Program Office-Business Partner</v>
      </c>
      <c r="G740" s="5" t="s">
        <v>47</v>
      </c>
      <c r="H740" s="9">
        <v>44724.736145833333</v>
      </c>
      <c r="I740" s="9">
        <v>44728.736145833333</v>
      </c>
      <c r="J740" s="9" t="e">
        <f>I740+#REF!</f>
        <v>#REF!</v>
      </c>
      <c r="K740" s="9" t="e">
        <f>J740+#REF!</f>
        <v>#REF!</v>
      </c>
      <c r="L740" s="10" t="s">
        <v>41</v>
      </c>
      <c r="M740" s="11">
        <v>44746.736145833333</v>
      </c>
      <c r="N740" s="5" t="s">
        <v>42</v>
      </c>
      <c r="O740" s="5" t="s">
        <v>113</v>
      </c>
      <c r="P740" s="9"/>
      <c r="Q740" s="5"/>
      <c r="R740" s="5"/>
      <c r="S740" s="5"/>
      <c r="T740" s="9"/>
      <c r="U740" s="5"/>
      <c r="V740" s="5">
        <v>0</v>
      </c>
      <c r="W740" s="5"/>
      <c r="X740" s="5"/>
      <c r="Y740" s="5"/>
      <c r="Z740" s="5"/>
      <c r="AA740" s="5" t="s">
        <v>62</v>
      </c>
      <c r="AC740">
        <f t="shared" si="100"/>
        <v>18</v>
      </c>
      <c r="AD740" t="str">
        <f t="shared" si="101"/>
        <v/>
      </c>
      <c r="AE740" t="str">
        <f t="shared" si="102"/>
        <v/>
      </c>
      <c r="AF740" t="str">
        <f t="shared" si="103"/>
        <v/>
      </c>
      <c r="AG740" t="str">
        <f t="shared" si="104"/>
        <v/>
      </c>
      <c r="AH740">
        <f t="shared" si="105"/>
        <v>4</v>
      </c>
      <c r="AI740" t="str">
        <f t="shared" si="106"/>
        <v/>
      </c>
      <c r="AJ740" t="str">
        <f t="shared" si="107"/>
        <v/>
      </c>
    </row>
    <row r="741" spans="1:36">
      <c r="A741" s="5">
        <v>771</v>
      </c>
      <c r="B741" s="5" t="s">
        <v>2273</v>
      </c>
      <c r="C741" s="5" t="s">
        <v>2229</v>
      </c>
      <c r="D741" s="5" t="s">
        <v>2250</v>
      </c>
      <c r="E741" s="5" t="s">
        <v>388</v>
      </c>
      <c r="F741" s="5" t="str">
        <f t="shared" si="99"/>
        <v>Capacity Building-Extension Officer</v>
      </c>
      <c r="G741" s="5" t="s">
        <v>147</v>
      </c>
      <c r="H741" s="9">
        <v>45005.397060185183</v>
      </c>
      <c r="I741" s="9">
        <v>45007.397060185183</v>
      </c>
      <c r="J741" s="9" t="e">
        <f>I741+#REF!</f>
        <v>#REF!</v>
      </c>
      <c r="K741" s="9" t="e">
        <f>J741+#REF!</f>
        <v>#REF!</v>
      </c>
      <c r="L741" s="10" t="s">
        <v>41</v>
      </c>
      <c r="M741" s="11">
        <v>45024.397060185183</v>
      </c>
      <c r="N741" s="5" t="s">
        <v>42</v>
      </c>
      <c r="O741" s="5" t="s">
        <v>58</v>
      </c>
      <c r="P741" s="9"/>
      <c r="Q741" s="5"/>
      <c r="R741" s="5"/>
      <c r="S741" s="5"/>
      <c r="T741" s="9"/>
      <c r="U741" s="5"/>
      <c r="V741" s="5">
        <v>0</v>
      </c>
      <c r="W741" s="5"/>
      <c r="X741" s="5"/>
      <c r="Y741" s="5"/>
      <c r="Z741" s="5"/>
      <c r="AA741" s="5" t="s">
        <v>62</v>
      </c>
      <c r="AC741">
        <f t="shared" si="100"/>
        <v>17</v>
      </c>
      <c r="AD741" t="str">
        <f t="shared" si="101"/>
        <v/>
      </c>
      <c r="AE741" t="str">
        <f t="shared" si="102"/>
        <v/>
      </c>
      <c r="AF741" t="str">
        <f t="shared" si="103"/>
        <v/>
      </c>
      <c r="AG741" t="str">
        <f t="shared" si="104"/>
        <v/>
      </c>
      <c r="AH741">
        <f t="shared" si="105"/>
        <v>2</v>
      </c>
      <c r="AI741" t="str">
        <f t="shared" si="106"/>
        <v/>
      </c>
      <c r="AJ741" t="str">
        <f t="shared" si="107"/>
        <v/>
      </c>
    </row>
    <row r="742" spans="1:36">
      <c r="A742" s="5">
        <v>772</v>
      </c>
      <c r="B742" s="5" t="s">
        <v>2328</v>
      </c>
      <c r="C742" s="5" t="s">
        <v>2229</v>
      </c>
      <c r="D742" s="5" t="s">
        <v>2302</v>
      </c>
      <c r="E742" s="5" t="s">
        <v>269</v>
      </c>
      <c r="F742" s="5" t="str">
        <f t="shared" si="99"/>
        <v>Capacity Building-Manager</v>
      </c>
      <c r="G742" s="5" t="s">
        <v>270</v>
      </c>
      <c r="H742" s="9">
        <v>45006.397060185183</v>
      </c>
      <c r="I742" s="9">
        <v>45009.397060185183</v>
      </c>
      <c r="J742" s="9" t="e">
        <f>I742+#REF!</f>
        <v>#REF!</v>
      </c>
      <c r="K742" s="9" t="e">
        <f>J742+#REF!</f>
        <v>#REF!</v>
      </c>
      <c r="L742" s="10" t="s">
        <v>41</v>
      </c>
      <c r="M742" s="11">
        <v>45014.397060185183</v>
      </c>
      <c r="N742" s="5" t="s">
        <v>42</v>
      </c>
      <c r="O742" s="5" t="s">
        <v>58</v>
      </c>
      <c r="P742" s="9"/>
      <c r="Q742" s="5"/>
      <c r="R742" s="5"/>
      <c r="S742" s="5"/>
      <c r="T742" s="9">
        <v>45015.397060185183</v>
      </c>
      <c r="U742" s="5"/>
      <c r="V742" s="5">
        <v>0</v>
      </c>
      <c r="W742" s="5"/>
      <c r="X742" s="5"/>
      <c r="Y742" s="5"/>
      <c r="Z742" s="5"/>
      <c r="AA742" s="5" t="s">
        <v>44</v>
      </c>
      <c r="AC742">
        <f t="shared" si="100"/>
        <v>5</v>
      </c>
      <c r="AD742" t="str">
        <f t="shared" si="101"/>
        <v/>
      </c>
      <c r="AE742">
        <f t="shared" si="102"/>
        <v>1</v>
      </c>
      <c r="AF742" t="str">
        <f t="shared" si="103"/>
        <v/>
      </c>
      <c r="AG742" t="str">
        <f t="shared" si="104"/>
        <v/>
      </c>
      <c r="AH742">
        <f t="shared" si="105"/>
        <v>3</v>
      </c>
      <c r="AI742" t="str">
        <f t="shared" si="106"/>
        <v/>
      </c>
      <c r="AJ742" t="str">
        <f t="shared" si="107"/>
        <v/>
      </c>
    </row>
    <row r="743" spans="1:36">
      <c r="A743" s="5">
        <v>773</v>
      </c>
      <c r="B743" s="5" t="s">
        <v>2377</v>
      </c>
      <c r="C743" s="5" t="s">
        <v>2229</v>
      </c>
      <c r="D743" s="5" t="s">
        <v>2350</v>
      </c>
      <c r="E743" s="5" t="s">
        <v>2351</v>
      </c>
      <c r="F743" s="5" t="str">
        <f t="shared" si="99"/>
        <v>Capacity Building-Training Associate</v>
      </c>
      <c r="G743" s="5" t="s">
        <v>40</v>
      </c>
      <c r="H743" s="9">
        <v>45010.397060185183</v>
      </c>
      <c r="I743" s="9">
        <v>45011.397060185183</v>
      </c>
      <c r="J743" s="9" t="e">
        <f>I743+#REF!</f>
        <v>#REF!</v>
      </c>
      <c r="K743" s="9" t="e">
        <f>J743+#REF!</f>
        <v>#REF!</v>
      </c>
      <c r="L743" s="10" t="s">
        <v>52</v>
      </c>
      <c r="M743" s="11"/>
      <c r="N743" s="5"/>
      <c r="O743" s="5"/>
      <c r="P743" s="9"/>
      <c r="Q743" s="5"/>
      <c r="R743" s="5"/>
      <c r="S743" s="5"/>
      <c r="T743" s="9"/>
      <c r="U743" s="5"/>
      <c r="V743" s="5">
        <v>0</v>
      </c>
      <c r="W743" s="5"/>
      <c r="X743" s="5"/>
      <c r="Y743" s="5"/>
      <c r="Z743" s="5"/>
      <c r="AA743" s="5"/>
      <c r="AC743" t="str">
        <f t="shared" si="100"/>
        <v/>
      </c>
      <c r="AD743" t="str">
        <f t="shared" si="101"/>
        <v/>
      </c>
      <c r="AE743" t="str">
        <f t="shared" si="102"/>
        <v/>
      </c>
      <c r="AF743" t="str">
        <f t="shared" si="103"/>
        <v/>
      </c>
      <c r="AG743" t="str">
        <f t="shared" si="104"/>
        <v/>
      </c>
      <c r="AH743">
        <f t="shared" si="105"/>
        <v>1</v>
      </c>
      <c r="AI743" t="str">
        <f t="shared" si="106"/>
        <v/>
      </c>
      <c r="AJ743" t="str">
        <f t="shared" si="107"/>
        <v/>
      </c>
    </row>
    <row r="744" spans="1:36">
      <c r="A744" s="5">
        <v>775</v>
      </c>
      <c r="B744" s="5" t="s">
        <v>2327</v>
      </c>
      <c r="C744" s="5" t="s">
        <v>2229</v>
      </c>
      <c r="D744" s="5" t="s">
        <v>2302</v>
      </c>
      <c r="E744" s="5" t="s">
        <v>269</v>
      </c>
      <c r="F744" s="5" t="str">
        <f t="shared" si="99"/>
        <v>Capacity Building-Manager</v>
      </c>
      <c r="G744" s="5" t="s">
        <v>270</v>
      </c>
      <c r="H744" s="9">
        <v>45010.397060185183</v>
      </c>
      <c r="I744" s="9">
        <v>45011.397060185183</v>
      </c>
      <c r="J744" s="9" t="e">
        <f>I744+#REF!</f>
        <v>#REF!</v>
      </c>
      <c r="K744" s="9" t="e">
        <f>J744+#REF!</f>
        <v>#REF!</v>
      </c>
      <c r="L744" s="10" t="s">
        <v>41</v>
      </c>
      <c r="M744" s="11">
        <v>45021.397060185183</v>
      </c>
      <c r="N744" s="5" t="s">
        <v>42</v>
      </c>
      <c r="O744" s="5" t="s">
        <v>113</v>
      </c>
      <c r="P744" s="9"/>
      <c r="Q744" s="5"/>
      <c r="R744" s="5"/>
      <c r="S744" s="5"/>
      <c r="T744" s="9">
        <v>45024.397060185183</v>
      </c>
      <c r="U744" s="5"/>
      <c r="V744" s="5">
        <v>0</v>
      </c>
      <c r="W744" s="5"/>
      <c r="X744" s="5"/>
      <c r="Y744" s="5"/>
      <c r="Z744" s="5"/>
      <c r="AA744" s="5" t="s">
        <v>62</v>
      </c>
      <c r="AC744">
        <f t="shared" si="100"/>
        <v>10</v>
      </c>
      <c r="AD744" t="str">
        <f t="shared" si="101"/>
        <v/>
      </c>
      <c r="AE744">
        <f t="shared" si="102"/>
        <v>3</v>
      </c>
      <c r="AF744" t="str">
        <f t="shared" si="103"/>
        <v/>
      </c>
      <c r="AG744" t="str">
        <f t="shared" si="104"/>
        <v/>
      </c>
      <c r="AH744">
        <f t="shared" si="105"/>
        <v>1</v>
      </c>
      <c r="AI744" t="str">
        <f t="shared" si="106"/>
        <v/>
      </c>
      <c r="AJ744" t="str">
        <f t="shared" si="107"/>
        <v/>
      </c>
    </row>
    <row r="745" spans="1:36">
      <c r="A745" s="5">
        <v>776</v>
      </c>
      <c r="B745" s="5" t="s">
        <v>2417</v>
      </c>
      <c r="C745" s="5" t="s">
        <v>2229</v>
      </c>
      <c r="D745" s="5" t="s">
        <v>2403</v>
      </c>
      <c r="E745" s="5" t="s">
        <v>1939</v>
      </c>
      <c r="F745" s="5" t="str">
        <f t="shared" si="99"/>
        <v>Capacity Building-Principal Officer</v>
      </c>
      <c r="G745" s="5" t="s">
        <v>56</v>
      </c>
      <c r="H745" s="9">
        <v>45004.397060185183</v>
      </c>
      <c r="I745" s="9">
        <v>45007.397060185183</v>
      </c>
      <c r="J745" s="9" t="e">
        <f>I745+#REF!</f>
        <v>#REF!</v>
      </c>
      <c r="K745" s="9" t="e">
        <f>J745+#REF!</f>
        <v>#REF!</v>
      </c>
      <c r="L745" s="10" t="s">
        <v>41</v>
      </c>
      <c r="M745" s="11">
        <v>45027.397060185183</v>
      </c>
      <c r="N745" s="5" t="s">
        <v>48</v>
      </c>
      <c r="O745" s="5"/>
      <c r="P745" s="9">
        <v>45030.397060185183</v>
      </c>
      <c r="Q745" s="5" t="s">
        <v>48</v>
      </c>
      <c r="R745" s="5"/>
      <c r="S745" s="5"/>
      <c r="T745" s="9">
        <v>45028.397060185183</v>
      </c>
      <c r="U745" s="5"/>
      <c r="V745" s="5">
        <v>0</v>
      </c>
      <c r="W745" s="5"/>
      <c r="X745" s="5"/>
      <c r="Y745" s="5"/>
      <c r="Z745" s="5"/>
      <c r="AA745" s="5"/>
      <c r="AC745">
        <f t="shared" si="100"/>
        <v>20</v>
      </c>
      <c r="AD745" t="str">
        <f t="shared" si="101"/>
        <v/>
      </c>
      <c r="AE745">
        <f t="shared" si="102"/>
        <v>1</v>
      </c>
      <c r="AF745" t="str">
        <f t="shared" si="103"/>
        <v/>
      </c>
      <c r="AG745" t="str">
        <f t="shared" si="104"/>
        <v/>
      </c>
      <c r="AH745">
        <f t="shared" si="105"/>
        <v>3</v>
      </c>
      <c r="AI745" t="str">
        <f t="shared" si="106"/>
        <v/>
      </c>
      <c r="AJ745" t="str">
        <f t="shared" si="107"/>
        <v/>
      </c>
    </row>
    <row r="746" spans="1:36">
      <c r="A746" s="5">
        <v>777</v>
      </c>
      <c r="B746" s="5" t="s">
        <v>2416</v>
      </c>
      <c r="C746" s="5" t="s">
        <v>2229</v>
      </c>
      <c r="D746" s="5" t="s">
        <v>2403</v>
      </c>
      <c r="E746" s="5" t="s">
        <v>1939</v>
      </c>
      <c r="F746" s="5" t="str">
        <f t="shared" si="99"/>
        <v>Capacity Building-Principal Officer</v>
      </c>
      <c r="G746" s="5" t="s">
        <v>56</v>
      </c>
      <c r="H746" s="9">
        <v>45006.397060185183</v>
      </c>
      <c r="I746" s="9">
        <v>45010.397060185183</v>
      </c>
      <c r="J746" s="9" t="e">
        <f>I746+#REF!</f>
        <v>#REF!</v>
      </c>
      <c r="K746" s="9" t="e">
        <f>J746+#REF!</f>
        <v>#REF!</v>
      </c>
      <c r="L746" s="10" t="s">
        <v>41</v>
      </c>
      <c r="M746" s="11">
        <v>45020.397060185183</v>
      </c>
      <c r="N746" s="5" t="s">
        <v>64</v>
      </c>
      <c r="O746" s="5"/>
      <c r="P746" s="9">
        <v>45027.397060185183</v>
      </c>
      <c r="Q746" s="5" t="s">
        <v>64</v>
      </c>
      <c r="R746" s="9">
        <v>45021.397060185183</v>
      </c>
      <c r="S746" s="9">
        <v>45023.397060185183</v>
      </c>
      <c r="T746" s="9">
        <v>45023.397060185183</v>
      </c>
      <c r="U746" s="9">
        <v>45028.397060185183</v>
      </c>
      <c r="V746" s="12">
        <v>1</v>
      </c>
      <c r="W746" s="9">
        <v>45031.397060185183</v>
      </c>
      <c r="X746" s="9">
        <v>45033.397060185183</v>
      </c>
      <c r="Y746" s="9">
        <v>45034.397060185183</v>
      </c>
      <c r="Z746" s="5"/>
      <c r="AA746" s="5"/>
      <c r="AB746" s="13">
        <v>45056.397060185183</v>
      </c>
      <c r="AC746">
        <f t="shared" si="100"/>
        <v>10</v>
      </c>
      <c r="AD746">
        <f t="shared" si="101"/>
        <v>13</v>
      </c>
      <c r="AE746">
        <f t="shared" si="102"/>
        <v>3</v>
      </c>
      <c r="AF746">
        <f t="shared" si="103"/>
        <v>5</v>
      </c>
      <c r="AG746">
        <f t="shared" si="104"/>
        <v>3</v>
      </c>
      <c r="AH746">
        <f t="shared" si="105"/>
        <v>4</v>
      </c>
      <c r="AI746" t="str">
        <f t="shared" si="106"/>
        <v/>
      </c>
      <c r="AJ746" t="str">
        <f t="shared" si="107"/>
        <v/>
      </c>
    </row>
    <row r="747" spans="1:36">
      <c r="A747" s="5">
        <v>779</v>
      </c>
      <c r="B747" s="5" t="s">
        <v>2376</v>
      </c>
      <c r="C747" s="5" t="s">
        <v>2229</v>
      </c>
      <c r="D747" s="5" t="s">
        <v>2350</v>
      </c>
      <c r="E747" s="5" t="s">
        <v>2351</v>
      </c>
      <c r="F747" s="5" t="str">
        <f t="shared" si="99"/>
        <v>Capacity Building-Training Associate</v>
      </c>
      <c r="G747" s="5" t="s">
        <v>40</v>
      </c>
      <c r="H747" s="9">
        <v>45004.397060185183</v>
      </c>
      <c r="I747" s="9">
        <v>45008.397060185183</v>
      </c>
      <c r="J747" s="9" t="e">
        <f>I747+#REF!</f>
        <v>#REF!</v>
      </c>
      <c r="K747" s="9" t="e">
        <f>J747+#REF!</f>
        <v>#REF!</v>
      </c>
      <c r="L747" s="10" t="s">
        <v>41</v>
      </c>
      <c r="M747" s="11">
        <v>45029.397060185183</v>
      </c>
      <c r="N747" s="5" t="s">
        <v>167</v>
      </c>
      <c r="O747" s="5"/>
      <c r="P747" s="9">
        <v>45034.397060185183</v>
      </c>
      <c r="Q747" s="5" t="s">
        <v>167</v>
      </c>
      <c r="R747" s="5"/>
      <c r="S747" s="5"/>
      <c r="T747" s="9">
        <v>45031.397060185183</v>
      </c>
      <c r="U747" s="5"/>
      <c r="V747" s="5">
        <v>0</v>
      </c>
      <c r="W747" s="5"/>
      <c r="X747" s="5"/>
      <c r="Y747" s="5"/>
      <c r="Z747" s="5"/>
      <c r="AA747" s="5"/>
      <c r="AC747">
        <f t="shared" si="100"/>
        <v>21</v>
      </c>
      <c r="AD747" t="str">
        <f t="shared" si="101"/>
        <v/>
      </c>
      <c r="AE747">
        <f t="shared" si="102"/>
        <v>2</v>
      </c>
      <c r="AF747" t="str">
        <f t="shared" si="103"/>
        <v/>
      </c>
      <c r="AG747" t="str">
        <f t="shared" si="104"/>
        <v/>
      </c>
      <c r="AH747">
        <f t="shared" si="105"/>
        <v>4</v>
      </c>
      <c r="AI747" t="str">
        <f t="shared" si="106"/>
        <v/>
      </c>
      <c r="AJ747" t="str">
        <f t="shared" si="107"/>
        <v/>
      </c>
    </row>
    <row r="748" spans="1:36">
      <c r="A748" s="5">
        <v>780</v>
      </c>
      <c r="B748" s="5" t="s">
        <v>2471</v>
      </c>
      <c r="C748" s="5" t="s">
        <v>2229</v>
      </c>
      <c r="D748" s="5" t="s">
        <v>2445</v>
      </c>
      <c r="E748" s="5" t="s">
        <v>388</v>
      </c>
      <c r="F748" s="5" t="str">
        <f t="shared" si="99"/>
        <v>Capacity Building-Extension Officer</v>
      </c>
      <c r="G748" s="5" t="s">
        <v>47</v>
      </c>
      <c r="H748" s="9">
        <v>45007.397060185183</v>
      </c>
      <c r="I748" s="9">
        <v>45009.397060185183</v>
      </c>
      <c r="J748" s="9" t="e">
        <f>I748+#REF!</f>
        <v>#REF!</v>
      </c>
      <c r="K748" s="9" t="e">
        <f>J748+#REF!</f>
        <v>#REF!</v>
      </c>
      <c r="L748" s="10" t="s">
        <v>41</v>
      </c>
      <c r="M748" s="11">
        <v>45017.397060185183</v>
      </c>
      <c r="N748" s="5" t="s">
        <v>42</v>
      </c>
      <c r="O748" s="5" t="s">
        <v>113</v>
      </c>
      <c r="P748" s="9"/>
      <c r="Q748" s="5"/>
      <c r="R748" s="5"/>
      <c r="S748" s="5"/>
      <c r="T748" s="9">
        <v>45019.397060185183</v>
      </c>
      <c r="U748" s="5"/>
      <c r="V748" s="5">
        <v>0</v>
      </c>
      <c r="W748" s="5"/>
      <c r="X748" s="5"/>
      <c r="Y748" s="5"/>
      <c r="Z748" s="5"/>
      <c r="AA748" s="5" t="s">
        <v>62</v>
      </c>
      <c r="AC748">
        <f t="shared" si="100"/>
        <v>8</v>
      </c>
      <c r="AD748" t="str">
        <f t="shared" si="101"/>
        <v/>
      </c>
      <c r="AE748">
        <f t="shared" si="102"/>
        <v>2</v>
      </c>
      <c r="AF748" t="str">
        <f t="shared" si="103"/>
        <v/>
      </c>
      <c r="AG748" t="str">
        <f t="shared" si="104"/>
        <v/>
      </c>
      <c r="AH748">
        <f t="shared" si="105"/>
        <v>2</v>
      </c>
      <c r="AI748" t="str">
        <f t="shared" si="106"/>
        <v/>
      </c>
      <c r="AJ748" t="str">
        <f t="shared" si="107"/>
        <v/>
      </c>
    </row>
    <row r="749" spans="1:36">
      <c r="A749" s="5">
        <v>783</v>
      </c>
      <c r="B749" s="5" t="s">
        <v>767</v>
      </c>
      <c r="C749" s="10" t="s">
        <v>671</v>
      </c>
      <c r="D749" s="5" t="s">
        <v>747</v>
      </c>
      <c r="E749" s="5" t="s">
        <v>55</v>
      </c>
      <c r="F749" s="5" t="str">
        <f t="shared" si="99"/>
        <v>Operations-Director</v>
      </c>
      <c r="G749" s="5" t="s">
        <v>47</v>
      </c>
      <c r="H749" s="9">
        <v>44938.996932870374</v>
      </c>
      <c r="I749" s="9">
        <v>44940.996932870374</v>
      </c>
      <c r="J749" s="9" t="e">
        <f>I749+#REF!</f>
        <v>#REF!</v>
      </c>
      <c r="K749" s="9" t="e">
        <f>J749+#REF!</f>
        <v>#REF!</v>
      </c>
      <c r="L749" s="10" t="s">
        <v>41</v>
      </c>
      <c r="M749" s="11">
        <v>44948.996932870374</v>
      </c>
      <c r="N749" s="5" t="s">
        <v>42</v>
      </c>
      <c r="O749" s="5" t="s">
        <v>58</v>
      </c>
      <c r="P749" s="9"/>
      <c r="Q749" s="5"/>
      <c r="R749" s="5"/>
      <c r="S749" s="5"/>
      <c r="T749" s="9">
        <v>44949.996932870374</v>
      </c>
      <c r="U749" s="5"/>
      <c r="V749" s="5">
        <v>0</v>
      </c>
      <c r="W749" s="5"/>
      <c r="X749" s="5"/>
      <c r="Y749" s="5"/>
      <c r="Z749" s="5"/>
      <c r="AA749" s="5" t="s">
        <v>44</v>
      </c>
      <c r="AC749">
        <f t="shared" si="100"/>
        <v>8</v>
      </c>
      <c r="AD749" t="str">
        <f t="shared" si="101"/>
        <v/>
      </c>
      <c r="AE749">
        <f t="shared" si="102"/>
        <v>1</v>
      </c>
      <c r="AF749" t="str">
        <f t="shared" si="103"/>
        <v/>
      </c>
      <c r="AG749" t="str">
        <f t="shared" si="104"/>
        <v/>
      </c>
      <c r="AH749">
        <f t="shared" si="105"/>
        <v>2</v>
      </c>
      <c r="AI749" t="str">
        <f t="shared" si="106"/>
        <v/>
      </c>
      <c r="AJ749" t="str">
        <f t="shared" si="107"/>
        <v/>
      </c>
    </row>
    <row r="750" spans="1:36">
      <c r="A750" s="5">
        <v>785</v>
      </c>
      <c r="B750" s="5" t="s">
        <v>723</v>
      </c>
      <c r="C750" s="10" t="s">
        <v>671</v>
      </c>
      <c r="D750" s="5" t="s">
        <v>708</v>
      </c>
      <c r="E750" s="5" t="s">
        <v>709</v>
      </c>
      <c r="F750" s="5" t="str">
        <f t="shared" si="99"/>
        <v>Operations-Lead</v>
      </c>
      <c r="G750" s="5" t="s">
        <v>56</v>
      </c>
      <c r="H750" s="9">
        <v>44937.996932870374</v>
      </c>
      <c r="I750" s="9">
        <v>44940.996932870374</v>
      </c>
      <c r="J750" s="9" t="e">
        <f>I750+#REF!</f>
        <v>#REF!</v>
      </c>
      <c r="K750" s="9" t="e">
        <f>J750+#REF!</f>
        <v>#REF!</v>
      </c>
      <c r="L750" s="10" t="s">
        <v>41</v>
      </c>
      <c r="M750" s="11">
        <v>44959.996932870374</v>
      </c>
      <c r="N750" s="5" t="s">
        <v>42</v>
      </c>
      <c r="O750" s="5" t="s">
        <v>98</v>
      </c>
      <c r="P750" s="9"/>
      <c r="Q750" s="5"/>
      <c r="R750" s="5"/>
      <c r="S750" s="5"/>
      <c r="T750" s="9">
        <v>44961.996932870374</v>
      </c>
      <c r="U750" s="5"/>
      <c r="V750" s="5">
        <v>0</v>
      </c>
      <c r="W750" s="5"/>
      <c r="X750" s="5"/>
      <c r="Y750" s="5"/>
      <c r="Z750" s="5"/>
      <c r="AA750" s="5" t="s">
        <v>62</v>
      </c>
      <c r="AC750">
        <f t="shared" si="100"/>
        <v>19</v>
      </c>
      <c r="AD750" t="str">
        <f t="shared" si="101"/>
        <v/>
      </c>
      <c r="AE750">
        <f t="shared" si="102"/>
        <v>2</v>
      </c>
      <c r="AF750" t="str">
        <f t="shared" si="103"/>
        <v/>
      </c>
      <c r="AG750" t="str">
        <f t="shared" si="104"/>
        <v/>
      </c>
      <c r="AH750">
        <f t="shared" si="105"/>
        <v>3</v>
      </c>
      <c r="AI750" t="str">
        <f t="shared" si="106"/>
        <v/>
      </c>
      <c r="AJ750" t="str">
        <f t="shared" si="107"/>
        <v/>
      </c>
    </row>
    <row r="751" spans="1:36">
      <c r="A751" s="5">
        <v>786</v>
      </c>
      <c r="B751" s="5" t="s">
        <v>766</v>
      </c>
      <c r="C751" s="10" t="s">
        <v>671</v>
      </c>
      <c r="D751" s="5" t="s">
        <v>747</v>
      </c>
      <c r="E751" s="5" t="s">
        <v>55</v>
      </c>
      <c r="F751" s="5" t="str">
        <f t="shared" si="99"/>
        <v>Operations-Director</v>
      </c>
      <c r="G751" s="5" t="s">
        <v>47</v>
      </c>
      <c r="H751" s="9">
        <v>44934.996932870374</v>
      </c>
      <c r="I751" s="9">
        <v>44938.996932870374</v>
      </c>
      <c r="J751" s="9" t="e">
        <f>I751+#REF!</f>
        <v>#REF!</v>
      </c>
      <c r="K751" s="9" t="e">
        <f>J751+#REF!</f>
        <v>#REF!</v>
      </c>
      <c r="L751" s="10" t="s">
        <v>52</v>
      </c>
      <c r="M751" s="11"/>
      <c r="N751" s="5"/>
      <c r="O751" s="5"/>
      <c r="P751" s="9"/>
      <c r="Q751" s="5"/>
      <c r="R751" s="5"/>
      <c r="S751" s="5"/>
      <c r="T751" s="9"/>
      <c r="U751" s="5"/>
      <c r="V751" s="5">
        <v>0</v>
      </c>
      <c r="W751" s="5"/>
      <c r="X751" s="5"/>
      <c r="Y751" s="5"/>
      <c r="Z751" s="5"/>
      <c r="AA751" s="5"/>
      <c r="AC751" t="str">
        <f t="shared" si="100"/>
        <v/>
      </c>
      <c r="AD751" t="str">
        <f t="shared" si="101"/>
        <v/>
      </c>
      <c r="AE751" t="str">
        <f t="shared" si="102"/>
        <v/>
      </c>
      <c r="AF751" t="str">
        <f t="shared" si="103"/>
        <v/>
      </c>
      <c r="AG751" t="str">
        <f t="shared" si="104"/>
        <v/>
      </c>
      <c r="AH751">
        <f t="shared" si="105"/>
        <v>4</v>
      </c>
      <c r="AI751" t="str">
        <f t="shared" si="106"/>
        <v/>
      </c>
      <c r="AJ751" t="str">
        <f t="shared" si="107"/>
        <v/>
      </c>
    </row>
    <row r="752" spans="1:36">
      <c r="A752" s="5">
        <v>787</v>
      </c>
      <c r="B752" s="5" t="s">
        <v>2141</v>
      </c>
      <c r="C752" s="10" t="s">
        <v>2089</v>
      </c>
      <c r="D752" s="5" t="s">
        <v>2114</v>
      </c>
      <c r="E752" s="5" t="s">
        <v>388</v>
      </c>
      <c r="F752" s="5" t="str">
        <f t="shared" si="99"/>
        <v>Communication and Advocacy-Extension Officer</v>
      </c>
      <c r="G752" s="5" t="s">
        <v>147</v>
      </c>
      <c r="H752" s="9">
        <v>44931.996932870374</v>
      </c>
      <c r="I752" s="9">
        <v>44935.996932870374</v>
      </c>
      <c r="J752" s="9" t="e">
        <f>I752+#REF!</f>
        <v>#REF!</v>
      </c>
      <c r="K752" s="9" t="e">
        <f>J752+#REF!</f>
        <v>#REF!</v>
      </c>
      <c r="L752" s="10" t="s">
        <v>41</v>
      </c>
      <c r="M752" s="11">
        <v>44956.996932870374</v>
      </c>
      <c r="N752" s="5" t="s">
        <v>42</v>
      </c>
      <c r="O752" s="5" t="s">
        <v>73</v>
      </c>
      <c r="P752" s="9"/>
      <c r="Q752" s="5"/>
      <c r="R752" s="5"/>
      <c r="S752" s="5"/>
      <c r="T752" s="9">
        <v>44957.996932870374</v>
      </c>
      <c r="U752" s="5"/>
      <c r="V752" s="5">
        <v>0</v>
      </c>
      <c r="W752" s="5"/>
      <c r="X752" s="5"/>
      <c r="Y752" s="5"/>
      <c r="Z752" s="5"/>
      <c r="AA752" s="5" t="s">
        <v>62</v>
      </c>
      <c r="AC752">
        <f t="shared" si="100"/>
        <v>21</v>
      </c>
      <c r="AD752" t="str">
        <f t="shared" si="101"/>
        <v/>
      </c>
      <c r="AE752">
        <f t="shared" si="102"/>
        <v>1</v>
      </c>
      <c r="AF752" t="str">
        <f t="shared" si="103"/>
        <v/>
      </c>
      <c r="AG752" t="str">
        <f t="shared" si="104"/>
        <v/>
      </c>
      <c r="AH752">
        <f t="shared" si="105"/>
        <v>4</v>
      </c>
      <c r="AI752" t="str">
        <f t="shared" si="106"/>
        <v/>
      </c>
      <c r="AJ752" t="str">
        <f t="shared" si="107"/>
        <v/>
      </c>
    </row>
    <row r="753" spans="1:36">
      <c r="A753" s="5">
        <v>788</v>
      </c>
      <c r="B753" s="5" t="s">
        <v>765</v>
      </c>
      <c r="C753" s="10" t="s">
        <v>671</v>
      </c>
      <c r="D753" s="5" t="s">
        <v>747</v>
      </c>
      <c r="E753" s="5" t="s">
        <v>55</v>
      </c>
      <c r="F753" s="5" t="str">
        <f t="shared" si="99"/>
        <v>Operations-Director</v>
      </c>
      <c r="G753" s="5" t="s">
        <v>47</v>
      </c>
      <c r="H753" s="9">
        <v>44937.996932870374</v>
      </c>
      <c r="I753" s="9">
        <v>44939.996932870374</v>
      </c>
      <c r="J753" s="9" t="e">
        <f>I753+#REF!</f>
        <v>#REF!</v>
      </c>
      <c r="K753" s="9" t="e">
        <f>J753+#REF!</f>
        <v>#REF!</v>
      </c>
      <c r="L753" s="10" t="s">
        <v>41</v>
      </c>
      <c r="M753" s="11">
        <v>44957.996932870374</v>
      </c>
      <c r="N753" s="5" t="s">
        <v>42</v>
      </c>
      <c r="O753" s="5" t="s">
        <v>113</v>
      </c>
      <c r="P753" s="9"/>
      <c r="Q753" s="5"/>
      <c r="R753" s="5"/>
      <c r="S753" s="5"/>
      <c r="T753" s="9">
        <v>44959.996932870374</v>
      </c>
      <c r="U753" s="5"/>
      <c r="V753" s="5">
        <v>0</v>
      </c>
      <c r="W753" s="5"/>
      <c r="X753" s="5"/>
      <c r="Y753" s="5"/>
      <c r="Z753" s="5"/>
      <c r="AA753" s="5" t="s">
        <v>44</v>
      </c>
      <c r="AC753">
        <f t="shared" si="100"/>
        <v>18</v>
      </c>
      <c r="AD753" t="str">
        <f t="shared" si="101"/>
        <v/>
      </c>
      <c r="AE753">
        <f t="shared" si="102"/>
        <v>2</v>
      </c>
      <c r="AF753" t="str">
        <f t="shared" si="103"/>
        <v/>
      </c>
      <c r="AG753" t="str">
        <f t="shared" si="104"/>
        <v/>
      </c>
      <c r="AH753">
        <f t="shared" si="105"/>
        <v>2</v>
      </c>
      <c r="AI753" t="str">
        <f t="shared" si="106"/>
        <v/>
      </c>
      <c r="AJ753" t="str">
        <f t="shared" si="107"/>
        <v/>
      </c>
    </row>
    <row r="754" spans="1:36">
      <c r="A754" s="5">
        <v>789</v>
      </c>
      <c r="B754" s="5" t="s">
        <v>2184</v>
      </c>
      <c r="C754" s="10" t="s">
        <v>2089</v>
      </c>
      <c r="D754" s="5" t="s">
        <v>2167</v>
      </c>
      <c r="E754" s="5" t="s">
        <v>269</v>
      </c>
      <c r="F754" s="5" t="str">
        <f t="shared" si="99"/>
        <v>Communication and Advocacy-Manager</v>
      </c>
      <c r="G754" s="5" t="s">
        <v>270</v>
      </c>
      <c r="H754" s="9">
        <v>44932.996932870374</v>
      </c>
      <c r="I754" s="9">
        <v>44935.996932870374</v>
      </c>
      <c r="J754" s="9" t="e">
        <f>I754+#REF!</f>
        <v>#REF!</v>
      </c>
      <c r="K754" s="9" t="e">
        <f>J754+#REF!</f>
        <v>#REF!</v>
      </c>
      <c r="L754" s="10" t="s">
        <v>41</v>
      </c>
      <c r="M754" s="11">
        <v>44951.996932870374</v>
      </c>
      <c r="N754" s="5" t="s">
        <v>48</v>
      </c>
      <c r="O754" s="5"/>
      <c r="P754" s="9">
        <v>44955.996932870374</v>
      </c>
      <c r="Q754" s="5" t="s">
        <v>48</v>
      </c>
      <c r="R754" s="5"/>
      <c r="S754" s="5"/>
      <c r="T754" s="9">
        <v>44952.996932870374</v>
      </c>
      <c r="U754" s="5"/>
      <c r="V754" s="5">
        <v>0</v>
      </c>
      <c r="W754" s="5"/>
      <c r="X754" s="5"/>
      <c r="Y754" s="5"/>
      <c r="Z754" s="5"/>
      <c r="AA754" s="5"/>
      <c r="AC754">
        <f t="shared" si="100"/>
        <v>16</v>
      </c>
      <c r="AD754" t="str">
        <f t="shared" si="101"/>
        <v/>
      </c>
      <c r="AE754">
        <f t="shared" si="102"/>
        <v>1</v>
      </c>
      <c r="AF754" t="str">
        <f t="shared" si="103"/>
        <v/>
      </c>
      <c r="AG754" t="str">
        <f t="shared" si="104"/>
        <v/>
      </c>
      <c r="AH754">
        <f t="shared" si="105"/>
        <v>3</v>
      </c>
      <c r="AI754" t="str">
        <f t="shared" si="106"/>
        <v/>
      </c>
      <c r="AJ754" t="str">
        <f t="shared" si="107"/>
        <v/>
      </c>
    </row>
    <row r="755" spans="1:36">
      <c r="A755" s="5">
        <v>790</v>
      </c>
      <c r="B755" s="5" t="s">
        <v>696</v>
      </c>
      <c r="C755" s="10" t="s">
        <v>671</v>
      </c>
      <c r="D755" s="5" t="s">
        <v>672</v>
      </c>
      <c r="E755" s="5" t="s">
        <v>597</v>
      </c>
      <c r="F755" s="5" t="str">
        <f t="shared" si="99"/>
        <v>Operations-Business Partner</v>
      </c>
      <c r="G755" s="5" t="s">
        <v>40</v>
      </c>
      <c r="H755" s="9">
        <v>44933.996932870374</v>
      </c>
      <c r="I755" s="9">
        <v>44935.996932870374</v>
      </c>
      <c r="J755" s="9" t="e">
        <f>I755+#REF!</f>
        <v>#REF!</v>
      </c>
      <c r="K755" s="9" t="e">
        <f>J755+#REF!</f>
        <v>#REF!</v>
      </c>
      <c r="L755" s="10" t="s">
        <v>41</v>
      </c>
      <c r="M755" s="11">
        <v>44954.996932870374</v>
      </c>
      <c r="N755" s="5" t="s">
        <v>42</v>
      </c>
      <c r="O755" s="5" t="s">
        <v>43</v>
      </c>
      <c r="P755" s="9"/>
      <c r="Q755" s="5"/>
      <c r="R755" s="5"/>
      <c r="S755" s="5"/>
      <c r="T755" s="9">
        <v>44955.996932870374</v>
      </c>
      <c r="U755" s="5"/>
      <c r="V755" s="5">
        <v>0</v>
      </c>
      <c r="W755" s="5"/>
      <c r="X755" s="5"/>
      <c r="Y755" s="5"/>
      <c r="Z755" s="5"/>
      <c r="AA755" s="5" t="s">
        <v>44</v>
      </c>
      <c r="AC755">
        <f t="shared" si="100"/>
        <v>19</v>
      </c>
      <c r="AD755" t="str">
        <f t="shared" si="101"/>
        <v/>
      </c>
      <c r="AE755">
        <f t="shared" si="102"/>
        <v>1</v>
      </c>
      <c r="AF755" t="str">
        <f t="shared" si="103"/>
        <v/>
      </c>
      <c r="AG755" t="str">
        <f t="shared" si="104"/>
        <v/>
      </c>
      <c r="AH755">
        <f t="shared" si="105"/>
        <v>2</v>
      </c>
      <c r="AI755" t="str">
        <f t="shared" si="106"/>
        <v/>
      </c>
      <c r="AJ755" t="str">
        <f t="shared" si="107"/>
        <v/>
      </c>
    </row>
    <row r="756" spans="1:36">
      <c r="A756" s="5">
        <v>791</v>
      </c>
      <c r="B756" s="5" t="s">
        <v>522</v>
      </c>
      <c r="C756" s="5" t="s">
        <v>100</v>
      </c>
      <c r="D756" s="5" t="s">
        <v>506</v>
      </c>
      <c r="E756" s="5" t="s">
        <v>55</v>
      </c>
      <c r="F756" s="5" t="str">
        <f t="shared" si="99"/>
        <v>Program Office-Director</v>
      </c>
      <c r="G756" s="5" t="s">
        <v>56</v>
      </c>
      <c r="H756" s="9">
        <v>44902.674583333333</v>
      </c>
      <c r="I756" s="9">
        <v>44906.674583333333</v>
      </c>
      <c r="J756" s="9" t="e">
        <f>I756+#REF!</f>
        <v>#REF!</v>
      </c>
      <c r="K756" s="9" t="e">
        <f>J756+#REF!</f>
        <v>#REF!</v>
      </c>
      <c r="L756" s="10" t="s">
        <v>41</v>
      </c>
      <c r="M756" s="11">
        <v>44926.674583333333</v>
      </c>
      <c r="N756" s="5" t="s">
        <v>42</v>
      </c>
      <c r="O756" s="5" t="s">
        <v>58</v>
      </c>
      <c r="P756" s="9"/>
      <c r="Q756" s="5"/>
      <c r="R756" s="5"/>
      <c r="S756" s="5"/>
      <c r="T756" s="9">
        <v>44927.674583333333</v>
      </c>
      <c r="U756" s="5"/>
      <c r="V756" s="5">
        <v>0</v>
      </c>
      <c r="W756" s="5"/>
      <c r="X756" s="5"/>
      <c r="Y756" s="5"/>
      <c r="Z756" s="5"/>
      <c r="AA756" s="5" t="s">
        <v>44</v>
      </c>
      <c r="AC756">
        <f t="shared" si="100"/>
        <v>20</v>
      </c>
      <c r="AD756" t="str">
        <f t="shared" si="101"/>
        <v/>
      </c>
      <c r="AE756">
        <f t="shared" si="102"/>
        <v>1</v>
      </c>
      <c r="AF756" t="str">
        <f t="shared" si="103"/>
        <v/>
      </c>
      <c r="AG756" t="str">
        <f t="shared" si="104"/>
        <v/>
      </c>
      <c r="AH756">
        <f t="shared" si="105"/>
        <v>4</v>
      </c>
      <c r="AI756" t="str">
        <f t="shared" si="106"/>
        <v/>
      </c>
      <c r="AJ756" t="str">
        <f t="shared" si="107"/>
        <v/>
      </c>
    </row>
    <row r="757" spans="1:36">
      <c r="A757" s="5">
        <v>792</v>
      </c>
      <c r="B757" s="5" t="s">
        <v>470</v>
      </c>
      <c r="C757" s="5" t="s">
        <v>100</v>
      </c>
      <c r="D757" s="5" t="s">
        <v>387</v>
      </c>
      <c r="E757" s="5" t="s">
        <v>388</v>
      </c>
      <c r="F757" s="5" t="str">
        <f t="shared" si="99"/>
        <v>Program Office-Extension Officer</v>
      </c>
      <c r="G757" s="5" t="s">
        <v>40</v>
      </c>
      <c r="H757" s="9">
        <v>44905.674583333333</v>
      </c>
      <c r="I757" s="9">
        <v>44908.674583333333</v>
      </c>
      <c r="J757" s="9" t="e">
        <f>I757+#REF!</f>
        <v>#REF!</v>
      </c>
      <c r="K757" s="9" t="e">
        <f>J757+#REF!</f>
        <v>#REF!</v>
      </c>
      <c r="L757" s="10" t="s">
        <v>41</v>
      </c>
      <c r="M757" s="11">
        <v>44923.674583333333</v>
      </c>
      <c r="N757" s="5" t="s">
        <v>64</v>
      </c>
      <c r="O757" s="5"/>
      <c r="P757" s="9">
        <v>44927.674583333333</v>
      </c>
      <c r="Q757" s="5" t="s">
        <v>64</v>
      </c>
      <c r="R757" s="9">
        <v>44925.674583333333</v>
      </c>
      <c r="S757" s="9">
        <v>44928.674583333333</v>
      </c>
      <c r="T757" s="9">
        <v>44925.674583333333</v>
      </c>
      <c r="U757" s="9">
        <v>44928.674583333333</v>
      </c>
      <c r="V757" s="12">
        <v>1</v>
      </c>
      <c r="W757" s="9">
        <v>44931.674583333333</v>
      </c>
      <c r="X757" s="9">
        <v>44934.674583333333</v>
      </c>
      <c r="Y757" s="9">
        <v>44935.674583333333</v>
      </c>
      <c r="Z757" s="5"/>
      <c r="AA757" s="5"/>
      <c r="AB757" s="13">
        <v>44958.674583333333</v>
      </c>
      <c r="AC757">
        <f t="shared" si="100"/>
        <v>15</v>
      </c>
      <c r="AD757">
        <f t="shared" si="101"/>
        <v>20</v>
      </c>
      <c r="AE757">
        <f t="shared" si="102"/>
        <v>2</v>
      </c>
      <c r="AF757">
        <f t="shared" si="103"/>
        <v>6</v>
      </c>
      <c r="AG757">
        <f t="shared" si="104"/>
        <v>3</v>
      </c>
      <c r="AH757">
        <f t="shared" si="105"/>
        <v>3</v>
      </c>
      <c r="AI757" t="str">
        <f t="shared" si="106"/>
        <v/>
      </c>
      <c r="AJ757" t="str">
        <f t="shared" si="107"/>
        <v/>
      </c>
    </row>
    <row r="758" spans="1:36">
      <c r="A758" s="5">
        <v>793</v>
      </c>
      <c r="B758" s="5" t="s">
        <v>232</v>
      </c>
      <c r="C758" s="5" t="s">
        <v>100</v>
      </c>
      <c r="D758" s="5" t="s">
        <v>146</v>
      </c>
      <c r="E758" s="5" t="s">
        <v>39</v>
      </c>
      <c r="F758" s="5" t="str">
        <f t="shared" si="99"/>
        <v>Program Office-Analyst</v>
      </c>
      <c r="G758" s="5" t="s">
        <v>147</v>
      </c>
      <c r="H758" s="9">
        <v>44907.674583333333</v>
      </c>
      <c r="I758" s="9">
        <v>44911.674583333333</v>
      </c>
      <c r="J758" s="9" t="e">
        <f>I758+#REF!</f>
        <v>#REF!</v>
      </c>
      <c r="K758" s="9" t="e">
        <f>J758+#REF!</f>
        <v>#REF!</v>
      </c>
      <c r="L758" s="10" t="s">
        <v>41</v>
      </c>
      <c r="M758" s="11">
        <v>44923.674583333333</v>
      </c>
      <c r="N758" s="5" t="s">
        <v>167</v>
      </c>
      <c r="O758" s="5"/>
      <c r="P758" s="9">
        <v>44928.674583333333</v>
      </c>
      <c r="Q758" s="5" t="s">
        <v>167</v>
      </c>
      <c r="R758" s="5"/>
      <c r="S758" s="5"/>
      <c r="T758" s="9">
        <v>44926.674583333333</v>
      </c>
      <c r="U758" s="5"/>
      <c r="V758" s="5">
        <v>0</v>
      </c>
      <c r="W758" s="5"/>
      <c r="X758" s="5"/>
      <c r="Y758" s="5"/>
      <c r="Z758" s="5"/>
      <c r="AA758" s="5"/>
      <c r="AC758">
        <f t="shared" si="100"/>
        <v>12</v>
      </c>
      <c r="AD758" t="str">
        <f t="shared" si="101"/>
        <v/>
      </c>
      <c r="AE758">
        <f t="shared" si="102"/>
        <v>3</v>
      </c>
      <c r="AF758" t="str">
        <f t="shared" si="103"/>
        <v/>
      </c>
      <c r="AG758" t="str">
        <f t="shared" si="104"/>
        <v/>
      </c>
      <c r="AH758">
        <f t="shared" si="105"/>
        <v>4</v>
      </c>
      <c r="AI758" t="str">
        <f t="shared" si="106"/>
        <v/>
      </c>
      <c r="AJ758" t="str">
        <f t="shared" si="107"/>
        <v/>
      </c>
    </row>
    <row r="759" spans="1:36">
      <c r="A759" s="5">
        <v>794</v>
      </c>
      <c r="B759" s="5" t="s">
        <v>469</v>
      </c>
      <c r="C759" s="5" t="s">
        <v>100</v>
      </c>
      <c r="D759" s="5" t="s">
        <v>387</v>
      </c>
      <c r="E759" s="5" t="s">
        <v>388</v>
      </c>
      <c r="F759" s="5" t="str">
        <f t="shared" si="99"/>
        <v>Program Office-Extension Officer</v>
      </c>
      <c r="G759" s="5" t="s">
        <v>40</v>
      </c>
      <c r="H759" s="9">
        <v>44904.674583333333</v>
      </c>
      <c r="I759" s="9">
        <v>44908.674583333333</v>
      </c>
      <c r="J759" s="9" t="e">
        <f>I759+#REF!</f>
        <v>#REF!</v>
      </c>
      <c r="K759" s="9" t="e">
        <f>J759+#REF!</f>
        <v>#REF!</v>
      </c>
      <c r="L759" s="10" t="s">
        <v>52</v>
      </c>
      <c r="M759" s="11"/>
      <c r="N759" s="5"/>
      <c r="O759" s="5"/>
      <c r="P759" s="9"/>
      <c r="Q759" s="5"/>
      <c r="R759" s="5"/>
      <c r="S759" s="5"/>
      <c r="T759" s="9"/>
      <c r="U759" s="5"/>
      <c r="V759" s="5">
        <v>0</v>
      </c>
      <c r="W759" s="5"/>
      <c r="X759" s="5"/>
      <c r="Y759" s="5"/>
      <c r="Z759" s="5"/>
      <c r="AA759" s="5"/>
      <c r="AC759" t="str">
        <f t="shared" si="100"/>
        <v/>
      </c>
      <c r="AD759" t="str">
        <f t="shared" si="101"/>
        <v/>
      </c>
      <c r="AE759" t="str">
        <f t="shared" si="102"/>
        <v/>
      </c>
      <c r="AF759" t="str">
        <f t="shared" si="103"/>
        <v/>
      </c>
      <c r="AG759" t="str">
        <f t="shared" si="104"/>
        <v/>
      </c>
      <c r="AH759">
        <f t="shared" si="105"/>
        <v>4</v>
      </c>
      <c r="AI759" t="str">
        <f t="shared" si="106"/>
        <v/>
      </c>
      <c r="AJ759" t="str">
        <f t="shared" si="107"/>
        <v/>
      </c>
    </row>
    <row r="760" spans="1:36">
      <c r="A760" s="5">
        <v>795</v>
      </c>
      <c r="B760" s="5" t="s">
        <v>231</v>
      </c>
      <c r="C760" s="5" t="s">
        <v>100</v>
      </c>
      <c r="D760" s="5" t="s">
        <v>146</v>
      </c>
      <c r="E760" s="5" t="s">
        <v>39</v>
      </c>
      <c r="F760" s="5" t="str">
        <f t="shared" si="99"/>
        <v>Program Office-Analyst</v>
      </c>
      <c r="G760" s="5" t="s">
        <v>147</v>
      </c>
      <c r="H760" s="9">
        <v>44906.674583333333</v>
      </c>
      <c r="I760" s="9">
        <v>44907.674583333333</v>
      </c>
      <c r="J760" s="9" t="e">
        <f>I760+#REF!</f>
        <v>#REF!</v>
      </c>
      <c r="K760" s="9" t="e">
        <f>J760+#REF!</f>
        <v>#REF!</v>
      </c>
      <c r="L760" s="10" t="s">
        <v>41</v>
      </c>
      <c r="M760" s="11">
        <v>44927.674583333333</v>
      </c>
      <c r="N760" s="5" t="s">
        <v>42</v>
      </c>
      <c r="O760" s="5" t="s">
        <v>73</v>
      </c>
      <c r="P760" s="9"/>
      <c r="Q760" s="5"/>
      <c r="R760" s="5"/>
      <c r="S760" s="5"/>
      <c r="T760" s="9">
        <v>44929.674583333333</v>
      </c>
      <c r="U760" s="5"/>
      <c r="V760" s="5">
        <v>0</v>
      </c>
      <c r="W760" s="5"/>
      <c r="X760" s="5"/>
      <c r="Y760" s="5"/>
      <c r="Z760" s="5"/>
      <c r="AA760" s="5" t="s">
        <v>62</v>
      </c>
      <c r="AC760">
        <f t="shared" si="100"/>
        <v>20</v>
      </c>
      <c r="AD760" t="str">
        <f t="shared" si="101"/>
        <v/>
      </c>
      <c r="AE760">
        <f t="shared" si="102"/>
        <v>2</v>
      </c>
      <c r="AF760" t="str">
        <f t="shared" si="103"/>
        <v/>
      </c>
      <c r="AG760" t="str">
        <f t="shared" si="104"/>
        <v/>
      </c>
      <c r="AH760">
        <f t="shared" si="105"/>
        <v>1</v>
      </c>
      <c r="AI760" t="str">
        <f t="shared" si="106"/>
        <v/>
      </c>
      <c r="AJ760" t="str">
        <f t="shared" si="107"/>
        <v/>
      </c>
    </row>
    <row r="761" spans="1:36">
      <c r="A761" s="5">
        <v>797</v>
      </c>
      <c r="B761" s="5" t="s">
        <v>230</v>
      </c>
      <c r="C761" s="5" t="s">
        <v>100</v>
      </c>
      <c r="D761" s="5" t="s">
        <v>146</v>
      </c>
      <c r="E761" s="5" t="s">
        <v>39</v>
      </c>
      <c r="F761" s="5" t="str">
        <f t="shared" si="99"/>
        <v>Program Office-Analyst</v>
      </c>
      <c r="G761" s="5" t="s">
        <v>147</v>
      </c>
      <c r="H761" s="9">
        <v>44909.674583333333</v>
      </c>
      <c r="I761" s="9">
        <v>44910.674583333333</v>
      </c>
      <c r="J761" s="9" t="e">
        <f>I761+#REF!</f>
        <v>#REF!</v>
      </c>
      <c r="K761" s="9" t="e">
        <f>J761+#REF!</f>
        <v>#REF!</v>
      </c>
      <c r="L761" s="10" t="s">
        <v>52</v>
      </c>
      <c r="M761" s="11"/>
      <c r="N761" s="5"/>
      <c r="O761" s="5"/>
      <c r="P761" s="9"/>
      <c r="Q761" s="5"/>
      <c r="R761" s="5"/>
      <c r="S761" s="5"/>
      <c r="T761" s="9"/>
      <c r="U761" s="5"/>
      <c r="V761" s="5">
        <v>0</v>
      </c>
      <c r="W761" s="5"/>
      <c r="X761" s="5"/>
      <c r="Y761" s="5"/>
      <c r="Z761" s="5"/>
      <c r="AA761" s="5"/>
      <c r="AC761" t="str">
        <f t="shared" si="100"/>
        <v/>
      </c>
      <c r="AD761" t="str">
        <f t="shared" si="101"/>
        <v/>
      </c>
      <c r="AE761" t="str">
        <f t="shared" si="102"/>
        <v/>
      </c>
      <c r="AF761" t="str">
        <f t="shared" si="103"/>
        <v/>
      </c>
      <c r="AG761" t="str">
        <f t="shared" si="104"/>
        <v/>
      </c>
      <c r="AH761">
        <f t="shared" si="105"/>
        <v>1</v>
      </c>
      <c r="AI761" t="str">
        <f t="shared" si="106"/>
        <v/>
      </c>
      <c r="AJ761" t="str">
        <f t="shared" si="107"/>
        <v/>
      </c>
    </row>
    <row r="762" spans="1:36">
      <c r="A762" s="5">
        <v>798</v>
      </c>
      <c r="B762" s="5" t="s">
        <v>229</v>
      </c>
      <c r="C762" s="5" t="s">
        <v>100</v>
      </c>
      <c r="D762" s="5" t="s">
        <v>146</v>
      </c>
      <c r="E762" s="5" t="s">
        <v>39</v>
      </c>
      <c r="F762" s="5" t="str">
        <f t="shared" si="99"/>
        <v>Program Office-Analyst</v>
      </c>
      <c r="G762" s="5" t="s">
        <v>147</v>
      </c>
      <c r="H762" s="9">
        <v>44905.674583333333</v>
      </c>
      <c r="I762" s="9">
        <v>44906.674583333333</v>
      </c>
      <c r="J762" s="9" t="e">
        <f>I762+#REF!</f>
        <v>#REF!</v>
      </c>
      <c r="K762" s="9" t="e">
        <f>J762+#REF!</f>
        <v>#REF!</v>
      </c>
      <c r="L762" s="10" t="s">
        <v>41</v>
      </c>
      <c r="M762" s="11">
        <v>44918.674583333333</v>
      </c>
      <c r="N762" s="5" t="s">
        <v>42</v>
      </c>
      <c r="O762" s="5" t="s">
        <v>58</v>
      </c>
      <c r="P762" s="9"/>
      <c r="Q762" s="5"/>
      <c r="R762" s="5"/>
      <c r="S762" s="5"/>
      <c r="T762" s="9">
        <v>44920.674583333333</v>
      </c>
      <c r="U762" s="5"/>
      <c r="V762" s="5">
        <v>0</v>
      </c>
      <c r="W762" s="5"/>
      <c r="X762" s="5"/>
      <c r="Y762" s="5"/>
      <c r="Z762" s="5"/>
      <c r="AA762" s="5" t="s">
        <v>44</v>
      </c>
      <c r="AC762">
        <f t="shared" si="100"/>
        <v>12</v>
      </c>
      <c r="AD762" t="str">
        <f t="shared" si="101"/>
        <v/>
      </c>
      <c r="AE762">
        <f t="shared" si="102"/>
        <v>2</v>
      </c>
      <c r="AF762" t="str">
        <f t="shared" si="103"/>
        <v/>
      </c>
      <c r="AG762" t="str">
        <f t="shared" si="104"/>
        <v/>
      </c>
      <c r="AH762">
        <f t="shared" si="105"/>
        <v>1</v>
      </c>
      <c r="AI762" t="str">
        <f t="shared" si="106"/>
        <v/>
      </c>
      <c r="AJ762" t="str">
        <f t="shared" si="107"/>
        <v/>
      </c>
    </row>
    <row r="763" spans="1:36">
      <c r="A763" s="5">
        <v>799</v>
      </c>
      <c r="B763" s="5" t="s">
        <v>352</v>
      </c>
      <c r="C763" s="5" t="s">
        <v>100</v>
      </c>
      <c r="D763" s="5" t="s">
        <v>268</v>
      </c>
      <c r="E763" s="5" t="s">
        <v>291</v>
      </c>
      <c r="F763" s="5" t="str">
        <f t="shared" si="99"/>
        <v>Program Office-Cordination Manager</v>
      </c>
      <c r="G763" s="5" t="s">
        <v>270</v>
      </c>
      <c r="H763" s="9">
        <v>44905.674583333333</v>
      </c>
      <c r="I763" s="9">
        <v>44909.674583333333</v>
      </c>
      <c r="J763" s="9" t="e">
        <f>I763+#REF!</f>
        <v>#REF!</v>
      </c>
      <c r="K763" s="9" t="e">
        <f>J763+#REF!</f>
        <v>#REF!</v>
      </c>
      <c r="L763" s="10" t="s">
        <v>41</v>
      </c>
      <c r="M763" s="11">
        <v>44926.674583333333</v>
      </c>
      <c r="N763" s="5" t="s">
        <v>42</v>
      </c>
      <c r="O763" s="5" t="s">
        <v>58</v>
      </c>
      <c r="P763" s="9"/>
      <c r="Q763" s="5"/>
      <c r="R763" s="5"/>
      <c r="S763" s="5"/>
      <c r="T763" s="9"/>
      <c r="U763" s="5"/>
      <c r="V763" s="5">
        <v>0</v>
      </c>
      <c r="W763" s="5"/>
      <c r="X763" s="5"/>
      <c r="Y763" s="5"/>
      <c r="Z763" s="5"/>
      <c r="AA763" s="5" t="s">
        <v>44</v>
      </c>
      <c r="AC763">
        <f t="shared" si="100"/>
        <v>17</v>
      </c>
      <c r="AD763" t="str">
        <f t="shared" si="101"/>
        <v/>
      </c>
      <c r="AE763" t="str">
        <f t="shared" si="102"/>
        <v/>
      </c>
      <c r="AF763" t="str">
        <f t="shared" si="103"/>
        <v/>
      </c>
      <c r="AG763" t="str">
        <f t="shared" si="104"/>
        <v/>
      </c>
      <c r="AH763">
        <f t="shared" si="105"/>
        <v>4</v>
      </c>
      <c r="AI763" t="str">
        <f t="shared" si="106"/>
        <v/>
      </c>
      <c r="AJ763" t="str">
        <f t="shared" si="107"/>
        <v/>
      </c>
    </row>
    <row r="764" spans="1:36">
      <c r="A764" s="5">
        <v>800</v>
      </c>
      <c r="B764" s="5" t="s">
        <v>468</v>
      </c>
      <c r="C764" s="5" t="s">
        <v>100</v>
      </c>
      <c r="D764" s="5" t="s">
        <v>387</v>
      </c>
      <c r="E764" s="5" t="s">
        <v>388</v>
      </c>
      <c r="F764" s="5" t="str">
        <f t="shared" si="99"/>
        <v>Program Office-Extension Officer</v>
      </c>
      <c r="G764" s="5" t="s">
        <v>40</v>
      </c>
      <c r="H764" s="9">
        <v>44903.674583333333</v>
      </c>
      <c r="I764" s="9">
        <v>44906.674583333333</v>
      </c>
      <c r="J764" s="9" t="e">
        <f>I764+#REF!</f>
        <v>#REF!</v>
      </c>
      <c r="K764" s="9" t="e">
        <f>J764+#REF!</f>
        <v>#REF!</v>
      </c>
      <c r="L764" s="10" t="s">
        <v>41</v>
      </c>
      <c r="M764" s="11">
        <v>44928.674583333333</v>
      </c>
      <c r="N764" s="5" t="s">
        <v>48</v>
      </c>
      <c r="O764" s="5"/>
      <c r="P764" s="9">
        <v>44932.674583333333</v>
      </c>
      <c r="Q764" s="5" t="s">
        <v>48</v>
      </c>
      <c r="R764" s="5"/>
      <c r="S764" s="5"/>
      <c r="T764" s="9">
        <v>44931.674583333333</v>
      </c>
      <c r="U764" s="5"/>
      <c r="V764" s="5">
        <v>0</v>
      </c>
      <c r="W764" s="5"/>
      <c r="X764" s="5"/>
      <c r="Y764" s="5"/>
      <c r="Z764" s="5"/>
      <c r="AA764" s="5"/>
      <c r="AC764">
        <f t="shared" si="100"/>
        <v>22</v>
      </c>
      <c r="AD764" t="str">
        <f t="shared" si="101"/>
        <v/>
      </c>
      <c r="AE764">
        <f t="shared" si="102"/>
        <v>3</v>
      </c>
      <c r="AF764" t="str">
        <f t="shared" si="103"/>
        <v/>
      </c>
      <c r="AG764" t="str">
        <f t="shared" si="104"/>
        <v/>
      </c>
      <c r="AH764">
        <f t="shared" si="105"/>
        <v>3</v>
      </c>
      <c r="AI764" t="str">
        <f t="shared" si="106"/>
        <v/>
      </c>
      <c r="AJ764" t="str">
        <f t="shared" si="107"/>
        <v/>
      </c>
    </row>
    <row r="765" spans="1:36">
      <c r="A765" s="5">
        <v>801</v>
      </c>
      <c r="B765" s="5" t="s">
        <v>2415</v>
      </c>
      <c r="C765" s="5" t="s">
        <v>2229</v>
      </c>
      <c r="D765" s="5" t="s">
        <v>2403</v>
      </c>
      <c r="E765" s="5" t="s">
        <v>1939</v>
      </c>
      <c r="F765" s="5" t="str">
        <f t="shared" si="99"/>
        <v>Capacity Building-Principal Officer</v>
      </c>
      <c r="G765" s="5" t="s">
        <v>56</v>
      </c>
      <c r="H765" s="9">
        <v>44940.903796296298</v>
      </c>
      <c r="I765" s="9">
        <v>44942.903796296298</v>
      </c>
      <c r="J765" s="9" t="e">
        <f>I765+#REF!</f>
        <v>#REF!</v>
      </c>
      <c r="K765" s="9" t="e">
        <f>J765+#REF!</f>
        <v>#REF!</v>
      </c>
      <c r="L765" s="10" t="s">
        <v>41</v>
      </c>
      <c r="M765" s="11">
        <v>44952.903796296298</v>
      </c>
      <c r="N765" s="5" t="s">
        <v>48</v>
      </c>
      <c r="O765" s="5"/>
      <c r="P765" s="9">
        <v>44958.903796296298</v>
      </c>
      <c r="Q765" s="5" t="s">
        <v>48</v>
      </c>
      <c r="R765" s="5"/>
      <c r="S765" s="5"/>
      <c r="T765" s="9">
        <v>44955.903796296298</v>
      </c>
      <c r="U765" s="5"/>
      <c r="V765" s="5">
        <v>0</v>
      </c>
      <c r="W765" s="5"/>
      <c r="X765" s="5"/>
      <c r="Y765" s="5"/>
      <c r="Z765" s="5"/>
      <c r="AA765" s="5"/>
      <c r="AC765">
        <f t="shared" si="100"/>
        <v>10</v>
      </c>
      <c r="AD765" t="str">
        <f t="shared" si="101"/>
        <v/>
      </c>
      <c r="AE765">
        <f t="shared" si="102"/>
        <v>3</v>
      </c>
      <c r="AF765" t="str">
        <f t="shared" si="103"/>
        <v/>
      </c>
      <c r="AG765" t="str">
        <f t="shared" si="104"/>
        <v/>
      </c>
      <c r="AH765">
        <f t="shared" si="105"/>
        <v>2</v>
      </c>
      <c r="AI765" t="str">
        <f t="shared" si="106"/>
        <v/>
      </c>
      <c r="AJ765" t="str">
        <f t="shared" si="107"/>
        <v/>
      </c>
    </row>
    <row r="766" spans="1:36">
      <c r="A766" s="5">
        <v>802</v>
      </c>
      <c r="B766" s="5" t="s">
        <v>2272</v>
      </c>
      <c r="C766" s="5" t="s">
        <v>2229</v>
      </c>
      <c r="D766" s="5" t="s">
        <v>2250</v>
      </c>
      <c r="E766" s="5" t="s">
        <v>388</v>
      </c>
      <c r="F766" s="5" t="str">
        <f t="shared" si="99"/>
        <v>Capacity Building-Extension Officer</v>
      </c>
      <c r="G766" s="5" t="s">
        <v>147</v>
      </c>
      <c r="H766" s="9">
        <v>44937.903796296298</v>
      </c>
      <c r="I766" s="9">
        <v>44941.903796296298</v>
      </c>
      <c r="J766" s="9" t="e">
        <f>I766+#REF!</f>
        <v>#REF!</v>
      </c>
      <c r="K766" s="9" t="e">
        <f>J766+#REF!</f>
        <v>#REF!</v>
      </c>
      <c r="L766" s="10" t="s">
        <v>41</v>
      </c>
      <c r="M766" s="11">
        <v>44946.903796296298</v>
      </c>
      <c r="N766" s="5" t="s">
        <v>64</v>
      </c>
      <c r="O766" s="5"/>
      <c r="P766" s="9">
        <v>44950.903796296298</v>
      </c>
      <c r="Q766" s="5" t="s">
        <v>64</v>
      </c>
      <c r="R766" s="9">
        <v>44947.903796296298</v>
      </c>
      <c r="S766" s="9">
        <v>44951.903796296298</v>
      </c>
      <c r="T766" s="9">
        <v>44949.903796296298</v>
      </c>
      <c r="U766" s="9">
        <v>44952.903796296298</v>
      </c>
      <c r="V766" s="12">
        <v>1</v>
      </c>
      <c r="W766" s="9">
        <v>44953.903796296298</v>
      </c>
      <c r="X766" s="9">
        <v>44954.903796296298</v>
      </c>
      <c r="Y766" s="9">
        <v>44955.903796296298</v>
      </c>
      <c r="Z766" s="5"/>
      <c r="AA766" s="5"/>
      <c r="AB766" s="13">
        <v>44970.903796296298</v>
      </c>
      <c r="AC766">
        <f t="shared" si="100"/>
        <v>5</v>
      </c>
      <c r="AD766">
        <f t="shared" si="101"/>
        <v>10</v>
      </c>
      <c r="AE766">
        <f t="shared" si="102"/>
        <v>3</v>
      </c>
      <c r="AF766">
        <f t="shared" si="103"/>
        <v>2</v>
      </c>
      <c r="AG766">
        <f t="shared" si="104"/>
        <v>1</v>
      </c>
      <c r="AH766">
        <f t="shared" si="105"/>
        <v>4</v>
      </c>
      <c r="AI766" t="str">
        <f t="shared" si="106"/>
        <v/>
      </c>
      <c r="AJ766" t="str">
        <f t="shared" si="107"/>
        <v/>
      </c>
    </row>
    <row r="767" spans="1:36">
      <c r="A767" s="5">
        <v>803</v>
      </c>
      <c r="B767" s="5" t="s">
        <v>2271</v>
      </c>
      <c r="C767" s="5" t="s">
        <v>2229</v>
      </c>
      <c r="D767" s="5" t="s">
        <v>2250</v>
      </c>
      <c r="E767" s="5" t="s">
        <v>388</v>
      </c>
      <c r="F767" s="5" t="str">
        <f t="shared" si="99"/>
        <v>Capacity Building-Extension Officer</v>
      </c>
      <c r="G767" s="5" t="s">
        <v>147</v>
      </c>
      <c r="H767" s="9">
        <v>44937.903796296298</v>
      </c>
      <c r="I767" s="9">
        <v>44938.903796296298</v>
      </c>
      <c r="J767" s="9" t="e">
        <f>I767+#REF!</f>
        <v>#REF!</v>
      </c>
      <c r="K767" s="9" t="e">
        <f>J767+#REF!</f>
        <v>#REF!</v>
      </c>
      <c r="L767" s="10" t="s">
        <v>41</v>
      </c>
      <c r="M767" s="11">
        <v>44952.903796296298</v>
      </c>
      <c r="N767" s="5" t="s">
        <v>42</v>
      </c>
      <c r="O767" s="5" t="s">
        <v>73</v>
      </c>
      <c r="P767" s="9"/>
      <c r="Q767" s="5"/>
      <c r="R767" s="5"/>
      <c r="S767" s="5"/>
      <c r="T767" s="9">
        <v>44954.903796296298</v>
      </c>
      <c r="U767" s="5"/>
      <c r="V767" s="5">
        <v>0</v>
      </c>
      <c r="W767" s="5"/>
      <c r="X767" s="5"/>
      <c r="Y767" s="5"/>
      <c r="Z767" s="5"/>
      <c r="AA767" s="5" t="s">
        <v>44</v>
      </c>
      <c r="AC767">
        <f t="shared" si="100"/>
        <v>14</v>
      </c>
      <c r="AD767" t="str">
        <f t="shared" si="101"/>
        <v/>
      </c>
      <c r="AE767">
        <f t="shared" si="102"/>
        <v>2</v>
      </c>
      <c r="AF767" t="str">
        <f t="shared" si="103"/>
        <v/>
      </c>
      <c r="AG767" t="str">
        <f t="shared" si="104"/>
        <v/>
      </c>
      <c r="AH767">
        <f t="shared" si="105"/>
        <v>1</v>
      </c>
      <c r="AI767" t="str">
        <f t="shared" si="106"/>
        <v/>
      </c>
      <c r="AJ767" t="str">
        <f t="shared" si="107"/>
        <v/>
      </c>
    </row>
    <row r="768" spans="1:36">
      <c r="A768" s="5">
        <v>804</v>
      </c>
      <c r="B768" s="5" t="s">
        <v>2326</v>
      </c>
      <c r="C768" s="5" t="s">
        <v>2229</v>
      </c>
      <c r="D768" s="5" t="s">
        <v>2302</v>
      </c>
      <c r="E768" s="5" t="s">
        <v>269</v>
      </c>
      <c r="F768" s="5" t="str">
        <f t="shared" si="99"/>
        <v>Capacity Building-Manager</v>
      </c>
      <c r="G768" s="5" t="s">
        <v>270</v>
      </c>
      <c r="H768" s="9">
        <v>44936.903796296298</v>
      </c>
      <c r="I768" s="9">
        <v>44940.903796296298</v>
      </c>
      <c r="J768" s="9" t="e">
        <f>I768+#REF!</f>
        <v>#REF!</v>
      </c>
      <c r="K768" s="9" t="e">
        <f>J768+#REF!</f>
        <v>#REF!</v>
      </c>
      <c r="L768" s="10" t="s">
        <v>41</v>
      </c>
      <c r="M768" s="11">
        <v>44959.903796296298</v>
      </c>
      <c r="N768" s="5" t="s">
        <v>42</v>
      </c>
      <c r="O768" s="5" t="s">
        <v>98</v>
      </c>
      <c r="P768" s="9"/>
      <c r="Q768" s="5"/>
      <c r="R768" s="5"/>
      <c r="S768" s="5"/>
      <c r="T768" s="9">
        <v>44960.903796296298</v>
      </c>
      <c r="U768" s="5"/>
      <c r="V768" s="5">
        <v>0</v>
      </c>
      <c r="W768" s="5"/>
      <c r="X768" s="5"/>
      <c r="Y768" s="5"/>
      <c r="Z768" s="5"/>
      <c r="AA768" s="5" t="s">
        <v>62</v>
      </c>
      <c r="AC768">
        <f t="shared" si="100"/>
        <v>19</v>
      </c>
      <c r="AD768" t="str">
        <f t="shared" si="101"/>
        <v/>
      </c>
      <c r="AE768">
        <f t="shared" si="102"/>
        <v>1</v>
      </c>
      <c r="AF768" t="str">
        <f t="shared" si="103"/>
        <v/>
      </c>
      <c r="AG768" t="str">
        <f t="shared" si="104"/>
        <v/>
      </c>
      <c r="AH768">
        <f t="shared" si="105"/>
        <v>4</v>
      </c>
      <c r="AI768" t="str">
        <f t="shared" si="106"/>
        <v/>
      </c>
      <c r="AJ768" t="str">
        <f t="shared" si="107"/>
        <v/>
      </c>
    </row>
    <row r="769" spans="1:36">
      <c r="A769" s="5">
        <v>805</v>
      </c>
      <c r="B769" s="5" t="s">
        <v>2414</v>
      </c>
      <c r="C769" s="5" t="s">
        <v>2229</v>
      </c>
      <c r="D769" s="5" t="s">
        <v>2403</v>
      </c>
      <c r="E769" s="5" t="s">
        <v>1939</v>
      </c>
      <c r="F769" s="5" t="str">
        <f t="shared" si="99"/>
        <v>Capacity Building-Principal Officer</v>
      </c>
      <c r="G769" s="5" t="s">
        <v>56</v>
      </c>
      <c r="H769" s="9">
        <v>44940.903796296298</v>
      </c>
      <c r="I769" s="9">
        <v>44943.903796296298</v>
      </c>
      <c r="J769" s="9" t="e">
        <f>I769+#REF!</f>
        <v>#REF!</v>
      </c>
      <c r="K769" s="9" t="e">
        <f>J769+#REF!</f>
        <v>#REF!</v>
      </c>
      <c r="L769" s="10" t="s">
        <v>52</v>
      </c>
      <c r="M769" s="11"/>
      <c r="N769" s="5"/>
      <c r="O769" s="5"/>
      <c r="P769" s="9"/>
      <c r="Q769" s="5"/>
      <c r="R769" s="5"/>
      <c r="S769" s="5"/>
      <c r="T769" s="9"/>
      <c r="U769" s="5"/>
      <c r="V769" s="5">
        <v>0</v>
      </c>
      <c r="W769" s="5"/>
      <c r="X769" s="5"/>
      <c r="Y769" s="5"/>
      <c r="Z769" s="5"/>
      <c r="AA769" s="5"/>
      <c r="AC769" t="str">
        <f t="shared" si="100"/>
        <v/>
      </c>
      <c r="AD769" t="str">
        <f t="shared" si="101"/>
        <v/>
      </c>
      <c r="AE769" t="str">
        <f t="shared" si="102"/>
        <v/>
      </c>
      <c r="AF769" t="str">
        <f t="shared" si="103"/>
        <v/>
      </c>
      <c r="AG769" t="str">
        <f t="shared" si="104"/>
        <v/>
      </c>
      <c r="AH769">
        <f t="shared" si="105"/>
        <v>3</v>
      </c>
      <c r="AI769" t="str">
        <f t="shared" si="106"/>
        <v/>
      </c>
      <c r="AJ769" t="str">
        <f t="shared" si="107"/>
        <v/>
      </c>
    </row>
    <row r="770" spans="1:36">
      <c r="A770" s="5">
        <v>806</v>
      </c>
      <c r="B770" s="5" t="s">
        <v>2325</v>
      </c>
      <c r="C770" s="5" t="s">
        <v>2229</v>
      </c>
      <c r="D770" s="5" t="s">
        <v>2302</v>
      </c>
      <c r="E770" s="5" t="s">
        <v>269</v>
      </c>
      <c r="F770" s="5" t="str">
        <f t="shared" ref="F770:F833" si="108">_xlfn.CONCAT(C770,"-",E770)</f>
        <v>Capacity Building-Manager</v>
      </c>
      <c r="G770" s="5" t="s">
        <v>270</v>
      </c>
      <c r="H770" s="9">
        <v>44940.903796296298</v>
      </c>
      <c r="I770" s="9">
        <v>44943.903796296298</v>
      </c>
      <c r="J770" s="9" t="e">
        <f>I770+#REF!</f>
        <v>#REF!</v>
      </c>
      <c r="K770" s="9" t="e">
        <f>J770+#REF!</f>
        <v>#REF!</v>
      </c>
      <c r="L770" s="10" t="s">
        <v>52</v>
      </c>
      <c r="M770" s="11"/>
      <c r="N770" s="5"/>
      <c r="O770" s="5"/>
      <c r="P770" s="9"/>
      <c r="Q770" s="5"/>
      <c r="R770" s="5"/>
      <c r="S770" s="5"/>
      <c r="T770" s="9"/>
      <c r="U770" s="5"/>
      <c r="V770" s="5">
        <v>0</v>
      </c>
      <c r="W770" s="5"/>
      <c r="X770" s="5"/>
      <c r="Y770" s="5"/>
      <c r="Z770" s="5"/>
      <c r="AA770" s="5"/>
      <c r="AC770" t="str">
        <f t="shared" ref="AC770:AC833" si="109">IF(AND(ISNUMBER(M770), ISNUMBER(I770)), M770 - I770, "")</f>
        <v/>
      </c>
      <c r="AD770" t="str">
        <f t="shared" si="101"/>
        <v/>
      </c>
      <c r="AE770" t="str">
        <f t="shared" si="102"/>
        <v/>
      </c>
      <c r="AF770" t="str">
        <f t="shared" si="103"/>
        <v/>
      </c>
      <c r="AG770" t="str">
        <f t="shared" si="104"/>
        <v/>
      </c>
      <c r="AH770">
        <f t="shared" si="105"/>
        <v>3</v>
      </c>
      <c r="AI770" t="str">
        <f t="shared" si="106"/>
        <v/>
      </c>
      <c r="AJ770" t="str">
        <f t="shared" si="107"/>
        <v/>
      </c>
    </row>
    <row r="771" spans="1:36">
      <c r="A771" s="5">
        <v>807</v>
      </c>
      <c r="B771" s="5" t="s">
        <v>2470</v>
      </c>
      <c r="C771" s="5" t="s">
        <v>2229</v>
      </c>
      <c r="D771" s="5" t="s">
        <v>2445</v>
      </c>
      <c r="E771" s="5" t="s">
        <v>388</v>
      </c>
      <c r="F771" s="5" t="str">
        <f t="shared" si="108"/>
        <v>Capacity Building-Extension Officer</v>
      </c>
      <c r="G771" s="5" t="s">
        <v>47</v>
      </c>
      <c r="H771" s="9">
        <v>44939.903796296298</v>
      </c>
      <c r="I771" s="9">
        <v>44940.903796296298</v>
      </c>
      <c r="J771" s="9" t="e">
        <f>I771+#REF!</f>
        <v>#REF!</v>
      </c>
      <c r="K771" s="9" t="e">
        <f>J771+#REF!</f>
        <v>#REF!</v>
      </c>
      <c r="L771" s="10" t="s">
        <v>52</v>
      </c>
      <c r="M771" s="11"/>
      <c r="N771" s="5"/>
      <c r="O771" s="5"/>
      <c r="P771" s="9"/>
      <c r="Q771" s="5"/>
      <c r="R771" s="5"/>
      <c r="S771" s="5"/>
      <c r="T771" s="9"/>
      <c r="U771" s="5"/>
      <c r="V771" s="5">
        <v>0</v>
      </c>
      <c r="W771" s="5"/>
      <c r="X771" s="5"/>
      <c r="Y771" s="5"/>
      <c r="Z771" s="5"/>
      <c r="AA771" s="5"/>
      <c r="AC771" t="str">
        <f t="shared" si="109"/>
        <v/>
      </c>
      <c r="AD771" t="str">
        <f t="shared" ref="AD771:AD834" si="110">IF(AND(ISNUMBER(S771), ISNUMBER(I771)), S771 - I771, "")</f>
        <v/>
      </c>
      <c r="AE771" t="str">
        <f t="shared" ref="AE771:AE834" si="111">IF(AND(ISNUMBER(T771), ISNUMBER(M771)), T771-M771, "")</f>
        <v/>
      </c>
      <c r="AF771" t="str">
        <f t="shared" ref="AF771:AF834" si="112">IF(AND(ISNUMBER(X771), ISNUMBER(U771)), X771-U771,"")</f>
        <v/>
      </c>
      <c r="AG771" t="str">
        <f t="shared" ref="AG771:AG834" si="113">IF(AND(ISNUMBER(W771), ISNUMBER(U771)), W771-U771, "")</f>
        <v/>
      </c>
      <c r="AH771">
        <f t="shared" ref="AH771:AH834" si="114">IF(AND(ISNUMBER(I771), ISNUMBER(H771)), I771-H771,"")</f>
        <v>1</v>
      </c>
      <c r="AI771" t="str">
        <f t="shared" ref="AI771:AI834" si="115">IF(AND(ISNUMBER(J771),ISNUMBER(K771)),K771-J771,"")</f>
        <v/>
      </c>
      <c r="AJ771" t="str">
        <f t="shared" ref="AJ771:AJ834" si="116">IF(AND(ISNUMBER(J771),ISNUMBER(I771)), J771-I771,"")</f>
        <v/>
      </c>
    </row>
    <row r="772" spans="1:36">
      <c r="A772" s="5">
        <v>808</v>
      </c>
      <c r="B772" s="5" t="s">
        <v>2270</v>
      </c>
      <c r="C772" s="5" t="s">
        <v>2229</v>
      </c>
      <c r="D772" s="5" t="s">
        <v>2250</v>
      </c>
      <c r="E772" s="5" t="s">
        <v>388</v>
      </c>
      <c r="F772" s="5" t="str">
        <f t="shared" si="108"/>
        <v>Capacity Building-Extension Officer</v>
      </c>
      <c r="G772" s="5" t="s">
        <v>147</v>
      </c>
      <c r="H772" s="9">
        <v>44937.903796296298</v>
      </c>
      <c r="I772" s="9">
        <v>44941.903796296298</v>
      </c>
      <c r="J772" s="9" t="e">
        <f>I772+#REF!</f>
        <v>#REF!</v>
      </c>
      <c r="K772" s="9" t="e">
        <f>J772+#REF!</f>
        <v>#REF!</v>
      </c>
      <c r="L772" s="10" t="s">
        <v>41</v>
      </c>
      <c r="M772" s="11">
        <v>44948.903796296298</v>
      </c>
      <c r="N772" s="5" t="s">
        <v>48</v>
      </c>
      <c r="O772" s="5"/>
      <c r="P772" s="9">
        <v>44952.903796296298</v>
      </c>
      <c r="Q772" s="5" t="s">
        <v>48</v>
      </c>
      <c r="R772" s="5"/>
      <c r="S772" s="5"/>
      <c r="T772" s="9">
        <v>44951.903796296298</v>
      </c>
      <c r="U772" s="5"/>
      <c r="V772" s="5">
        <v>0</v>
      </c>
      <c r="W772" s="5"/>
      <c r="X772" s="5"/>
      <c r="Y772" s="5"/>
      <c r="Z772" s="5"/>
      <c r="AA772" s="5"/>
      <c r="AC772">
        <f t="shared" si="109"/>
        <v>7</v>
      </c>
      <c r="AD772" t="str">
        <f t="shared" si="110"/>
        <v/>
      </c>
      <c r="AE772">
        <f t="shared" si="111"/>
        <v>3</v>
      </c>
      <c r="AF772" t="str">
        <f t="shared" si="112"/>
        <v/>
      </c>
      <c r="AG772" t="str">
        <f t="shared" si="113"/>
        <v/>
      </c>
      <c r="AH772">
        <f t="shared" si="114"/>
        <v>4</v>
      </c>
      <c r="AI772" t="str">
        <f t="shared" si="115"/>
        <v/>
      </c>
      <c r="AJ772" t="str">
        <f t="shared" si="116"/>
        <v/>
      </c>
    </row>
    <row r="773" spans="1:36">
      <c r="A773" s="5">
        <v>809</v>
      </c>
      <c r="B773" s="5" t="s">
        <v>2413</v>
      </c>
      <c r="C773" s="5" t="s">
        <v>2229</v>
      </c>
      <c r="D773" s="5" t="s">
        <v>2403</v>
      </c>
      <c r="E773" s="5" t="s">
        <v>1939</v>
      </c>
      <c r="F773" s="5" t="str">
        <f t="shared" si="108"/>
        <v>Capacity Building-Principal Officer</v>
      </c>
      <c r="G773" s="5" t="s">
        <v>56</v>
      </c>
      <c r="H773" s="9">
        <v>44937.903796296298</v>
      </c>
      <c r="I773" s="9">
        <v>44939.903796296298</v>
      </c>
      <c r="J773" s="9" t="e">
        <f>I773+#REF!</f>
        <v>#REF!</v>
      </c>
      <c r="K773" s="9" t="e">
        <f>J773+#REF!</f>
        <v>#REF!</v>
      </c>
      <c r="L773" s="10" t="s">
        <v>41</v>
      </c>
      <c r="M773" s="11">
        <v>44953.903796296298</v>
      </c>
      <c r="N773" s="5" t="s">
        <v>42</v>
      </c>
      <c r="O773" s="5" t="s">
        <v>73</v>
      </c>
      <c r="P773" s="9"/>
      <c r="Q773" s="5"/>
      <c r="R773" s="5"/>
      <c r="S773" s="5"/>
      <c r="T773" s="9"/>
      <c r="U773" s="5"/>
      <c r="V773" s="5">
        <v>0</v>
      </c>
      <c r="W773" s="5"/>
      <c r="X773" s="5"/>
      <c r="Y773" s="5"/>
      <c r="Z773" s="5"/>
      <c r="AA773" s="5" t="s">
        <v>44</v>
      </c>
      <c r="AC773">
        <f t="shared" si="109"/>
        <v>14</v>
      </c>
      <c r="AD773" t="str">
        <f t="shared" si="110"/>
        <v/>
      </c>
      <c r="AE773" t="str">
        <f t="shared" si="111"/>
        <v/>
      </c>
      <c r="AF773" t="str">
        <f t="shared" si="112"/>
        <v/>
      </c>
      <c r="AG773" t="str">
        <f t="shared" si="113"/>
        <v/>
      </c>
      <c r="AH773">
        <f t="shared" si="114"/>
        <v>2</v>
      </c>
      <c r="AI773" t="str">
        <f t="shared" si="115"/>
        <v/>
      </c>
      <c r="AJ773" t="str">
        <f t="shared" si="116"/>
        <v/>
      </c>
    </row>
    <row r="774" spans="1:36">
      <c r="A774" s="5">
        <v>810</v>
      </c>
      <c r="B774" s="5" t="s">
        <v>2375</v>
      </c>
      <c r="C774" s="5" t="s">
        <v>2229</v>
      </c>
      <c r="D774" s="5" t="s">
        <v>2350</v>
      </c>
      <c r="E774" s="5" t="s">
        <v>2351</v>
      </c>
      <c r="F774" s="5" t="str">
        <f t="shared" si="108"/>
        <v>Capacity Building-Training Associate</v>
      </c>
      <c r="G774" s="5" t="s">
        <v>40</v>
      </c>
      <c r="H774" s="9">
        <v>44940.903796296298</v>
      </c>
      <c r="I774" s="9">
        <v>44941.903796296298</v>
      </c>
      <c r="J774" s="9" t="e">
        <f>I774+#REF!</f>
        <v>#REF!</v>
      </c>
      <c r="K774" s="9" t="e">
        <f>J774+#REF!</f>
        <v>#REF!</v>
      </c>
      <c r="L774" s="10" t="s">
        <v>41</v>
      </c>
      <c r="M774" s="11">
        <v>44952.903796296298</v>
      </c>
      <c r="N774" s="5" t="s">
        <v>42</v>
      </c>
      <c r="O774" s="5" t="s">
        <v>113</v>
      </c>
      <c r="P774" s="9"/>
      <c r="Q774" s="5"/>
      <c r="R774" s="5"/>
      <c r="S774" s="5"/>
      <c r="T774" s="9"/>
      <c r="U774" s="5"/>
      <c r="V774" s="5">
        <v>0</v>
      </c>
      <c r="W774" s="5"/>
      <c r="X774" s="5"/>
      <c r="Y774" s="5"/>
      <c r="Z774" s="5"/>
      <c r="AA774" s="5" t="s">
        <v>44</v>
      </c>
      <c r="AC774">
        <f t="shared" si="109"/>
        <v>11</v>
      </c>
      <c r="AD774" t="str">
        <f t="shared" si="110"/>
        <v/>
      </c>
      <c r="AE774" t="str">
        <f t="shared" si="111"/>
        <v/>
      </c>
      <c r="AF774" t="str">
        <f t="shared" si="112"/>
        <v/>
      </c>
      <c r="AG774" t="str">
        <f t="shared" si="113"/>
        <v/>
      </c>
      <c r="AH774">
        <f t="shared" si="114"/>
        <v>1</v>
      </c>
      <c r="AI774" t="str">
        <f t="shared" si="115"/>
        <v/>
      </c>
      <c r="AJ774" t="str">
        <f t="shared" si="116"/>
        <v/>
      </c>
    </row>
    <row r="775" spans="1:36">
      <c r="A775" s="5">
        <v>812</v>
      </c>
      <c r="B775" s="5" t="s">
        <v>764</v>
      </c>
      <c r="C775" s="10" t="s">
        <v>671</v>
      </c>
      <c r="D775" s="5" t="s">
        <v>747</v>
      </c>
      <c r="E775" s="5" t="s">
        <v>55</v>
      </c>
      <c r="F775" s="5" t="str">
        <f t="shared" si="108"/>
        <v>Operations-Director</v>
      </c>
      <c r="G775" s="5" t="s">
        <v>47</v>
      </c>
      <c r="H775" s="9">
        <v>44674.895150462966</v>
      </c>
      <c r="I775" s="9">
        <v>44675.895150462966</v>
      </c>
      <c r="J775" s="9" t="e">
        <f>I775+#REF!</f>
        <v>#REF!</v>
      </c>
      <c r="K775" s="9" t="e">
        <f>J775+#REF!</f>
        <v>#REF!</v>
      </c>
      <c r="L775" s="10" t="s">
        <v>41</v>
      </c>
      <c r="M775" s="11">
        <v>44680.895150462966</v>
      </c>
      <c r="N775" s="5" t="s">
        <v>42</v>
      </c>
      <c r="O775" s="5" t="s">
        <v>73</v>
      </c>
      <c r="P775" s="9"/>
      <c r="Q775" s="5"/>
      <c r="R775" s="5"/>
      <c r="S775" s="5"/>
      <c r="T775" s="9"/>
      <c r="U775" s="5"/>
      <c r="V775" s="5">
        <v>0</v>
      </c>
      <c r="W775" s="5"/>
      <c r="X775" s="5"/>
      <c r="Y775" s="5"/>
      <c r="Z775" s="5"/>
      <c r="AA775" s="5" t="s">
        <v>62</v>
      </c>
      <c r="AC775">
        <f t="shared" si="109"/>
        <v>5</v>
      </c>
      <c r="AD775" t="str">
        <f t="shared" si="110"/>
        <v/>
      </c>
      <c r="AE775" t="str">
        <f t="shared" si="111"/>
        <v/>
      </c>
      <c r="AF775" t="str">
        <f t="shared" si="112"/>
        <v/>
      </c>
      <c r="AG775" t="str">
        <f t="shared" si="113"/>
        <v/>
      </c>
      <c r="AH775">
        <f t="shared" si="114"/>
        <v>1</v>
      </c>
      <c r="AI775" t="str">
        <f t="shared" si="115"/>
        <v/>
      </c>
      <c r="AJ775" t="str">
        <f t="shared" si="116"/>
        <v/>
      </c>
    </row>
    <row r="776" spans="1:36">
      <c r="A776" s="5">
        <v>813</v>
      </c>
      <c r="B776" s="5" t="s">
        <v>763</v>
      </c>
      <c r="C776" s="10" t="s">
        <v>671</v>
      </c>
      <c r="D776" s="5" t="s">
        <v>747</v>
      </c>
      <c r="E776" s="5" t="s">
        <v>55</v>
      </c>
      <c r="F776" s="5" t="str">
        <f t="shared" si="108"/>
        <v>Operations-Director</v>
      </c>
      <c r="G776" s="5" t="s">
        <v>47</v>
      </c>
      <c r="H776" s="9">
        <v>44674.895150462966</v>
      </c>
      <c r="I776" s="9">
        <v>44675.895150462966</v>
      </c>
      <c r="J776" s="9" t="e">
        <f>I776+#REF!</f>
        <v>#REF!</v>
      </c>
      <c r="K776" s="9" t="e">
        <f>J776+#REF!</f>
        <v>#REF!</v>
      </c>
      <c r="L776" s="10" t="s">
        <v>41</v>
      </c>
      <c r="M776" s="11">
        <v>44682.895150462966</v>
      </c>
      <c r="N776" s="5" t="s">
        <v>42</v>
      </c>
      <c r="O776" s="5" t="s">
        <v>98</v>
      </c>
      <c r="P776" s="9"/>
      <c r="Q776" s="5"/>
      <c r="R776" s="5"/>
      <c r="S776" s="5"/>
      <c r="T776" s="9">
        <v>44684.895150462966</v>
      </c>
      <c r="U776" s="5"/>
      <c r="V776" s="5">
        <v>0</v>
      </c>
      <c r="W776" s="5"/>
      <c r="X776" s="5"/>
      <c r="Y776" s="5"/>
      <c r="Z776" s="5"/>
      <c r="AA776" s="5" t="s">
        <v>62</v>
      </c>
      <c r="AC776">
        <f t="shared" si="109"/>
        <v>7</v>
      </c>
      <c r="AD776" t="str">
        <f t="shared" si="110"/>
        <v/>
      </c>
      <c r="AE776">
        <f t="shared" si="111"/>
        <v>2</v>
      </c>
      <c r="AF776" t="str">
        <f t="shared" si="112"/>
        <v/>
      </c>
      <c r="AG776" t="str">
        <f t="shared" si="113"/>
        <v/>
      </c>
      <c r="AH776">
        <f t="shared" si="114"/>
        <v>1</v>
      </c>
      <c r="AI776" t="str">
        <f t="shared" si="115"/>
        <v/>
      </c>
      <c r="AJ776" t="str">
        <f t="shared" si="116"/>
        <v/>
      </c>
    </row>
    <row r="777" spans="1:36">
      <c r="A777" s="5">
        <v>814</v>
      </c>
      <c r="B777" s="5" t="s">
        <v>695</v>
      </c>
      <c r="C777" s="10" t="s">
        <v>671</v>
      </c>
      <c r="D777" s="5" t="s">
        <v>672</v>
      </c>
      <c r="E777" s="5" t="s">
        <v>597</v>
      </c>
      <c r="F777" s="5" t="str">
        <f t="shared" si="108"/>
        <v>Operations-Business Partner</v>
      </c>
      <c r="G777" s="5" t="s">
        <v>40</v>
      </c>
      <c r="H777" s="9">
        <v>44671.895150462966</v>
      </c>
      <c r="I777" s="9">
        <v>44672.895150462966</v>
      </c>
      <c r="J777" s="9" t="e">
        <f>I777+#REF!</f>
        <v>#REF!</v>
      </c>
      <c r="K777" s="9" t="e">
        <f>J777+#REF!</f>
        <v>#REF!</v>
      </c>
      <c r="L777" s="10" t="s">
        <v>41</v>
      </c>
      <c r="M777" s="11">
        <v>44686.895150462966</v>
      </c>
      <c r="N777" s="5" t="s">
        <v>48</v>
      </c>
      <c r="O777" s="5"/>
      <c r="P777" s="9">
        <v>44691.895150462966</v>
      </c>
      <c r="Q777" s="5" t="s">
        <v>48</v>
      </c>
      <c r="R777" s="5"/>
      <c r="S777" s="5"/>
      <c r="T777" s="9">
        <v>44690.895150462966</v>
      </c>
      <c r="U777" s="5"/>
      <c r="V777" s="5">
        <v>0</v>
      </c>
      <c r="W777" s="5"/>
      <c r="X777" s="5"/>
      <c r="Y777" s="5"/>
      <c r="Z777" s="5"/>
      <c r="AA777" s="5"/>
      <c r="AC777">
        <f t="shared" si="109"/>
        <v>14</v>
      </c>
      <c r="AD777" t="str">
        <f t="shared" si="110"/>
        <v/>
      </c>
      <c r="AE777">
        <f t="shared" si="111"/>
        <v>4</v>
      </c>
      <c r="AF777" t="str">
        <f t="shared" si="112"/>
        <v/>
      </c>
      <c r="AG777" t="str">
        <f t="shared" si="113"/>
        <v/>
      </c>
      <c r="AH777">
        <f t="shared" si="114"/>
        <v>1</v>
      </c>
      <c r="AI777" t="str">
        <f t="shared" si="115"/>
        <v/>
      </c>
      <c r="AJ777" t="str">
        <f t="shared" si="116"/>
        <v/>
      </c>
    </row>
    <row r="778" spans="1:36">
      <c r="A778" s="5">
        <v>816</v>
      </c>
      <c r="B778" s="5" t="s">
        <v>2140</v>
      </c>
      <c r="C778" s="10" t="s">
        <v>2089</v>
      </c>
      <c r="D778" s="5" t="s">
        <v>2114</v>
      </c>
      <c r="E778" s="5" t="s">
        <v>388</v>
      </c>
      <c r="F778" s="5" t="str">
        <f t="shared" si="108"/>
        <v>Communication and Advocacy-Extension Officer</v>
      </c>
      <c r="G778" s="5" t="s">
        <v>147</v>
      </c>
      <c r="H778" s="9">
        <v>44666.895150462966</v>
      </c>
      <c r="I778" s="9">
        <v>44670.895150462966</v>
      </c>
      <c r="J778" s="9" t="e">
        <f>I778+#REF!</f>
        <v>#REF!</v>
      </c>
      <c r="K778" s="9" t="e">
        <f>J778+#REF!</f>
        <v>#REF!</v>
      </c>
      <c r="L778" s="10" t="s">
        <v>41</v>
      </c>
      <c r="M778" s="11">
        <v>44684.895150462966</v>
      </c>
      <c r="N778" s="5" t="s">
        <v>42</v>
      </c>
      <c r="O778" s="5" t="s">
        <v>98</v>
      </c>
      <c r="P778" s="9"/>
      <c r="Q778" s="5"/>
      <c r="R778" s="5"/>
      <c r="S778" s="5"/>
      <c r="T778" s="9">
        <v>44685.895150462966</v>
      </c>
      <c r="U778" s="5"/>
      <c r="V778" s="5">
        <v>0</v>
      </c>
      <c r="W778" s="5"/>
      <c r="X778" s="5"/>
      <c r="Y778" s="5"/>
      <c r="Z778" s="5"/>
      <c r="AA778" s="5" t="s">
        <v>62</v>
      </c>
      <c r="AC778">
        <f t="shared" si="109"/>
        <v>14</v>
      </c>
      <c r="AD778" t="str">
        <f t="shared" si="110"/>
        <v/>
      </c>
      <c r="AE778">
        <f t="shared" si="111"/>
        <v>1</v>
      </c>
      <c r="AF778" t="str">
        <f t="shared" si="112"/>
        <v/>
      </c>
      <c r="AG778" t="str">
        <f t="shared" si="113"/>
        <v/>
      </c>
      <c r="AH778">
        <f t="shared" si="114"/>
        <v>4</v>
      </c>
      <c r="AI778" t="str">
        <f t="shared" si="115"/>
        <v/>
      </c>
      <c r="AJ778" t="str">
        <f t="shared" si="116"/>
        <v/>
      </c>
    </row>
    <row r="779" spans="1:36">
      <c r="A779" s="5">
        <v>817</v>
      </c>
      <c r="B779" s="5" t="s">
        <v>762</v>
      </c>
      <c r="C779" s="10" t="s">
        <v>671</v>
      </c>
      <c r="D779" s="5" t="s">
        <v>747</v>
      </c>
      <c r="E779" s="5" t="s">
        <v>55</v>
      </c>
      <c r="F779" s="5" t="str">
        <f t="shared" si="108"/>
        <v>Operations-Director</v>
      </c>
      <c r="G779" s="5" t="s">
        <v>47</v>
      </c>
      <c r="H779" s="9">
        <v>44672.895150462966</v>
      </c>
      <c r="I779" s="9">
        <v>44673.895150462966</v>
      </c>
      <c r="J779" s="9" t="e">
        <f>I779+#REF!</f>
        <v>#REF!</v>
      </c>
      <c r="K779" s="9" t="e">
        <f>J779+#REF!</f>
        <v>#REF!</v>
      </c>
      <c r="L779" s="10" t="s">
        <v>41</v>
      </c>
      <c r="M779" s="11">
        <v>44682.895150462966</v>
      </c>
      <c r="N779" s="5" t="s">
        <v>42</v>
      </c>
      <c r="O779" s="5" t="s">
        <v>73</v>
      </c>
      <c r="P779" s="9"/>
      <c r="Q779" s="5"/>
      <c r="R779" s="5"/>
      <c r="S779" s="5"/>
      <c r="T779" s="9"/>
      <c r="U779" s="5"/>
      <c r="V779" s="5">
        <v>0</v>
      </c>
      <c r="W779" s="5"/>
      <c r="X779" s="5"/>
      <c r="Y779" s="5"/>
      <c r="Z779" s="5"/>
      <c r="AA779" s="5" t="s">
        <v>62</v>
      </c>
      <c r="AC779">
        <f t="shared" si="109"/>
        <v>9</v>
      </c>
      <c r="AD779" t="str">
        <f t="shared" si="110"/>
        <v/>
      </c>
      <c r="AE779" t="str">
        <f t="shared" si="111"/>
        <v/>
      </c>
      <c r="AF779" t="str">
        <f t="shared" si="112"/>
        <v/>
      </c>
      <c r="AG779" t="str">
        <f t="shared" si="113"/>
        <v/>
      </c>
      <c r="AH779">
        <f t="shared" si="114"/>
        <v>1</v>
      </c>
      <c r="AI779" t="str">
        <f t="shared" si="115"/>
        <v/>
      </c>
      <c r="AJ779" t="str">
        <f t="shared" si="116"/>
        <v/>
      </c>
    </row>
    <row r="780" spans="1:36">
      <c r="A780" s="5">
        <v>818</v>
      </c>
      <c r="B780" s="5" t="s">
        <v>761</v>
      </c>
      <c r="C780" s="10" t="s">
        <v>671</v>
      </c>
      <c r="D780" s="5" t="s">
        <v>747</v>
      </c>
      <c r="E780" s="5" t="s">
        <v>55</v>
      </c>
      <c r="F780" s="5" t="str">
        <f t="shared" si="108"/>
        <v>Operations-Director</v>
      </c>
      <c r="G780" s="5" t="s">
        <v>47</v>
      </c>
      <c r="H780" s="9">
        <v>44672.895150462966</v>
      </c>
      <c r="I780" s="9">
        <v>44673.895150462966</v>
      </c>
      <c r="J780" s="9" t="e">
        <f>I780+#REF!</f>
        <v>#REF!</v>
      </c>
      <c r="K780" s="9" t="e">
        <f>J780+#REF!</f>
        <v>#REF!</v>
      </c>
      <c r="L780" s="10" t="s">
        <v>41</v>
      </c>
      <c r="M780" s="11">
        <v>44684.895150462966</v>
      </c>
      <c r="N780" s="5" t="s">
        <v>42</v>
      </c>
      <c r="O780" s="5" t="s">
        <v>58</v>
      </c>
      <c r="P780" s="9"/>
      <c r="Q780" s="5"/>
      <c r="R780" s="5"/>
      <c r="S780" s="5"/>
      <c r="T780" s="9"/>
      <c r="U780" s="5"/>
      <c r="V780" s="5">
        <v>0</v>
      </c>
      <c r="W780" s="5"/>
      <c r="X780" s="5"/>
      <c r="Y780" s="5"/>
      <c r="Z780" s="5"/>
      <c r="AA780" s="5" t="s">
        <v>62</v>
      </c>
      <c r="AC780">
        <f t="shared" si="109"/>
        <v>11</v>
      </c>
      <c r="AD780" t="str">
        <f t="shared" si="110"/>
        <v/>
      </c>
      <c r="AE780" t="str">
        <f t="shared" si="111"/>
        <v/>
      </c>
      <c r="AF780" t="str">
        <f t="shared" si="112"/>
        <v/>
      </c>
      <c r="AG780" t="str">
        <f t="shared" si="113"/>
        <v/>
      </c>
      <c r="AH780">
        <f t="shared" si="114"/>
        <v>1</v>
      </c>
      <c r="AI780" t="str">
        <f t="shared" si="115"/>
        <v/>
      </c>
      <c r="AJ780" t="str">
        <f t="shared" si="116"/>
        <v/>
      </c>
    </row>
    <row r="781" spans="1:36">
      <c r="A781" s="5">
        <v>819</v>
      </c>
      <c r="B781" s="5" t="s">
        <v>694</v>
      </c>
      <c r="C781" s="10" t="s">
        <v>671</v>
      </c>
      <c r="D781" s="5" t="s">
        <v>672</v>
      </c>
      <c r="E781" s="5" t="s">
        <v>597</v>
      </c>
      <c r="F781" s="5" t="str">
        <f t="shared" si="108"/>
        <v>Operations-Business Partner</v>
      </c>
      <c r="G781" s="5" t="s">
        <v>40</v>
      </c>
      <c r="H781" s="9">
        <v>44670.895150462966</v>
      </c>
      <c r="I781" s="9">
        <v>44674.895150462966</v>
      </c>
      <c r="J781" s="9" t="e">
        <f>I781+#REF!</f>
        <v>#REF!</v>
      </c>
      <c r="K781" s="9" t="e">
        <f>J781+#REF!</f>
        <v>#REF!</v>
      </c>
      <c r="L781" s="10" t="s">
        <v>41</v>
      </c>
      <c r="M781" s="11">
        <v>44690.895150462966</v>
      </c>
      <c r="N781" s="5" t="s">
        <v>48</v>
      </c>
      <c r="O781" s="5"/>
      <c r="P781" s="9">
        <v>44697.895150462966</v>
      </c>
      <c r="Q781" s="5" t="s">
        <v>48</v>
      </c>
      <c r="R781" s="5"/>
      <c r="S781" s="5"/>
      <c r="T781" s="9">
        <v>44694.895150462966</v>
      </c>
      <c r="U781" s="5"/>
      <c r="V781" s="5">
        <v>0</v>
      </c>
      <c r="W781" s="5"/>
      <c r="X781" s="5"/>
      <c r="Y781" s="5"/>
      <c r="Z781" s="5"/>
      <c r="AA781" s="5"/>
      <c r="AC781">
        <f t="shared" si="109"/>
        <v>16</v>
      </c>
      <c r="AD781" t="str">
        <f t="shared" si="110"/>
        <v/>
      </c>
      <c r="AE781">
        <f t="shared" si="111"/>
        <v>4</v>
      </c>
      <c r="AF781" t="str">
        <f t="shared" si="112"/>
        <v/>
      </c>
      <c r="AG781" t="str">
        <f t="shared" si="113"/>
        <v/>
      </c>
      <c r="AH781">
        <f t="shared" si="114"/>
        <v>4</v>
      </c>
      <c r="AI781" t="str">
        <f t="shared" si="115"/>
        <v/>
      </c>
      <c r="AJ781" t="str">
        <f t="shared" si="116"/>
        <v/>
      </c>
    </row>
    <row r="782" spans="1:36">
      <c r="A782" s="5">
        <v>820</v>
      </c>
      <c r="B782" s="5" t="s">
        <v>2139</v>
      </c>
      <c r="C782" s="10" t="s">
        <v>2089</v>
      </c>
      <c r="D782" s="5" t="s">
        <v>2114</v>
      </c>
      <c r="E782" s="5" t="s">
        <v>388</v>
      </c>
      <c r="F782" s="5" t="str">
        <f t="shared" si="108"/>
        <v>Communication and Advocacy-Extension Officer</v>
      </c>
      <c r="G782" s="5" t="s">
        <v>147</v>
      </c>
      <c r="H782" s="9">
        <v>44672.895150462966</v>
      </c>
      <c r="I782" s="9">
        <v>44675.895150462966</v>
      </c>
      <c r="J782" s="9" t="e">
        <f>I782+#REF!</f>
        <v>#REF!</v>
      </c>
      <c r="K782" s="9" t="e">
        <f>J782+#REF!</f>
        <v>#REF!</v>
      </c>
      <c r="L782" s="10" t="s">
        <v>41</v>
      </c>
      <c r="M782" s="11">
        <v>44689.895150462966</v>
      </c>
      <c r="N782" s="5" t="s">
        <v>42</v>
      </c>
      <c r="O782" s="5" t="s">
        <v>58</v>
      </c>
      <c r="P782" s="9"/>
      <c r="Q782" s="5"/>
      <c r="R782" s="5"/>
      <c r="S782" s="5"/>
      <c r="T782" s="9"/>
      <c r="U782" s="5"/>
      <c r="V782" s="5">
        <v>0</v>
      </c>
      <c r="W782" s="5"/>
      <c r="X782" s="5"/>
      <c r="Y782" s="5"/>
      <c r="Z782" s="5"/>
      <c r="AA782" s="5" t="s">
        <v>44</v>
      </c>
      <c r="AC782">
        <f t="shared" si="109"/>
        <v>14</v>
      </c>
      <c r="AD782" t="str">
        <f t="shared" si="110"/>
        <v/>
      </c>
      <c r="AE782" t="str">
        <f t="shared" si="111"/>
        <v/>
      </c>
      <c r="AF782" t="str">
        <f t="shared" si="112"/>
        <v/>
      </c>
      <c r="AG782" t="str">
        <f t="shared" si="113"/>
        <v/>
      </c>
      <c r="AH782">
        <f t="shared" si="114"/>
        <v>3</v>
      </c>
      <c r="AI782" t="str">
        <f t="shared" si="115"/>
        <v/>
      </c>
      <c r="AJ782" t="str">
        <f t="shared" si="116"/>
        <v/>
      </c>
    </row>
    <row r="783" spans="1:36">
      <c r="A783" s="5">
        <v>821</v>
      </c>
      <c r="B783" s="5" t="s">
        <v>228</v>
      </c>
      <c r="C783" s="5" t="s">
        <v>100</v>
      </c>
      <c r="D783" s="5" t="s">
        <v>146</v>
      </c>
      <c r="E783" s="5" t="s">
        <v>39</v>
      </c>
      <c r="F783" s="5" t="str">
        <f t="shared" si="108"/>
        <v>Program Office-Analyst</v>
      </c>
      <c r="G783" s="5" t="s">
        <v>147</v>
      </c>
      <c r="H783" s="9">
        <v>44624.625335648147</v>
      </c>
      <c r="I783" s="9">
        <v>44625.625335648147</v>
      </c>
      <c r="J783" s="9" t="e">
        <f>I783+#REF!</f>
        <v>#REF!</v>
      </c>
      <c r="K783" s="9" t="e">
        <f>J783+#REF!</f>
        <v>#REF!</v>
      </c>
      <c r="L783" s="10" t="s">
        <v>41</v>
      </c>
      <c r="M783" s="11">
        <v>44643.625335648147</v>
      </c>
      <c r="N783" s="5" t="s">
        <v>42</v>
      </c>
      <c r="O783" s="5" t="s">
        <v>98</v>
      </c>
      <c r="P783" s="9"/>
      <c r="Q783" s="5"/>
      <c r="R783" s="5"/>
      <c r="S783" s="5"/>
      <c r="T783" s="9">
        <v>44647.625335648147</v>
      </c>
      <c r="U783" s="5"/>
      <c r="V783" s="5">
        <v>0</v>
      </c>
      <c r="W783" s="5"/>
      <c r="X783" s="5"/>
      <c r="Y783" s="5"/>
      <c r="Z783" s="5"/>
      <c r="AA783" s="5" t="s">
        <v>44</v>
      </c>
      <c r="AC783">
        <f t="shared" si="109"/>
        <v>18</v>
      </c>
      <c r="AD783" t="str">
        <f t="shared" si="110"/>
        <v/>
      </c>
      <c r="AE783">
        <f t="shared" si="111"/>
        <v>4</v>
      </c>
      <c r="AF783" t="str">
        <f t="shared" si="112"/>
        <v/>
      </c>
      <c r="AG783" t="str">
        <f t="shared" si="113"/>
        <v/>
      </c>
      <c r="AH783">
        <f t="shared" si="114"/>
        <v>1</v>
      </c>
      <c r="AI783" t="str">
        <f t="shared" si="115"/>
        <v/>
      </c>
      <c r="AJ783" t="str">
        <f t="shared" si="116"/>
        <v/>
      </c>
    </row>
    <row r="784" spans="1:36">
      <c r="A784" s="5">
        <v>822</v>
      </c>
      <c r="B784" s="5" t="s">
        <v>467</v>
      </c>
      <c r="C784" s="5" t="s">
        <v>100</v>
      </c>
      <c r="D784" s="5" t="s">
        <v>387</v>
      </c>
      <c r="E784" s="5" t="s">
        <v>388</v>
      </c>
      <c r="F784" s="5" t="str">
        <f t="shared" si="108"/>
        <v>Program Office-Extension Officer</v>
      </c>
      <c r="G784" s="5" t="s">
        <v>40</v>
      </c>
      <c r="H784" s="9">
        <v>44627.625335648147</v>
      </c>
      <c r="I784" s="9">
        <v>44628.625335648147</v>
      </c>
      <c r="J784" s="9" t="e">
        <f>I784+#REF!</f>
        <v>#REF!</v>
      </c>
      <c r="K784" s="9" t="e">
        <f>J784+#REF!</f>
        <v>#REF!</v>
      </c>
      <c r="L784" s="10" t="s">
        <v>52</v>
      </c>
      <c r="M784" s="11"/>
      <c r="N784" s="5"/>
      <c r="O784" s="5"/>
      <c r="P784" s="9"/>
      <c r="Q784" s="5"/>
      <c r="R784" s="5"/>
      <c r="S784" s="5"/>
      <c r="T784" s="9"/>
      <c r="U784" s="5"/>
      <c r="V784" s="5">
        <v>0</v>
      </c>
      <c r="W784" s="5"/>
      <c r="X784" s="5"/>
      <c r="Y784" s="5"/>
      <c r="Z784" s="5"/>
      <c r="AA784" s="5"/>
      <c r="AC784" t="str">
        <f t="shared" si="109"/>
        <v/>
      </c>
      <c r="AD784" t="str">
        <f t="shared" si="110"/>
        <v/>
      </c>
      <c r="AE784" t="str">
        <f t="shared" si="111"/>
        <v/>
      </c>
      <c r="AF784" t="str">
        <f t="shared" si="112"/>
        <v/>
      </c>
      <c r="AG784" t="str">
        <f t="shared" si="113"/>
        <v/>
      </c>
      <c r="AH784">
        <f t="shared" si="114"/>
        <v>1</v>
      </c>
      <c r="AI784" t="str">
        <f t="shared" si="115"/>
        <v/>
      </c>
      <c r="AJ784" t="str">
        <f t="shared" si="116"/>
        <v/>
      </c>
    </row>
    <row r="785" spans="1:36">
      <c r="A785" s="5">
        <v>823</v>
      </c>
      <c r="B785" s="5" t="s">
        <v>645</v>
      </c>
      <c r="C785" s="5" t="s">
        <v>100</v>
      </c>
      <c r="D785" s="5" t="s">
        <v>554</v>
      </c>
      <c r="E785" s="5" t="s">
        <v>597</v>
      </c>
      <c r="F785" s="5" t="str">
        <f t="shared" si="108"/>
        <v>Program Office-Business Partner</v>
      </c>
      <c r="G785" s="5" t="s">
        <v>47</v>
      </c>
      <c r="H785" s="9">
        <v>44626.625335648147</v>
      </c>
      <c r="I785" s="9">
        <v>44627.625335648147</v>
      </c>
      <c r="J785" s="9" t="e">
        <f>I785+#REF!</f>
        <v>#REF!</v>
      </c>
      <c r="K785" s="9" t="e">
        <f>J785+#REF!</f>
        <v>#REF!</v>
      </c>
      <c r="L785" s="10" t="s">
        <v>41</v>
      </c>
      <c r="M785" s="11">
        <v>44649.625335648147</v>
      </c>
      <c r="N785" s="5" t="s">
        <v>64</v>
      </c>
      <c r="O785" s="5"/>
      <c r="P785" s="9">
        <v>44653.625335648147</v>
      </c>
      <c r="Q785" s="5" t="s">
        <v>64</v>
      </c>
      <c r="R785" s="9">
        <v>44650.625335648147</v>
      </c>
      <c r="S785" s="9">
        <v>44654.625335648147</v>
      </c>
      <c r="T785" s="9">
        <v>44651.625335648147</v>
      </c>
      <c r="U785" s="9">
        <v>44655.625335648147</v>
      </c>
      <c r="V785" s="12">
        <v>1</v>
      </c>
      <c r="W785" s="9">
        <v>44658.625335648147</v>
      </c>
      <c r="X785" s="9">
        <v>44660.625335648147</v>
      </c>
      <c r="Y785" s="9">
        <v>44663.625335648147</v>
      </c>
      <c r="Z785" s="5"/>
      <c r="AA785" s="5"/>
      <c r="AB785" s="13">
        <v>44680.625335648147</v>
      </c>
      <c r="AC785">
        <f t="shared" si="109"/>
        <v>22</v>
      </c>
      <c r="AD785">
        <f t="shared" si="110"/>
        <v>27</v>
      </c>
      <c r="AE785">
        <f t="shared" si="111"/>
        <v>2</v>
      </c>
      <c r="AF785">
        <f t="shared" si="112"/>
        <v>5</v>
      </c>
      <c r="AG785">
        <f t="shared" si="113"/>
        <v>3</v>
      </c>
      <c r="AH785">
        <f t="shared" si="114"/>
        <v>1</v>
      </c>
      <c r="AI785" t="str">
        <f t="shared" si="115"/>
        <v/>
      </c>
      <c r="AJ785" t="str">
        <f t="shared" si="116"/>
        <v/>
      </c>
    </row>
    <row r="786" spans="1:36">
      <c r="A786" s="5">
        <v>824</v>
      </c>
      <c r="B786" s="5" t="s">
        <v>227</v>
      </c>
      <c r="C786" s="5" t="s">
        <v>100</v>
      </c>
      <c r="D786" s="5" t="s">
        <v>146</v>
      </c>
      <c r="E786" s="5" t="s">
        <v>39</v>
      </c>
      <c r="F786" s="5" t="str">
        <f t="shared" si="108"/>
        <v>Program Office-Analyst</v>
      </c>
      <c r="G786" s="5" t="s">
        <v>147</v>
      </c>
      <c r="H786" s="9">
        <v>44621.625335648147</v>
      </c>
      <c r="I786" s="9">
        <v>44625.625335648147</v>
      </c>
      <c r="J786" s="9" t="e">
        <f>I786+#REF!</f>
        <v>#REF!</v>
      </c>
      <c r="K786" s="9" t="e">
        <f>J786+#REF!</f>
        <v>#REF!</v>
      </c>
      <c r="L786" s="10" t="s">
        <v>41</v>
      </c>
      <c r="M786" s="11">
        <v>44641.625335648147</v>
      </c>
      <c r="N786" s="5" t="s">
        <v>42</v>
      </c>
      <c r="O786" s="5" t="s">
        <v>73</v>
      </c>
      <c r="P786" s="9"/>
      <c r="Q786" s="5"/>
      <c r="R786" s="5"/>
      <c r="S786" s="5"/>
      <c r="T786" s="9"/>
      <c r="U786" s="5"/>
      <c r="V786" s="5">
        <v>0</v>
      </c>
      <c r="W786" s="5"/>
      <c r="X786" s="5"/>
      <c r="Y786" s="5"/>
      <c r="Z786" s="5"/>
      <c r="AA786" s="5" t="s">
        <v>62</v>
      </c>
      <c r="AC786">
        <f t="shared" si="109"/>
        <v>16</v>
      </c>
      <c r="AD786" t="str">
        <f t="shared" si="110"/>
        <v/>
      </c>
      <c r="AE786" t="str">
        <f t="shared" si="111"/>
        <v/>
      </c>
      <c r="AF786" t="str">
        <f t="shared" si="112"/>
        <v/>
      </c>
      <c r="AG786" t="str">
        <f t="shared" si="113"/>
        <v/>
      </c>
      <c r="AH786">
        <f t="shared" si="114"/>
        <v>4</v>
      </c>
      <c r="AI786" t="str">
        <f t="shared" si="115"/>
        <v/>
      </c>
      <c r="AJ786" t="str">
        <f t="shared" si="116"/>
        <v/>
      </c>
    </row>
    <row r="787" spans="1:36">
      <c r="A787" s="5">
        <v>825</v>
      </c>
      <c r="B787" s="5" t="s">
        <v>226</v>
      </c>
      <c r="C787" s="5" t="s">
        <v>100</v>
      </c>
      <c r="D787" s="5" t="s">
        <v>146</v>
      </c>
      <c r="E787" s="5" t="s">
        <v>39</v>
      </c>
      <c r="F787" s="5" t="str">
        <f t="shared" si="108"/>
        <v>Program Office-Analyst</v>
      </c>
      <c r="G787" s="5" t="s">
        <v>147</v>
      </c>
      <c r="H787" s="9">
        <v>44628.625335648147</v>
      </c>
      <c r="I787" s="9">
        <v>44629.625335648147</v>
      </c>
      <c r="J787" s="9" t="e">
        <f>I787+#REF!</f>
        <v>#REF!</v>
      </c>
      <c r="K787" s="9" t="e">
        <f>J787+#REF!</f>
        <v>#REF!</v>
      </c>
      <c r="L787" s="10" t="s">
        <v>41</v>
      </c>
      <c r="M787" s="11">
        <v>44647.625335648147</v>
      </c>
      <c r="N787" s="5" t="s">
        <v>64</v>
      </c>
      <c r="O787" s="5"/>
      <c r="P787" s="9">
        <v>44652.625335648147</v>
      </c>
      <c r="Q787" s="5" t="s">
        <v>64</v>
      </c>
      <c r="R787" s="9">
        <v>44649.625335648147</v>
      </c>
      <c r="S787" s="9">
        <v>44651.625335648147</v>
      </c>
      <c r="T787" s="9">
        <v>44650.625335648147</v>
      </c>
      <c r="U787" s="9">
        <v>44659.625335648147</v>
      </c>
      <c r="V787" s="12">
        <v>1</v>
      </c>
      <c r="W787" s="9">
        <v>44662.625335648147</v>
      </c>
      <c r="X787" s="9">
        <v>44664.625335648147</v>
      </c>
      <c r="Y787" s="9">
        <v>44665.625335648147</v>
      </c>
      <c r="Z787" s="5"/>
      <c r="AA787" s="5"/>
      <c r="AB787" s="13">
        <v>44679.625335648147</v>
      </c>
      <c r="AC787">
        <f t="shared" si="109"/>
        <v>18</v>
      </c>
      <c r="AD787">
        <f t="shared" si="110"/>
        <v>22</v>
      </c>
      <c r="AE787">
        <f t="shared" si="111"/>
        <v>3</v>
      </c>
      <c r="AF787">
        <f t="shared" si="112"/>
        <v>5</v>
      </c>
      <c r="AG787">
        <f t="shared" si="113"/>
        <v>3</v>
      </c>
      <c r="AH787">
        <f t="shared" si="114"/>
        <v>1</v>
      </c>
      <c r="AI787" t="str">
        <f t="shared" si="115"/>
        <v/>
      </c>
      <c r="AJ787" t="str">
        <f t="shared" si="116"/>
        <v/>
      </c>
    </row>
    <row r="788" spans="1:36">
      <c r="A788" s="5">
        <v>826</v>
      </c>
      <c r="B788" s="5" t="s">
        <v>351</v>
      </c>
      <c r="C788" s="5" t="s">
        <v>100</v>
      </c>
      <c r="D788" s="5" t="s">
        <v>268</v>
      </c>
      <c r="E788" s="5" t="s">
        <v>291</v>
      </c>
      <c r="F788" s="5" t="str">
        <f t="shared" si="108"/>
        <v>Program Office-Cordination Manager</v>
      </c>
      <c r="G788" s="5" t="s">
        <v>270</v>
      </c>
      <c r="H788" s="9">
        <v>44626.625335648147</v>
      </c>
      <c r="I788" s="9">
        <v>44629.625335648147</v>
      </c>
      <c r="J788" s="9" t="e">
        <f>I788+#REF!</f>
        <v>#REF!</v>
      </c>
      <c r="K788" s="9" t="e">
        <f>J788+#REF!</f>
        <v>#REF!</v>
      </c>
      <c r="L788" s="10" t="s">
        <v>41</v>
      </c>
      <c r="M788" s="11">
        <v>44646.625335648147</v>
      </c>
      <c r="N788" s="5" t="s">
        <v>64</v>
      </c>
      <c r="O788" s="5"/>
      <c r="P788" s="9">
        <v>44651.625335648147</v>
      </c>
      <c r="Q788" s="5" t="s">
        <v>64</v>
      </c>
      <c r="R788" s="9">
        <v>44648.625335648147</v>
      </c>
      <c r="S788" s="9">
        <v>44652.625335648147</v>
      </c>
      <c r="T788" s="9">
        <v>44650.625335648147</v>
      </c>
      <c r="U788" s="9">
        <v>44654.625335648147</v>
      </c>
      <c r="V788" s="12">
        <v>1</v>
      </c>
      <c r="W788" s="9">
        <v>44655.625335648147</v>
      </c>
      <c r="X788" s="9">
        <v>44657.625335648147</v>
      </c>
      <c r="Y788" s="9">
        <v>44660.625335648147</v>
      </c>
      <c r="Z788" s="5"/>
      <c r="AA788" s="5"/>
      <c r="AB788" s="13">
        <v>44671.625335648147</v>
      </c>
      <c r="AC788">
        <f t="shared" si="109"/>
        <v>17</v>
      </c>
      <c r="AD788">
        <f t="shared" si="110"/>
        <v>23</v>
      </c>
      <c r="AE788">
        <f t="shared" si="111"/>
        <v>4</v>
      </c>
      <c r="AF788">
        <f t="shared" si="112"/>
        <v>3</v>
      </c>
      <c r="AG788">
        <f t="shared" si="113"/>
        <v>1</v>
      </c>
      <c r="AH788">
        <f t="shared" si="114"/>
        <v>3</v>
      </c>
      <c r="AI788" t="str">
        <f t="shared" si="115"/>
        <v/>
      </c>
      <c r="AJ788" t="str">
        <f t="shared" si="116"/>
        <v/>
      </c>
    </row>
    <row r="789" spans="1:36">
      <c r="A789" s="5">
        <v>827</v>
      </c>
      <c r="B789" s="5" t="s">
        <v>225</v>
      </c>
      <c r="C789" s="5" t="s">
        <v>100</v>
      </c>
      <c r="D789" s="5" t="s">
        <v>146</v>
      </c>
      <c r="E789" s="5" t="s">
        <v>39</v>
      </c>
      <c r="F789" s="5" t="str">
        <f t="shared" si="108"/>
        <v>Program Office-Analyst</v>
      </c>
      <c r="G789" s="5" t="s">
        <v>147</v>
      </c>
      <c r="H789" s="9">
        <v>44625.625335648147</v>
      </c>
      <c r="I789" s="9">
        <v>44627.625335648147</v>
      </c>
      <c r="J789" s="9" t="e">
        <f>I789+#REF!</f>
        <v>#REF!</v>
      </c>
      <c r="K789" s="9" t="e">
        <f>J789+#REF!</f>
        <v>#REF!</v>
      </c>
      <c r="L789" s="10" t="s">
        <v>52</v>
      </c>
      <c r="M789" s="11"/>
      <c r="N789" s="5"/>
      <c r="O789" s="5"/>
      <c r="P789" s="9"/>
      <c r="Q789" s="5"/>
      <c r="R789" s="5"/>
      <c r="S789" s="5"/>
      <c r="T789" s="9"/>
      <c r="U789" s="5"/>
      <c r="V789" s="5">
        <v>0</v>
      </c>
      <c r="W789" s="5"/>
      <c r="X789" s="5"/>
      <c r="Y789" s="5"/>
      <c r="Z789" s="5"/>
      <c r="AA789" s="5"/>
      <c r="AC789" t="str">
        <f t="shared" si="109"/>
        <v/>
      </c>
      <c r="AD789" t="str">
        <f t="shared" si="110"/>
        <v/>
      </c>
      <c r="AE789" t="str">
        <f t="shared" si="111"/>
        <v/>
      </c>
      <c r="AF789" t="str">
        <f t="shared" si="112"/>
        <v/>
      </c>
      <c r="AG789" t="str">
        <f t="shared" si="113"/>
        <v/>
      </c>
      <c r="AH789">
        <f t="shared" si="114"/>
        <v>2</v>
      </c>
      <c r="AI789" t="str">
        <f t="shared" si="115"/>
        <v/>
      </c>
      <c r="AJ789" t="str">
        <f t="shared" si="116"/>
        <v/>
      </c>
    </row>
    <row r="790" spans="1:36">
      <c r="A790" s="5">
        <v>828</v>
      </c>
      <c r="B790" s="5" t="s">
        <v>350</v>
      </c>
      <c r="C790" s="5" t="s">
        <v>100</v>
      </c>
      <c r="D790" s="5" t="s">
        <v>268</v>
      </c>
      <c r="E790" s="5" t="s">
        <v>291</v>
      </c>
      <c r="F790" s="5" t="str">
        <f t="shared" si="108"/>
        <v>Program Office-Cordination Manager</v>
      </c>
      <c r="G790" s="5" t="s">
        <v>270</v>
      </c>
      <c r="H790" s="9">
        <v>44626.625335648147</v>
      </c>
      <c r="I790" s="9">
        <v>44629.625335648147</v>
      </c>
      <c r="J790" s="9" t="e">
        <f>I790+#REF!</f>
        <v>#REF!</v>
      </c>
      <c r="K790" s="9" t="e">
        <f>J790+#REF!</f>
        <v>#REF!</v>
      </c>
      <c r="L790" s="10" t="s">
        <v>41</v>
      </c>
      <c r="M790" s="11">
        <v>44640.625335648147</v>
      </c>
      <c r="N790" s="5" t="s">
        <v>167</v>
      </c>
      <c r="O790" s="5"/>
      <c r="P790" s="9">
        <v>44644.625335648147</v>
      </c>
      <c r="Q790" s="5" t="s">
        <v>167</v>
      </c>
      <c r="R790" s="5"/>
      <c r="S790" s="5"/>
      <c r="T790" s="9">
        <v>44641.625335648147</v>
      </c>
      <c r="U790" s="5"/>
      <c r="V790" s="5">
        <v>0</v>
      </c>
      <c r="W790" s="5"/>
      <c r="X790" s="5"/>
      <c r="Y790" s="5"/>
      <c r="Z790" s="5"/>
      <c r="AA790" s="5"/>
      <c r="AC790">
        <f t="shared" si="109"/>
        <v>11</v>
      </c>
      <c r="AD790" t="str">
        <f t="shared" si="110"/>
        <v/>
      </c>
      <c r="AE790">
        <f t="shared" si="111"/>
        <v>1</v>
      </c>
      <c r="AF790" t="str">
        <f t="shared" si="112"/>
        <v/>
      </c>
      <c r="AG790" t="str">
        <f t="shared" si="113"/>
        <v/>
      </c>
      <c r="AH790">
        <f t="shared" si="114"/>
        <v>3</v>
      </c>
      <c r="AI790" t="str">
        <f t="shared" si="115"/>
        <v/>
      </c>
      <c r="AJ790" t="str">
        <f t="shared" si="116"/>
        <v/>
      </c>
    </row>
    <row r="791" spans="1:36">
      <c r="A791" s="5">
        <v>829</v>
      </c>
      <c r="B791" s="5" t="s">
        <v>349</v>
      </c>
      <c r="C791" s="5" t="s">
        <v>100</v>
      </c>
      <c r="D791" s="5" t="s">
        <v>268</v>
      </c>
      <c r="E791" s="5" t="s">
        <v>291</v>
      </c>
      <c r="F791" s="5" t="str">
        <f t="shared" si="108"/>
        <v>Program Office-Cordination Manager</v>
      </c>
      <c r="G791" s="5" t="s">
        <v>270</v>
      </c>
      <c r="H791" s="9">
        <v>44624.625335648147</v>
      </c>
      <c r="I791" s="9">
        <v>44626.625335648147</v>
      </c>
      <c r="J791" s="9" t="e">
        <f>I791+#REF!</f>
        <v>#REF!</v>
      </c>
      <c r="K791" s="9" t="e">
        <f>J791+#REF!</f>
        <v>#REF!</v>
      </c>
      <c r="L791" s="10" t="s">
        <v>41</v>
      </c>
      <c r="M791" s="11">
        <v>44647.625335648147</v>
      </c>
      <c r="N791" s="5" t="s">
        <v>64</v>
      </c>
      <c r="O791" s="5"/>
      <c r="P791" s="9">
        <v>44651.625335648147</v>
      </c>
      <c r="Q791" s="5" t="s">
        <v>64</v>
      </c>
      <c r="R791" s="9">
        <v>44648.625335648147</v>
      </c>
      <c r="S791" s="9">
        <v>44652.625335648147</v>
      </c>
      <c r="T791" s="9">
        <v>44649.625335648147</v>
      </c>
      <c r="U791" s="9">
        <v>44654.625335648147</v>
      </c>
      <c r="V791" s="12">
        <v>1</v>
      </c>
      <c r="W791" s="9">
        <v>44657.625335648147</v>
      </c>
      <c r="X791" s="9">
        <v>44659.625335648147</v>
      </c>
      <c r="Y791" s="9">
        <v>44662.625335648147</v>
      </c>
      <c r="Z791" s="5"/>
      <c r="AA791" s="5"/>
      <c r="AB791" s="13">
        <v>44675.625335648147</v>
      </c>
      <c r="AC791">
        <f t="shared" si="109"/>
        <v>21</v>
      </c>
      <c r="AD791">
        <f t="shared" si="110"/>
        <v>26</v>
      </c>
      <c r="AE791">
        <f t="shared" si="111"/>
        <v>2</v>
      </c>
      <c r="AF791">
        <f t="shared" si="112"/>
        <v>5</v>
      </c>
      <c r="AG791">
        <f t="shared" si="113"/>
        <v>3</v>
      </c>
      <c r="AH791">
        <f t="shared" si="114"/>
        <v>2</v>
      </c>
      <c r="AI791" t="str">
        <f t="shared" si="115"/>
        <v/>
      </c>
      <c r="AJ791" t="str">
        <f t="shared" si="116"/>
        <v/>
      </c>
    </row>
    <row r="792" spans="1:36">
      <c r="A792" s="5">
        <v>830</v>
      </c>
      <c r="B792" s="5" t="s">
        <v>521</v>
      </c>
      <c r="C792" s="5" t="s">
        <v>100</v>
      </c>
      <c r="D792" s="5" t="s">
        <v>506</v>
      </c>
      <c r="E792" s="5" t="s">
        <v>55</v>
      </c>
      <c r="F792" s="5" t="str">
        <f t="shared" si="108"/>
        <v>Program Office-Director</v>
      </c>
      <c r="G792" s="5" t="s">
        <v>56</v>
      </c>
      <c r="H792" s="9">
        <v>44627.625335648147</v>
      </c>
      <c r="I792" s="9">
        <v>44630.625335648147</v>
      </c>
      <c r="J792" s="9" t="e">
        <f>I792+#REF!</f>
        <v>#REF!</v>
      </c>
      <c r="K792" s="9" t="e">
        <f>J792+#REF!</f>
        <v>#REF!</v>
      </c>
      <c r="L792" s="10" t="s">
        <v>41</v>
      </c>
      <c r="M792" s="11">
        <v>44638.625335648147</v>
      </c>
      <c r="N792" s="5" t="s">
        <v>48</v>
      </c>
      <c r="O792" s="5"/>
      <c r="P792" s="9">
        <v>44645.625335648147</v>
      </c>
      <c r="Q792" s="5" t="s">
        <v>48</v>
      </c>
      <c r="R792" s="5"/>
      <c r="S792" s="5"/>
      <c r="T792" s="9">
        <v>44641.625335648147</v>
      </c>
      <c r="U792" s="5"/>
      <c r="V792" s="5">
        <v>0</v>
      </c>
      <c r="W792" s="5"/>
      <c r="X792" s="5"/>
      <c r="Y792" s="5"/>
      <c r="Z792" s="5"/>
      <c r="AA792" s="5"/>
      <c r="AC792">
        <f t="shared" si="109"/>
        <v>8</v>
      </c>
      <c r="AD792" t="str">
        <f t="shared" si="110"/>
        <v/>
      </c>
      <c r="AE792">
        <f t="shared" si="111"/>
        <v>3</v>
      </c>
      <c r="AF792" t="str">
        <f t="shared" si="112"/>
        <v/>
      </c>
      <c r="AG792" t="str">
        <f t="shared" si="113"/>
        <v/>
      </c>
      <c r="AH792">
        <f t="shared" si="114"/>
        <v>3</v>
      </c>
      <c r="AI792" t="str">
        <f t="shared" si="115"/>
        <v/>
      </c>
      <c r="AJ792" t="str">
        <f t="shared" si="116"/>
        <v/>
      </c>
    </row>
    <row r="793" spans="1:36">
      <c r="A793" s="5">
        <v>831</v>
      </c>
      <c r="B793" s="5" t="s">
        <v>644</v>
      </c>
      <c r="C793" s="5" t="s">
        <v>100</v>
      </c>
      <c r="D793" s="5" t="s">
        <v>554</v>
      </c>
      <c r="E793" s="5" t="s">
        <v>597</v>
      </c>
      <c r="F793" s="5" t="str">
        <f t="shared" si="108"/>
        <v>Program Office-Business Partner</v>
      </c>
      <c r="G793" s="5" t="s">
        <v>47</v>
      </c>
      <c r="H793" s="9">
        <v>44751.707071759258</v>
      </c>
      <c r="I793" s="9">
        <v>44754.707071759258</v>
      </c>
      <c r="J793" s="9" t="e">
        <f>I793+#REF!</f>
        <v>#REF!</v>
      </c>
      <c r="K793" s="9" t="e">
        <f>J793+#REF!</f>
        <v>#REF!</v>
      </c>
      <c r="L793" s="10" t="s">
        <v>52</v>
      </c>
      <c r="M793" s="11"/>
      <c r="N793" s="5"/>
      <c r="O793" s="5"/>
      <c r="P793" s="9"/>
      <c r="Q793" s="5"/>
      <c r="R793" s="5"/>
      <c r="S793" s="5"/>
      <c r="T793" s="9"/>
      <c r="U793" s="5"/>
      <c r="V793" s="5">
        <v>0</v>
      </c>
      <c r="W793" s="5"/>
      <c r="X793" s="5"/>
      <c r="Y793" s="5"/>
      <c r="Z793" s="5"/>
      <c r="AA793" s="5"/>
      <c r="AC793" t="str">
        <f t="shared" si="109"/>
        <v/>
      </c>
      <c r="AD793" t="str">
        <f t="shared" si="110"/>
        <v/>
      </c>
      <c r="AE793" t="str">
        <f t="shared" si="111"/>
        <v/>
      </c>
      <c r="AF793" t="str">
        <f t="shared" si="112"/>
        <v/>
      </c>
      <c r="AG793" t="str">
        <f t="shared" si="113"/>
        <v/>
      </c>
      <c r="AH793">
        <f t="shared" si="114"/>
        <v>3</v>
      </c>
      <c r="AI793" t="str">
        <f t="shared" si="115"/>
        <v/>
      </c>
      <c r="AJ793" t="str">
        <f t="shared" si="116"/>
        <v/>
      </c>
    </row>
    <row r="794" spans="1:36">
      <c r="A794" s="5">
        <v>832</v>
      </c>
      <c r="B794" s="5" t="s">
        <v>643</v>
      </c>
      <c r="C794" s="5" t="s">
        <v>100</v>
      </c>
      <c r="D794" s="5" t="s">
        <v>554</v>
      </c>
      <c r="E794" s="5" t="s">
        <v>597</v>
      </c>
      <c r="F794" s="5" t="str">
        <f t="shared" si="108"/>
        <v>Program Office-Business Partner</v>
      </c>
      <c r="G794" s="5" t="s">
        <v>47</v>
      </c>
      <c r="H794" s="9">
        <v>44756.707071759258</v>
      </c>
      <c r="I794" s="9">
        <v>44758.707071759258</v>
      </c>
      <c r="J794" s="9" t="e">
        <f>I794+#REF!</f>
        <v>#REF!</v>
      </c>
      <c r="K794" s="9" t="e">
        <f>J794+#REF!</f>
        <v>#REF!</v>
      </c>
      <c r="L794" s="10" t="s">
        <v>41</v>
      </c>
      <c r="M794" s="11">
        <v>44767.707071759258</v>
      </c>
      <c r="N794" s="5" t="s">
        <v>48</v>
      </c>
      <c r="O794" s="5"/>
      <c r="P794" s="9">
        <v>44775.707071759258</v>
      </c>
      <c r="Q794" s="5" t="s">
        <v>48</v>
      </c>
      <c r="R794" s="5"/>
      <c r="S794" s="5"/>
      <c r="T794" s="9">
        <v>44771.707071759258</v>
      </c>
      <c r="U794" s="5"/>
      <c r="V794" s="5">
        <v>0</v>
      </c>
      <c r="W794" s="5"/>
      <c r="X794" s="5"/>
      <c r="Y794" s="5"/>
      <c r="Z794" s="5"/>
      <c r="AA794" s="5"/>
      <c r="AC794">
        <f t="shared" si="109"/>
        <v>9</v>
      </c>
      <c r="AD794" t="str">
        <f t="shared" si="110"/>
        <v/>
      </c>
      <c r="AE794">
        <f t="shared" si="111"/>
        <v>4</v>
      </c>
      <c r="AF794" t="str">
        <f t="shared" si="112"/>
        <v/>
      </c>
      <c r="AG794" t="str">
        <f t="shared" si="113"/>
        <v/>
      </c>
      <c r="AH794">
        <f t="shared" si="114"/>
        <v>2</v>
      </c>
      <c r="AI794" t="str">
        <f t="shared" si="115"/>
        <v/>
      </c>
      <c r="AJ794" t="str">
        <f t="shared" si="116"/>
        <v/>
      </c>
    </row>
    <row r="795" spans="1:36">
      <c r="A795" s="5">
        <v>833</v>
      </c>
      <c r="B795" s="5" t="s">
        <v>348</v>
      </c>
      <c r="C795" s="5" t="s">
        <v>100</v>
      </c>
      <c r="D795" s="5" t="s">
        <v>268</v>
      </c>
      <c r="E795" s="5" t="s">
        <v>291</v>
      </c>
      <c r="F795" s="5" t="str">
        <f t="shared" si="108"/>
        <v>Program Office-Cordination Manager</v>
      </c>
      <c r="G795" s="5" t="s">
        <v>270</v>
      </c>
      <c r="H795" s="9">
        <v>44755.707071759258</v>
      </c>
      <c r="I795" s="9">
        <v>44758.707071759258</v>
      </c>
      <c r="J795" s="9" t="e">
        <f>I795+#REF!</f>
        <v>#REF!</v>
      </c>
      <c r="K795" s="9" t="e">
        <f>J795+#REF!</f>
        <v>#REF!</v>
      </c>
      <c r="L795" s="10" t="s">
        <v>52</v>
      </c>
      <c r="M795" s="11"/>
      <c r="N795" s="5"/>
      <c r="O795" s="5"/>
      <c r="P795" s="9"/>
      <c r="Q795" s="5"/>
      <c r="R795" s="5"/>
      <c r="S795" s="5"/>
      <c r="T795" s="9"/>
      <c r="U795" s="5"/>
      <c r="V795" s="5">
        <v>0</v>
      </c>
      <c r="W795" s="5"/>
      <c r="X795" s="5"/>
      <c r="Y795" s="5"/>
      <c r="Z795" s="5"/>
      <c r="AA795" s="5"/>
      <c r="AC795" t="str">
        <f t="shared" si="109"/>
        <v/>
      </c>
      <c r="AD795" t="str">
        <f t="shared" si="110"/>
        <v/>
      </c>
      <c r="AE795" t="str">
        <f t="shared" si="111"/>
        <v/>
      </c>
      <c r="AF795" t="str">
        <f t="shared" si="112"/>
        <v/>
      </c>
      <c r="AG795" t="str">
        <f t="shared" si="113"/>
        <v/>
      </c>
      <c r="AH795">
        <f t="shared" si="114"/>
        <v>3</v>
      </c>
      <c r="AI795" t="str">
        <f t="shared" si="115"/>
        <v/>
      </c>
      <c r="AJ795" t="str">
        <f t="shared" si="116"/>
        <v/>
      </c>
    </row>
    <row r="796" spans="1:36">
      <c r="A796" s="5">
        <v>834</v>
      </c>
      <c r="B796" s="5" t="s">
        <v>466</v>
      </c>
      <c r="C796" s="5" t="s">
        <v>100</v>
      </c>
      <c r="D796" s="5" t="s">
        <v>387</v>
      </c>
      <c r="E796" s="5" t="s">
        <v>388</v>
      </c>
      <c r="F796" s="5" t="str">
        <f t="shared" si="108"/>
        <v>Program Office-Extension Officer</v>
      </c>
      <c r="G796" s="5" t="s">
        <v>40</v>
      </c>
      <c r="H796" s="9">
        <v>44755.707071759258</v>
      </c>
      <c r="I796" s="9">
        <v>44756.707071759258</v>
      </c>
      <c r="J796" s="9" t="e">
        <f>I796+#REF!</f>
        <v>#REF!</v>
      </c>
      <c r="K796" s="9" t="e">
        <f>J796+#REF!</f>
        <v>#REF!</v>
      </c>
      <c r="L796" s="10" t="s">
        <v>41</v>
      </c>
      <c r="M796" s="11">
        <v>44772.707071759258</v>
      </c>
      <c r="N796" s="5" t="s">
        <v>64</v>
      </c>
      <c r="O796" s="5"/>
      <c r="P796" s="9">
        <v>44777.707071759258</v>
      </c>
      <c r="Q796" s="5" t="s">
        <v>64</v>
      </c>
      <c r="R796" s="9">
        <v>44773.707071759258</v>
      </c>
      <c r="S796" s="9">
        <v>44776.707071759258</v>
      </c>
      <c r="T796" s="9">
        <v>44773.707071759258</v>
      </c>
      <c r="U796" s="9">
        <v>44778.707071759258</v>
      </c>
      <c r="V796" s="12">
        <v>1</v>
      </c>
      <c r="W796" s="9">
        <v>44780.707071759258</v>
      </c>
      <c r="X796" s="9">
        <v>44782.707071759258</v>
      </c>
      <c r="Y796" s="9">
        <v>44784.707071759258</v>
      </c>
      <c r="Z796" s="5"/>
      <c r="AA796" s="5"/>
      <c r="AB796" s="13">
        <v>44801.707071759258</v>
      </c>
      <c r="AC796">
        <f t="shared" si="109"/>
        <v>16</v>
      </c>
      <c r="AD796">
        <f t="shared" si="110"/>
        <v>20</v>
      </c>
      <c r="AE796">
        <f t="shared" si="111"/>
        <v>1</v>
      </c>
      <c r="AF796">
        <f t="shared" si="112"/>
        <v>4</v>
      </c>
      <c r="AG796">
        <f t="shared" si="113"/>
        <v>2</v>
      </c>
      <c r="AH796">
        <f t="shared" si="114"/>
        <v>1</v>
      </c>
      <c r="AI796" t="str">
        <f t="shared" si="115"/>
        <v/>
      </c>
      <c r="AJ796" t="str">
        <f t="shared" si="116"/>
        <v/>
      </c>
    </row>
    <row r="797" spans="1:36">
      <c r="A797" s="5">
        <v>835</v>
      </c>
      <c r="B797" s="5" t="s">
        <v>465</v>
      </c>
      <c r="C797" s="5" t="s">
        <v>100</v>
      </c>
      <c r="D797" s="5" t="s">
        <v>387</v>
      </c>
      <c r="E797" s="5" t="s">
        <v>388</v>
      </c>
      <c r="F797" s="5" t="str">
        <f t="shared" si="108"/>
        <v>Program Office-Extension Officer</v>
      </c>
      <c r="G797" s="5" t="s">
        <v>40</v>
      </c>
      <c r="H797" s="9">
        <v>44754.707071759258</v>
      </c>
      <c r="I797" s="9">
        <v>44758.707071759258</v>
      </c>
      <c r="J797" s="9" t="e">
        <f>I797+#REF!</f>
        <v>#REF!</v>
      </c>
      <c r="K797" s="9" t="e">
        <f>J797+#REF!</f>
        <v>#REF!</v>
      </c>
      <c r="L797" s="10" t="s">
        <v>41</v>
      </c>
      <c r="M797" s="11">
        <v>44774.707071759258</v>
      </c>
      <c r="N797" s="5" t="s">
        <v>42</v>
      </c>
      <c r="O797" s="5" t="s">
        <v>43</v>
      </c>
      <c r="P797" s="9"/>
      <c r="Q797" s="5"/>
      <c r="R797" s="5"/>
      <c r="S797" s="5"/>
      <c r="T797" s="9"/>
      <c r="U797" s="5"/>
      <c r="V797" s="5">
        <v>0</v>
      </c>
      <c r="W797" s="5"/>
      <c r="X797" s="5"/>
      <c r="Y797" s="5"/>
      <c r="Z797" s="5"/>
      <c r="AA797" s="5" t="s">
        <v>62</v>
      </c>
      <c r="AC797">
        <f t="shared" si="109"/>
        <v>16</v>
      </c>
      <c r="AD797" t="str">
        <f t="shared" si="110"/>
        <v/>
      </c>
      <c r="AE797" t="str">
        <f t="shared" si="111"/>
        <v/>
      </c>
      <c r="AF797" t="str">
        <f t="shared" si="112"/>
        <v/>
      </c>
      <c r="AG797" t="str">
        <f t="shared" si="113"/>
        <v/>
      </c>
      <c r="AH797">
        <f t="shared" si="114"/>
        <v>4</v>
      </c>
      <c r="AI797" t="str">
        <f t="shared" si="115"/>
        <v/>
      </c>
      <c r="AJ797" t="str">
        <f t="shared" si="116"/>
        <v/>
      </c>
    </row>
    <row r="798" spans="1:36">
      <c r="A798" s="5">
        <v>836</v>
      </c>
      <c r="B798" s="5" t="s">
        <v>224</v>
      </c>
      <c r="C798" s="5" t="s">
        <v>100</v>
      </c>
      <c r="D798" s="5" t="s">
        <v>146</v>
      </c>
      <c r="E798" s="5" t="s">
        <v>39</v>
      </c>
      <c r="F798" s="5" t="str">
        <f t="shared" si="108"/>
        <v>Program Office-Analyst</v>
      </c>
      <c r="G798" s="5" t="s">
        <v>147</v>
      </c>
      <c r="H798" s="9">
        <v>44755.707071759258</v>
      </c>
      <c r="I798" s="9">
        <v>44759.707071759258</v>
      </c>
      <c r="J798" s="9" t="e">
        <f>I798+#REF!</f>
        <v>#REF!</v>
      </c>
      <c r="K798" s="9" t="e">
        <f>J798+#REF!</f>
        <v>#REF!</v>
      </c>
      <c r="L798" s="10" t="s">
        <v>41</v>
      </c>
      <c r="M798" s="11">
        <v>44766.707071759258</v>
      </c>
      <c r="N798" s="5" t="s">
        <v>167</v>
      </c>
      <c r="O798" s="5"/>
      <c r="P798" s="9">
        <v>44769.707071759258</v>
      </c>
      <c r="Q798" s="5" t="s">
        <v>167</v>
      </c>
      <c r="R798" s="5"/>
      <c r="S798" s="5"/>
      <c r="T798" s="9">
        <v>44768.707071759258</v>
      </c>
      <c r="U798" s="5"/>
      <c r="V798" s="5">
        <v>0</v>
      </c>
      <c r="W798" s="5"/>
      <c r="X798" s="5"/>
      <c r="Y798" s="5"/>
      <c r="Z798" s="5"/>
      <c r="AA798" s="5"/>
      <c r="AC798">
        <f t="shared" si="109"/>
        <v>7</v>
      </c>
      <c r="AD798" t="str">
        <f t="shared" si="110"/>
        <v/>
      </c>
      <c r="AE798">
        <f t="shared" si="111"/>
        <v>2</v>
      </c>
      <c r="AF798" t="str">
        <f t="shared" si="112"/>
        <v/>
      </c>
      <c r="AG798" t="str">
        <f t="shared" si="113"/>
        <v/>
      </c>
      <c r="AH798">
        <f t="shared" si="114"/>
        <v>4</v>
      </c>
      <c r="AI798" t="str">
        <f t="shared" si="115"/>
        <v/>
      </c>
      <c r="AJ798" t="str">
        <f t="shared" si="116"/>
        <v/>
      </c>
    </row>
    <row r="799" spans="1:36">
      <c r="A799" s="5">
        <v>838</v>
      </c>
      <c r="B799" s="5" t="s">
        <v>347</v>
      </c>
      <c r="C799" s="5" t="s">
        <v>100</v>
      </c>
      <c r="D799" s="5" t="s">
        <v>268</v>
      </c>
      <c r="E799" s="5" t="s">
        <v>291</v>
      </c>
      <c r="F799" s="5" t="str">
        <f t="shared" si="108"/>
        <v>Program Office-Cordination Manager</v>
      </c>
      <c r="G799" s="5" t="s">
        <v>270</v>
      </c>
      <c r="H799" s="9">
        <v>44753.707071759258</v>
      </c>
      <c r="I799" s="9">
        <v>44754.707071759258</v>
      </c>
      <c r="J799" s="9" t="e">
        <f>I799+#REF!</f>
        <v>#REF!</v>
      </c>
      <c r="K799" s="9" t="e">
        <f>J799+#REF!</f>
        <v>#REF!</v>
      </c>
      <c r="L799" s="10" t="s">
        <v>41</v>
      </c>
      <c r="M799" s="11">
        <v>44778.707071759258</v>
      </c>
      <c r="N799" s="5" t="s">
        <v>48</v>
      </c>
      <c r="O799" s="5"/>
      <c r="P799" s="9">
        <v>44782.707071759258</v>
      </c>
      <c r="Q799" s="5" t="s">
        <v>48</v>
      </c>
      <c r="R799" s="5"/>
      <c r="S799" s="5"/>
      <c r="T799" s="9">
        <v>44780.707071759258</v>
      </c>
      <c r="U799" s="5"/>
      <c r="V799" s="5">
        <v>0</v>
      </c>
      <c r="W799" s="5"/>
      <c r="X799" s="5"/>
      <c r="Y799" s="5"/>
      <c r="Z799" s="5"/>
      <c r="AA799" s="5"/>
      <c r="AC799">
        <f t="shared" si="109"/>
        <v>24</v>
      </c>
      <c r="AD799" t="str">
        <f t="shared" si="110"/>
        <v/>
      </c>
      <c r="AE799">
        <f t="shared" si="111"/>
        <v>2</v>
      </c>
      <c r="AF799" t="str">
        <f t="shared" si="112"/>
        <v/>
      </c>
      <c r="AG799" t="str">
        <f t="shared" si="113"/>
        <v/>
      </c>
      <c r="AH799">
        <f t="shared" si="114"/>
        <v>1</v>
      </c>
      <c r="AI799" t="str">
        <f t="shared" si="115"/>
        <v/>
      </c>
      <c r="AJ799" t="str">
        <f t="shared" si="116"/>
        <v/>
      </c>
    </row>
    <row r="800" spans="1:36">
      <c r="A800" s="5">
        <v>839</v>
      </c>
      <c r="B800" s="5" t="s">
        <v>642</v>
      </c>
      <c r="C800" s="5" t="s">
        <v>100</v>
      </c>
      <c r="D800" s="5" t="s">
        <v>554</v>
      </c>
      <c r="E800" s="5" t="s">
        <v>597</v>
      </c>
      <c r="F800" s="5" t="str">
        <f t="shared" si="108"/>
        <v>Program Office-Business Partner</v>
      </c>
      <c r="G800" s="5" t="s">
        <v>47</v>
      </c>
      <c r="H800" s="9">
        <v>44756.707071759258</v>
      </c>
      <c r="I800" s="9">
        <v>44759.707071759258</v>
      </c>
      <c r="J800" s="9" t="e">
        <f>I800+#REF!</f>
        <v>#REF!</v>
      </c>
      <c r="K800" s="9" t="e">
        <f>J800+#REF!</f>
        <v>#REF!</v>
      </c>
      <c r="L800" s="10" t="s">
        <v>41</v>
      </c>
      <c r="M800" s="11">
        <v>44762.707071759258</v>
      </c>
      <c r="N800" s="5" t="s">
        <v>64</v>
      </c>
      <c r="O800" s="5"/>
      <c r="P800" s="9">
        <v>44767.707071759258</v>
      </c>
      <c r="Q800" s="5" t="s">
        <v>64</v>
      </c>
      <c r="R800" s="9">
        <v>44763.707071759258</v>
      </c>
      <c r="S800" s="9">
        <v>44765.707071759258</v>
      </c>
      <c r="T800" s="9">
        <v>44764.707071759258</v>
      </c>
      <c r="U800" s="9">
        <v>44765.707071759258</v>
      </c>
      <c r="V800" s="12">
        <v>1</v>
      </c>
      <c r="W800" s="9">
        <v>44767.707071759258</v>
      </c>
      <c r="X800" s="9">
        <v>44770.707071759258</v>
      </c>
      <c r="Y800" s="9">
        <v>44772.707071759258</v>
      </c>
      <c r="Z800" s="5"/>
      <c r="AA800" s="5"/>
      <c r="AB800" s="13">
        <v>44791.707071759258</v>
      </c>
      <c r="AC800">
        <f t="shared" si="109"/>
        <v>3</v>
      </c>
      <c r="AD800">
        <f t="shared" si="110"/>
        <v>6</v>
      </c>
      <c r="AE800">
        <f t="shared" si="111"/>
        <v>2</v>
      </c>
      <c r="AF800">
        <f t="shared" si="112"/>
        <v>5</v>
      </c>
      <c r="AG800">
        <f t="shared" si="113"/>
        <v>2</v>
      </c>
      <c r="AH800">
        <f t="shared" si="114"/>
        <v>3</v>
      </c>
      <c r="AI800" t="str">
        <f t="shared" si="115"/>
        <v/>
      </c>
      <c r="AJ800" t="str">
        <f t="shared" si="116"/>
        <v/>
      </c>
    </row>
    <row r="801" spans="1:36">
      <c r="A801" s="5">
        <v>841</v>
      </c>
      <c r="B801" s="5" t="s">
        <v>2183</v>
      </c>
      <c r="C801" s="10" t="s">
        <v>2089</v>
      </c>
      <c r="D801" s="5" t="s">
        <v>2167</v>
      </c>
      <c r="E801" s="5" t="s">
        <v>269</v>
      </c>
      <c r="F801" s="5" t="str">
        <f t="shared" si="108"/>
        <v>Communication and Advocacy-Manager</v>
      </c>
      <c r="G801" s="5" t="s">
        <v>270</v>
      </c>
      <c r="H801" s="9">
        <v>44777.836053240739</v>
      </c>
      <c r="I801" s="9">
        <v>44780.836053240739</v>
      </c>
      <c r="J801" s="9" t="e">
        <f>I801+#REF!</f>
        <v>#REF!</v>
      </c>
      <c r="K801" s="9" t="e">
        <f>J801+#REF!</f>
        <v>#REF!</v>
      </c>
      <c r="L801" s="10" t="s">
        <v>41</v>
      </c>
      <c r="M801" s="11">
        <v>44799.836053240739</v>
      </c>
      <c r="N801" s="5" t="s">
        <v>48</v>
      </c>
      <c r="O801" s="5"/>
      <c r="P801" s="9">
        <v>44804.836053240739</v>
      </c>
      <c r="Q801" s="5" t="s">
        <v>48</v>
      </c>
      <c r="R801" s="5"/>
      <c r="S801" s="5"/>
      <c r="T801" s="9">
        <v>44802.836053240739</v>
      </c>
      <c r="U801" s="5"/>
      <c r="V801" s="5">
        <v>0</v>
      </c>
      <c r="W801" s="5"/>
      <c r="X801" s="5"/>
      <c r="Y801" s="5"/>
      <c r="Z801" s="5"/>
      <c r="AA801" s="5"/>
      <c r="AC801">
        <f t="shared" si="109"/>
        <v>19</v>
      </c>
      <c r="AD801" t="str">
        <f t="shared" si="110"/>
        <v/>
      </c>
      <c r="AE801">
        <f t="shared" si="111"/>
        <v>3</v>
      </c>
      <c r="AF801" t="str">
        <f t="shared" si="112"/>
        <v/>
      </c>
      <c r="AG801" t="str">
        <f t="shared" si="113"/>
        <v/>
      </c>
      <c r="AH801">
        <f t="shared" si="114"/>
        <v>3</v>
      </c>
      <c r="AI801" t="str">
        <f t="shared" si="115"/>
        <v/>
      </c>
      <c r="AJ801" t="str">
        <f t="shared" si="116"/>
        <v/>
      </c>
    </row>
    <row r="802" spans="1:36">
      <c r="A802" s="5">
        <v>842</v>
      </c>
      <c r="B802" s="5" t="s">
        <v>722</v>
      </c>
      <c r="C802" s="10" t="s">
        <v>671</v>
      </c>
      <c r="D802" s="5" t="s">
        <v>708</v>
      </c>
      <c r="E802" s="5" t="s">
        <v>709</v>
      </c>
      <c r="F802" s="5" t="str">
        <f t="shared" si="108"/>
        <v>Operations-Lead</v>
      </c>
      <c r="G802" s="5" t="s">
        <v>56</v>
      </c>
      <c r="H802" s="9">
        <v>44776.836053240739</v>
      </c>
      <c r="I802" s="9">
        <v>44780.836053240739</v>
      </c>
      <c r="J802" s="9" t="e">
        <f>I802+#REF!</f>
        <v>#REF!</v>
      </c>
      <c r="K802" s="9" t="e">
        <f>J802+#REF!</f>
        <v>#REF!</v>
      </c>
      <c r="L802" s="10" t="s">
        <v>41</v>
      </c>
      <c r="M802" s="11">
        <v>44789.836053240739</v>
      </c>
      <c r="N802" s="5" t="s">
        <v>42</v>
      </c>
      <c r="O802" s="5" t="s">
        <v>58</v>
      </c>
      <c r="P802" s="9"/>
      <c r="Q802" s="5"/>
      <c r="R802" s="5"/>
      <c r="S802" s="5"/>
      <c r="T802" s="9">
        <v>44793.836053240739</v>
      </c>
      <c r="U802" s="5"/>
      <c r="V802" s="5">
        <v>0</v>
      </c>
      <c r="W802" s="5"/>
      <c r="X802" s="5"/>
      <c r="Y802" s="5"/>
      <c r="Z802" s="5"/>
      <c r="AA802" s="5" t="s">
        <v>62</v>
      </c>
      <c r="AC802">
        <f t="shared" si="109"/>
        <v>9</v>
      </c>
      <c r="AD802" t="str">
        <f t="shared" si="110"/>
        <v/>
      </c>
      <c r="AE802">
        <f t="shared" si="111"/>
        <v>4</v>
      </c>
      <c r="AF802" t="str">
        <f t="shared" si="112"/>
        <v/>
      </c>
      <c r="AG802" t="str">
        <f t="shared" si="113"/>
        <v/>
      </c>
      <c r="AH802">
        <f t="shared" si="114"/>
        <v>4</v>
      </c>
      <c r="AI802" t="str">
        <f t="shared" si="115"/>
        <v/>
      </c>
      <c r="AJ802" t="str">
        <f t="shared" si="116"/>
        <v/>
      </c>
    </row>
    <row r="803" spans="1:36">
      <c r="A803" s="5">
        <v>843</v>
      </c>
      <c r="B803" s="5" t="s">
        <v>2138</v>
      </c>
      <c r="C803" s="10" t="s">
        <v>2089</v>
      </c>
      <c r="D803" s="5" t="s">
        <v>2114</v>
      </c>
      <c r="E803" s="5" t="s">
        <v>388</v>
      </c>
      <c r="F803" s="5" t="str">
        <f t="shared" si="108"/>
        <v>Communication and Advocacy-Extension Officer</v>
      </c>
      <c r="G803" s="5" t="s">
        <v>147</v>
      </c>
      <c r="H803" s="9">
        <v>44776.836053240739</v>
      </c>
      <c r="I803" s="9">
        <v>44777.836053240739</v>
      </c>
      <c r="J803" s="9" t="e">
        <f>I803+#REF!</f>
        <v>#REF!</v>
      </c>
      <c r="K803" s="9" t="e">
        <f>J803+#REF!</f>
        <v>#REF!</v>
      </c>
      <c r="L803" s="10" t="s">
        <v>41</v>
      </c>
      <c r="M803" s="11">
        <v>44785.836053240739</v>
      </c>
      <c r="N803" s="5" t="s">
        <v>42</v>
      </c>
      <c r="O803" s="5" t="s">
        <v>43</v>
      </c>
      <c r="P803" s="9"/>
      <c r="Q803" s="5"/>
      <c r="R803" s="5"/>
      <c r="S803" s="5"/>
      <c r="T803" s="9">
        <v>44788.836053240739</v>
      </c>
      <c r="U803" s="5"/>
      <c r="V803" s="5">
        <v>0</v>
      </c>
      <c r="W803" s="5"/>
      <c r="X803" s="5"/>
      <c r="Y803" s="5"/>
      <c r="Z803" s="5"/>
      <c r="AA803" s="5" t="s">
        <v>44</v>
      </c>
      <c r="AC803">
        <f t="shared" si="109"/>
        <v>8</v>
      </c>
      <c r="AD803" t="str">
        <f t="shared" si="110"/>
        <v/>
      </c>
      <c r="AE803">
        <f t="shared" si="111"/>
        <v>3</v>
      </c>
      <c r="AF803" t="str">
        <f t="shared" si="112"/>
        <v/>
      </c>
      <c r="AG803" t="str">
        <f t="shared" si="113"/>
        <v/>
      </c>
      <c r="AH803">
        <f t="shared" si="114"/>
        <v>1</v>
      </c>
      <c r="AI803" t="str">
        <f t="shared" si="115"/>
        <v/>
      </c>
      <c r="AJ803" t="str">
        <f t="shared" si="116"/>
        <v/>
      </c>
    </row>
    <row r="804" spans="1:36">
      <c r="A804" s="5">
        <v>844</v>
      </c>
      <c r="B804" s="5" t="s">
        <v>721</v>
      </c>
      <c r="C804" s="10" t="s">
        <v>671</v>
      </c>
      <c r="D804" s="5" t="s">
        <v>708</v>
      </c>
      <c r="E804" s="5" t="s">
        <v>709</v>
      </c>
      <c r="F804" s="5" t="str">
        <f t="shared" si="108"/>
        <v>Operations-Lead</v>
      </c>
      <c r="G804" s="5" t="s">
        <v>56</v>
      </c>
      <c r="H804" s="9">
        <v>44775.836053240739</v>
      </c>
      <c r="I804" s="9">
        <v>44777.836053240739</v>
      </c>
      <c r="J804" s="9" t="e">
        <f>I804+#REF!</f>
        <v>#REF!</v>
      </c>
      <c r="K804" s="9" t="e">
        <f>J804+#REF!</f>
        <v>#REF!</v>
      </c>
      <c r="L804" s="10" t="s">
        <v>41</v>
      </c>
      <c r="M804" s="11">
        <v>44793.836053240739</v>
      </c>
      <c r="N804" s="5" t="s">
        <v>42</v>
      </c>
      <c r="O804" s="5" t="s">
        <v>43</v>
      </c>
      <c r="P804" s="9"/>
      <c r="Q804" s="5"/>
      <c r="R804" s="5"/>
      <c r="S804" s="5"/>
      <c r="T804" s="9"/>
      <c r="U804" s="5"/>
      <c r="V804" s="5">
        <v>0</v>
      </c>
      <c r="W804" s="5"/>
      <c r="X804" s="5"/>
      <c r="Y804" s="5"/>
      <c r="Z804" s="5"/>
      <c r="AA804" s="5" t="s">
        <v>62</v>
      </c>
      <c r="AC804">
        <f t="shared" si="109"/>
        <v>16</v>
      </c>
      <c r="AD804" t="str">
        <f t="shared" si="110"/>
        <v/>
      </c>
      <c r="AE804" t="str">
        <f t="shared" si="111"/>
        <v/>
      </c>
      <c r="AF804" t="str">
        <f t="shared" si="112"/>
        <v/>
      </c>
      <c r="AG804" t="str">
        <f t="shared" si="113"/>
        <v/>
      </c>
      <c r="AH804">
        <f t="shared" si="114"/>
        <v>2</v>
      </c>
      <c r="AI804" t="str">
        <f t="shared" si="115"/>
        <v/>
      </c>
      <c r="AJ804" t="str">
        <f t="shared" si="116"/>
        <v/>
      </c>
    </row>
    <row r="805" spans="1:36">
      <c r="A805" s="5">
        <v>845</v>
      </c>
      <c r="B805" s="5" t="s">
        <v>720</v>
      </c>
      <c r="C805" s="10" t="s">
        <v>671</v>
      </c>
      <c r="D805" s="5" t="s">
        <v>708</v>
      </c>
      <c r="E805" s="5" t="s">
        <v>709</v>
      </c>
      <c r="F805" s="5" t="str">
        <f t="shared" si="108"/>
        <v>Operations-Lead</v>
      </c>
      <c r="G805" s="5" t="s">
        <v>56</v>
      </c>
      <c r="H805" s="9">
        <v>44776.836053240739</v>
      </c>
      <c r="I805" s="9">
        <v>44778.836053240739</v>
      </c>
      <c r="J805" s="9" t="e">
        <f>I805+#REF!</f>
        <v>#REF!</v>
      </c>
      <c r="K805" s="9" t="e">
        <f>J805+#REF!</f>
        <v>#REF!</v>
      </c>
      <c r="L805" s="10" t="s">
        <v>41</v>
      </c>
      <c r="M805" s="11">
        <v>44788.836053240739</v>
      </c>
      <c r="N805" s="5" t="s">
        <v>48</v>
      </c>
      <c r="O805" s="5"/>
      <c r="P805" s="9">
        <v>44792.836053240739</v>
      </c>
      <c r="Q805" s="5" t="s">
        <v>48</v>
      </c>
      <c r="R805" s="5"/>
      <c r="S805" s="5"/>
      <c r="T805" s="9">
        <v>44789.836053240739</v>
      </c>
      <c r="U805" s="5"/>
      <c r="V805" s="5">
        <v>0</v>
      </c>
      <c r="W805" s="5"/>
      <c r="X805" s="5"/>
      <c r="Y805" s="5"/>
      <c r="Z805" s="5"/>
      <c r="AA805" s="5"/>
      <c r="AC805">
        <f t="shared" si="109"/>
        <v>10</v>
      </c>
      <c r="AD805" t="str">
        <f t="shared" si="110"/>
        <v/>
      </c>
      <c r="AE805">
        <f t="shared" si="111"/>
        <v>1</v>
      </c>
      <c r="AF805" t="str">
        <f t="shared" si="112"/>
        <v/>
      </c>
      <c r="AG805" t="str">
        <f t="shared" si="113"/>
        <v/>
      </c>
      <c r="AH805">
        <f t="shared" si="114"/>
        <v>2</v>
      </c>
      <c r="AI805" t="str">
        <f t="shared" si="115"/>
        <v/>
      </c>
      <c r="AJ805" t="str">
        <f t="shared" si="116"/>
        <v/>
      </c>
    </row>
    <row r="806" spans="1:36">
      <c r="A806" s="5">
        <v>848</v>
      </c>
      <c r="B806" s="5" t="s">
        <v>693</v>
      </c>
      <c r="C806" s="10" t="s">
        <v>671</v>
      </c>
      <c r="D806" s="5" t="s">
        <v>672</v>
      </c>
      <c r="E806" s="5" t="s">
        <v>597</v>
      </c>
      <c r="F806" s="5" t="str">
        <f t="shared" si="108"/>
        <v>Operations-Business Partner</v>
      </c>
      <c r="G806" s="5" t="s">
        <v>40</v>
      </c>
      <c r="H806" s="9">
        <v>44778.836053240739</v>
      </c>
      <c r="I806" s="9">
        <v>44780.836053240739</v>
      </c>
      <c r="J806" s="9" t="e">
        <f>I806+#REF!</f>
        <v>#REF!</v>
      </c>
      <c r="K806" s="9" t="e">
        <f>J806+#REF!</f>
        <v>#REF!</v>
      </c>
      <c r="L806" s="10" t="s">
        <v>41</v>
      </c>
      <c r="M806" s="11">
        <v>44795.836053240739</v>
      </c>
      <c r="N806" s="5" t="s">
        <v>42</v>
      </c>
      <c r="O806" s="5" t="s">
        <v>113</v>
      </c>
      <c r="P806" s="9"/>
      <c r="Q806" s="5"/>
      <c r="R806" s="5"/>
      <c r="S806" s="5"/>
      <c r="T806" s="9"/>
      <c r="U806" s="5"/>
      <c r="V806" s="5">
        <v>0</v>
      </c>
      <c r="W806" s="5"/>
      <c r="X806" s="5"/>
      <c r="Y806" s="5"/>
      <c r="Z806" s="5"/>
      <c r="AA806" s="5" t="s">
        <v>62</v>
      </c>
      <c r="AC806">
        <f t="shared" si="109"/>
        <v>15</v>
      </c>
      <c r="AD806" t="str">
        <f t="shared" si="110"/>
        <v/>
      </c>
      <c r="AE806" t="str">
        <f t="shared" si="111"/>
        <v/>
      </c>
      <c r="AF806" t="str">
        <f t="shared" si="112"/>
        <v/>
      </c>
      <c r="AG806" t="str">
        <f t="shared" si="113"/>
        <v/>
      </c>
      <c r="AH806">
        <f t="shared" si="114"/>
        <v>2</v>
      </c>
      <c r="AI806" t="str">
        <f t="shared" si="115"/>
        <v/>
      </c>
      <c r="AJ806" t="str">
        <f t="shared" si="116"/>
        <v/>
      </c>
    </row>
    <row r="807" spans="1:36">
      <c r="A807" s="5">
        <v>849</v>
      </c>
      <c r="B807" s="5" t="s">
        <v>2137</v>
      </c>
      <c r="C807" s="10" t="s">
        <v>2089</v>
      </c>
      <c r="D807" s="5" t="s">
        <v>2114</v>
      </c>
      <c r="E807" s="5" t="s">
        <v>388</v>
      </c>
      <c r="F807" s="5" t="str">
        <f t="shared" si="108"/>
        <v>Communication and Advocacy-Extension Officer</v>
      </c>
      <c r="G807" s="5" t="s">
        <v>147</v>
      </c>
      <c r="H807" s="9">
        <v>44779.836053240739</v>
      </c>
      <c r="I807" s="9">
        <v>44780.836053240739</v>
      </c>
      <c r="J807" s="9" t="e">
        <f>I807+#REF!</f>
        <v>#REF!</v>
      </c>
      <c r="K807" s="9" t="e">
        <f>J807+#REF!</f>
        <v>#REF!</v>
      </c>
      <c r="L807" s="10" t="s">
        <v>41</v>
      </c>
      <c r="M807" s="11">
        <v>44794.836053240739</v>
      </c>
      <c r="N807" s="5" t="s">
        <v>42</v>
      </c>
      <c r="O807" s="5" t="s">
        <v>43</v>
      </c>
      <c r="P807" s="9"/>
      <c r="Q807" s="5"/>
      <c r="R807" s="5"/>
      <c r="S807" s="5"/>
      <c r="T807" s="9"/>
      <c r="U807" s="5"/>
      <c r="V807" s="5">
        <v>0</v>
      </c>
      <c r="W807" s="5"/>
      <c r="X807" s="5"/>
      <c r="Y807" s="5"/>
      <c r="Z807" s="5"/>
      <c r="AA807" s="5" t="s">
        <v>62</v>
      </c>
      <c r="AC807">
        <f t="shared" si="109"/>
        <v>14</v>
      </c>
      <c r="AD807" t="str">
        <f t="shared" si="110"/>
        <v/>
      </c>
      <c r="AE807" t="str">
        <f t="shared" si="111"/>
        <v/>
      </c>
      <c r="AF807" t="str">
        <f t="shared" si="112"/>
        <v/>
      </c>
      <c r="AG807" t="str">
        <f t="shared" si="113"/>
        <v/>
      </c>
      <c r="AH807">
        <f t="shared" si="114"/>
        <v>1</v>
      </c>
      <c r="AI807" t="str">
        <f t="shared" si="115"/>
        <v/>
      </c>
      <c r="AJ807" t="str">
        <f t="shared" si="116"/>
        <v/>
      </c>
    </row>
    <row r="808" spans="1:36">
      <c r="A808" s="5">
        <v>850</v>
      </c>
      <c r="B808" s="5" t="s">
        <v>760</v>
      </c>
      <c r="C808" s="10" t="s">
        <v>671</v>
      </c>
      <c r="D808" s="5" t="s">
        <v>747</v>
      </c>
      <c r="E808" s="5" t="s">
        <v>55</v>
      </c>
      <c r="F808" s="5" t="str">
        <f t="shared" si="108"/>
        <v>Operations-Director</v>
      </c>
      <c r="G808" s="5" t="s">
        <v>47</v>
      </c>
      <c r="H808" s="9">
        <v>44778.836053240739</v>
      </c>
      <c r="I808" s="9">
        <v>44779.836053240739</v>
      </c>
      <c r="J808" s="9" t="e">
        <f>I808+#REF!</f>
        <v>#REF!</v>
      </c>
      <c r="K808" s="9" t="e">
        <f>J808+#REF!</f>
        <v>#REF!</v>
      </c>
      <c r="L808" s="10" t="s">
        <v>41</v>
      </c>
      <c r="M808" s="11">
        <v>44790.836053240739</v>
      </c>
      <c r="N808" s="5" t="s">
        <v>42</v>
      </c>
      <c r="O808" s="5" t="s">
        <v>58</v>
      </c>
      <c r="P808" s="9"/>
      <c r="Q808" s="5"/>
      <c r="R808" s="5"/>
      <c r="S808" s="5"/>
      <c r="T808" s="9"/>
      <c r="U808" s="5"/>
      <c r="V808" s="5">
        <v>0</v>
      </c>
      <c r="W808" s="5"/>
      <c r="X808" s="5"/>
      <c r="Y808" s="5"/>
      <c r="Z808" s="5"/>
      <c r="AA808" s="5" t="s">
        <v>44</v>
      </c>
      <c r="AC808">
        <f t="shared" si="109"/>
        <v>11</v>
      </c>
      <c r="AD808" t="str">
        <f t="shared" si="110"/>
        <v/>
      </c>
      <c r="AE808" t="str">
        <f t="shared" si="111"/>
        <v/>
      </c>
      <c r="AF808" t="str">
        <f t="shared" si="112"/>
        <v/>
      </c>
      <c r="AG808" t="str">
        <f t="shared" si="113"/>
        <v/>
      </c>
      <c r="AH808">
        <f t="shared" si="114"/>
        <v>1</v>
      </c>
      <c r="AI808" t="str">
        <f t="shared" si="115"/>
        <v/>
      </c>
      <c r="AJ808" t="str">
        <f t="shared" si="116"/>
        <v/>
      </c>
    </row>
    <row r="809" spans="1:36">
      <c r="A809" s="5">
        <v>851</v>
      </c>
      <c r="B809" s="5" t="s">
        <v>1899</v>
      </c>
      <c r="C809" s="5" t="s">
        <v>1540</v>
      </c>
      <c r="D809" s="5" t="s">
        <v>1820</v>
      </c>
      <c r="E809" s="5" t="s">
        <v>1862</v>
      </c>
      <c r="F809" s="5" t="str">
        <f t="shared" si="108"/>
        <v>Finance-Billing Officer</v>
      </c>
      <c r="G809" s="5" t="s">
        <v>40</v>
      </c>
      <c r="H809" s="9">
        <v>44961.002604166664</v>
      </c>
      <c r="I809" s="9">
        <v>44963.002604166664</v>
      </c>
      <c r="J809" s="9" t="e">
        <f>I809+#REF!</f>
        <v>#REF!</v>
      </c>
      <c r="K809" s="9" t="e">
        <f>J809+#REF!</f>
        <v>#REF!</v>
      </c>
      <c r="L809" s="10" t="s">
        <v>41</v>
      </c>
      <c r="M809" s="11">
        <v>44969.002604166664</v>
      </c>
      <c r="N809" s="5" t="s">
        <v>48</v>
      </c>
      <c r="O809" s="5"/>
      <c r="P809" s="9">
        <v>44974.002604166664</v>
      </c>
      <c r="Q809" s="5" t="s">
        <v>48</v>
      </c>
      <c r="R809" s="5"/>
      <c r="S809" s="5"/>
      <c r="T809" s="9">
        <v>44971.002604166664</v>
      </c>
      <c r="U809" s="5"/>
      <c r="V809" s="5">
        <v>0</v>
      </c>
      <c r="W809" s="5"/>
      <c r="X809" s="5"/>
      <c r="Y809" s="5"/>
      <c r="Z809" s="5"/>
      <c r="AA809" s="5"/>
      <c r="AC809">
        <f t="shared" si="109"/>
        <v>6</v>
      </c>
      <c r="AD809" t="str">
        <f t="shared" si="110"/>
        <v/>
      </c>
      <c r="AE809">
        <f t="shared" si="111"/>
        <v>2</v>
      </c>
      <c r="AF809" t="str">
        <f t="shared" si="112"/>
        <v/>
      </c>
      <c r="AG809" t="str">
        <f t="shared" si="113"/>
        <v/>
      </c>
      <c r="AH809">
        <f t="shared" si="114"/>
        <v>2</v>
      </c>
      <c r="AI809" t="str">
        <f t="shared" si="115"/>
        <v/>
      </c>
      <c r="AJ809" t="str">
        <f t="shared" si="116"/>
        <v/>
      </c>
    </row>
    <row r="810" spans="1:36">
      <c r="A810" s="5">
        <v>852</v>
      </c>
      <c r="B810" s="5" t="s">
        <v>2064</v>
      </c>
      <c r="C810" s="5" t="s">
        <v>1540</v>
      </c>
      <c r="D810" s="5" t="s">
        <v>1985</v>
      </c>
      <c r="E810" s="5" t="s">
        <v>1862</v>
      </c>
      <c r="F810" s="5" t="str">
        <f t="shared" si="108"/>
        <v>Finance-Billing Officer</v>
      </c>
      <c r="G810" s="5" t="s">
        <v>47</v>
      </c>
      <c r="H810" s="9">
        <v>44960.002604166664</v>
      </c>
      <c r="I810" s="9">
        <v>44961.002604166664</v>
      </c>
      <c r="J810" s="9" t="e">
        <f>I810+#REF!</f>
        <v>#REF!</v>
      </c>
      <c r="K810" s="9" t="e">
        <f>J810+#REF!</f>
        <v>#REF!</v>
      </c>
      <c r="L810" s="10" t="s">
        <v>41</v>
      </c>
      <c r="M810" s="11">
        <v>44981.002604166664</v>
      </c>
      <c r="N810" s="5" t="s">
        <v>42</v>
      </c>
      <c r="O810" s="5" t="s">
        <v>98</v>
      </c>
      <c r="P810" s="9"/>
      <c r="Q810" s="5"/>
      <c r="R810" s="5"/>
      <c r="S810" s="5"/>
      <c r="T810" s="9"/>
      <c r="U810" s="5"/>
      <c r="V810" s="5">
        <v>0</v>
      </c>
      <c r="W810" s="5"/>
      <c r="X810" s="5"/>
      <c r="Y810" s="5"/>
      <c r="Z810" s="5"/>
      <c r="AA810" s="5" t="s">
        <v>44</v>
      </c>
      <c r="AC810">
        <f t="shared" si="109"/>
        <v>20</v>
      </c>
      <c r="AD810" t="str">
        <f t="shared" si="110"/>
        <v/>
      </c>
      <c r="AE810" t="str">
        <f t="shared" si="111"/>
        <v/>
      </c>
      <c r="AF810" t="str">
        <f t="shared" si="112"/>
        <v/>
      </c>
      <c r="AG810" t="str">
        <f t="shared" si="113"/>
        <v/>
      </c>
      <c r="AH810">
        <f t="shared" si="114"/>
        <v>1</v>
      </c>
      <c r="AI810" t="str">
        <f t="shared" si="115"/>
        <v/>
      </c>
      <c r="AJ810" t="str">
        <f t="shared" si="116"/>
        <v/>
      </c>
    </row>
    <row r="811" spans="1:36">
      <c r="A811" s="5">
        <v>853</v>
      </c>
      <c r="B811" s="5" t="s">
        <v>1949</v>
      </c>
      <c r="C811" s="5" t="s">
        <v>1540</v>
      </c>
      <c r="D811" s="5" t="s">
        <v>1925</v>
      </c>
      <c r="E811" s="5" t="s">
        <v>1939</v>
      </c>
      <c r="F811" s="5" t="str">
        <f t="shared" si="108"/>
        <v>Finance-Principal Officer</v>
      </c>
      <c r="G811" s="5" t="s">
        <v>56</v>
      </c>
      <c r="H811" s="9">
        <v>44957.002604166664</v>
      </c>
      <c r="I811" s="9">
        <v>44959.002604166664</v>
      </c>
      <c r="J811" s="9" t="e">
        <f>I811+#REF!</f>
        <v>#REF!</v>
      </c>
      <c r="K811" s="9" t="e">
        <f>J811+#REF!</f>
        <v>#REF!</v>
      </c>
      <c r="L811" s="10" t="s">
        <v>41</v>
      </c>
      <c r="M811" s="11">
        <v>44979.002604166664</v>
      </c>
      <c r="N811" s="5" t="s">
        <v>64</v>
      </c>
      <c r="O811" s="5"/>
      <c r="P811" s="9">
        <v>44983.002604166664</v>
      </c>
      <c r="Q811" s="5" t="s">
        <v>64</v>
      </c>
      <c r="R811" s="9">
        <v>44981.002604166664</v>
      </c>
      <c r="S811" s="9">
        <v>44985.002604166664</v>
      </c>
      <c r="T811" s="9">
        <v>44980.002604166664</v>
      </c>
      <c r="U811" s="9">
        <v>44984.002604166664</v>
      </c>
      <c r="V811" s="12">
        <v>1</v>
      </c>
      <c r="W811" s="9">
        <v>44988.002604166664</v>
      </c>
      <c r="X811" s="9">
        <v>44989.002604166664</v>
      </c>
      <c r="Y811" s="9">
        <v>44991.002604166664</v>
      </c>
      <c r="Z811" s="5"/>
      <c r="AA811" s="5"/>
      <c r="AB811" s="13">
        <v>45008.002604166664</v>
      </c>
      <c r="AC811">
        <f t="shared" si="109"/>
        <v>20</v>
      </c>
      <c r="AD811">
        <f t="shared" si="110"/>
        <v>26</v>
      </c>
      <c r="AE811">
        <f t="shared" si="111"/>
        <v>1</v>
      </c>
      <c r="AF811">
        <f t="shared" si="112"/>
        <v>5</v>
      </c>
      <c r="AG811">
        <f t="shared" si="113"/>
        <v>4</v>
      </c>
      <c r="AH811">
        <f t="shared" si="114"/>
        <v>2</v>
      </c>
      <c r="AI811" t="str">
        <f t="shared" si="115"/>
        <v/>
      </c>
      <c r="AJ811" t="str">
        <f t="shared" si="116"/>
        <v/>
      </c>
    </row>
    <row r="812" spans="1:36">
      <c r="A812" s="5">
        <v>854</v>
      </c>
      <c r="B812" s="5" t="s">
        <v>1948</v>
      </c>
      <c r="C812" s="5" t="s">
        <v>1540</v>
      </c>
      <c r="D812" s="5" t="s">
        <v>1925</v>
      </c>
      <c r="E812" s="5" t="s">
        <v>1939</v>
      </c>
      <c r="F812" s="5" t="str">
        <f t="shared" si="108"/>
        <v>Finance-Principal Officer</v>
      </c>
      <c r="G812" s="5" t="s">
        <v>56</v>
      </c>
      <c r="H812" s="9">
        <v>44955.002604166664</v>
      </c>
      <c r="I812" s="9">
        <v>44958.002604166664</v>
      </c>
      <c r="J812" s="9" t="e">
        <f>I812+#REF!</f>
        <v>#REF!</v>
      </c>
      <c r="K812" s="9" t="e">
        <f>J812+#REF!</f>
        <v>#REF!</v>
      </c>
      <c r="L812" s="10" t="s">
        <v>52</v>
      </c>
      <c r="M812" s="11"/>
      <c r="N812" s="5"/>
      <c r="O812" s="5"/>
      <c r="P812" s="9"/>
      <c r="Q812" s="5"/>
      <c r="R812" s="5"/>
      <c r="S812" s="5"/>
      <c r="T812" s="9"/>
      <c r="U812" s="5"/>
      <c r="V812" s="5">
        <v>0</v>
      </c>
      <c r="W812" s="5"/>
      <c r="X812" s="5"/>
      <c r="Y812" s="5"/>
      <c r="Z812" s="5"/>
      <c r="AA812" s="5"/>
      <c r="AC812" t="str">
        <f t="shared" si="109"/>
        <v/>
      </c>
      <c r="AD812" t="str">
        <f t="shared" si="110"/>
        <v/>
      </c>
      <c r="AE812" t="str">
        <f t="shared" si="111"/>
        <v/>
      </c>
      <c r="AF812" t="str">
        <f t="shared" si="112"/>
        <v/>
      </c>
      <c r="AG812" t="str">
        <f t="shared" si="113"/>
        <v/>
      </c>
      <c r="AH812">
        <f t="shared" si="114"/>
        <v>3</v>
      </c>
      <c r="AI812" t="str">
        <f t="shared" si="115"/>
        <v/>
      </c>
      <c r="AJ812" t="str">
        <f t="shared" si="116"/>
        <v/>
      </c>
    </row>
    <row r="813" spans="1:36">
      <c r="A813" s="5">
        <v>855</v>
      </c>
      <c r="B813" s="5" t="s">
        <v>2063</v>
      </c>
      <c r="C813" s="5" t="s">
        <v>1540</v>
      </c>
      <c r="D813" s="5" t="s">
        <v>1985</v>
      </c>
      <c r="E813" s="5" t="s">
        <v>1862</v>
      </c>
      <c r="F813" s="5" t="str">
        <f t="shared" si="108"/>
        <v>Finance-Billing Officer</v>
      </c>
      <c r="G813" s="5" t="s">
        <v>47</v>
      </c>
      <c r="H813" s="9">
        <v>44959.002604166664</v>
      </c>
      <c r="I813" s="9">
        <v>44960.002604166664</v>
      </c>
      <c r="J813" s="9" t="e">
        <f>I813+#REF!</f>
        <v>#REF!</v>
      </c>
      <c r="K813" s="9" t="e">
        <f>J813+#REF!</f>
        <v>#REF!</v>
      </c>
      <c r="L813" s="10" t="s">
        <v>41</v>
      </c>
      <c r="M813" s="11">
        <v>44966.002604166664</v>
      </c>
      <c r="N813" s="5" t="s">
        <v>64</v>
      </c>
      <c r="O813" s="5"/>
      <c r="P813" s="9">
        <v>44971.002604166664</v>
      </c>
      <c r="Q813" s="5" t="s">
        <v>64</v>
      </c>
      <c r="R813" s="9">
        <v>44968.002604166664</v>
      </c>
      <c r="S813" s="9">
        <v>44969.002604166664</v>
      </c>
      <c r="T813" s="9">
        <v>44967.002604166664</v>
      </c>
      <c r="U813" s="9">
        <v>44969.002604166664</v>
      </c>
      <c r="V813" s="12">
        <v>1</v>
      </c>
      <c r="W813" s="9">
        <v>44971.002604166664</v>
      </c>
      <c r="X813" s="9">
        <v>44973.002604166664</v>
      </c>
      <c r="Y813" s="9">
        <v>44975.002604166664</v>
      </c>
      <c r="Z813" s="5"/>
      <c r="AA813" s="5"/>
      <c r="AB813" s="13">
        <v>44985.002604166664</v>
      </c>
      <c r="AC813">
        <f t="shared" si="109"/>
        <v>6</v>
      </c>
      <c r="AD813">
        <f t="shared" si="110"/>
        <v>9</v>
      </c>
      <c r="AE813">
        <f t="shared" si="111"/>
        <v>1</v>
      </c>
      <c r="AF813">
        <f t="shared" si="112"/>
        <v>4</v>
      </c>
      <c r="AG813">
        <f t="shared" si="113"/>
        <v>2</v>
      </c>
      <c r="AH813">
        <f t="shared" si="114"/>
        <v>1</v>
      </c>
      <c r="AI813" t="str">
        <f t="shared" si="115"/>
        <v/>
      </c>
      <c r="AJ813" t="str">
        <f t="shared" si="116"/>
        <v/>
      </c>
    </row>
    <row r="814" spans="1:36">
      <c r="A814" s="5">
        <v>857</v>
      </c>
      <c r="B814" s="5" t="s">
        <v>1947</v>
      </c>
      <c r="C814" s="5" t="s">
        <v>1540</v>
      </c>
      <c r="D814" s="5" t="s">
        <v>1925</v>
      </c>
      <c r="E814" s="5" t="s">
        <v>1939</v>
      </c>
      <c r="F814" s="5" t="str">
        <f t="shared" si="108"/>
        <v>Finance-Principal Officer</v>
      </c>
      <c r="G814" s="5" t="s">
        <v>56</v>
      </c>
      <c r="H814" s="9">
        <v>44957.002604166664</v>
      </c>
      <c r="I814" s="9">
        <v>44961.002604166664</v>
      </c>
      <c r="J814" s="9" t="e">
        <f>I814+#REF!</f>
        <v>#REF!</v>
      </c>
      <c r="K814" s="9" t="e">
        <f>J814+#REF!</f>
        <v>#REF!</v>
      </c>
      <c r="L814" s="10" t="s">
        <v>41</v>
      </c>
      <c r="M814" s="11">
        <v>44973.002604166664</v>
      </c>
      <c r="N814" s="5" t="s">
        <v>64</v>
      </c>
      <c r="O814" s="5"/>
      <c r="P814" s="9">
        <v>44977.002604166664</v>
      </c>
      <c r="Q814" s="5" t="s">
        <v>64</v>
      </c>
      <c r="R814" s="9">
        <v>44975.002604166664</v>
      </c>
      <c r="S814" s="9">
        <v>44977.002604166664</v>
      </c>
      <c r="T814" s="9">
        <v>44976.002604166664</v>
      </c>
      <c r="U814" s="9">
        <v>44980.002604166664</v>
      </c>
      <c r="V814" s="12">
        <v>1</v>
      </c>
      <c r="W814" s="9">
        <v>44984.002604166664</v>
      </c>
      <c r="X814" s="9">
        <v>44987.002604166664</v>
      </c>
      <c r="Y814" s="9">
        <v>44989.002604166664</v>
      </c>
      <c r="Z814" s="5"/>
      <c r="AA814" s="5"/>
      <c r="AB814" s="13">
        <v>45006.002604166664</v>
      </c>
      <c r="AC814">
        <f t="shared" si="109"/>
        <v>12</v>
      </c>
      <c r="AD814">
        <f t="shared" si="110"/>
        <v>16</v>
      </c>
      <c r="AE814">
        <f t="shared" si="111"/>
        <v>3</v>
      </c>
      <c r="AF814">
        <f t="shared" si="112"/>
        <v>7</v>
      </c>
      <c r="AG814">
        <f t="shared" si="113"/>
        <v>4</v>
      </c>
      <c r="AH814">
        <f t="shared" si="114"/>
        <v>4</v>
      </c>
      <c r="AI814" t="str">
        <f t="shared" si="115"/>
        <v/>
      </c>
      <c r="AJ814" t="str">
        <f t="shared" si="116"/>
        <v/>
      </c>
    </row>
    <row r="815" spans="1:36">
      <c r="A815" s="5">
        <v>858</v>
      </c>
      <c r="B815" s="5" t="s">
        <v>1676</v>
      </c>
      <c r="C815" s="5" t="s">
        <v>1540</v>
      </c>
      <c r="D815" s="5" t="s">
        <v>1588</v>
      </c>
      <c r="E815" s="5" t="s">
        <v>1360</v>
      </c>
      <c r="F815" s="5" t="str">
        <f t="shared" si="108"/>
        <v>Finance-Fund Administrator</v>
      </c>
      <c r="G815" s="5" t="s">
        <v>147</v>
      </c>
      <c r="H815" s="9">
        <v>44961.002604166664</v>
      </c>
      <c r="I815" s="9">
        <v>44962.002604166664</v>
      </c>
      <c r="J815" s="9" t="e">
        <f>I815+#REF!</f>
        <v>#REF!</v>
      </c>
      <c r="K815" s="9" t="e">
        <f>J815+#REF!</f>
        <v>#REF!</v>
      </c>
      <c r="L815" s="10" t="s">
        <v>41</v>
      </c>
      <c r="M815" s="11">
        <v>44978.002604166664</v>
      </c>
      <c r="N815" s="5" t="s">
        <v>42</v>
      </c>
      <c r="O815" s="5" t="s">
        <v>98</v>
      </c>
      <c r="P815" s="9"/>
      <c r="Q815" s="5"/>
      <c r="R815" s="5"/>
      <c r="S815" s="5"/>
      <c r="T815" s="9"/>
      <c r="U815" s="5"/>
      <c r="V815" s="5">
        <v>0</v>
      </c>
      <c r="W815" s="5"/>
      <c r="X815" s="5"/>
      <c r="Y815" s="5"/>
      <c r="Z815" s="5"/>
      <c r="AA815" s="5" t="s">
        <v>44</v>
      </c>
      <c r="AC815">
        <f t="shared" si="109"/>
        <v>16</v>
      </c>
      <c r="AD815" t="str">
        <f t="shared" si="110"/>
        <v/>
      </c>
      <c r="AE815" t="str">
        <f t="shared" si="111"/>
        <v/>
      </c>
      <c r="AF815" t="str">
        <f t="shared" si="112"/>
        <v/>
      </c>
      <c r="AG815" t="str">
        <f t="shared" si="113"/>
        <v/>
      </c>
      <c r="AH815">
        <f t="shared" si="114"/>
        <v>1</v>
      </c>
      <c r="AI815" t="str">
        <f t="shared" si="115"/>
        <v/>
      </c>
      <c r="AJ815" t="str">
        <f t="shared" si="116"/>
        <v/>
      </c>
    </row>
    <row r="816" spans="1:36">
      <c r="A816" s="5">
        <v>860</v>
      </c>
      <c r="B816" s="5" t="s">
        <v>1675</v>
      </c>
      <c r="C816" s="5" t="s">
        <v>1540</v>
      </c>
      <c r="D816" s="5" t="s">
        <v>1588</v>
      </c>
      <c r="E816" s="5" t="s">
        <v>1360</v>
      </c>
      <c r="F816" s="5" t="str">
        <f t="shared" si="108"/>
        <v>Finance-Fund Administrator</v>
      </c>
      <c r="G816" s="5" t="s">
        <v>147</v>
      </c>
      <c r="H816" s="9">
        <v>44960.002604166664</v>
      </c>
      <c r="I816" s="9">
        <v>44962.002604166664</v>
      </c>
      <c r="J816" s="9" t="e">
        <f>I816+#REF!</f>
        <v>#REF!</v>
      </c>
      <c r="K816" s="9" t="e">
        <f>J816+#REF!</f>
        <v>#REF!</v>
      </c>
      <c r="L816" s="10" t="s">
        <v>41</v>
      </c>
      <c r="M816" s="11">
        <v>44971.002604166664</v>
      </c>
      <c r="N816" s="5" t="s">
        <v>42</v>
      </c>
      <c r="O816" s="5" t="s">
        <v>43</v>
      </c>
      <c r="P816" s="9"/>
      <c r="Q816" s="5"/>
      <c r="R816" s="5"/>
      <c r="S816" s="5"/>
      <c r="T816" s="9">
        <v>44972.002604166664</v>
      </c>
      <c r="U816" s="5"/>
      <c r="V816" s="5">
        <v>0</v>
      </c>
      <c r="W816" s="5"/>
      <c r="X816" s="5"/>
      <c r="Y816" s="5"/>
      <c r="Z816" s="5"/>
      <c r="AA816" s="5" t="s">
        <v>62</v>
      </c>
      <c r="AC816">
        <f t="shared" si="109"/>
        <v>9</v>
      </c>
      <c r="AD816" t="str">
        <f t="shared" si="110"/>
        <v/>
      </c>
      <c r="AE816">
        <f t="shared" si="111"/>
        <v>1</v>
      </c>
      <c r="AF816" t="str">
        <f t="shared" si="112"/>
        <v/>
      </c>
      <c r="AG816" t="str">
        <f t="shared" si="113"/>
        <v/>
      </c>
      <c r="AH816">
        <f t="shared" si="114"/>
        <v>2</v>
      </c>
      <c r="AI816" t="str">
        <f t="shared" si="115"/>
        <v/>
      </c>
      <c r="AJ816" t="str">
        <f t="shared" si="116"/>
        <v/>
      </c>
    </row>
    <row r="817" spans="1:36">
      <c r="A817" s="5">
        <v>861</v>
      </c>
      <c r="B817" s="5" t="s">
        <v>1790</v>
      </c>
      <c r="C817" s="5" t="s">
        <v>1540</v>
      </c>
      <c r="D817" s="5" t="s">
        <v>1706</v>
      </c>
      <c r="E817" s="5" t="s">
        <v>269</v>
      </c>
      <c r="F817" s="5" t="str">
        <f t="shared" si="108"/>
        <v>Finance-Manager</v>
      </c>
      <c r="G817" s="5" t="s">
        <v>270</v>
      </c>
      <c r="H817" s="9">
        <v>45121.103344907409</v>
      </c>
      <c r="I817" s="9">
        <v>45125.103344907409</v>
      </c>
      <c r="J817" s="9" t="e">
        <f>I817+#REF!</f>
        <v>#REF!</v>
      </c>
      <c r="K817" s="9" t="e">
        <f>J817+#REF!</f>
        <v>#REF!</v>
      </c>
      <c r="L817" s="10" t="s">
        <v>41</v>
      </c>
      <c r="M817" s="11">
        <v>45144.103344907409</v>
      </c>
      <c r="N817" s="5" t="s">
        <v>64</v>
      </c>
      <c r="O817" s="5"/>
      <c r="P817" s="9">
        <v>45149.103344907409</v>
      </c>
      <c r="Q817" s="5" t="s">
        <v>64</v>
      </c>
      <c r="R817" s="9">
        <v>45145.103344907409</v>
      </c>
      <c r="S817" s="9">
        <v>45147.103344907409</v>
      </c>
      <c r="T817" s="9">
        <v>45147.103344907409</v>
      </c>
      <c r="U817" s="9">
        <v>45157.103344907409</v>
      </c>
      <c r="V817" s="12">
        <v>1</v>
      </c>
      <c r="W817" s="9">
        <v>45161.103344907409</v>
      </c>
      <c r="X817" s="9">
        <v>45163.103344907409</v>
      </c>
      <c r="Y817" s="9">
        <v>45165.103344907409</v>
      </c>
      <c r="Z817" s="5"/>
      <c r="AA817" s="5"/>
      <c r="AB817" s="13">
        <v>45184.103344907409</v>
      </c>
      <c r="AC817">
        <f t="shared" si="109"/>
        <v>19</v>
      </c>
      <c r="AD817">
        <f t="shared" si="110"/>
        <v>22</v>
      </c>
      <c r="AE817">
        <f t="shared" si="111"/>
        <v>3</v>
      </c>
      <c r="AF817">
        <f t="shared" si="112"/>
        <v>6</v>
      </c>
      <c r="AG817">
        <f t="shared" si="113"/>
        <v>4</v>
      </c>
      <c r="AH817">
        <f t="shared" si="114"/>
        <v>4</v>
      </c>
      <c r="AI817" t="str">
        <f t="shared" si="115"/>
        <v/>
      </c>
      <c r="AJ817" t="str">
        <f t="shared" si="116"/>
        <v/>
      </c>
    </row>
    <row r="818" spans="1:36">
      <c r="A818" s="5">
        <v>862</v>
      </c>
      <c r="B818" s="5" t="s">
        <v>1789</v>
      </c>
      <c r="C818" s="5" t="s">
        <v>1540</v>
      </c>
      <c r="D818" s="5" t="s">
        <v>1706</v>
      </c>
      <c r="E818" s="5" t="s">
        <v>269</v>
      </c>
      <c r="F818" s="5" t="str">
        <f t="shared" si="108"/>
        <v>Finance-Manager</v>
      </c>
      <c r="G818" s="5" t="s">
        <v>270</v>
      </c>
      <c r="H818" s="9">
        <v>45129.103344907409</v>
      </c>
      <c r="I818" s="9">
        <v>45130.103344907409</v>
      </c>
      <c r="J818" s="9" t="e">
        <f>I818+#REF!</f>
        <v>#REF!</v>
      </c>
      <c r="K818" s="9" t="e">
        <f>J818+#REF!</f>
        <v>#REF!</v>
      </c>
      <c r="L818" s="10" t="s">
        <v>52</v>
      </c>
      <c r="M818" s="11"/>
      <c r="N818" s="5"/>
      <c r="O818" s="5"/>
      <c r="P818" s="9"/>
      <c r="Q818" s="5"/>
      <c r="R818" s="5"/>
      <c r="S818" s="5"/>
      <c r="T818" s="9"/>
      <c r="U818" s="5"/>
      <c r="V818" s="5">
        <v>0</v>
      </c>
      <c r="W818" s="5"/>
      <c r="X818" s="5"/>
      <c r="Y818" s="5"/>
      <c r="Z818" s="5"/>
      <c r="AA818" s="5"/>
      <c r="AC818" t="str">
        <f t="shared" si="109"/>
        <v/>
      </c>
      <c r="AD818" t="str">
        <f t="shared" si="110"/>
        <v/>
      </c>
      <c r="AE818" t="str">
        <f t="shared" si="111"/>
        <v/>
      </c>
      <c r="AF818" t="str">
        <f t="shared" si="112"/>
        <v/>
      </c>
      <c r="AG818" t="str">
        <f t="shared" si="113"/>
        <v/>
      </c>
      <c r="AH818">
        <f t="shared" si="114"/>
        <v>1</v>
      </c>
      <c r="AI818" t="str">
        <f t="shared" si="115"/>
        <v/>
      </c>
      <c r="AJ818" t="str">
        <f t="shared" si="116"/>
        <v/>
      </c>
    </row>
    <row r="819" spans="1:36">
      <c r="A819" s="5">
        <v>864</v>
      </c>
      <c r="B819" s="5" t="s">
        <v>1898</v>
      </c>
      <c r="C819" s="5" t="s">
        <v>1540</v>
      </c>
      <c r="D819" s="5" t="s">
        <v>1820</v>
      </c>
      <c r="E819" s="5" t="s">
        <v>1862</v>
      </c>
      <c r="F819" s="5" t="str">
        <f t="shared" si="108"/>
        <v>Finance-Billing Officer</v>
      </c>
      <c r="G819" s="5" t="s">
        <v>40</v>
      </c>
      <c r="H819" s="9">
        <v>45126.103344907409</v>
      </c>
      <c r="I819" s="9">
        <v>45128.103344907409</v>
      </c>
      <c r="J819" s="9" t="e">
        <f>I819+#REF!</f>
        <v>#REF!</v>
      </c>
      <c r="K819" s="9" t="e">
        <f>J819+#REF!</f>
        <v>#REF!</v>
      </c>
      <c r="L819" s="10" t="s">
        <v>41</v>
      </c>
      <c r="M819" s="11">
        <v>45139.103344907409</v>
      </c>
      <c r="N819" s="5" t="s">
        <v>42</v>
      </c>
      <c r="O819" s="5" t="s">
        <v>58</v>
      </c>
      <c r="P819" s="9"/>
      <c r="Q819" s="5"/>
      <c r="R819" s="5"/>
      <c r="S819" s="5"/>
      <c r="T819" s="9"/>
      <c r="U819" s="5"/>
      <c r="V819" s="5">
        <v>0</v>
      </c>
      <c r="W819" s="5"/>
      <c r="X819" s="5"/>
      <c r="Y819" s="5"/>
      <c r="Z819" s="5"/>
      <c r="AA819" s="5" t="s">
        <v>62</v>
      </c>
      <c r="AC819">
        <f t="shared" si="109"/>
        <v>11</v>
      </c>
      <c r="AD819" t="str">
        <f t="shared" si="110"/>
        <v/>
      </c>
      <c r="AE819" t="str">
        <f t="shared" si="111"/>
        <v/>
      </c>
      <c r="AF819" t="str">
        <f t="shared" si="112"/>
        <v/>
      </c>
      <c r="AG819" t="str">
        <f t="shared" si="113"/>
        <v/>
      </c>
      <c r="AH819">
        <f t="shared" si="114"/>
        <v>2</v>
      </c>
      <c r="AI819" t="str">
        <f t="shared" si="115"/>
        <v/>
      </c>
      <c r="AJ819" t="str">
        <f t="shared" si="116"/>
        <v/>
      </c>
    </row>
    <row r="820" spans="1:36">
      <c r="A820" s="5">
        <v>865</v>
      </c>
      <c r="B820" s="5" t="s">
        <v>1674</v>
      </c>
      <c r="C820" s="5" t="s">
        <v>1540</v>
      </c>
      <c r="D820" s="5" t="s">
        <v>1588</v>
      </c>
      <c r="E820" s="5" t="s">
        <v>1360</v>
      </c>
      <c r="F820" s="5" t="str">
        <f t="shared" si="108"/>
        <v>Finance-Fund Administrator</v>
      </c>
      <c r="G820" s="5" t="s">
        <v>147</v>
      </c>
      <c r="H820" s="9">
        <v>45125.103344907409</v>
      </c>
      <c r="I820" s="9">
        <v>45126.103344907409</v>
      </c>
      <c r="J820" s="9" t="e">
        <f>I820+#REF!</f>
        <v>#REF!</v>
      </c>
      <c r="K820" s="9" t="e">
        <f>J820+#REF!</f>
        <v>#REF!</v>
      </c>
      <c r="L820" s="10" t="s">
        <v>41</v>
      </c>
      <c r="M820" s="11">
        <v>45141.103344907409</v>
      </c>
      <c r="N820" s="5" t="s">
        <v>64</v>
      </c>
      <c r="O820" s="5"/>
      <c r="P820" s="9">
        <v>45146.103344907409</v>
      </c>
      <c r="Q820" s="5" t="s">
        <v>64</v>
      </c>
      <c r="R820" s="9">
        <v>45143.103344907409</v>
      </c>
      <c r="S820" s="9">
        <v>45147.103344907409</v>
      </c>
      <c r="T820" s="9">
        <v>45145.103344907409</v>
      </c>
      <c r="U820" s="9">
        <v>45147.103344907409</v>
      </c>
      <c r="V820" s="12">
        <v>1</v>
      </c>
      <c r="W820" s="9">
        <v>45151.103344907409</v>
      </c>
      <c r="X820" s="9">
        <v>45153.103344907409</v>
      </c>
      <c r="Y820" s="9">
        <v>45155.103344907409</v>
      </c>
      <c r="Z820" s="5"/>
      <c r="AA820" s="5"/>
      <c r="AB820" s="13">
        <v>45172.103344907409</v>
      </c>
      <c r="AC820">
        <f t="shared" si="109"/>
        <v>15</v>
      </c>
      <c r="AD820">
        <f t="shared" si="110"/>
        <v>21</v>
      </c>
      <c r="AE820">
        <f t="shared" si="111"/>
        <v>4</v>
      </c>
      <c r="AF820">
        <f t="shared" si="112"/>
        <v>6</v>
      </c>
      <c r="AG820">
        <f t="shared" si="113"/>
        <v>4</v>
      </c>
      <c r="AH820">
        <f t="shared" si="114"/>
        <v>1</v>
      </c>
      <c r="AI820" t="str">
        <f t="shared" si="115"/>
        <v/>
      </c>
      <c r="AJ820" t="str">
        <f t="shared" si="116"/>
        <v/>
      </c>
    </row>
    <row r="821" spans="1:36">
      <c r="A821" s="5">
        <v>866</v>
      </c>
      <c r="B821" s="5" t="s">
        <v>1788</v>
      </c>
      <c r="C821" s="5" t="s">
        <v>1540</v>
      </c>
      <c r="D821" s="5" t="s">
        <v>1706</v>
      </c>
      <c r="E821" s="5" t="s">
        <v>269</v>
      </c>
      <c r="F821" s="5" t="str">
        <f t="shared" si="108"/>
        <v>Finance-Manager</v>
      </c>
      <c r="G821" s="5" t="s">
        <v>270</v>
      </c>
      <c r="H821" s="9">
        <v>45124.103344907409</v>
      </c>
      <c r="I821" s="9">
        <v>45127.103344907409</v>
      </c>
      <c r="J821" s="9" t="e">
        <f>I821+#REF!</f>
        <v>#REF!</v>
      </c>
      <c r="K821" s="9" t="e">
        <f>J821+#REF!</f>
        <v>#REF!</v>
      </c>
      <c r="L821" s="10" t="s">
        <v>41</v>
      </c>
      <c r="M821" s="11">
        <v>45142.103344907409</v>
      </c>
      <c r="N821" s="5" t="s">
        <v>42</v>
      </c>
      <c r="O821" s="5" t="s">
        <v>113</v>
      </c>
      <c r="P821" s="9"/>
      <c r="Q821" s="5"/>
      <c r="R821" s="5"/>
      <c r="S821" s="5"/>
      <c r="T821" s="9"/>
      <c r="U821" s="5"/>
      <c r="V821" s="5">
        <v>0</v>
      </c>
      <c r="W821" s="5"/>
      <c r="X821" s="5"/>
      <c r="Y821" s="5"/>
      <c r="Z821" s="5"/>
      <c r="AA821" s="5" t="s">
        <v>62</v>
      </c>
      <c r="AC821">
        <f t="shared" si="109"/>
        <v>15</v>
      </c>
      <c r="AD821" t="str">
        <f t="shared" si="110"/>
        <v/>
      </c>
      <c r="AE821" t="str">
        <f t="shared" si="111"/>
        <v/>
      </c>
      <c r="AF821" t="str">
        <f t="shared" si="112"/>
        <v/>
      </c>
      <c r="AG821" t="str">
        <f t="shared" si="113"/>
        <v/>
      </c>
      <c r="AH821">
        <f t="shared" si="114"/>
        <v>3</v>
      </c>
      <c r="AI821" t="str">
        <f t="shared" si="115"/>
        <v/>
      </c>
      <c r="AJ821" t="str">
        <f t="shared" si="116"/>
        <v/>
      </c>
    </row>
    <row r="822" spans="1:36">
      <c r="A822" s="5">
        <v>867</v>
      </c>
      <c r="B822" s="5" t="s">
        <v>1946</v>
      </c>
      <c r="C822" s="5" t="s">
        <v>1540</v>
      </c>
      <c r="D822" s="5" t="s">
        <v>1925</v>
      </c>
      <c r="E822" s="5" t="s">
        <v>1939</v>
      </c>
      <c r="F822" s="5" t="str">
        <f t="shared" si="108"/>
        <v>Finance-Principal Officer</v>
      </c>
      <c r="G822" s="5" t="s">
        <v>56</v>
      </c>
      <c r="H822" s="9">
        <v>45123.103344907409</v>
      </c>
      <c r="I822" s="9">
        <v>45126.103344907409</v>
      </c>
      <c r="J822" s="9" t="e">
        <f>I822+#REF!</f>
        <v>#REF!</v>
      </c>
      <c r="K822" s="9" t="e">
        <f>J822+#REF!</f>
        <v>#REF!</v>
      </c>
      <c r="L822" s="10" t="s">
        <v>41</v>
      </c>
      <c r="M822" s="11">
        <v>45141.103344907409</v>
      </c>
      <c r="N822" s="5" t="s">
        <v>64</v>
      </c>
      <c r="O822" s="5"/>
      <c r="P822" s="9">
        <v>45145.103344907409</v>
      </c>
      <c r="Q822" s="5" t="s">
        <v>64</v>
      </c>
      <c r="R822" s="9">
        <v>45142.103344907409</v>
      </c>
      <c r="S822" s="9">
        <v>45145.103344907409</v>
      </c>
      <c r="T822" s="9">
        <v>45142.103344907409</v>
      </c>
      <c r="U822" s="9">
        <v>45151.103344907409</v>
      </c>
      <c r="V822" s="12">
        <v>1</v>
      </c>
      <c r="W822" s="9">
        <v>45152.103344907409</v>
      </c>
      <c r="X822" s="9">
        <v>45155.103344907409</v>
      </c>
      <c r="Y822" s="9">
        <v>45158.103344907409</v>
      </c>
      <c r="Z822" s="5"/>
      <c r="AA822" s="5"/>
      <c r="AB822" s="13">
        <v>45170.103344907409</v>
      </c>
      <c r="AC822">
        <f t="shared" si="109"/>
        <v>15</v>
      </c>
      <c r="AD822">
        <f t="shared" si="110"/>
        <v>19</v>
      </c>
      <c r="AE822">
        <f t="shared" si="111"/>
        <v>1</v>
      </c>
      <c r="AF822">
        <f t="shared" si="112"/>
        <v>4</v>
      </c>
      <c r="AG822">
        <f t="shared" si="113"/>
        <v>1</v>
      </c>
      <c r="AH822">
        <f t="shared" si="114"/>
        <v>3</v>
      </c>
      <c r="AI822" t="str">
        <f t="shared" si="115"/>
        <v/>
      </c>
      <c r="AJ822" t="str">
        <f t="shared" si="116"/>
        <v/>
      </c>
    </row>
    <row r="823" spans="1:36">
      <c r="A823" s="5">
        <v>868</v>
      </c>
      <c r="B823" s="5" t="s">
        <v>1945</v>
      </c>
      <c r="C823" s="5" t="s">
        <v>1540</v>
      </c>
      <c r="D823" s="5" t="s">
        <v>1925</v>
      </c>
      <c r="E823" s="5" t="s">
        <v>1939</v>
      </c>
      <c r="F823" s="5" t="str">
        <f t="shared" si="108"/>
        <v>Finance-Principal Officer</v>
      </c>
      <c r="G823" s="5" t="s">
        <v>56</v>
      </c>
      <c r="H823" s="9">
        <v>45124.103344907409</v>
      </c>
      <c r="I823" s="9">
        <v>45125.103344907409</v>
      </c>
      <c r="J823" s="9" t="e">
        <f>I823+#REF!</f>
        <v>#REF!</v>
      </c>
      <c r="K823" s="9" t="e">
        <f>J823+#REF!</f>
        <v>#REF!</v>
      </c>
      <c r="L823" s="10" t="s">
        <v>41</v>
      </c>
      <c r="M823" s="11">
        <v>45136.103344907409</v>
      </c>
      <c r="N823" s="5" t="s">
        <v>42</v>
      </c>
      <c r="O823" s="5" t="s">
        <v>73</v>
      </c>
      <c r="P823" s="9"/>
      <c r="Q823" s="5"/>
      <c r="R823" s="5"/>
      <c r="S823" s="5"/>
      <c r="T823" s="9">
        <v>45139.103344907409</v>
      </c>
      <c r="U823" s="5"/>
      <c r="V823" s="5">
        <v>0</v>
      </c>
      <c r="W823" s="5"/>
      <c r="X823" s="5"/>
      <c r="Y823" s="5"/>
      <c r="Z823" s="5"/>
      <c r="AA823" s="5" t="s">
        <v>44</v>
      </c>
      <c r="AC823">
        <f t="shared" si="109"/>
        <v>11</v>
      </c>
      <c r="AD823" t="str">
        <f t="shared" si="110"/>
        <v/>
      </c>
      <c r="AE823">
        <f t="shared" si="111"/>
        <v>3</v>
      </c>
      <c r="AF823" t="str">
        <f t="shared" si="112"/>
        <v/>
      </c>
      <c r="AG823" t="str">
        <f t="shared" si="113"/>
        <v/>
      </c>
      <c r="AH823">
        <f t="shared" si="114"/>
        <v>1</v>
      </c>
      <c r="AI823" t="str">
        <f t="shared" si="115"/>
        <v/>
      </c>
      <c r="AJ823" t="str">
        <f t="shared" si="116"/>
        <v/>
      </c>
    </row>
    <row r="824" spans="1:36">
      <c r="A824" s="5">
        <v>869</v>
      </c>
      <c r="B824" s="5" t="s">
        <v>1944</v>
      </c>
      <c r="C824" s="5" t="s">
        <v>1540</v>
      </c>
      <c r="D824" s="5" t="s">
        <v>1925</v>
      </c>
      <c r="E824" s="5" t="s">
        <v>1939</v>
      </c>
      <c r="F824" s="5" t="str">
        <f t="shared" si="108"/>
        <v>Finance-Principal Officer</v>
      </c>
      <c r="G824" s="5" t="s">
        <v>56</v>
      </c>
      <c r="H824" s="9">
        <v>45121.103344907409</v>
      </c>
      <c r="I824" s="9">
        <v>45125.103344907409</v>
      </c>
      <c r="J824" s="9" t="e">
        <f>I824+#REF!</f>
        <v>#REF!</v>
      </c>
      <c r="K824" s="9" t="e">
        <f>J824+#REF!</f>
        <v>#REF!</v>
      </c>
      <c r="L824" s="10" t="s">
        <v>52</v>
      </c>
      <c r="M824" s="11"/>
      <c r="N824" s="5"/>
      <c r="O824" s="5"/>
      <c r="P824" s="9"/>
      <c r="Q824" s="5"/>
      <c r="R824" s="5"/>
      <c r="S824" s="5"/>
      <c r="T824" s="9"/>
      <c r="U824" s="5"/>
      <c r="V824" s="5">
        <v>0</v>
      </c>
      <c r="W824" s="5"/>
      <c r="X824" s="5"/>
      <c r="Y824" s="5"/>
      <c r="Z824" s="5"/>
      <c r="AA824" s="5"/>
      <c r="AC824" t="str">
        <f t="shared" si="109"/>
        <v/>
      </c>
      <c r="AD824" t="str">
        <f t="shared" si="110"/>
        <v/>
      </c>
      <c r="AE824" t="str">
        <f t="shared" si="111"/>
        <v/>
      </c>
      <c r="AF824" t="str">
        <f t="shared" si="112"/>
        <v/>
      </c>
      <c r="AG824" t="str">
        <f t="shared" si="113"/>
        <v/>
      </c>
      <c r="AH824">
        <f t="shared" si="114"/>
        <v>4</v>
      </c>
      <c r="AI824" t="str">
        <f t="shared" si="115"/>
        <v/>
      </c>
      <c r="AJ824" t="str">
        <f t="shared" si="116"/>
        <v/>
      </c>
    </row>
    <row r="825" spans="1:36">
      <c r="A825" s="5">
        <v>871</v>
      </c>
      <c r="B825" s="5" t="s">
        <v>938</v>
      </c>
      <c r="C825" s="5" t="s">
        <v>796</v>
      </c>
      <c r="D825" s="5" t="s">
        <v>893</v>
      </c>
      <c r="E825" s="5" t="s">
        <v>269</v>
      </c>
      <c r="F825" s="5" t="str">
        <f t="shared" si="108"/>
        <v>M and E-Manager</v>
      </c>
      <c r="G825" s="5" t="s">
        <v>270</v>
      </c>
      <c r="H825" s="9">
        <v>44758.80777777778</v>
      </c>
      <c r="I825" s="9">
        <v>44762.80777777778</v>
      </c>
      <c r="J825" s="9" t="e">
        <f>I825+#REF!</f>
        <v>#REF!</v>
      </c>
      <c r="K825" s="9" t="e">
        <f>J825+#REF!</f>
        <v>#REF!</v>
      </c>
      <c r="L825" s="10" t="s">
        <v>41</v>
      </c>
      <c r="M825" s="11">
        <v>44771.80777777778</v>
      </c>
      <c r="N825" s="5" t="s">
        <v>64</v>
      </c>
      <c r="O825" s="5"/>
      <c r="P825" s="9">
        <v>44779.80777777778</v>
      </c>
      <c r="Q825" s="5" t="s">
        <v>64</v>
      </c>
      <c r="R825" s="9">
        <v>44772.80777777778</v>
      </c>
      <c r="S825" s="9">
        <v>44775.80777777778</v>
      </c>
      <c r="T825" s="9">
        <v>44775.80777777778</v>
      </c>
      <c r="U825" s="9">
        <v>44776.80777777778</v>
      </c>
      <c r="V825" s="12">
        <v>1</v>
      </c>
      <c r="W825" s="9">
        <v>44777.80777777778</v>
      </c>
      <c r="X825" s="9">
        <v>44778.80777777778</v>
      </c>
      <c r="Y825" s="9">
        <v>44779.80777777778</v>
      </c>
      <c r="Z825" s="5"/>
      <c r="AA825" s="5"/>
      <c r="AB825" s="13">
        <v>44796.80777777778</v>
      </c>
      <c r="AC825">
        <f t="shared" si="109"/>
        <v>9</v>
      </c>
      <c r="AD825">
        <f t="shared" si="110"/>
        <v>13</v>
      </c>
      <c r="AE825">
        <f t="shared" si="111"/>
        <v>4</v>
      </c>
      <c r="AF825">
        <f t="shared" si="112"/>
        <v>2</v>
      </c>
      <c r="AG825">
        <f t="shared" si="113"/>
        <v>1</v>
      </c>
      <c r="AH825">
        <f t="shared" si="114"/>
        <v>4</v>
      </c>
      <c r="AI825" t="str">
        <f t="shared" si="115"/>
        <v/>
      </c>
      <c r="AJ825" t="str">
        <f t="shared" si="116"/>
        <v/>
      </c>
    </row>
    <row r="826" spans="1:36">
      <c r="A826" s="5">
        <v>872</v>
      </c>
      <c r="B826" s="5" t="s">
        <v>1108</v>
      </c>
      <c r="C826" s="5" t="s">
        <v>796</v>
      </c>
      <c r="D826" s="5" t="s">
        <v>1046</v>
      </c>
      <c r="E826" s="5" t="s">
        <v>597</v>
      </c>
      <c r="F826" s="5" t="str">
        <f t="shared" si="108"/>
        <v>M and E-Business Partner</v>
      </c>
      <c r="G826" s="5" t="s">
        <v>47</v>
      </c>
      <c r="H826" s="9">
        <v>44760.80777777778</v>
      </c>
      <c r="I826" s="9">
        <v>44764.80777777778</v>
      </c>
      <c r="J826" s="9" t="e">
        <f>I826+#REF!</f>
        <v>#REF!</v>
      </c>
      <c r="K826" s="9" t="e">
        <f>J826+#REF!</f>
        <v>#REF!</v>
      </c>
      <c r="L826" s="10" t="s">
        <v>41</v>
      </c>
      <c r="M826" s="11">
        <v>44770.80777777778</v>
      </c>
      <c r="N826" s="5" t="s">
        <v>48</v>
      </c>
      <c r="O826" s="5"/>
      <c r="P826" s="9">
        <v>44774.80777777778</v>
      </c>
      <c r="Q826" s="5" t="s">
        <v>48</v>
      </c>
      <c r="R826" s="5"/>
      <c r="S826" s="5"/>
      <c r="T826" s="9">
        <v>44772.80777777778</v>
      </c>
      <c r="U826" s="5"/>
      <c r="V826" s="5">
        <v>0</v>
      </c>
      <c r="W826" s="5"/>
      <c r="X826" s="5"/>
      <c r="Y826" s="5"/>
      <c r="Z826" s="5"/>
      <c r="AA826" s="5"/>
      <c r="AC826">
        <f t="shared" si="109"/>
        <v>6</v>
      </c>
      <c r="AD826" t="str">
        <f t="shared" si="110"/>
        <v/>
      </c>
      <c r="AE826">
        <f t="shared" si="111"/>
        <v>2</v>
      </c>
      <c r="AF826" t="str">
        <f t="shared" si="112"/>
        <v/>
      </c>
      <c r="AG826" t="str">
        <f t="shared" si="113"/>
        <v/>
      </c>
      <c r="AH826">
        <f t="shared" si="114"/>
        <v>4</v>
      </c>
      <c r="AI826" t="str">
        <f t="shared" si="115"/>
        <v/>
      </c>
      <c r="AJ826" t="str">
        <f t="shared" si="116"/>
        <v/>
      </c>
    </row>
    <row r="827" spans="1:36">
      <c r="A827" s="5">
        <v>873</v>
      </c>
      <c r="B827" s="5" t="s">
        <v>937</v>
      </c>
      <c r="C827" s="5" t="s">
        <v>796</v>
      </c>
      <c r="D827" s="5" t="s">
        <v>893</v>
      </c>
      <c r="E827" s="5" t="s">
        <v>269</v>
      </c>
      <c r="F827" s="5" t="str">
        <f t="shared" si="108"/>
        <v>M and E-Manager</v>
      </c>
      <c r="G827" s="5" t="s">
        <v>270</v>
      </c>
      <c r="H827" s="9">
        <v>44763.80777777778</v>
      </c>
      <c r="I827" s="9">
        <v>44766.80777777778</v>
      </c>
      <c r="J827" s="9" t="e">
        <f>I827+#REF!</f>
        <v>#REF!</v>
      </c>
      <c r="K827" s="9" t="e">
        <f>J827+#REF!</f>
        <v>#REF!</v>
      </c>
      <c r="L827" s="10" t="s">
        <v>41</v>
      </c>
      <c r="M827" s="11">
        <v>44775.80777777778</v>
      </c>
      <c r="N827" s="5" t="s">
        <v>48</v>
      </c>
      <c r="O827" s="5"/>
      <c r="P827" s="9">
        <v>44783.80777777778</v>
      </c>
      <c r="Q827" s="5" t="s">
        <v>48</v>
      </c>
      <c r="R827" s="5"/>
      <c r="S827" s="5"/>
      <c r="T827" s="9">
        <v>44779.80777777778</v>
      </c>
      <c r="U827" s="5"/>
      <c r="V827" s="5">
        <v>0</v>
      </c>
      <c r="W827" s="5"/>
      <c r="X827" s="5"/>
      <c r="Y827" s="5"/>
      <c r="Z827" s="5"/>
      <c r="AA827" s="5"/>
      <c r="AC827">
        <f t="shared" si="109"/>
        <v>9</v>
      </c>
      <c r="AD827" t="str">
        <f t="shared" si="110"/>
        <v/>
      </c>
      <c r="AE827">
        <f t="shared" si="111"/>
        <v>4</v>
      </c>
      <c r="AF827" t="str">
        <f t="shared" si="112"/>
        <v/>
      </c>
      <c r="AG827" t="str">
        <f t="shared" si="113"/>
        <v/>
      </c>
      <c r="AH827">
        <f t="shared" si="114"/>
        <v>3</v>
      </c>
      <c r="AI827" t="str">
        <f t="shared" si="115"/>
        <v/>
      </c>
      <c r="AJ827" t="str">
        <f t="shared" si="116"/>
        <v/>
      </c>
    </row>
    <row r="828" spans="1:36">
      <c r="A828" s="5">
        <v>874</v>
      </c>
      <c r="B828" s="5" t="s">
        <v>885</v>
      </c>
      <c r="C828" s="5" t="s">
        <v>796</v>
      </c>
      <c r="D828" s="5" t="s">
        <v>814</v>
      </c>
      <c r="E828" s="5" t="s">
        <v>39</v>
      </c>
      <c r="F828" s="5" t="str">
        <f t="shared" si="108"/>
        <v>M and E-Analyst</v>
      </c>
      <c r="G828" s="5" t="s">
        <v>147</v>
      </c>
      <c r="H828" s="9">
        <v>44759.80777777778</v>
      </c>
      <c r="I828" s="9">
        <v>44763.80777777778</v>
      </c>
      <c r="J828" s="9" t="e">
        <f>I828+#REF!</f>
        <v>#REF!</v>
      </c>
      <c r="K828" s="9" t="e">
        <f>J828+#REF!</f>
        <v>#REF!</v>
      </c>
      <c r="L828" s="10" t="s">
        <v>41</v>
      </c>
      <c r="M828" s="11">
        <v>44773.80777777778</v>
      </c>
      <c r="N828" s="5" t="s">
        <v>42</v>
      </c>
      <c r="O828" s="5" t="s">
        <v>73</v>
      </c>
      <c r="P828" s="9"/>
      <c r="Q828" s="5"/>
      <c r="R828" s="5"/>
      <c r="S828" s="5"/>
      <c r="T828" s="9"/>
      <c r="U828" s="5"/>
      <c r="V828" s="5">
        <v>0</v>
      </c>
      <c r="W828" s="5"/>
      <c r="X828" s="5"/>
      <c r="Y828" s="5"/>
      <c r="Z828" s="5"/>
      <c r="AA828" s="5" t="s">
        <v>44</v>
      </c>
      <c r="AC828">
        <f t="shared" si="109"/>
        <v>10</v>
      </c>
      <c r="AD828" t="str">
        <f t="shared" si="110"/>
        <v/>
      </c>
      <c r="AE828" t="str">
        <f t="shared" si="111"/>
        <v/>
      </c>
      <c r="AF828" t="str">
        <f t="shared" si="112"/>
        <v/>
      </c>
      <c r="AG828" t="str">
        <f t="shared" si="113"/>
        <v/>
      </c>
      <c r="AH828">
        <f t="shared" si="114"/>
        <v>4</v>
      </c>
      <c r="AI828" t="str">
        <f t="shared" si="115"/>
        <v/>
      </c>
      <c r="AJ828" t="str">
        <f t="shared" si="116"/>
        <v/>
      </c>
    </row>
    <row r="829" spans="1:36">
      <c r="A829" s="5">
        <v>875</v>
      </c>
      <c r="B829" s="5" t="s">
        <v>1035</v>
      </c>
      <c r="C829" s="5" t="s">
        <v>796</v>
      </c>
      <c r="D829" s="5" t="s">
        <v>1026</v>
      </c>
      <c r="E829" s="5" t="s">
        <v>709</v>
      </c>
      <c r="F829" s="5" t="str">
        <f t="shared" si="108"/>
        <v>M and E-Lead</v>
      </c>
      <c r="G829" s="5" t="s">
        <v>56</v>
      </c>
      <c r="H829" s="9">
        <v>44765.80777777778</v>
      </c>
      <c r="I829" s="9">
        <v>44766.80777777778</v>
      </c>
      <c r="J829" s="9" t="e">
        <f>I829+#REF!</f>
        <v>#REF!</v>
      </c>
      <c r="K829" s="9" t="e">
        <f>J829+#REF!</f>
        <v>#REF!</v>
      </c>
      <c r="L829" s="10" t="s">
        <v>41</v>
      </c>
      <c r="M829" s="11">
        <v>44770.80777777778</v>
      </c>
      <c r="N829" s="5" t="s">
        <v>64</v>
      </c>
      <c r="O829" s="5"/>
      <c r="P829" s="9">
        <v>44776.80777777778</v>
      </c>
      <c r="Q829" s="5" t="s">
        <v>64</v>
      </c>
      <c r="R829" s="9">
        <v>44772.80777777778</v>
      </c>
      <c r="S829" s="9">
        <v>44773.80777777778</v>
      </c>
      <c r="T829" s="9">
        <v>44773.80777777778</v>
      </c>
      <c r="U829" s="9">
        <v>44780.80777777778</v>
      </c>
      <c r="V829" s="12">
        <v>1</v>
      </c>
      <c r="W829" s="9">
        <v>44782.80777777778</v>
      </c>
      <c r="X829" s="9">
        <v>44783.80777777778</v>
      </c>
      <c r="Y829" s="9">
        <v>44785.80777777778</v>
      </c>
      <c r="Z829" s="5"/>
      <c r="AA829" s="5"/>
      <c r="AB829" s="13">
        <v>44804.80777777778</v>
      </c>
      <c r="AC829">
        <f t="shared" si="109"/>
        <v>4</v>
      </c>
      <c r="AD829">
        <f t="shared" si="110"/>
        <v>7</v>
      </c>
      <c r="AE829">
        <f t="shared" si="111"/>
        <v>3</v>
      </c>
      <c r="AF829">
        <f t="shared" si="112"/>
        <v>3</v>
      </c>
      <c r="AG829">
        <f t="shared" si="113"/>
        <v>2</v>
      </c>
      <c r="AH829">
        <f t="shared" si="114"/>
        <v>1</v>
      </c>
      <c r="AI829" t="str">
        <f t="shared" si="115"/>
        <v/>
      </c>
      <c r="AJ829" t="str">
        <f t="shared" si="116"/>
        <v/>
      </c>
    </row>
    <row r="830" spans="1:36">
      <c r="A830" s="5">
        <v>878</v>
      </c>
      <c r="B830" s="5" t="s">
        <v>884</v>
      </c>
      <c r="C830" s="5" t="s">
        <v>796</v>
      </c>
      <c r="D830" s="5" t="s">
        <v>814</v>
      </c>
      <c r="E830" s="5" t="s">
        <v>39</v>
      </c>
      <c r="F830" s="5" t="str">
        <f t="shared" si="108"/>
        <v>M and E-Analyst</v>
      </c>
      <c r="G830" s="5" t="s">
        <v>147</v>
      </c>
      <c r="H830" s="9">
        <v>44760.80777777778</v>
      </c>
      <c r="I830" s="9">
        <v>44763.80777777778</v>
      </c>
      <c r="J830" s="9" t="e">
        <f>I830+#REF!</f>
        <v>#REF!</v>
      </c>
      <c r="K830" s="9" t="e">
        <f>J830+#REF!</f>
        <v>#REF!</v>
      </c>
      <c r="L830" s="10" t="s">
        <v>41</v>
      </c>
      <c r="M830" s="11">
        <v>44778.80777777778</v>
      </c>
      <c r="N830" s="5" t="s">
        <v>48</v>
      </c>
      <c r="O830" s="5"/>
      <c r="P830" s="9">
        <v>44782.80777777778</v>
      </c>
      <c r="Q830" s="5" t="s">
        <v>48</v>
      </c>
      <c r="R830" s="5"/>
      <c r="S830" s="5"/>
      <c r="T830" s="9">
        <v>44781.80777777778</v>
      </c>
      <c r="U830" s="5"/>
      <c r="V830" s="5">
        <v>0</v>
      </c>
      <c r="W830" s="5"/>
      <c r="X830" s="5"/>
      <c r="Y830" s="5"/>
      <c r="Z830" s="5"/>
      <c r="AA830" s="5"/>
      <c r="AC830">
        <f t="shared" si="109"/>
        <v>15</v>
      </c>
      <c r="AD830" t="str">
        <f t="shared" si="110"/>
        <v/>
      </c>
      <c r="AE830">
        <f t="shared" si="111"/>
        <v>3</v>
      </c>
      <c r="AF830" t="str">
        <f t="shared" si="112"/>
        <v/>
      </c>
      <c r="AG830" t="str">
        <f t="shared" si="113"/>
        <v/>
      </c>
      <c r="AH830">
        <f t="shared" si="114"/>
        <v>3</v>
      </c>
      <c r="AI830" t="str">
        <f t="shared" si="115"/>
        <v/>
      </c>
      <c r="AJ830" t="str">
        <f t="shared" si="116"/>
        <v/>
      </c>
    </row>
    <row r="831" spans="1:36">
      <c r="A831" s="5">
        <v>880</v>
      </c>
      <c r="B831" s="5" t="s">
        <v>1013</v>
      </c>
      <c r="C831" s="5" t="s">
        <v>796</v>
      </c>
      <c r="D831" s="5" t="s">
        <v>957</v>
      </c>
      <c r="E831" s="5" t="s">
        <v>388</v>
      </c>
      <c r="F831" s="5" t="str">
        <f t="shared" si="108"/>
        <v>M and E-Extension Officer</v>
      </c>
      <c r="G831" s="5" t="s">
        <v>40</v>
      </c>
      <c r="H831" s="9">
        <v>44759.80777777778</v>
      </c>
      <c r="I831" s="9">
        <v>44763.80777777778</v>
      </c>
      <c r="J831" s="9" t="e">
        <f>I831+#REF!</f>
        <v>#REF!</v>
      </c>
      <c r="K831" s="9" t="e">
        <f>J831+#REF!</f>
        <v>#REF!</v>
      </c>
      <c r="L831" s="10" t="s">
        <v>41</v>
      </c>
      <c r="M831" s="11">
        <v>44774.80777777778</v>
      </c>
      <c r="N831" s="5" t="s">
        <v>42</v>
      </c>
      <c r="O831" s="5" t="s">
        <v>58</v>
      </c>
      <c r="P831" s="9"/>
      <c r="Q831" s="5"/>
      <c r="R831" s="5"/>
      <c r="S831" s="5"/>
      <c r="T831" s="9"/>
      <c r="U831" s="5"/>
      <c r="V831" s="5">
        <v>0</v>
      </c>
      <c r="W831" s="5"/>
      <c r="X831" s="5"/>
      <c r="Y831" s="5"/>
      <c r="Z831" s="5"/>
      <c r="AA831" s="5" t="s">
        <v>44</v>
      </c>
      <c r="AC831">
        <f t="shared" si="109"/>
        <v>11</v>
      </c>
      <c r="AD831" t="str">
        <f t="shared" si="110"/>
        <v/>
      </c>
      <c r="AE831" t="str">
        <f t="shared" si="111"/>
        <v/>
      </c>
      <c r="AF831" t="str">
        <f t="shared" si="112"/>
        <v/>
      </c>
      <c r="AG831" t="str">
        <f t="shared" si="113"/>
        <v/>
      </c>
      <c r="AH831">
        <f t="shared" si="114"/>
        <v>4</v>
      </c>
      <c r="AI831" t="str">
        <f t="shared" si="115"/>
        <v/>
      </c>
      <c r="AJ831" t="str">
        <f t="shared" si="116"/>
        <v/>
      </c>
    </row>
    <row r="832" spans="1:36">
      <c r="A832" s="5">
        <v>881</v>
      </c>
      <c r="B832" s="5" t="s">
        <v>2062</v>
      </c>
      <c r="C832" s="5" t="s">
        <v>1540</v>
      </c>
      <c r="D832" s="5" t="s">
        <v>1985</v>
      </c>
      <c r="E832" s="5" t="s">
        <v>1862</v>
      </c>
      <c r="F832" s="5" t="str">
        <f t="shared" si="108"/>
        <v>Finance-Billing Officer</v>
      </c>
      <c r="G832" s="5" t="s">
        <v>47</v>
      </c>
      <c r="H832" s="9">
        <v>44824.199942129628</v>
      </c>
      <c r="I832" s="9">
        <v>44828.199942129628</v>
      </c>
      <c r="J832" s="9" t="e">
        <f>I832+#REF!</f>
        <v>#REF!</v>
      </c>
      <c r="K832" s="9" t="e">
        <f>J832+#REF!</f>
        <v>#REF!</v>
      </c>
      <c r="L832" s="10" t="s">
        <v>41</v>
      </c>
      <c r="M832" s="11">
        <v>44832.199942129628</v>
      </c>
      <c r="N832" s="5" t="s">
        <v>64</v>
      </c>
      <c r="O832" s="5"/>
      <c r="P832" s="9">
        <v>44835.199942129628</v>
      </c>
      <c r="Q832" s="5" t="s">
        <v>64</v>
      </c>
      <c r="R832" s="9">
        <v>44834.199942129628</v>
      </c>
      <c r="S832" s="9">
        <v>44837.199942129628</v>
      </c>
      <c r="T832" s="9">
        <v>44834.199942129628</v>
      </c>
      <c r="U832" s="9">
        <v>44835.199942129628</v>
      </c>
      <c r="V832" s="12">
        <v>1</v>
      </c>
      <c r="W832" s="9">
        <v>44839.199942129628</v>
      </c>
      <c r="X832" s="9">
        <v>44842.199942129628</v>
      </c>
      <c r="Y832" s="9">
        <v>44843.199942129628</v>
      </c>
      <c r="Z832" s="5"/>
      <c r="AA832" s="5"/>
      <c r="AB832" s="13">
        <v>44860.199942129628</v>
      </c>
      <c r="AC832">
        <f t="shared" si="109"/>
        <v>4</v>
      </c>
      <c r="AD832">
        <f t="shared" si="110"/>
        <v>9</v>
      </c>
      <c r="AE832">
        <f t="shared" si="111"/>
        <v>2</v>
      </c>
      <c r="AF832">
        <f t="shared" si="112"/>
        <v>7</v>
      </c>
      <c r="AG832">
        <f t="shared" si="113"/>
        <v>4</v>
      </c>
      <c r="AH832">
        <f t="shared" si="114"/>
        <v>4</v>
      </c>
      <c r="AI832" t="str">
        <f t="shared" si="115"/>
        <v/>
      </c>
      <c r="AJ832" t="str">
        <f t="shared" si="116"/>
        <v/>
      </c>
    </row>
    <row r="833" spans="1:36">
      <c r="A833" s="5">
        <v>882</v>
      </c>
      <c r="B833" s="5" t="s">
        <v>1943</v>
      </c>
      <c r="C833" s="5" t="s">
        <v>1540</v>
      </c>
      <c r="D833" s="5" t="s">
        <v>1925</v>
      </c>
      <c r="E833" s="5" t="s">
        <v>1939</v>
      </c>
      <c r="F833" s="5" t="str">
        <f t="shared" si="108"/>
        <v>Finance-Principal Officer</v>
      </c>
      <c r="G833" s="5" t="s">
        <v>56</v>
      </c>
      <c r="H833" s="9">
        <v>44826.199942129628</v>
      </c>
      <c r="I833" s="9">
        <v>44830.199942129628</v>
      </c>
      <c r="J833" s="9" t="e">
        <f>I833+#REF!</f>
        <v>#REF!</v>
      </c>
      <c r="K833" s="9" t="e">
        <f>J833+#REF!</f>
        <v>#REF!</v>
      </c>
      <c r="L833" s="10" t="s">
        <v>41</v>
      </c>
      <c r="M833" s="11">
        <v>44839.199942129628</v>
      </c>
      <c r="N833" s="5" t="s">
        <v>42</v>
      </c>
      <c r="O833" s="5" t="s">
        <v>43</v>
      </c>
      <c r="P833" s="9"/>
      <c r="Q833" s="5"/>
      <c r="R833" s="5"/>
      <c r="S833" s="5"/>
      <c r="T833" s="9">
        <v>44843.199942129628</v>
      </c>
      <c r="U833" s="5"/>
      <c r="V833" s="5">
        <v>0</v>
      </c>
      <c r="W833" s="5"/>
      <c r="X833" s="5"/>
      <c r="Y833" s="5"/>
      <c r="Z833" s="5"/>
      <c r="AA833" s="5" t="s">
        <v>62</v>
      </c>
      <c r="AC833">
        <f t="shared" si="109"/>
        <v>9</v>
      </c>
      <c r="AD833" t="str">
        <f t="shared" si="110"/>
        <v/>
      </c>
      <c r="AE833">
        <f t="shared" si="111"/>
        <v>4</v>
      </c>
      <c r="AF833" t="str">
        <f t="shared" si="112"/>
        <v/>
      </c>
      <c r="AG833" t="str">
        <f t="shared" si="113"/>
        <v/>
      </c>
      <c r="AH833">
        <f t="shared" si="114"/>
        <v>4</v>
      </c>
      <c r="AI833" t="str">
        <f t="shared" si="115"/>
        <v/>
      </c>
      <c r="AJ833" t="str">
        <f t="shared" si="116"/>
        <v/>
      </c>
    </row>
    <row r="834" spans="1:36">
      <c r="A834" s="5">
        <v>883</v>
      </c>
      <c r="B834" s="5" t="s">
        <v>1942</v>
      </c>
      <c r="C834" s="5" t="s">
        <v>1540</v>
      </c>
      <c r="D834" s="5" t="s">
        <v>1925</v>
      </c>
      <c r="E834" s="5" t="s">
        <v>1939</v>
      </c>
      <c r="F834" s="5" t="str">
        <f t="shared" ref="F834:F897" si="117">_xlfn.CONCAT(C834,"-",E834)</f>
        <v>Finance-Principal Officer</v>
      </c>
      <c r="G834" s="5" t="s">
        <v>56</v>
      </c>
      <c r="H834" s="9">
        <v>44824.199942129628</v>
      </c>
      <c r="I834" s="9">
        <v>44826.199942129628</v>
      </c>
      <c r="J834" s="9" t="e">
        <f>I834+#REF!</f>
        <v>#REF!</v>
      </c>
      <c r="K834" s="9" t="e">
        <f>J834+#REF!</f>
        <v>#REF!</v>
      </c>
      <c r="L834" s="10" t="s">
        <v>41</v>
      </c>
      <c r="M834" s="11">
        <v>44833.199942129628</v>
      </c>
      <c r="N834" s="5" t="s">
        <v>42</v>
      </c>
      <c r="O834" s="5" t="s">
        <v>98</v>
      </c>
      <c r="P834" s="9"/>
      <c r="Q834" s="5"/>
      <c r="R834" s="5"/>
      <c r="S834" s="5"/>
      <c r="T834" s="9"/>
      <c r="U834" s="5"/>
      <c r="V834" s="5">
        <v>0</v>
      </c>
      <c r="W834" s="5"/>
      <c r="X834" s="5"/>
      <c r="Y834" s="5"/>
      <c r="Z834" s="5"/>
      <c r="AA834" s="5" t="s">
        <v>44</v>
      </c>
      <c r="AC834">
        <f t="shared" ref="AC834:AC897" si="118">IF(AND(ISNUMBER(M834), ISNUMBER(I834)), M834 - I834, "")</f>
        <v>7</v>
      </c>
      <c r="AD834" t="str">
        <f t="shared" si="110"/>
        <v/>
      </c>
      <c r="AE834" t="str">
        <f t="shared" si="111"/>
        <v/>
      </c>
      <c r="AF834" t="str">
        <f t="shared" si="112"/>
        <v/>
      </c>
      <c r="AG834" t="str">
        <f t="shared" si="113"/>
        <v/>
      </c>
      <c r="AH834">
        <f t="shared" si="114"/>
        <v>2</v>
      </c>
      <c r="AI834" t="str">
        <f t="shared" si="115"/>
        <v/>
      </c>
      <c r="AJ834" t="str">
        <f t="shared" si="116"/>
        <v/>
      </c>
    </row>
    <row r="835" spans="1:36">
      <c r="A835" s="5">
        <v>884</v>
      </c>
      <c r="B835" s="5" t="s">
        <v>2061</v>
      </c>
      <c r="C835" s="5" t="s">
        <v>1540</v>
      </c>
      <c r="D835" s="5" t="s">
        <v>1985</v>
      </c>
      <c r="E835" s="5" t="s">
        <v>1862</v>
      </c>
      <c r="F835" s="5" t="str">
        <f t="shared" si="117"/>
        <v>Finance-Billing Officer</v>
      </c>
      <c r="G835" s="5" t="s">
        <v>47</v>
      </c>
      <c r="H835" s="9">
        <v>44827.199942129628</v>
      </c>
      <c r="I835" s="9">
        <v>44829.199942129628</v>
      </c>
      <c r="J835" s="9" t="e">
        <f>I835+#REF!</f>
        <v>#REF!</v>
      </c>
      <c r="K835" s="9" t="e">
        <f>J835+#REF!</f>
        <v>#REF!</v>
      </c>
      <c r="L835" s="10" t="s">
        <v>41</v>
      </c>
      <c r="M835" s="11">
        <v>44838.199942129628</v>
      </c>
      <c r="N835" s="5" t="s">
        <v>42</v>
      </c>
      <c r="O835" s="5" t="s">
        <v>43</v>
      </c>
      <c r="P835" s="9"/>
      <c r="Q835" s="5"/>
      <c r="R835" s="5"/>
      <c r="S835" s="5"/>
      <c r="T835" s="9"/>
      <c r="U835" s="5"/>
      <c r="V835" s="5">
        <v>0</v>
      </c>
      <c r="W835" s="5"/>
      <c r="X835" s="5"/>
      <c r="Y835" s="5"/>
      <c r="Z835" s="5"/>
      <c r="AA835" s="5" t="s">
        <v>62</v>
      </c>
      <c r="AC835">
        <f t="shared" si="118"/>
        <v>9</v>
      </c>
      <c r="AD835" t="str">
        <f t="shared" ref="AD835:AD898" si="119">IF(AND(ISNUMBER(S835), ISNUMBER(I835)), S835 - I835, "")</f>
        <v/>
      </c>
      <c r="AE835" t="str">
        <f t="shared" ref="AE835:AE898" si="120">IF(AND(ISNUMBER(T835), ISNUMBER(M835)), T835-M835, "")</f>
        <v/>
      </c>
      <c r="AF835" t="str">
        <f t="shared" ref="AF835:AF898" si="121">IF(AND(ISNUMBER(X835), ISNUMBER(U835)), X835-U835,"")</f>
        <v/>
      </c>
      <c r="AG835" t="str">
        <f t="shared" ref="AG835:AG898" si="122">IF(AND(ISNUMBER(W835), ISNUMBER(U835)), W835-U835, "")</f>
        <v/>
      </c>
      <c r="AH835">
        <f t="shared" ref="AH835:AH898" si="123">IF(AND(ISNUMBER(I835), ISNUMBER(H835)), I835-H835,"")</f>
        <v>2</v>
      </c>
      <c r="AI835" t="str">
        <f t="shared" ref="AI835:AI898" si="124">IF(AND(ISNUMBER(J835),ISNUMBER(K835)),K835-J835,"")</f>
        <v/>
      </c>
      <c r="AJ835" t="str">
        <f t="shared" ref="AJ835:AJ898" si="125">IF(AND(ISNUMBER(J835),ISNUMBER(I835)), J835-I835,"")</f>
        <v/>
      </c>
    </row>
    <row r="836" spans="1:36">
      <c r="A836" s="5">
        <v>885</v>
      </c>
      <c r="B836" s="5" t="s">
        <v>1673</v>
      </c>
      <c r="C836" s="5" t="s">
        <v>1540</v>
      </c>
      <c r="D836" s="5" t="s">
        <v>1588</v>
      </c>
      <c r="E836" s="5" t="s">
        <v>1360</v>
      </c>
      <c r="F836" s="5" t="str">
        <f t="shared" si="117"/>
        <v>Finance-Fund Administrator</v>
      </c>
      <c r="G836" s="5" t="s">
        <v>147</v>
      </c>
      <c r="H836" s="9">
        <v>44823.199942129628</v>
      </c>
      <c r="I836" s="9">
        <v>44827.199942129628</v>
      </c>
      <c r="J836" s="9" t="e">
        <f>I836+#REF!</f>
        <v>#REF!</v>
      </c>
      <c r="K836" s="9" t="e">
        <f>J836+#REF!</f>
        <v>#REF!</v>
      </c>
      <c r="L836" s="10" t="s">
        <v>52</v>
      </c>
      <c r="M836" s="11"/>
      <c r="N836" s="5"/>
      <c r="O836" s="5"/>
      <c r="P836" s="9"/>
      <c r="Q836" s="5"/>
      <c r="R836" s="5"/>
      <c r="S836" s="5"/>
      <c r="T836" s="9"/>
      <c r="U836" s="5"/>
      <c r="V836" s="5">
        <v>0</v>
      </c>
      <c r="W836" s="5"/>
      <c r="X836" s="5"/>
      <c r="Y836" s="5"/>
      <c r="Z836" s="5"/>
      <c r="AA836" s="5"/>
      <c r="AC836" t="str">
        <f t="shared" si="118"/>
        <v/>
      </c>
      <c r="AD836" t="str">
        <f t="shared" si="119"/>
        <v/>
      </c>
      <c r="AE836" t="str">
        <f t="shared" si="120"/>
        <v/>
      </c>
      <c r="AF836" t="str">
        <f t="shared" si="121"/>
        <v/>
      </c>
      <c r="AG836" t="str">
        <f t="shared" si="122"/>
        <v/>
      </c>
      <c r="AH836">
        <f t="shared" si="123"/>
        <v>4</v>
      </c>
      <c r="AI836" t="str">
        <f t="shared" si="124"/>
        <v/>
      </c>
      <c r="AJ836" t="str">
        <f t="shared" si="125"/>
        <v/>
      </c>
    </row>
    <row r="837" spans="1:36">
      <c r="A837" s="5">
        <v>886</v>
      </c>
      <c r="B837" s="5" t="s">
        <v>1787</v>
      </c>
      <c r="C837" s="5" t="s">
        <v>1540</v>
      </c>
      <c r="D837" s="5" t="s">
        <v>1706</v>
      </c>
      <c r="E837" s="5" t="s">
        <v>269</v>
      </c>
      <c r="F837" s="5" t="str">
        <f t="shared" si="117"/>
        <v>Finance-Manager</v>
      </c>
      <c r="G837" s="5" t="s">
        <v>270</v>
      </c>
      <c r="H837" s="9">
        <v>44824.199942129628</v>
      </c>
      <c r="I837" s="9">
        <v>44827.199942129628</v>
      </c>
      <c r="J837" s="9" t="e">
        <f>I837+#REF!</f>
        <v>#REF!</v>
      </c>
      <c r="K837" s="9" t="e">
        <f>J837+#REF!</f>
        <v>#REF!</v>
      </c>
      <c r="L837" s="10" t="s">
        <v>41</v>
      </c>
      <c r="M837" s="11">
        <v>44838.199942129628</v>
      </c>
      <c r="N837" s="5" t="s">
        <v>42</v>
      </c>
      <c r="O837" s="5" t="s">
        <v>73</v>
      </c>
      <c r="P837" s="9"/>
      <c r="Q837" s="5"/>
      <c r="R837" s="5"/>
      <c r="S837" s="5"/>
      <c r="T837" s="9"/>
      <c r="U837" s="5"/>
      <c r="V837" s="5">
        <v>0</v>
      </c>
      <c r="W837" s="5"/>
      <c r="X837" s="5"/>
      <c r="Y837" s="5"/>
      <c r="Z837" s="5"/>
      <c r="AA837" s="5" t="s">
        <v>44</v>
      </c>
      <c r="AC837">
        <f t="shared" si="118"/>
        <v>11</v>
      </c>
      <c r="AD837" t="str">
        <f t="shared" si="119"/>
        <v/>
      </c>
      <c r="AE837" t="str">
        <f t="shared" si="120"/>
        <v/>
      </c>
      <c r="AF837" t="str">
        <f t="shared" si="121"/>
        <v/>
      </c>
      <c r="AG837" t="str">
        <f t="shared" si="122"/>
        <v/>
      </c>
      <c r="AH837">
        <f t="shared" si="123"/>
        <v>3</v>
      </c>
      <c r="AI837" t="str">
        <f t="shared" si="124"/>
        <v/>
      </c>
      <c r="AJ837" t="str">
        <f t="shared" si="125"/>
        <v/>
      </c>
    </row>
    <row r="838" spans="1:36">
      <c r="A838" s="5">
        <v>887</v>
      </c>
      <c r="B838" s="5" t="s">
        <v>1897</v>
      </c>
      <c r="C838" s="5" t="s">
        <v>1540</v>
      </c>
      <c r="D838" s="5" t="s">
        <v>1820</v>
      </c>
      <c r="E838" s="5" t="s">
        <v>1862</v>
      </c>
      <c r="F838" s="5" t="str">
        <f t="shared" si="117"/>
        <v>Finance-Billing Officer</v>
      </c>
      <c r="G838" s="5" t="s">
        <v>40</v>
      </c>
      <c r="H838" s="9">
        <v>44824.199942129628</v>
      </c>
      <c r="I838" s="9">
        <v>44827.199942129628</v>
      </c>
      <c r="J838" s="9" t="e">
        <f>I838+#REF!</f>
        <v>#REF!</v>
      </c>
      <c r="K838" s="9" t="e">
        <f>J838+#REF!</f>
        <v>#REF!</v>
      </c>
      <c r="L838" s="10" t="s">
        <v>41</v>
      </c>
      <c r="M838" s="11">
        <v>44848.199942129628</v>
      </c>
      <c r="N838" s="5" t="s">
        <v>42</v>
      </c>
      <c r="O838" s="5" t="s">
        <v>73</v>
      </c>
      <c r="P838" s="9"/>
      <c r="Q838" s="5"/>
      <c r="R838" s="5"/>
      <c r="S838" s="5"/>
      <c r="T838" s="9"/>
      <c r="U838" s="5"/>
      <c r="V838" s="5">
        <v>0</v>
      </c>
      <c r="W838" s="5"/>
      <c r="X838" s="5"/>
      <c r="Y838" s="5"/>
      <c r="Z838" s="5"/>
      <c r="AA838" s="5" t="s">
        <v>44</v>
      </c>
      <c r="AC838">
        <f t="shared" si="118"/>
        <v>21</v>
      </c>
      <c r="AD838" t="str">
        <f t="shared" si="119"/>
        <v/>
      </c>
      <c r="AE838" t="str">
        <f t="shared" si="120"/>
        <v/>
      </c>
      <c r="AF838" t="str">
        <f t="shared" si="121"/>
        <v/>
      </c>
      <c r="AG838" t="str">
        <f t="shared" si="122"/>
        <v/>
      </c>
      <c r="AH838">
        <f t="shared" si="123"/>
        <v>3</v>
      </c>
      <c r="AI838" t="str">
        <f t="shared" si="124"/>
        <v/>
      </c>
      <c r="AJ838" t="str">
        <f t="shared" si="125"/>
        <v/>
      </c>
    </row>
    <row r="839" spans="1:36">
      <c r="A839" s="5">
        <v>888</v>
      </c>
      <c r="B839" s="5" t="s">
        <v>1941</v>
      </c>
      <c r="C839" s="5" t="s">
        <v>1540</v>
      </c>
      <c r="D839" s="5" t="s">
        <v>1925</v>
      </c>
      <c r="E839" s="5" t="s">
        <v>1939</v>
      </c>
      <c r="F839" s="5" t="str">
        <f t="shared" si="117"/>
        <v>Finance-Principal Officer</v>
      </c>
      <c r="G839" s="5" t="s">
        <v>56</v>
      </c>
      <c r="H839" s="9">
        <v>44823.199942129628</v>
      </c>
      <c r="I839" s="9">
        <v>44826.199942129628</v>
      </c>
      <c r="J839" s="9" t="e">
        <f>I839+#REF!</f>
        <v>#REF!</v>
      </c>
      <c r="K839" s="9" t="e">
        <f>J839+#REF!</f>
        <v>#REF!</v>
      </c>
      <c r="L839" s="10" t="s">
        <v>41</v>
      </c>
      <c r="M839" s="11">
        <v>44841.199942129628</v>
      </c>
      <c r="N839" s="5" t="s">
        <v>42</v>
      </c>
      <c r="O839" s="5" t="s">
        <v>43</v>
      </c>
      <c r="P839" s="9"/>
      <c r="Q839" s="5"/>
      <c r="R839" s="5"/>
      <c r="S839" s="5"/>
      <c r="T839" s="9">
        <v>44844.199942129628</v>
      </c>
      <c r="U839" s="5"/>
      <c r="V839" s="5">
        <v>0</v>
      </c>
      <c r="W839" s="5"/>
      <c r="X839" s="5"/>
      <c r="Y839" s="5"/>
      <c r="Z839" s="5"/>
      <c r="AA839" s="5" t="s">
        <v>62</v>
      </c>
      <c r="AC839">
        <f t="shared" si="118"/>
        <v>15</v>
      </c>
      <c r="AD839" t="str">
        <f t="shared" si="119"/>
        <v/>
      </c>
      <c r="AE839">
        <f t="shared" si="120"/>
        <v>3</v>
      </c>
      <c r="AF839" t="str">
        <f t="shared" si="121"/>
        <v/>
      </c>
      <c r="AG839" t="str">
        <f t="shared" si="122"/>
        <v/>
      </c>
      <c r="AH839">
        <f t="shared" si="123"/>
        <v>3</v>
      </c>
      <c r="AI839" t="str">
        <f t="shared" si="124"/>
        <v/>
      </c>
      <c r="AJ839" t="str">
        <f t="shared" si="125"/>
        <v/>
      </c>
    </row>
    <row r="840" spans="1:36">
      <c r="A840" s="5">
        <v>889</v>
      </c>
      <c r="B840" s="5" t="s">
        <v>1672</v>
      </c>
      <c r="C840" s="5" t="s">
        <v>1540</v>
      </c>
      <c r="D840" s="5" t="s">
        <v>1588</v>
      </c>
      <c r="E840" s="5" t="s">
        <v>1360</v>
      </c>
      <c r="F840" s="5" t="str">
        <f t="shared" si="117"/>
        <v>Finance-Fund Administrator</v>
      </c>
      <c r="G840" s="5" t="s">
        <v>147</v>
      </c>
      <c r="H840" s="9">
        <v>44826.199942129628</v>
      </c>
      <c r="I840" s="9">
        <v>44829.199942129628</v>
      </c>
      <c r="J840" s="9" t="e">
        <f>I840+#REF!</f>
        <v>#REF!</v>
      </c>
      <c r="K840" s="9" t="e">
        <f>J840+#REF!</f>
        <v>#REF!</v>
      </c>
      <c r="L840" s="10" t="s">
        <v>52</v>
      </c>
      <c r="M840" s="11"/>
      <c r="N840" s="5"/>
      <c r="O840" s="5"/>
      <c r="P840" s="9"/>
      <c r="Q840" s="5"/>
      <c r="R840" s="5"/>
      <c r="S840" s="5"/>
      <c r="T840" s="9"/>
      <c r="U840" s="5"/>
      <c r="V840" s="5">
        <v>0</v>
      </c>
      <c r="W840" s="5"/>
      <c r="X840" s="5"/>
      <c r="Y840" s="5"/>
      <c r="Z840" s="5"/>
      <c r="AA840" s="5"/>
      <c r="AC840" t="str">
        <f t="shared" si="118"/>
        <v/>
      </c>
      <c r="AD840" t="str">
        <f t="shared" si="119"/>
        <v/>
      </c>
      <c r="AE840" t="str">
        <f t="shared" si="120"/>
        <v/>
      </c>
      <c r="AF840" t="str">
        <f t="shared" si="121"/>
        <v/>
      </c>
      <c r="AG840" t="str">
        <f t="shared" si="122"/>
        <v/>
      </c>
      <c r="AH840">
        <f t="shared" si="123"/>
        <v>3</v>
      </c>
      <c r="AI840" t="str">
        <f t="shared" si="124"/>
        <v/>
      </c>
      <c r="AJ840" t="str">
        <f t="shared" si="125"/>
        <v/>
      </c>
    </row>
    <row r="841" spans="1:36">
      <c r="A841" s="5">
        <v>890</v>
      </c>
      <c r="B841" s="5" t="s">
        <v>1671</v>
      </c>
      <c r="C841" s="5" t="s">
        <v>1540</v>
      </c>
      <c r="D841" s="5" t="s">
        <v>1588</v>
      </c>
      <c r="E841" s="5" t="s">
        <v>1360</v>
      </c>
      <c r="F841" s="5" t="str">
        <f t="shared" si="117"/>
        <v>Finance-Fund Administrator</v>
      </c>
      <c r="G841" s="5" t="s">
        <v>147</v>
      </c>
      <c r="H841" s="9">
        <v>44823.199942129628</v>
      </c>
      <c r="I841" s="9">
        <v>44825.199942129628</v>
      </c>
      <c r="J841" s="9" t="e">
        <f>I841+#REF!</f>
        <v>#REF!</v>
      </c>
      <c r="K841" s="9" t="e">
        <f>J841+#REF!</f>
        <v>#REF!</v>
      </c>
      <c r="L841" s="10" t="s">
        <v>41</v>
      </c>
      <c r="M841" s="11">
        <v>44842.199942129628</v>
      </c>
      <c r="N841" s="5" t="s">
        <v>42</v>
      </c>
      <c r="O841" s="5" t="s">
        <v>58</v>
      </c>
      <c r="P841" s="9"/>
      <c r="Q841" s="5"/>
      <c r="R841" s="5"/>
      <c r="S841" s="5"/>
      <c r="T841" s="9"/>
      <c r="U841" s="5"/>
      <c r="V841" s="5">
        <v>0</v>
      </c>
      <c r="W841" s="5"/>
      <c r="X841" s="5"/>
      <c r="Y841" s="5"/>
      <c r="Z841" s="5"/>
      <c r="AA841" s="5" t="s">
        <v>44</v>
      </c>
      <c r="AC841">
        <f t="shared" si="118"/>
        <v>17</v>
      </c>
      <c r="AD841" t="str">
        <f t="shared" si="119"/>
        <v/>
      </c>
      <c r="AE841" t="str">
        <f t="shared" si="120"/>
        <v/>
      </c>
      <c r="AF841" t="str">
        <f t="shared" si="121"/>
        <v/>
      </c>
      <c r="AG841" t="str">
        <f t="shared" si="122"/>
        <v/>
      </c>
      <c r="AH841">
        <f t="shared" si="123"/>
        <v>2</v>
      </c>
      <c r="AI841" t="str">
        <f t="shared" si="124"/>
        <v/>
      </c>
      <c r="AJ841" t="str">
        <f t="shared" si="125"/>
        <v/>
      </c>
    </row>
    <row r="842" spans="1:36">
      <c r="A842" s="5">
        <v>891</v>
      </c>
      <c r="B842" s="5" t="s">
        <v>1940</v>
      </c>
      <c r="C842" s="5" t="s">
        <v>1540</v>
      </c>
      <c r="D842" s="5" t="s">
        <v>1925</v>
      </c>
      <c r="E842" s="5" t="s">
        <v>1939</v>
      </c>
      <c r="F842" s="5" t="str">
        <f t="shared" si="117"/>
        <v>Finance-Principal Officer</v>
      </c>
      <c r="G842" s="5" t="s">
        <v>56</v>
      </c>
      <c r="H842" s="9">
        <v>44845.939814814818</v>
      </c>
      <c r="I842" s="9">
        <v>44849.939814814818</v>
      </c>
      <c r="J842" s="9" t="e">
        <f>I842+#REF!</f>
        <v>#REF!</v>
      </c>
      <c r="K842" s="9" t="e">
        <f>J842+#REF!</f>
        <v>#REF!</v>
      </c>
      <c r="L842" s="10" t="s">
        <v>41</v>
      </c>
      <c r="M842" s="11">
        <v>44866.939814814818</v>
      </c>
      <c r="N842" s="5" t="s">
        <v>48</v>
      </c>
      <c r="O842" s="5"/>
      <c r="P842" s="9">
        <v>44869.939814814818</v>
      </c>
      <c r="Q842" s="5" t="s">
        <v>48</v>
      </c>
      <c r="R842" s="5"/>
      <c r="S842" s="5"/>
      <c r="T842" s="9">
        <v>44867.939814814818</v>
      </c>
      <c r="U842" s="5"/>
      <c r="V842" s="5">
        <v>0</v>
      </c>
      <c r="W842" s="5"/>
      <c r="X842" s="5"/>
      <c r="Y842" s="5"/>
      <c r="Z842" s="5"/>
      <c r="AA842" s="5"/>
      <c r="AC842">
        <f t="shared" si="118"/>
        <v>17</v>
      </c>
      <c r="AD842" t="str">
        <f t="shared" si="119"/>
        <v/>
      </c>
      <c r="AE842">
        <f t="shared" si="120"/>
        <v>1</v>
      </c>
      <c r="AF842" t="str">
        <f t="shared" si="121"/>
        <v/>
      </c>
      <c r="AG842" t="str">
        <f t="shared" si="122"/>
        <v/>
      </c>
      <c r="AH842">
        <f t="shared" si="123"/>
        <v>4</v>
      </c>
      <c r="AI842" t="str">
        <f t="shared" si="124"/>
        <v/>
      </c>
      <c r="AJ842" t="str">
        <f t="shared" si="125"/>
        <v/>
      </c>
    </row>
    <row r="843" spans="1:36">
      <c r="A843" s="5">
        <v>892</v>
      </c>
      <c r="B843" s="5" t="s">
        <v>1670</v>
      </c>
      <c r="C843" s="5" t="s">
        <v>1540</v>
      </c>
      <c r="D843" s="5" t="s">
        <v>1588</v>
      </c>
      <c r="E843" s="5" t="s">
        <v>1360</v>
      </c>
      <c r="F843" s="5" t="str">
        <f t="shared" si="117"/>
        <v>Finance-Fund Administrator</v>
      </c>
      <c r="G843" s="5" t="s">
        <v>147</v>
      </c>
      <c r="H843" s="9">
        <v>44845.939814814818</v>
      </c>
      <c r="I843" s="9">
        <v>44849.939814814818</v>
      </c>
      <c r="J843" s="9" t="e">
        <f>I843+#REF!</f>
        <v>#REF!</v>
      </c>
      <c r="K843" s="9" t="e">
        <f>J843+#REF!</f>
        <v>#REF!</v>
      </c>
      <c r="L843" s="10" t="s">
        <v>41</v>
      </c>
      <c r="M843" s="11">
        <v>44859.939814814818</v>
      </c>
      <c r="N843" s="5" t="s">
        <v>64</v>
      </c>
      <c r="O843" s="5"/>
      <c r="P843" s="9">
        <v>44864.939814814818</v>
      </c>
      <c r="Q843" s="5" t="s">
        <v>64</v>
      </c>
      <c r="R843" s="9">
        <v>44860.939814814818</v>
      </c>
      <c r="S843" s="9">
        <v>44863.939814814818</v>
      </c>
      <c r="T843" s="9">
        <v>44860.939814814818</v>
      </c>
      <c r="U843" s="9">
        <v>44868.939814814818</v>
      </c>
      <c r="V843" s="12">
        <v>1</v>
      </c>
      <c r="W843" s="9">
        <v>44871.939814814818</v>
      </c>
      <c r="X843" s="9">
        <v>44874.939814814818</v>
      </c>
      <c r="Y843" s="9">
        <v>44876.939814814818</v>
      </c>
      <c r="Z843" s="5"/>
      <c r="AA843" s="5"/>
      <c r="AB843" s="13">
        <v>44890.939814814818</v>
      </c>
      <c r="AC843">
        <f t="shared" si="118"/>
        <v>10</v>
      </c>
      <c r="AD843">
        <f t="shared" si="119"/>
        <v>14</v>
      </c>
      <c r="AE843">
        <f t="shared" si="120"/>
        <v>1</v>
      </c>
      <c r="AF843">
        <f t="shared" si="121"/>
        <v>6</v>
      </c>
      <c r="AG843">
        <f t="shared" si="122"/>
        <v>3</v>
      </c>
      <c r="AH843">
        <f t="shared" si="123"/>
        <v>4</v>
      </c>
      <c r="AI843" t="str">
        <f t="shared" si="124"/>
        <v/>
      </c>
      <c r="AJ843" t="str">
        <f t="shared" si="125"/>
        <v/>
      </c>
    </row>
    <row r="844" spans="1:36">
      <c r="A844" s="5">
        <v>893</v>
      </c>
      <c r="B844" s="5" t="s">
        <v>1938</v>
      </c>
      <c r="C844" s="5" t="s">
        <v>1540</v>
      </c>
      <c r="D844" s="5" t="s">
        <v>1925</v>
      </c>
      <c r="E844" s="5" t="s">
        <v>1939</v>
      </c>
      <c r="F844" s="5" t="str">
        <f t="shared" si="117"/>
        <v>Finance-Principal Officer</v>
      </c>
      <c r="G844" s="5" t="s">
        <v>56</v>
      </c>
      <c r="H844" s="9">
        <v>44842.939814814818</v>
      </c>
      <c r="I844" s="9">
        <v>44844.939814814818</v>
      </c>
      <c r="J844" s="9" t="e">
        <f>I844+#REF!</f>
        <v>#REF!</v>
      </c>
      <c r="K844" s="9" t="e">
        <f>J844+#REF!</f>
        <v>#REF!</v>
      </c>
      <c r="L844" s="10" t="s">
        <v>41</v>
      </c>
      <c r="M844" s="11">
        <v>44857.939814814818</v>
      </c>
      <c r="N844" s="5" t="s">
        <v>42</v>
      </c>
      <c r="O844" s="5" t="s">
        <v>73</v>
      </c>
      <c r="P844" s="9"/>
      <c r="Q844" s="5"/>
      <c r="R844" s="5"/>
      <c r="S844" s="5"/>
      <c r="T844" s="9"/>
      <c r="U844" s="5"/>
      <c r="V844" s="5">
        <v>0</v>
      </c>
      <c r="W844" s="5"/>
      <c r="X844" s="5"/>
      <c r="Y844" s="5"/>
      <c r="Z844" s="5"/>
      <c r="AA844" s="5" t="s">
        <v>62</v>
      </c>
      <c r="AC844">
        <f t="shared" si="118"/>
        <v>13</v>
      </c>
      <c r="AD844" t="str">
        <f t="shared" si="119"/>
        <v/>
      </c>
      <c r="AE844" t="str">
        <f t="shared" si="120"/>
        <v/>
      </c>
      <c r="AF844" t="str">
        <f t="shared" si="121"/>
        <v/>
      </c>
      <c r="AG844" t="str">
        <f t="shared" si="122"/>
        <v/>
      </c>
      <c r="AH844">
        <f t="shared" si="123"/>
        <v>2</v>
      </c>
      <c r="AI844" t="str">
        <f t="shared" si="124"/>
        <v/>
      </c>
      <c r="AJ844" t="str">
        <f t="shared" si="125"/>
        <v/>
      </c>
    </row>
    <row r="845" spans="1:36">
      <c r="A845" s="5">
        <v>895</v>
      </c>
      <c r="B845" s="5" t="s">
        <v>2060</v>
      </c>
      <c r="C845" s="5" t="s">
        <v>1540</v>
      </c>
      <c r="D845" s="5" t="s">
        <v>1985</v>
      </c>
      <c r="E845" s="5" t="s">
        <v>1862</v>
      </c>
      <c r="F845" s="5" t="str">
        <f t="shared" si="117"/>
        <v>Finance-Billing Officer</v>
      </c>
      <c r="G845" s="5" t="s">
        <v>47</v>
      </c>
      <c r="H845" s="9">
        <v>44846.939814814818</v>
      </c>
      <c r="I845" s="9">
        <v>44848.939814814818</v>
      </c>
      <c r="J845" s="9" t="e">
        <f>I845+#REF!</f>
        <v>#REF!</v>
      </c>
      <c r="K845" s="9" t="e">
        <f>J845+#REF!</f>
        <v>#REF!</v>
      </c>
      <c r="L845" s="10" t="s">
        <v>41</v>
      </c>
      <c r="M845" s="11">
        <v>44861.939814814818</v>
      </c>
      <c r="N845" s="5" t="s">
        <v>42</v>
      </c>
      <c r="O845" s="5" t="s">
        <v>98</v>
      </c>
      <c r="P845" s="9"/>
      <c r="Q845" s="5"/>
      <c r="R845" s="5"/>
      <c r="S845" s="5"/>
      <c r="T845" s="9"/>
      <c r="U845" s="5"/>
      <c r="V845" s="5">
        <v>0</v>
      </c>
      <c r="W845" s="5"/>
      <c r="X845" s="5"/>
      <c r="Y845" s="5"/>
      <c r="Z845" s="5"/>
      <c r="AA845" s="5" t="s">
        <v>62</v>
      </c>
      <c r="AC845">
        <f t="shared" si="118"/>
        <v>13</v>
      </c>
      <c r="AD845" t="str">
        <f t="shared" si="119"/>
        <v/>
      </c>
      <c r="AE845" t="str">
        <f t="shared" si="120"/>
        <v/>
      </c>
      <c r="AF845" t="str">
        <f t="shared" si="121"/>
        <v/>
      </c>
      <c r="AG845" t="str">
        <f t="shared" si="122"/>
        <v/>
      </c>
      <c r="AH845">
        <f t="shared" si="123"/>
        <v>2</v>
      </c>
      <c r="AI845" t="str">
        <f t="shared" si="124"/>
        <v/>
      </c>
      <c r="AJ845" t="str">
        <f t="shared" si="125"/>
        <v/>
      </c>
    </row>
    <row r="846" spans="1:36">
      <c r="A846" s="5">
        <v>896</v>
      </c>
      <c r="B846" s="5" t="s">
        <v>1937</v>
      </c>
      <c r="C846" s="5" t="s">
        <v>1540</v>
      </c>
      <c r="D846" s="5" t="s">
        <v>1925</v>
      </c>
      <c r="E846" s="5" t="s">
        <v>1039</v>
      </c>
      <c r="F846" s="5" t="str">
        <f t="shared" si="117"/>
        <v>Finance-Associate Director</v>
      </c>
      <c r="G846" s="5" t="s">
        <v>56</v>
      </c>
      <c r="H846" s="9">
        <v>44846.939814814818</v>
      </c>
      <c r="I846" s="9">
        <v>44848.939814814818</v>
      </c>
      <c r="J846" s="9" t="e">
        <f>I846+#REF!</f>
        <v>#REF!</v>
      </c>
      <c r="K846" s="9" t="e">
        <f>J846+#REF!</f>
        <v>#REF!</v>
      </c>
      <c r="L846" s="10" t="s">
        <v>41</v>
      </c>
      <c r="M846" s="11">
        <v>44857.939814814818</v>
      </c>
      <c r="N846" s="5" t="s">
        <v>42</v>
      </c>
      <c r="O846" s="5" t="s">
        <v>98</v>
      </c>
      <c r="P846" s="9"/>
      <c r="Q846" s="5"/>
      <c r="R846" s="5"/>
      <c r="S846" s="5"/>
      <c r="T846" s="9">
        <v>44859.939814814818</v>
      </c>
      <c r="U846" s="5"/>
      <c r="V846" s="5">
        <v>0</v>
      </c>
      <c r="W846" s="5"/>
      <c r="X846" s="5"/>
      <c r="Y846" s="5"/>
      <c r="Z846" s="5"/>
      <c r="AA846" s="5" t="s">
        <v>62</v>
      </c>
      <c r="AC846">
        <f t="shared" si="118"/>
        <v>9</v>
      </c>
      <c r="AD846" t="str">
        <f t="shared" si="119"/>
        <v/>
      </c>
      <c r="AE846">
        <f t="shared" si="120"/>
        <v>2</v>
      </c>
      <c r="AF846" t="str">
        <f t="shared" si="121"/>
        <v/>
      </c>
      <c r="AG846" t="str">
        <f t="shared" si="122"/>
        <v/>
      </c>
      <c r="AH846">
        <f t="shared" si="123"/>
        <v>2</v>
      </c>
      <c r="AI846" t="str">
        <f t="shared" si="124"/>
        <v/>
      </c>
      <c r="AJ846" t="str">
        <f t="shared" si="125"/>
        <v/>
      </c>
    </row>
    <row r="847" spans="1:36">
      <c r="A847" s="5">
        <v>897</v>
      </c>
      <c r="B847" s="5" t="s">
        <v>2059</v>
      </c>
      <c r="C847" s="5" t="s">
        <v>1540</v>
      </c>
      <c r="D847" s="5" t="s">
        <v>1985</v>
      </c>
      <c r="E847" s="5" t="s">
        <v>1862</v>
      </c>
      <c r="F847" s="5" t="str">
        <f t="shared" si="117"/>
        <v>Finance-Billing Officer</v>
      </c>
      <c r="G847" s="5" t="s">
        <v>47</v>
      </c>
      <c r="H847" s="9">
        <v>44844.939814814818</v>
      </c>
      <c r="I847" s="9">
        <v>44847.939814814818</v>
      </c>
      <c r="J847" s="9" t="e">
        <f>I847+#REF!</f>
        <v>#REF!</v>
      </c>
      <c r="K847" s="9" t="e">
        <f>J847+#REF!</f>
        <v>#REF!</v>
      </c>
      <c r="L847" s="10" t="s">
        <v>41</v>
      </c>
      <c r="M847" s="11">
        <v>44859.939814814818</v>
      </c>
      <c r="N847" s="5" t="s">
        <v>42</v>
      </c>
      <c r="O847" s="5" t="s">
        <v>73</v>
      </c>
      <c r="P847" s="9"/>
      <c r="Q847" s="5"/>
      <c r="R847" s="5"/>
      <c r="S847" s="5"/>
      <c r="T847" s="9"/>
      <c r="U847" s="5"/>
      <c r="V847" s="5">
        <v>0</v>
      </c>
      <c r="W847" s="5"/>
      <c r="X847" s="5"/>
      <c r="Y847" s="5"/>
      <c r="Z847" s="5"/>
      <c r="AA847" s="5" t="s">
        <v>62</v>
      </c>
      <c r="AC847">
        <f t="shared" si="118"/>
        <v>12</v>
      </c>
      <c r="AD847" t="str">
        <f t="shared" si="119"/>
        <v/>
      </c>
      <c r="AE847" t="str">
        <f t="shared" si="120"/>
        <v/>
      </c>
      <c r="AF847" t="str">
        <f t="shared" si="121"/>
        <v/>
      </c>
      <c r="AG847" t="str">
        <f t="shared" si="122"/>
        <v/>
      </c>
      <c r="AH847">
        <f t="shared" si="123"/>
        <v>3</v>
      </c>
      <c r="AI847" t="str">
        <f t="shared" si="124"/>
        <v/>
      </c>
      <c r="AJ847" t="str">
        <f t="shared" si="125"/>
        <v/>
      </c>
    </row>
    <row r="848" spans="1:36">
      <c r="A848" s="5">
        <v>898</v>
      </c>
      <c r="B848" s="5" t="s">
        <v>2058</v>
      </c>
      <c r="C848" s="5" t="s">
        <v>1540</v>
      </c>
      <c r="D848" s="5" t="s">
        <v>1985</v>
      </c>
      <c r="E848" s="5" t="s">
        <v>1862</v>
      </c>
      <c r="F848" s="5" t="str">
        <f t="shared" si="117"/>
        <v>Finance-Billing Officer</v>
      </c>
      <c r="G848" s="5" t="s">
        <v>47</v>
      </c>
      <c r="H848" s="9">
        <v>44844.939814814818</v>
      </c>
      <c r="I848" s="9">
        <v>44845.939814814818</v>
      </c>
      <c r="J848" s="9" t="e">
        <f>I848+#REF!</f>
        <v>#REF!</v>
      </c>
      <c r="K848" s="9" t="e">
        <f>J848+#REF!</f>
        <v>#REF!</v>
      </c>
      <c r="L848" s="10" t="s">
        <v>41</v>
      </c>
      <c r="M848" s="11">
        <v>44853.939814814818</v>
      </c>
      <c r="N848" s="5" t="s">
        <v>42</v>
      </c>
      <c r="O848" s="5" t="s">
        <v>43</v>
      </c>
      <c r="P848" s="9"/>
      <c r="Q848" s="5"/>
      <c r="R848" s="5"/>
      <c r="S848" s="5"/>
      <c r="T848" s="9">
        <v>44857.939814814818</v>
      </c>
      <c r="U848" s="5"/>
      <c r="V848" s="5">
        <v>0</v>
      </c>
      <c r="W848" s="5"/>
      <c r="X848" s="5"/>
      <c r="Y848" s="5"/>
      <c r="Z848" s="5"/>
      <c r="AA848" s="5" t="s">
        <v>62</v>
      </c>
      <c r="AC848">
        <f t="shared" si="118"/>
        <v>8</v>
      </c>
      <c r="AD848" t="str">
        <f t="shared" si="119"/>
        <v/>
      </c>
      <c r="AE848">
        <f t="shared" si="120"/>
        <v>4</v>
      </c>
      <c r="AF848" t="str">
        <f t="shared" si="121"/>
        <v/>
      </c>
      <c r="AG848" t="str">
        <f t="shared" si="122"/>
        <v/>
      </c>
      <c r="AH848">
        <f t="shared" si="123"/>
        <v>1</v>
      </c>
      <c r="AI848" t="str">
        <f t="shared" si="124"/>
        <v/>
      </c>
      <c r="AJ848" t="str">
        <f t="shared" si="125"/>
        <v/>
      </c>
    </row>
    <row r="849" spans="1:36">
      <c r="A849" s="5">
        <v>899</v>
      </c>
      <c r="B849" s="5" t="s">
        <v>1786</v>
      </c>
      <c r="C849" s="5" t="s">
        <v>1540</v>
      </c>
      <c r="D849" s="5" t="s">
        <v>1706</v>
      </c>
      <c r="E849" s="5" t="s">
        <v>269</v>
      </c>
      <c r="F849" s="5" t="str">
        <f t="shared" si="117"/>
        <v>Finance-Manager</v>
      </c>
      <c r="G849" s="5" t="s">
        <v>270</v>
      </c>
      <c r="H849" s="9">
        <v>44847.939814814818</v>
      </c>
      <c r="I849" s="9">
        <v>44849.939814814818</v>
      </c>
      <c r="J849" s="9" t="e">
        <f>I849+#REF!</f>
        <v>#REF!</v>
      </c>
      <c r="K849" s="9" t="e">
        <f>J849+#REF!</f>
        <v>#REF!</v>
      </c>
      <c r="L849" s="10" t="s">
        <v>41</v>
      </c>
      <c r="M849" s="11">
        <v>44860.939814814818</v>
      </c>
      <c r="N849" s="5" t="s">
        <v>64</v>
      </c>
      <c r="O849" s="5"/>
      <c r="P849" s="9">
        <v>44866.939814814818</v>
      </c>
      <c r="Q849" s="5" t="s">
        <v>64</v>
      </c>
      <c r="R849" s="9">
        <v>44861.939814814818</v>
      </c>
      <c r="S849" s="9">
        <v>44862.939814814818</v>
      </c>
      <c r="T849" s="9">
        <v>44863.939814814818</v>
      </c>
      <c r="U849" s="9">
        <v>44873.939814814818</v>
      </c>
      <c r="V849" s="12">
        <v>1</v>
      </c>
      <c r="W849" s="9">
        <v>44877.939814814818</v>
      </c>
      <c r="X849" s="9">
        <v>44879.939814814818</v>
      </c>
      <c r="Y849" s="9">
        <v>44880.939814814818</v>
      </c>
      <c r="Z849" s="5"/>
      <c r="AA849" s="5"/>
      <c r="AB849" s="13">
        <v>44903.939814814818</v>
      </c>
      <c r="AC849">
        <f t="shared" si="118"/>
        <v>11</v>
      </c>
      <c r="AD849">
        <f t="shared" si="119"/>
        <v>13</v>
      </c>
      <c r="AE849">
        <f t="shared" si="120"/>
        <v>3</v>
      </c>
      <c r="AF849">
        <f t="shared" si="121"/>
        <v>6</v>
      </c>
      <c r="AG849">
        <f t="shared" si="122"/>
        <v>4</v>
      </c>
      <c r="AH849">
        <f t="shared" si="123"/>
        <v>2</v>
      </c>
      <c r="AI849" t="str">
        <f t="shared" si="124"/>
        <v/>
      </c>
      <c r="AJ849" t="str">
        <f t="shared" si="125"/>
        <v/>
      </c>
    </row>
    <row r="850" spans="1:36">
      <c r="A850" s="5">
        <v>900</v>
      </c>
      <c r="B850" s="5" t="s">
        <v>1936</v>
      </c>
      <c r="C850" s="5" t="s">
        <v>1540</v>
      </c>
      <c r="D850" s="5" t="s">
        <v>1925</v>
      </c>
      <c r="E850" s="5" t="s">
        <v>1039</v>
      </c>
      <c r="F850" s="5" t="str">
        <f t="shared" si="117"/>
        <v>Finance-Associate Director</v>
      </c>
      <c r="G850" s="5" t="s">
        <v>56</v>
      </c>
      <c r="H850" s="9">
        <v>44843.939814814818</v>
      </c>
      <c r="I850" s="9">
        <v>44847.939814814818</v>
      </c>
      <c r="J850" s="9" t="e">
        <f>I850+#REF!</f>
        <v>#REF!</v>
      </c>
      <c r="K850" s="9" t="e">
        <f>J850+#REF!</f>
        <v>#REF!</v>
      </c>
      <c r="L850" s="10" t="s">
        <v>41</v>
      </c>
      <c r="M850" s="11">
        <v>44855.939814814818</v>
      </c>
      <c r="N850" s="5" t="s">
        <v>42</v>
      </c>
      <c r="O850" s="5" t="s">
        <v>98</v>
      </c>
      <c r="P850" s="9"/>
      <c r="Q850" s="5"/>
      <c r="R850" s="5"/>
      <c r="S850" s="5"/>
      <c r="T850" s="9">
        <v>44858.939814814818</v>
      </c>
      <c r="U850" s="5"/>
      <c r="V850" s="5">
        <v>0</v>
      </c>
      <c r="W850" s="5"/>
      <c r="X850" s="5"/>
      <c r="Y850" s="5"/>
      <c r="Z850" s="5"/>
      <c r="AA850" s="5" t="s">
        <v>62</v>
      </c>
      <c r="AC850">
        <f t="shared" si="118"/>
        <v>8</v>
      </c>
      <c r="AD850" t="str">
        <f t="shared" si="119"/>
        <v/>
      </c>
      <c r="AE850">
        <f t="shared" si="120"/>
        <v>3</v>
      </c>
      <c r="AF850" t="str">
        <f t="shared" si="121"/>
        <v/>
      </c>
      <c r="AG850" t="str">
        <f t="shared" si="122"/>
        <v/>
      </c>
      <c r="AH850">
        <f t="shared" si="123"/>
        <v>4</v>
      </c>
      <c r="AI850" t="str">
        <f t="shared" si="124"/>
        <v/>
      </c>
      <c r="AJ850" t="str">
        <f t="shared" si="125"/>
        <v/>
      </c>
    </row>
    <row r="851" spans="1:36">
      <c r="A851" s="5">
        <v>901</v>
      </c>
      <c r="B851" s="5" t="s">
        <v>464</v>
      </c>
      <c r="C851" s="5" t="s">
        <v>100</v>
      </c>
      <c r="D851" s="5" t="s">
        <v>387</v>
      </c>
      <c r="E851" s="5" t="s">
        <v>388</v>
      </c>
      <c r="F851" s="5" t="str">
        <f t="shared" si="117"/>
        <v>Program Office-Extension Officer</v>
      </c>
      <c r="G851" s="5" t="s">
        <v>40</v>
      </c>
      <c r="H851" s="9">
        <v>45156.249560185184</v>
      </c>
      <c r="I851" s="9">
        <v>45160.249560185184</v>
      </c>
      <c r="J851" s="9" t="e">
        <f>I851+#REF!</f>
        <v>#REF!</v>
      </c>
      <c r="K851" s="9" t="e">
        <f>J851+#REF!</f>
        <v>#REF!</v>
      </c>
      <c r="L851" s="10" t="s">
        <v>41</v>
      </c>
      <c r="M851" s="11">
        <v>45172.249560185184</v>
      </c>
      <c r="N851" s="5" t="s">
        <v>64</v>
      </c>
      <c r="O851" s="5"/>
      <c r="P851" s="9">
        <v>45176.249560185184</v>
      </c>
      <c r="Q851" s="5" t="s">
        <v>64</v>
      </c>
      <c r="R851" s="9">
        <v>45174.249560185184</v>
      </c>
      <c r="S851" s="9">
        <v>45175.249560185184</v>
      </c>
      <c r="T851" s="9">
        <v>45174.249560185184</v>
      </c>
      <c r="U851" s="9">
        <v>45180.249560185184</v>
      </c>
      <c r="V851" s="12">
        <v>1</v>
      </c>
      <c r="W851" s="9">
        <v>45181.249560185184</v>
      </c>
      <c r="X851" s="9">
        <v>45182.249560185184</v>
      </c>
      <c r="Y851" s="9">
        <v>45183.249560185184</v>
      </c>
      <c r="Z851" s="5"/>
      <c r="AA851" s="5"/>
      <c r="AB851" s="13">
        <v>45202.249560185184</v>
      </c>
      <c r="AC851">
        <f t="shared" si="118"/>
        <v>12</v>
      </c>
      <c r="AD851">
        <f t="shared" si="119"/>
        <v>15</v>
      </c>
      <c r="AE851">
        <f t="shared" si="120"/>
        <v>2</v>
      </c>
      <c r="AF851">
        <f t="shared" si="121"/>
        <v>2</v>
      </c>
      <c r="AG851">
        <f t="shared" si="122"/>
        <v>1</v>
      </c>
      <c r="AH851">
        <f t="shared" si="123"/>
        <v>4</v>
      </c>
      <c r="AI851" t="str">
        <f t="shared" si="124"/>
        <v/>
      </c>
      <c r="AJ851" t="str">
        <f t="shared" si="125"/>
        <v/>
      </c>
    </row>
    <row r="852" spans="1:36">
      <c r="A852" s="5">
        <v>902</v>
      </c>
      <c r="B852" s="5" t="s">
        <v>641</v>
      </c>
      <c r="C852" s="5" t="s">
        <v>100</v>
      </c>
      <c r="D852" s="5" t="s">
        <v>554</v>
      </c>
      <c r="E852" s="5" t="s">
        <v>597</v>
      </c>
      <c r="F852" s="5" t="str">
        <f t="shared" si="117"/>
        <v>Program Office-Business Partner</v>
      </c>
      <c r="G852" s="5" t="s">
        <v>47</v>
      </c>
      <c r="H852" s="9">
        <v>45164.249560185184</v>
      </c>
      <c r="I852" s="9">
        <v>45165.249560185184</v>
      </c>
      <c r="J852" s="9" t="e">
        <f>I852+#REF!</f>
        <v>#REF!</v>
      </c>
      <c r="K852" s="9" t="e">
        <f>J852+#REF!</f>
        <v>#REF!</v>
      </c>
      <c r="L852" s="10" t="s">
        <v>41</v>
      </c>
      <c r="M852" s="11">
        <v>45174.249560185184</v>
      </c>
      <c r="N852" s="5" t="s">
        <v>42</v>
      </c>
      <c r="O852" s="5" t="s">
        <v>113</v>
      </c>
      <c r="P852" s="9"/>
      <c r="Q852" s="5"/>
      <c r="R852" s="5"/>
      <c r="S852" s="5"/>
      <c r="T852" s="9"/>
      <c r="U852" s="5"/>
      <c r="V852" s="5">
        <v>0</v>
      </c>
      <c r="W852" s="5"/>
      <c r="X852" s="5"/>
      <c r="Y852" s="5"/>
      <c r="Z852" s="5"/>
      <c r="AA852" s="5" t="s">
        <v>44</v>
      </c>
      <c r="AC852">
        <f t="shared" si="118"/>
        <v>9</v>
      </c>
      <c r="AD852" t="str">
        <f t="shared" si="119"/>
        <v/>
      </c>
      <c r="AE852" t="str">
        <f t="shared" si="120"/>
        <v/>
      </c>
      <c r="AF852" t="str">
        <f t="shared" si="121"/>
        <v/>
      </c>
      <c r="AG852" t="str">
        <f t="shared" si="122"/>
        <v/>
      </c>
      <c r="AH852">
        <f t="shared" si="123"/>
        <v>1</v>
      </c>
      <c r="AI852" t="str">
        <f t="shared" si="124"/>
        <v/>
      </c>
      <c r="AJ852" t="str">
        <f t="shared" si="125"/>
        <v/>
      </c>
    </row>
    <row r="853" spans="1:36">
      <c r="A853" s="5">
        <v>903</v>
      </c>
      <c r="B853" s="5" t="s">
        <v>346</v>
      </c>
      <c r="C853" s="5" t="s">
        <v>100</v>
      </c>
      <c r="D853" s="5" t="s">
        <v>268</v>
      </c>
      <c r="E853" s="5" t="s">
        <v>291</v>
      </c>
      <c r="F853" s="5" t="str">
        <f t="shared" si="117"/>
        <v>Program Office-Cordination Manager</v>
      </c>
      <c r="G853" s="5" t="s">
        <v>270</v>
      </c>
      <c r="H853" s="9">
        <v>45160.249560185184</v>
      </c>
      <c r="I853" s="9">
        <v>45164.249560185184</v>
      </c>
      <c r="J853" s="9" t="e">
        <f>I853+#REF!</f>
        <v>#REF!</v>
      </c>
      <c r="K853" s="9" t="e">
        <f>J853+#REF!</f>
        <v>#REF!</v>
      </c>
      <c r="L853" s="10" t="s">
        <v>52</v>
      </c>
      <c r="M853" s="11"/>
      <c r="N853" s="5"/>
      <c r="O853" s="5"/>
      <c r="P853" s="9"/>
      <c r="Q853" s="5"/>
      <c r="R853" s="5"/>
      <c r="S853" s="5"/>
      <c r="T853" s="9"/>
      <c r="U853" s="5"/>
      <c r="V853" s="5">
        <v>0</v>
      </c>
      <c r="W853" s="5"/>
      <c r="X853" s="5"/>
      <c r="Y853" s="5"/>
      <c r="Z853" s="5"/>
      <c r="AA853" s="5"/>
      <c r="AC853" t="str">
        <f t="shared" si="118"/>
        <v/>
      </c>
      <c r="AD853" t="str">
        <f t="shared" si="119"/>
        <v/>
      </c>
      <c r="AE853" t="str">
        <f t="shared" si="120"/>
        <v/>
      </c>
      <c r="AF853" t="str">
        <f t="shared" si="121"/>
        <v/>
      </c>
      <c r="AG853" t="str">
        <f t="shared" si="122"/>
        <v/>
      </c>
      <c r="AH853">
        <f t="shared" si="123"/>
        <v>4</v>
      </c>
      <c r="AI853" t="str">
        <f t="shared" si="124"/>
        <v/>
      </c>
      <c r="AJ853" t="str">
        <f t="shared" si="125"/>
        <v/>
      </c>
    </row>
    <row r="854" spans="1:36">
      <c r="A854" s="5">
        <v>904</v>
      </c>
      <c r="B854" s="5" t="s">
        <v>520</v>
      </c>
      <c r="C854" s="5" t="s">
        <v>100</v>
      </c>
      <c r="D854" s="5" t="s">
        <v>506</v>
      </c>
      <c r="E854" s="5" t="s">
        <v>55</v>
      </c>
      <c r="F854" s="5" t="str">
        <f t="shared" si="117"/>
        <v>Program Office-Director</v>
      </c>
      <c r="G854" s="5" t="s">
        <v>56</v>
      </c>
      <c r="H854" s="9">
        <v>45159.249560185184</v>
      </c>
      <c r="I854" s="9">
        <v>45162.249560185184</v>
      </c>
      <c r="J854" s="9" t="e">
        <f>I854+#REF!</f>
        <v>#REF!</v>
      </c>
      <c r="K854" s="9" t="e">
        <f>J854+#REF!</f>
        <v>#REF!</v>
      </c>
      <c r="L854" s="10" t="s">
        <v>41</v>
      </c>
      <c r="M854" s="11">
        <v>45169.249560185184</v>
      </c>
      <c r="N854" s="5" t="s">
        <v>64</v>
      </c>
      <c r="O854" s="5"/>
      <c r="P854" s="9">
        <v>45175.249560185184</v>
      </c>
      <c r="Q854" s="5" t="s">
        <v>64</v>
      </c>
      <c r="R854" s="9">
        <v>45171.249560185184</v>
      </c>
      <c r="S854" s="9">
        <v>45172.249560185184</v>
      </c>
      <c r="T854" s="9">
        <v>45171.249560185184</v>
      </c>
      <c r="U854" s="9">
        <v>45172.249560185184</v>
      </c>
      <c r="V854" s="12">
        <v>1</v>
      </c>
      <c r="W854" s="9">
        <v>45173.249560185184</v>
      </c>
      <c r="X854" s="9">
        <v>45176.249560185184</v>
      </c>
      <c r="Y854" s="9">
        <v>45178.249560185184</v>
      </c>
      <c r="Z854" s="5"/>
      <c r="AA854" s="5"/>
      <c r="AB854" s="13">
        <v>45195.249560185184</v>
      </c>
      <c r="AC854">
        <f t="shared" si="118"/>
        <v>7</v>
      </c>
      <c r="AD854">
        <f t="shared" si="119"/>
        <v>10</v>
      </c>
      <c r="AE854">
        <f t="shared" si="120"/>
        <v>2</v>
      </c>
      <c r="AF854">
        <f t="shared" si="121"/>
        <v>4</v>
      </c>
      <c r="AG854">
        <f t="shared" si="122"/>
        <v>1</v>
      </c>
      <c r="AH854">
        <f t="shared" si="123"/>
        <v>3</v>
      </c>
      <c r="AI854" t="str">
        <f t="shared" si="124"/>
        <v/>
      </c>
      <c r="AJ854" t="str">
        <f t="shared" si="125"/>
        <v/>
      </c>
    </row>
    <row r="855" spans="1:36">
      <c r="A855" s="5">
        <v>906</v>
      </c>
      <c r="B855" s="5" t="s">
        <v>519</v>
      </c>
      <c r="C855" s="5" t="s">
        <v>100</v>
      </c>
      <c r="D855" s="5" t="s">
        <v>506</v>
      </c>
      <c r="E855" s="5" t="s">
        <v>55</v>
      </c>
      <c r="F855" s="5" t="str">
        <f t="shared" si="117"/>
        <v>Program Office-Director</v>
      </c>
      <c r="G855" s="5" t="s">
        <v>56</v>
      </c>
      <c r="H855" s="9">
        <v>45161.249560185184</v>
      </c>
      <c r="I855" s="9">
        <v>45163.249560185184</v>
      </c>
      <c r="J855" s="9" t="e">
        <f>I855+#REF!</f>
        <v>#REF!</v>
      </c>
      <c r="K855" s="9" t="e">
        <f>J855+#REF!</f>
        <v>#REF!</v>
      </c>
      <c r="L855" s="10" t="s">
        <v>41</v>
      </c>
      <c r="M855" s="11">
        <v>45173.249560185184</v>
      </c>
      <c r="N855" s="5" t="s">
        <v>64</v>
      </c>
      <c r="O855" s="5"/>
      <c r="P855" s="9">
        <v>45179.249560185184</v>
      </c>
      <c r="Q855" s="5" t="s">
        <v>64</v>
      </c>
      <c r="R855" s="9">
        <v>45175.249560185184</v>
      </c>
      <c r="S855" s="9">
        <v>45177.249560185184</v>
      </c>
      <c r="T855" s="9">
        <v>45177.249560185184</v>
      </c>
      <c r="U855" s="9">
        <v>45178.249560185184</v>
      </c>
      <c r="V855" s="12">
        <v>1</v>
      </c>
      <c r="W855" s="9">
        <v>45179.249560185184</v>
      </c>
      <c r="X855" s="9">
        <v>45182.249560185184</v>
      </c>
      <c r="Y855" s="9">
        <v>45184.249560185184</v>
      </c>
      <c r="Z855" s="5"/>
      <c r="AA855" s="5"/>
      <c r="AB855" s="13">
        <v>45204.249560185184</v>
      </c>
      <c r="AC855">
        <f t="shared" si="118"/>
        <v>10</v>
      </c>
      <c r="AD855">
        <f t="shared" si="119"/>
        <v>14</v>
      </c>
      <c r="AE855">
        <f t="shared" si="120"/>
        <v>4</v>
      </c>
      <c r="AF855">
        <f t="shared" si="121"/>
        <v>4</v>
      </c>
      <c r="AG855">
        <f t="shared" si="122"/>
        <v>1</v>
      </c>
      <c r="AH855">
        <f t="shared" si="123"/>
        <v>2</v>
      </c>
      <c r="AI855" t="str">
        <f t="shared" si="124"/>
        <v/>
      </c>
      <c r="AJ855" t="str">
        <f t="shared" si="125"/>
        <v/>
      </c>
    </row>
    <row r="856" spans="1:36">
      <c r="A856" s="5">
        <v>907</v>
      </c>
      <c r="B856" s="5" t="s">
        <v>223</v>
      </c>
      <c r="C856" s="5" t="s">
        <v>100</v>
      </c>
      <c r="D856" s="5" t="s">
        <v>146</v>
      </c>
      <c r="E856" s="5" t="s">
        <v>39</v>
      </c>
      <c r="F856" s="5" t="str">
        <f t="shared" si="117"/>
        <v>Program Office-Analyst</v>
      </c>
      <c r="G856" s="5" t="s">
        <v>147</v>
      </c>
      <c r="H856" s="9">
        <v>45157.249560185184</v>
      </c>
      <c r="I856" s="9">
        <v>45160.249560185184</v>
      </c>
      <c r="J856" s="9" t="e">
        <f>I856+#REF!</f>
        <v>#REF!</v>
      </c>
      <c r="K856" s="9" t="e">
        <f>J856+#REF!</f>
        <v>#REF!</v>
      </c>
      <c r="L856" s="10" t="s">
        <v>52</v>
      </c>
      <c r="M856" s="11"/>
      <c r="N856" s="5"/>
      <c r="O856" s="5"/>
      <c r="P856" s="9"/>
      <c r="Q856" s="5"/>
      <c r="R856" s="5"/>
      <c r="S856" s="5"/>
      <c r="T856" s="9"/>
      <c r="U856" s="5"/>
      <c r="V856" s="5">
        <v>0</v>
      </c>
      <c r="W856" s="5"/>
      <c r="X856" s="5"/>
      <c r="Y856" s="5"/>
      <c r="Z856" s="5"/>
      <c r="AA856" s="5"/>
      <c r="AC856" t="str">
        <f t="shared" si="118"/>
        <v/>
      </c>
      <c r="AD856" t="str">
        <f t="shared" si="119"/>
        <v/>
      </c>
      <c r="AE856" t="str">
        <f t="shared" si="120"/>
        <v/>
      </c>
      <c r="AF856" t="str">
        <f t="shared" si="121"/>
        <v/>
      </c>
      <c r="AG856" t="str">
        <f t="shared" si="122"/>
        <v/>
      </c>
      <c r="AH856">
        <f t="shared" si="123"/>
        <v>3</v>
      </c>
      <c r="AI856" t="str">
        <f t="shared" si="124"/>
        <v/>
      </c>
      <c r="AJ856" t="str">
        <f t="shared" si="125"/>
        <v/>
      </c>
    </row>
    <row r="857" spans="1:36">
      <c r="A857" s="5">
        <v>908</v>
      </c>
      <c r="B857" s="5" t="s">
        <v>345</v>
      </c>
      <c r="C857" s="5" t="s">
        <v>100</v>
      </c>
      <c r="D857" s="5" t="s">
        <v>268</v>
      </c>
      <c r="E857" s="5" t="s">
        <v>291</v>
      </c>
      <c r="F857" s="5" t="str">
        <f t="shared" si="117"/>
        <v>Program Office-Cordination Manager</v>
      </c>
      <c r="G857" s="5" t="s">
        <v>270</v>
      </c>
      <c r="H857" s="9">
        <v>45162.249560185184</v>
      </c>
      <c r="I857" s="9">
        <v>45163.249560185184</v>
      </c>
      <c r="J857" s="9" t="e">
        <f>I857+#REF!</f>
        <v>#REF!</v>
      </c>
      <c r="K857" s="9" t="e">
        <f>J857+#REF!</f>
        <v>#REF!</v>
      </c>
      <c r="L857" s="10" t="s">
        <v>41</v>
      </c>
      <c r="M857" s="11">
        <v>45170.249560185184</v>
      </c>
      <c r="N857" s="5" t="s">
        <v>42</v>
      </c>
      <c r="O857" s="5" t="s">
        <v>113</v>
      </c>
      <c r="P857" s="9"/>
      <c r="Q857" s="5"/>
      <c r="R857" s="5"/>
      <c r="S857" s="5"/>
      <c r="T857" s="9">
        <v>45171.249560185184</v>
      </c>
      <c r="U857" s="5"/>
      <c r="V857" s="5">
        <v>0</v>
      </c>
      <c r="W857" s="5"/>
      <c r="X857" s="5"/>
      <c r="Y857" s="5"/>
      <c r="Z857" s="5"/>
      <c r="AA857" s="5" t="s">
        <v>44</v>
      </c>
      <c r="AC857">
        <f t="shared" si="118"/>
        <v>7</v>
      </c>
      <c r="AD857" t="str">
        <f t="shared" si="119"/>
        <v/>
      </c>
      <c r="AE857">
        <f t="shared" si="120"/>
        <v>1</v>
      </c>
      <c r="AF857" t="str">
        <f t="shared" si="121"/>
        <v/>
      </c>
      <c r="AG857" t="str">
        <f t="shared" si="122"/>
        <v/>
      </c>
      <c r="AH857">
        <f t="shared" si="123"/>
        <v>1</v>
      </c>
      <c r="AI857" t="str">
        <f t="shared" si="124"/>
        <v/>
      </c>
      <c r="AJ857" t="str">
        <f t="shared" si="125"/>
        <v/>
      </c>
    </row>
    <row r="858" spans="1:36">
      <c r="A858" s="5">
        <v>909</v>
      </c>
      <c r="B858" s="5" t="s">
        <v>640</v>
      </c>
      <c r="C858" s="5" t="s">
        <v>100</v>
      </c>
      <c r="D858" s="5" t="s">
        <v>554</v>
      </c>
      <c r="E858" s="5" t="s">
        <v>597</v>
      </c>
      <c r="F858" s="5" t="str">
        <f t="shared" si="117"/>
        <v>Program Office-Business Partner</v>
      </c>
      <c r="G858" s="5" t="s">
        <v>47</v>
      </c>
      <c r="H858" s="9">
        <v>45158.249560185184</v>
      </c>
      <c r="I858" s="9">
        <v>45161.249560185184</v>
      </c>
      <c r="J858" s="9" t="e">
        <f>I858+#REF!</f>
        <v>#REF!</v>
      </c>
      <c r="K858" s="9" t="e">
        <f>J858+#REF!</f>
        <v>#REF!</v>
      </c>
      <c r="L858" s="10" t="s">
        <v>41</v>
      </c>
      <c r="M858" s="11">
        <v>45180.249560185184</v>
      </c>
      <c r="N858" s="5" t="s">
        <v>64</v>
      </c>
      <c r="O858" s="5"/>
      <c r="P858" s="9">
        <v>45184.249560185184</v>
      </c>
      <c r="Q858" s="5" t="s">
        <v>64</v>
      </c>
      <c r="R858" s="9">
        <v>45182.249560185184</v>
      </c>
      <c r="S858" s="9">
        <v>45186.249560185184</v>
      </c>
      <c r="T858" s="9">
        <v>45183.249560185184</v>
      </c>
      <c r="U858" s="9">
        <v>45193.249560185184</v>
      </c>
      <c r="V858" s="12">
        <v>1</v>
      </c>
      <c r="W858" s="9">
        <v>45195.249560185184</v>
      </c>
      <c r="X858" s="9">
        <v>45197.249560185184</v>
      </c>
      <c r="Y858" s="9">
        <v>45199.249560185184</v>
      </c>
      <c r="Z858" s="5"/>
      <c r="AA858" s="5"/>
      <c r="AB858" s="13">
        <v>45211.249560185184</v>
      </c>
      <c r="AC858">
        <f t="shared" si="118"/>
        <v>19</v>
      </c>
      <c r="AD858">
        <f t="shared" si="119"/>
        <v>25</v>
      </c>
      <c r="AE858">
        <f t="shared" si="120"/>
        <v>3</v>
      </c>
      <c r="AF858">
        <f t="shared" si="121"/>
        <v>4</v>
      </c>
      <c r="AG858">
        <f t="shared" si="122"/>
        <v>2</v>
      </c>
      <c r="AH858">
        <f t="shared" si="123"/>
        <v>3</v>
      </c>
      <c r="AI858" t="str">
        <f t="shared" si="124"/>
        <v/>
      </c>
      <c r="AJ858" t="str">
        <f t="shared" si="125"/>
        <v/>
      </c>
    </row>
    <row r="859" spans="1:36">
      <c r="A859" s="5">
        <v>910</v>
      </c>
      <c r="B859" s="5" t="s">
        <v>222</v>
      </c>
      <c r="C859" s="5" t="s">
        <v>100</v>
      </c>
      <c r="D859" s="5" t="s">
        <v>146</v>
      </c>
      <c r="E859" s="5" t="s">
        <v>39</v>
      </c>
      <c r="F859" s="5" t="str">
        <f t="shared" si="117"/>
        <v>Program Office-Analyst</v>
      </c>
      <c r="G859" s="5" t="s">
        <v>147</v>
      </c>
      <c r="H859" s="9">
        <v>45158.249560185184</v>
      </c>
      <c r="I859" s="9">
        <v>45162.249560185184</v>
      </c>
      <c r="J859" s="9" t="e">
        <f>I859+#REF!</f>
        <v>#REF!</v>
      </c>
      <c r="K859" s="9" t="e">
        <f>J859+#REF!</f>
        <v>#REF!</v>
      </c>
      <c r="L859" s="10" t="s">
        <v>41</v>
      </c>
      <c r="M859" s="11">
        <v>45175.249560185184</v>
      </c>
      <c r="N859" s="5" t="s">
        <v>48</v>
      </c>
      <c r="O859" s="5"/>
      <c r="P859" s="9">
        <v>45177.249560185184</v>
      </c>
      <c r="Q859" s="5" t="s">
        <v>48</v>
      </c>
      <c r="R859" s="5"/>
      <c r="S859" s="5"/>
      <c r="T859" s="9">
        <v>45176.249560185184</v>
      </c>
      <c r="U859" s="5"/>
      <c r="V859" s="5">
        <v>0</v>
      </c>
      <c r="W859" s="5"/>
      <c r="X859" s="5"/>
      <c r="Y859" s="5"/>
      <c r="Z859" s="5"/>
      <c r="AA859" s="5"/>
      <c r="AC859">
        <f t="shared" si="118"/>
        <v>13</v>
      </c>
      <c r="AD859" t="str">
        <f t="shared" si="119"/>
        <v/>
      </c>
      <c r="AE859">
        <f t="shared" si="120"/>
        <v>1</v>
      </c>
      <c r="AF859" t="str">
        <f t="shared" si="121"/>
        <v/>
      </c>
      <c r="AG859" t="str">
        <f t="shared" si="122"/>
        <v/>
      </c>
      <c r="AH859">
        <f t="shared" si="123"/>
        <v>4</v>
      </c>
      <c r="AI859" t="str">
        <f t="shared" si="124"/>
        <v/>
      </c>
      <c r="AJ859" t="str">
        <f t="shared" si="125"/>
        <v/>
      </c>
    </row>
    <row r="860" spans="1:36">
      <c r="A860" s="5">
        <v>911</v>
      </c>
      <c r="B860" s="5" t="s">
        <v>221</v>
      </c>
      <c r="C860" s="5" t="s">
        <v>100</v>
      </c>
      <c r="D860" s="5" t="s">
        <v>146</v>
      </c>
      <c r="E860" s="5" t="s">
        <v>39</v>
      </c>
      <c r="F860" s="5" t="str">
        <f t="shared" si="117"/>
        <v>Program Office-Analyst</v>
      </c>
      <c r="G860" s="5" t="s">
        <v>147</v>
      </c>
      <c r="H860" s="9">
        <v>44671.256099537037</v>
      </c>
      <c r="I860" s="9">
        <v>44672.256099537037</v>
      </c>
      <c r="J860" s="9" t="e">
        <f>I860+#REF!</f>
        <v>#REF!</v>
      </c>
      <c r="K860" s="9" t="e">
        <f>J860+#REF!</f>
        <v>#REF!</v>
      </c>
      <c r="L860" s="10" t="s">
        <v>41</v>
      </c>
      <c r="M860" s="11">
        <v>44687.256099537037</v>
      </c>
      <c r="N860" s="5" t="s">
        <v>42</v>
      </c>
      <c r="O860" s="5" t="s">
        <v>73</v>
      </c>
      <c r="P860" s="9"/>
      <c r="Q860" s="5"/>
      <c r="R860" s="5"/>
      <c r="S860" s="5"/>
      <c r="T860" s="9">
        <v>44690.256099537037</v>
      </c>
      <c r="U860" s="5"/>
      <c r="V860" s="5">
        <v>0</v>
      </c>
      <c r="W860" s="5"/>
      <c r="X860" s="5"/>
      <c r="Y860" s="5"/>
      <c r="Z860" s="5"/>
      <c r="AA860" s="5" t="s">
        <v>62</v>
      </c>
      <c r="AC860">
        <f t="shared" si="118"/>
        <v>15</v>
      </c>
      <c r="AD860" t="str">
        <f t="shared" si="119"/>
        <v/>
      </c>
      <c r="AE860">
        <f t="shared" si="120"/>
        <v>3</v>
      </c>
      <c r="AF860" t="str">
        <f t="shared" si="121"/>
        <v/>
      </c>
      <c r="AG860" t="str">
        <f t="shared" si="122"/>
        <v/>
      </c>
      <c r="AH860">
        <f t="shared" si="123"/>
        <v>1</v>
      </c>
      <c r="AI860" t="str">
        <f t="shared" si="124"/>
        <v/>
      </c>
      <c r="AJ860" t="str">
        <f t="shared" si="125"/>
        <v/>
      </c>
    </row>
    <row r="861" spans="1:36">
      <c r="A861" s="5">
        <v>912</v>
      </c>
      <c r="B861" s="5" t="s">
        <v>220</v>
      </c>
      <c r="C861" s="5" t="s">
        <v>100</v>
      </c>
      <c r="D861" s="5" t="s">
        <v>146</v>
      </c>
      <c r="E861" s="5" t="s">
        <v>39</v>
      </c>
      <c r="F861" s="5" t="str">
        <f t="shared" si="117"/>
        <v>Program Office-Analyst</v>
      </c>
      <c r="G861" s="5" t="s">
        <v>147</v>
      </c>
      <c r="H861" s="9">
        <v>44669.256099537037</v>
      </c>
      <c r="I861" s="9">
        <v>44672.256099537037</v>
      </c>
      <c r="J861" s="9" t="e">
        <f>I861+#REF!</f>
        <v>#REF!</v>
      </c>
      <c r="K861" s="9" t="e">
        <f>J861+#REF!</f>
        <v>#REF!</v>
      </c>
      <c r="L861" s="10" t="s">
        <v>52</v>
      </c>
      <c r="M861" s="11"/>
      <c r="N861" s="5"/>
      <c r="O861" s="5"/>
      <c r="P861" s="9"/>
      <c r="Q861" s="5"/>
      <c r="R861" s="5"/>
      <c r="S861" s="5"/>
      <c r="T861" s="9"/>
      <c r="U861" s="5"/>
      <c r="V861" s="5">
        <v>0</v>
      </c>
      <c r="W861" s="5"/>
      <c r="X861" s="5"/>
      <c r="Y861" s="5"/>
      <c r="Z861" s="5"/>
      <c r="AA861" s="5"/>
      <c r="AC861" t="str">
        <f t="shared" si="118"/>
        <v/>
      </c>
      <c r="AD861" t="str">
        <f t="shared" si="119"/>
        <v/>
      </c>
      <c r="AE861" t="str">
        <f t="shared" si="120"/>
        <v/>
      </c>
      <c r="AF861" t="str">
        <f t="shared" si="121"/>
        <v/>
      </c>
      <c r="AG861" t="str">
        <f t="shared" si="122"/>
        <v/>
      </c>
      <c r="AH861">
        <f t="shared" si="123"/>
        <v>3</v>
      </c>
      <c r="AI861" t="str">
        <f t="shared" si="124"/>
        <v/>
      </c>
      <c r="AJ861" t="str">
        <f t="shared" si="125"/>
        <v/>
      </c>
    </row>
    <row r="862" spans="1:36">
      <c r="A862" s="5">
        <v>913</v>
      </c>
      <c r="B862" s="5" t="s">
        <v>463</v>
      </c>
      <c r="C862" s="5" t="s">
        <v>100</v>
      </c>
      <c r="D862" s="5" t="s">
        <v>387</v>
      </c>
      <c r="E862" s="5" t="s">
        <v>388</v>
      </c>
      <c r="F862" s="5" t="str">
        <f t="shared" si="117"/>
        <v>Program Office-Extension Officer</v>
      </c>
      <c r="G862" s="5" t="s">
        <v>40</v>
      </c>
      <c r="H862" s="9">
        <v>44672.256099537037</v>
      </c>
      <c r="I862" s="9">
        <v>44673.256099537037</v>
      </c>
      <c r="J862" s="9" t="e">
        <f>I862+#REF!</f>
        <v>#REF!</v>
      </c>
      <c r="K862" s="9" t="e">
        <f>J862+#REF!</f>
        <v>#REF!</v>
      </c>
      <c r="L862" s="10" t="s">
        <v>52</v>
      </c>
      <c r="M862" s="11"/>
      <c r="N862" s="5"/>
      <c r="O862" s="5"/>
      <c r="P862" s="9"/>
      <c r="Q862" s="5"/>
      <c r="R862" s="5"/>
      <c r="S862" s="5"/>
      <c r="T862" s="9"/>
      <c r="U862" s="5"/>
      <c r="V862" s="5">
        <v>0</v>
      </c>
      <c r="W862" s="5"/>
      <c r="X862" s="5"/>
      <c r="Y862" s="5"/>
      <c r="Z862" s="5"/>
      <c r="AA862" s="5"/>
      <c r="AC862" t="str">
        <f t="shared" si="118"/>
        <v/>
      </c>
      <c r="AD862" t="str">
        <f t="shared" si="119"/>
        <v/>
      </c>
      <c r="AE862" t="str">
        <f t="shared" si="120"/>
        <v/>
      </c>
      <c r="AF862" t="str">
        <f t="shared" si="121"/>
        <v/>
      </c>
      <c r="AG862" t="str">
        <f t="shared" si="122"/>
        <v/>
      </c>
      <c r="AH862">
        <f t="shared" si="123"/>
        <v>1</v>
      </c>
      <c r="AI862" t="str">
        <f t="shared" si="124"/>
        <v/>
      </c>
      <c r="AJ862" t="str">
        <f t="shared" si="125"/>
        <v/>
      </c>
    </row>
    <row r="863" spans="1:36">
      <c r="A863" s="5">
        <v>914</v>
      </c>
      <c r="B863" s="5" t="s">
        <v>518</v>
      </c>
      <c r="C863" s="5" t="s">
        <v>100</v>
      </c>
      <c r="D863" s="5" t="s">
        <v>506</v>
      </c>
      <c r="E863" s="5" t="s">
        <v>55</v>
      </c>
      <c r="F863" s="5" t="str">
        <f t="shared" si="117"/>
        <v>Program Office-Director</v>
      </c>
      <c r="G863" s="5" t="s">
        <v>56</v>
      </c>
      <c r="H863" s="9">
        <v>44670.256099537037</v>
      </c>
      <c r="I863" s="9">
        <v>44673.256099537037</v>
      </c>
      <c r="J863" s="9" t="e">
        <f>I863+#REF!</f>
        <v>#REF!</v>
      </c>
      <c r="K863" s="9" t="e">
        <f>J863+#REF!</f>
        <v>#REF!</v>
      </c>
      <c r="L863" s="10" t="s">
        <v>41</v>
      </c>
      <c r="M863" s="11">
        <v>44683.256099537037</v>
      </c>
      <c r="N863" s="5" t="s">
        <v>48</v>
      </c>
      <c r="O863" s="5"/>
      <c r="P863" s="9">
        <v>44686.256099537037</v>
      </c>
      <c r="Q863" s="5" t="s">
        <v>48</v>
      </c>
      <c r="R863" s="5"/>
      <c r="S863" s="5"/>
      <c r="T863" s="9">
        <v>44684.256099537037</v>
      </c>
      <c r="U863" s="5"/>
      <c r="V863" s="5">
        <v>0</v>
      </c>
      <c r="W863" s="5"/>
      <c r="X863" s="5"/>
      <c r="Y863" s="5"/>
      <c r="Z863" s="5"/>
      <c r="AA863" s="5"/>
      <c r="AC863">
        <f t="shared" si="118"/>
        <v>10</v>
      </c>
      <c r="AD863" t="str">
        <f t="shared" si="119"/>
        <v/>
      </c>
      <c r="AE863">
        <f t="shared" si="120"/>
        <v>1</v>
      </c>
      <c r="AF863" t="str">
        <f t="shared" si="121"/>
        <v/>
      </c>
      <c r="AG863" t="str">
        <f t="shared" si="122"/>
        <v/>
      </c>
      <c r="AH863">
        <f t="shared" si="123"/>
        <v>3</v>
      </c>
      <c r="AI863" t="str">
        <f t="shared" si="124"/>
        <v/>
      </c>
      <c r="AJ863" t="str">
        <f t="shared" si="125"/>
        <v/>
      </c>
    </row>
    <row r="864" spans="1:36">
      <c r="A864" s="5">
        <v>916</v>
      </c>
      <c r="B864" s="5" t="s">
        <v>219</v>
      </c>
      <c r="C864" s="5" t="s">
        <v>100</v>
      </c>
      <c r="D864" s="5" t="s">
        <v>146</v>
      </c>
      <c r="E864" s="5" t="s">
        <v>39</v>
      </c>
      <c r="F864" s="5" t="str">
        <f t="shared" si="117"/>
        <v>Program Office-Analyst</v>
      </c>
      <c r="G864" s="5" t="s">
        <v>147</v>
      </c>
      <c r="H864" s="9">
        <v>44666.256099537037</v>
      </c>
      <c r="I864" s="9">
        <v>44670.256099537037</v>
      </c>
      <c r="J864" s="9" t="e">
        <f>I864+#REF!</f>
        <v>#REF!</v>
      </c>
      <c r="K864" s="9" t="e">
        <f>J864+#REF!</f>
        <v>#REF!</v>
      </c>
      <c r="L864" s="10" t="s">
        <v>41</v>
      </c>
      <c r="M864" s="11">
        <v>44691.256099537037</v>
      </c>
      <c r="N864" s="5" t="s">
        <v>42</v>
      </c>
      <c r="O864" s="5" t="s">
        <v>113</v>
      </c>
      <c r="P864" s="9"/>
      <c r="Q864" s="5"/>
      <c r="R864" s="5"/>
      <c r="S864" s="5"/>
      <c r="T864" s="9"/>
      <c r="U864" s="5"/>
      <c r="V864" s="5">
        <v>0</v>
      </c>
      <c r="W864" s="5"/>
      <c r="X864" s="5"/>
      <c r="Y864" s="5"/>
      <c r="Z864" s="5"/>
      <c r="AA864" s="5" t="s">
        <v>44</v>
      </c>
      <c r="AC864">
        <f t="shared" si="118"/>
        <v>21</v>
      </c>
      <c r="AD864" t="str">
        <f t="shared" si="119"/>
        <v/>
      </c>
      <c r="AE864" t="str">
        <f t="shared" si="120"/>
        <v/>
      </c>
      <c r="AF864" t="str">
        <f t="shared" si="121"/>
        <v/>
      </c>
      <c r="AG864" t="str">
        <f t="shared" si="122"/>
        <v/>
      </c>
      <c r="AH864">
        <f t="shared" si="123"/>
        <v>4</v>
      </c>
      <c r="AI864" t="str">
        <f t="shared" si="124"/>
        <v/>
      </c>
      <c r="AJ864" t="str">
        <f t="shared" si="125"/>
        <v/>
      </c>
    </row>
    <row r="865" spans="1:36">
      <c r="A865" s="5">
        <v>917</v>
      </c>
      <c r="B865" s="5" t="s">
        <v>639</v>
      </c>
      <c r="C865" s="5" t="s">
        <v>100</v>
      </c>
      <c r="D865" s="5" t="s">
        <v>554</v>
      </c>
      <c r="E865" s="5" t="s">
        <v>597</v>
      </c>
      <c r="F865" s="5" t="str">
        <f t="shared" si="117"/>
        <v>Program Office-Business Partner</v>
      </c>
      <c r="G865" s="5" t="s">
        <v>47</v>
      </c>
      <c r="H865" s="9">
        <v>44668.256099537037</v>
      </c>
      <c r="I865" s="9">
        <v>44671.256099537037</v>
      </c>
      <c r="J865" s="9" t="e">
        <f>I865+#REF!</f>
        <v>#REF!</v>
      </c>
      <c r="K865" s="9" t="e">
        <f>J865+#REF!</f>
        <v>#REF!</v>
      </c>
      <c r="L865" s="10" t="s">
        <v>52</v>
      </c>
      <c r="M865" s="11"/>
      <c r="N865" s="5"/>
      <c r="O865" s="5"/>
      <c r="P865" s="9"/>
      <c r="Q865" s="5"/>
      <c r="R865" s="5"/>
      <c r="S865" s="5"/>
      <c r="T865" s="9"/>
      <c r="U865" s="5"/>
      <c r="V865" s="5">
        <v>0</v>
      </c>
      <c r="W865" s="5"/>
      <c r="X865" s="5"/>
      <c r="Y865" s="5"/>
      <c r="Z865" s="5"/>
      <c r="AA865" s="5"/>
      <c r="AC865" t="str">
        <f t="shared" si="118"/>
        <v/>
      </c>
      <c r="AD865" t="str">
        <f t="shared" si="119"/>
        <v/>
      </c>
      <c r="AE865" t="str">
        <f t="shared" si="120"/>
        <v/>
      </c>
      <c r="AF865" t="str">
        <f t="shared" si="121"/>
        <v/>
      </c>
      <c r="AG865" t="str">
        <f t="shared" si="122"/>
        <v/>
      </c>
      <c r="AH865">
        <f t="shared" si="123"/>
        <v>3</v>
      </c>
      <c r="AI865" t="str">
        <f t="shared" si="124"/>
        <v/>
      </c>
      <c r="AJ865" t="str">
        <f t="shared" si="125"/>
        <v/>
      </c>
    </row>
    <row r="866" spans="1:36">
      <c r="A866" s="5">
        <v>918</v>
      </c>
      <c r="B866" s="5" t="s">
        <v>638</v>
      </c>
      <c r="C866" s="5" t="s">
        <v>100</v>
      </c>
      <c r="D866" s="5" t="s">
        <v>554</v>
      </c>
      <c r="E866" s="5" t="s">
        <v>597</v>
      </c>
      <c r="F866" s="5" t="str">
        <f t="shared" si="117"/>
        <v>Program Office-Business Partner</v>
      </c>
      <c r="G866" s="5" t="s">
        <v>47</v>
      </c>
      <c r="H866" s="9">
        <v>44670.256099537037</v>
      </c>
      <c r="I866" s="9">
        <v>44674.256099537037</v>
      </c>
      <c r="J866" s="9" t="e">
        <f>I866+#REF!</f>
        <v>#REF!</v>
      </c>
      <c r="K866" s="9" t="e">
        <f>J866+#REF!</f>
        <v>#REF!</v>
      </c>
      <c r="L866" s="10" t="s">
        <v>41</v>
      </c>
      <c r="M866" s="11">
        <v>44679.256099537037</v>
      </c>
      <c r="N866" s="5" t="s">
        <v>48</v>
      </c>
      <c r="O866" s="5"/>
      <c r="P866" s="9">
        <v>44684.256099537037</v>
      </c>
      <c r="Q866" s="5" t="s">
        <v>48</v>
      </c>
      <c r="R866" s="5"/>
      <c r="S866" s="5"/>
      <c r="T866" s="9">
        <v>44681.256099537037</v>
      </c>
      <c r="U866" s="5"/>
      <c r="V866" s="5">
        <v>0</v>
      </c>
      <c r="W866" s="5"/>
      <c r="X866" s="5"/>
      <c r="Y866" s="5"/>
      <c r="Z866" s="5"/>
      <c r="AA866" s="5"/>
      <c r="AC866">
        <f t="shared" si="118"/>
        <v>5</v>
      </c>
      <c r="AD866" t="str">
        <f t="shared" si="119"/>
        <v/>
      </c>
      <c r="AE866">
        <f t="shared" si="120"/>
        <v>2</v>
      </c>
      <c r="AF866" t="str">
        <f t="shared" si="121"/>
        <v/>
      </c>
      <c r="AG866" t="str">
        <f t="shared" si="122"/>
        <v/>
      </c>
      <c r="AH866">
        <f t="shared" si="123"/>
        <v>4</v>
      </c>
      <c r="AI866" t="str">
        <f t="shared" si="124"/>
        <v/>
      </c>
      <c r="AJ866" t="str">
        <f t="shared" si="125"/>
        <v/>
      </c>
    </row>
    <row r="867" spans="1:36">
      <c r="A867" s="5">
        <v>919</v>
      </c>
      <c r="B867" s="5" t="s">
        <v>218</v>
      </c>
      <c r="C867" s="5" t="s">
        <v>100</v>
      </c>
      <c r="D867" s="5" t="s">
        <v>146</v>
      </c>
      <c r="E867" s="5" t="s">
        <v>39</v>
      </c>
      <c r="F867" s="5" t="str">
        <f t="shared" si="117"/>
        <v>Program Office-Analyst</v>
      </c>
      <c r="G867" s="5" t="s">
        <v>147</v>
      </c>
      <c r="H867" s="9">
        <v>44670.256099537037</v>
      </c>
      <c r="I867" s="9">
        <v>44673.256099537037</v>
      </c>
      <c r="J867" s="9" t="e">
        <f>I867+#REF!</f>
        <v>#REF!</v>
      </c>
      <c r="K867" s="9" t="e">
        <f>J867+#REF!</f>
        <v>#REF!</v>
      </c>
      <c r="L867" s="10" t="s">
        <v>41</v>
      </c>
      <c r="M867" s="11">
        <v>44682.256099537037</v>
      </c>
      <c r="N867" s="5" t="s">
        <v>64</v>
      </c>
      <c r="O867" s="5"/>
      <c r="P867" s="9">
        <v>44689.256099537037</v>
      </c>
      <c r="Q867" s="5" t="s">
        <v>64</v>
      </c>
      <c r="R867" s="9">
        <v>44683.256099537037</v>
      </c>
      <c r="S867" s="9">
        <v>44684.256099537037</v>
      </c>
      <c r="T867" s="9">
        <v>44686.256099537037</v>
      </c>
      <c r="U867" s="9">
        <v>44687.256099537037</v>
      </c>
      <c r="V867" s="12">
        <v>1</v>
      </c>
      <c r="W867" s="9">
        <v>44690.256099537037</v>
      </c>
      <c r="X867" s="9">
        <v>44693.256099537037</v>
      </c>
      <c r="Y867" s="9">
        <v>44694.256099537037</v>
      </c>
      <c r="Z867" s="5"/>
      <c r="AA867" s="5"/>
      <c r="AB867" s="13">
        <v>44710.256099537037</v>
      </c>
      <c r="AC867">
        <f t="shared" si="118"/>
        <v>9</v>
      </c>
      <c r="AD867">
        <f t="shared" si="119"/>
        <v>11</v>
      </c>
      <c r="AE867">
        <f t="shared" si="120"/>
        <v>4</v>
      </c>
      <c r="AF867">
        <f t="shared" si="121"/>
        <v>6</v>
      </c>
      <c r="AG867">
        <f t="shared" si="122"/>
        <v>3</v>
      </c>
      <c r="AH867">
        <f t="shared" si="123"/>
        <v>3</v>
      </c>
      <c r="AI867" t="str">
        <f t="shared" si="124"/>
        <v/>
      </c>
      <c r="AJ867" t="str">
        <f t="shared" si="125"/>
        <v/>
      </c>
    </row>
    <row r="868" spans="1:36">
      <c r="A868" s="5">
        <v>920</v>
      </c>
      <c r="B868" s="5" t="s">
        <v>462</v>
      </c>
      <c r="C868" s="5" t="s">
        <v>100</v>
      </c>
      <c r="D868" s="5" t="s">
        <v>387</v>
      </c>
      <c r="E868" s="5" t="s">
        <v>388</v>
      </c>
      <c r="F868" s="5" t="str">
        <f t="shared" si="117"/>
        <v>Program Office-Extension Officer</v>
      </c>
      <c r="G868" s="5" t="s">
        <v>40</v>
      </c>
      <c r="H868" s="9">
        <v>44671.256099537037</v>
      </c>
      <c r="I868" s="9">
        <v>44673.256099537037</v>
      </c>
      <c r="J868" s="9" t="e">
        <f>I868+#REF!</f>
        <v>#REF!</v>
      </c>
      <c r="K868" s="9" t="e">
        <f>J868+#REF!</f>
        <v>#REF!</v>
      </c>
      <c r="L868" s="10" t="s">
        <v>52</v>
      </c>
      <c r="M868" s="11"/>
      <c r="N868" s="5"/>
      <c r="O868" s="5"/>
      <c r="P868" s="9"/>
      <c r="Q868" s="5"/>
      <c r="R868" s="5"/>
      <c r="S868" s="5"/>
      <c r="T868" s="9"/>
      <c r="U868" s="5"/>
      <c r="V868" s="5">
        <v>0</v>
      </c>
      <c r="W868" s="5"/>
      <c r="X868" s="5"/>
      <c r="Y868" s="5"/>
      <c r="Z868" s="5"/>
      <c r="AA868" s="5"/>
      <c r="AC868" t="str">
        <f t="shared" si="118"/>
        <v/>
      </c>
      <c r="AD868" t="str">
        <f t="shared" si="119"/>
        <v/>
      </c>
      <c r="AE868" t="str">
        <f t="shared" si="120"/>
        <v/>
      </c>
      <c r="AF868" t="str">
        <f t="shared" si="121"/>
        <v/>
      </c>
      <c r="AG868" t="str">
        <f t="shared" si="122"/>
        <v/>
      </c>
      <c r="AH868">
        <f t="shared" si="123"/>
        <v>2</v>
      </c>
      <c r="AI868" t="str">
        <f t="shared" si="124"/>
        <v/>
      </c>
      <c r="AJ868" t="str">
        <f t="shared" si="125"/>
        <v/>
      </c>
    </row>
    <row r="869" spans="1:36">
      <c r="A869" s="5">
        <v>921</v>
      </c>
      <c r="B869" s="5" t="s">
        <v>2269</v>
      </c>
      <c r="C869" s="5" t="s">
        <v>2229</v>
      </c>
      <c r="D869" s="5" t="s">
        <v>2250</v>
      </c>
      <c r="E869" s="5" t="s">
        <v>388</v>
      </c>
      <c r="F869" s="5" t="str">
        <f t="shared" si="117"/>
        <v>Capacity Building-Extension Officer</v>
      </c>
      <c r="G869" s="5" t="s">
        <v>147</v>
      </c>
      <c r="H869" s="9">
        <v>45070.494004629632</v>
      </c>
      <c r="I869" s="9">
        <v>45074.494004629632</v>
      </c>
      <c r="J869" s="9" t="e">
        <f>I869+#REF!</f>
        <v>#REF!</v>
      </c>
      <c r="K869" s="9" t="e">
        <f>J869+#REF!</f>
        <v>#REF!</v>
      </c>
      <c r="L869" s="10" t="s">
        <v>41</v>
      </c>
      <c r="M869" s="11">
        <v>45089.494004629632</v>
      </c>
      <c r="N869" s="5" t="s">
        <v>64</v>
      </c>
      <c r="O869" s="5"/>
      <c r="P869" s="9">
        <v>45095.494004629632</v>
      </c>
      <c r="Q869" s="5" t="s">
        <v>64</v>
      </c>
      <c r="R869" s="9">
        <v>45090.494004629632</v>
      </c>
      <c r="S869" s="9">
        <v>45092.494004629632</v>
      </c>
      <c r="T869" s="9">
        <v>45093.494004629632</v>
      </c>
      <c r="U869" s="9">
        <v>45100.494004629632</v>
      </c>
      <c r="V869" s="12">
        <v>1</v>
      </c>
      <c r="W869" s="9">
        <v>45101.494004629632</v>
      </c>
      <c r="X869" s="9">
        <v>45103.494004629632</v>
      </c>
      <c r="Y869" s="9">
        <v>45106.494004629632</v>
      </c>
      <c r="Z869" s="5"/>
      <c r="AA869" s="5"/>
      <c r="AB869" s="13">
        <v>45117.494004629632</v>
      </c>
      <c r="AC869">
        <f t="shared" si="118"/>
        <v>15</v>
      </c>
      <c r="AD869">
        <f t="shared" si="119"/>
        <v>18</v>
      </c>
      <c r="AE869">
        <f t="shared" si="120"/>
        <v>4</v>
      </c>
      <c r="AF869">
        <f t="shared" si="121"/>
        <v>3</v>
      </c>
      <c r="AG869">
        <f t="shared" si="122"/>
        <v>1</v>
      </c>
      <c r="AH869">
        <f t="shared" si="123"/>
        <v>4</v>
      </c>
      <c r="AI869" t="str">
        <f t="shared" si="124"/>
        <v/>
      </c>
      <c r="AJ869" t="str">
        <f t="shared" si="125"/>
        <v/>
      </c>
    </row>
    <row r="870" spans="1:36">
      <c r="A870" s="5">
        <v>922</v>
      </c>
      <c r="B870" s="5" t="s">
        <v>2268</v>
      </c>
      <c r="C870" s="5" t="s">
        <v>2229</v>
      </c>
      <c r="D870" s="5" t="s">
        <v>2250</v>
      </c>
      <c r="E870" s="5" t="s">
        <v>388</v>
      </c>
      <c r="F870" s="5" t="str">
        <f t="shared" si="117"/>
        <v>Capacity Building-Extension Officer</v>
      </c>
      <c r="G870" s="5" t="s">
        <v>147</v>
      </c>
      <c r="H870" s="9">
        <v>45071.494004629632</v>
      </c>
      <c r="I870" s="9">
        <v>45075.494004629632</v>
      </c>
      <c r="J870" s="9" t="e">
        <f>I870+#REF!</f>
        <v>#REF!</v>
      </c>
      <c r="K870" s="9" t="e">
        <f>J870+#REF!</f>
        <v>#REF!</v>
      </c>
      <c r="L870" s="10" t="s">
        <v>41</v>
      </c>
      <c r="M870" s="11">
        <v>45086.494004629632</v>
      </c>
      <c r="N870" s="5" t="s">
        <v>167</v>
      </c>
      <c r="O870" s="5"/>
      <c r="P870" s="9">
        <v>45091.494004629632</v>
      </c>
      <c r="Q870" s="5" t="s">
        <v>167</v>
      </c>
      <c r="R870" s="5"/>
      <c r="S870" s="5"/>
      <c r="T870" s="9">
        <v>45088.494004629632</v>
      </c>
      <c r="U870" s="5"/>
      <c r="V870" s="5">
        <v>0</v>
      </c>
      <c r="W870" s="5"/>
      <c r="X870" s="5"/>
      <c r="Y870" s="5"/>
      <c r="Z870" s="5"/>
      <c r="AA870" s="5"/>
      <c r="AC870">
        <f t="shared" si="118"/>
        <v>11</v>
      </c>
      <c r="AD870" t="str">
        <f t="shared" si="119"/>
        <v/>
      </c>
      <c r="AE870">
        <f t="shared" si="120"/>
        <v>2</v>
      </c>
      <c r="AF870" t="str">
        <f t="shared" si="121"/>
        <v/>
      </c>
      <c r="AG870" t="str">
        <f t="shared" si="122"/>
        <v/>
      </c>
      <c r="AH870">
        <f t="shared" si="123"/>
        <v>4</v>
      </c>
      <c r="AI870" t="str">
        <f t="shared" si="124"/>
        <v/>
      </c>
      <c r="AJ870" t="str">
        <f t="shared" si="125"/>
        <v/>
      </c>
    </row>
    <row r="871" spans="1:36">
      <c r="A871" s="5">
        <v>923</v>
      </c>
      <c r="B871" s="5" t="s">
        <v>2267</v>
      </c>
      <c r="C871" s="5" t="s">
        <v>2229</v>
      </c>
      <c r="D871" s="5" t="s">
        <v>2250</v>
      </c>
      <c r="E871" s="5" t="s">
        <v>388</v>
      </c>
      <c r="F871" s="5" t="str">
        <f t="shared" si="117"/>
        <v>Capacity Building-Extension Officer</v>
      </c>
      <c r="G871" s="5" t="s">
        <v>147</v>
      </c>
      <c r="H871" s="9">
        <v>45075.494004629632</v>
      </c>
      <c r="I871" s="9">
        <v>45078.494004629632</v>
      </c>
      <c r="J871" s="9" t="e">
        <f>I871+#REF!</f>
        <v>#REF!</v>
      </c>
      <c r="K871" s="9" t="e">
        <f>J871+#REF!</f>
        <v>#REF!</v>
      </c>
      <c r="L871" s="10" t="s">
        <v>41</v>
      </c>
      <c r="M871" s="11">
        <v>45097.494004629632</v>
      </c>
      <c r="N871" s="5" t="s">
        <v>42</v>
      </c>
      <c r="O871" s="5" t="s">
        <v>58</v>
      </c>
      <c r="P871" s="9"/>
      <c r="Q871" s="5"/>
      <c r="R871" s="5"/>
      <c r="S871" s="5"/>
      <c r="T871" s="9">
        <v>45099.494004629632</v>
      </c>
      <c r="U871" s="5"/>
      <c r="V871" s="5">
        <v>0</v>
      </c>
      <c r="W871" s="5"/>
      <c r="X871" s="5"/>
      <c r="Y871" s="5"/>
      <c r="Z871" s="5"/>
      <c r="AA871" s="5" t="s">
        <v>44</v>
      </c>
      <c r="AC871">
        <f t="shared" si="118"/>
        <v>19</v>
      </c>
      <c r="AD871" t="str">
        <f t="shared" si="119"/>
        <v/>
      </c>
      <c r="AE871">
        <f t="shared" si="120"/>
        <v>2</v>
      </c>
      <c r="AF871" t="str">
        <f t="shared" si="121"/>
        <v/>
      </c>
      <c r="AG871" t="str">
        <f t="shared" si="122"/>
        <v/>
      </c>
      <c r="AH871">
        <f t="shared" si="123"/>
        <v>3</v>
      </c>
      <c r="AI871" t="str">
        <f t="shared" si="124"/>
        <v/>
      </c>
      <c r="AJ871" t="str">
        <f t="shared" si="125"/>
        <v/>
      </c>
    </row>
    <row r="872" spans="1:36">
      <c r="A872" s="5">
        <v>924</v>
      </c>
      <c r="B872" s="5" t="s">
        <v>2324</v>
      </c>
      <c r="C872" s="5" t="s">
        <v>2229</v>
      </c>
      <c r="D872" s="5" t="s">
        <v>2302</v>
      </c>
      <c r="E872" s="5" t="s">
        <v>269</v>
      </c>
      <c r="F872" s="5" t="str">
        <f t="shared" si="117"/>
        <v>Capacity Building-Manager</v>
      </c>
      <c r="G872" s="5" t="s">
        <v>270</v>
      </c>
      <c r="H872" s="9">
        <v>45075.494004629632</v>
      </c>
      <c r="I872" s="9">
        <v>45078.494004629632</v>
      </c>
      <c r="J872" s="9" t="e">
        <f>I872+#REF!</f>
        <v>#REF!</v>
      </c>
      <c r="K872" s="9" t="e">
        <f>J872+#REF!</f>
        <v>#REF!</v>
      </c>
      <c r="L872" s="10" t="s">
        <v>41</v>
      </c>
      <c r="M872" s="11">
        <v>45083.494004629632</v>
      </c>
      <c r="N872" s="5" t="s">
        <v>42</v>
      </c>
      <c r="O872" s="5" t="s">
        <v>73</v>
      </c>
      <c r="P872" s="9"/>
      <c r="Q872" s="5"/>
      <c r="R872" s="5"/>
      <c r="S872" s="5"/>
      <c r="T872" s="9">
        <v>45086.494004629632</v>
      </c>
      <c r="U872" s="5"/>
      <c r="V872" s="5">
        <v>0</v>
      </c>
      <c r="W872" s="5"/>
      <c r="X872" s="5"/>
      <c r="Y872" s="5"/>
      <c r="Z872" s="5"/>
      <c r="AA872" s="5" t="s">
        <v>44</v>
      </c>
      <c r="AC872">
        <f t="shared" si="118"/>
        <v>5</v>
      </c>
      <c r="AD872" t="str">
        <f t="shared" si="119"/>
        <v/>
      </c>
      <c r="AE872">
        <f t="shared" si="120"/>
        <v>3</v>
      </c>
      <c r="AF872" t="str">
        <f t="shared" si="121"/>
        <v/>
      </c>
      <c r="AG872" t="str">
        <f t="shared" si="122"/>
        <v/>
      </c>
      <c r="AH872">
        <f t="shared" si="123"/>
        <v>3</v>
      </c>
      <c r="AI872" t="str">
        <f t="shared" si="124"/>
        <v/>
      </c>
      <c r="AJ872" t="str">
        <f t="shared" si="125"/>
        <v/>
      </c>
    </row>
    <row r="873" spans="1:36">
      <c r="A873" s="5">
        <v>925</v>
      </c>
      <c r="B873" s="5" t="s">
        <v>2469</v>
      </c>
      <c r="C873" s="5" t="s">
        <v>2229</v>
      </c>
      <c r="D873" s="5" t="s">
        <v>2445</v>
      </c>
      <c r="E873" s="5" t="s">
        <v>388</v>
      </c>
      <c r="F873" s="5" t="str">
        <f t="shared" si="117"/>
        <v>Capacity Building-Extension Officer</v>
      </c>
      <c r="G873" s="5" t="s">
        <v>47</v>
      </c>
      <c r="H873" s="9">
        <v>45074.494004629632</v>
      </c>
      <c r="I873" s="9">
        <v>45078.494004629632</v>
      </c>
      <c r="J873" s="9" t="e">
        <f>I873+#REF!</f>
        <v>#REF!</v>
      </c>
      <c r="K873" s="9" t="e">
        <f>J873+#REF!</f>
        <v>#REF!</v>
      </c>
      <c r="L873" s="10" t="s">
        <v>41</v>
      </c>
      <c r="M873" s="11">
        <v>45092.494004629632</v>
      </c>
      <c r="N873" s="5" t="s">
        <v>42</v>
      </c>
      <c r="O873" s="5" t="s">
        <v>43</v>
      </c>
      <c r="P873" s="9"/>
      <c r="Q873" s="5"/>
      <c r="R873" s="5"/>
      <c r="S873" s="5"/>
      <c r="T873" s="9">
        <v>45093.494004629632</v>
      </c>
      <c r="U873" s="5"/>
      <c r="V873" s="5">
        <v>0</v>
      </c>
      <c r="W873" s="5"/>
      <c r="X873" s="5"/>
      <c r="Y873" s="5"/>
      <c r="Z873" s="5"/>
      <c r="AA873" s="5" t="s">
        <v>44</v>
      </c>
      <c r="AC873">
        <f t="shared" si="118"/>
        <v>14</v>
      </c>
      <c r="AD873" t="str">
        <f t="shared" si="119"/>
        <v/>
      </c>
      <c r="AE873">
        <f t="shared" si="120"/>
        <v>1</v>
      </c>
      <c r="AF873" t="str">
        <f t="shared" si="121"/>
        <v/>
      </c>
      <c r="AG873" t="str">
        <f t="shared" si="122"/>
        <v/>
      </c>
      <c r="AH873">
        <f t="shared" si="123"/>
        <v>4</v>
      </c>
      <c r="AI873" t="str">
        <f t="shared" si="124"/>
        <v/>
      </c>
      <c r="AJ873" t="str">
        <f t="shared" si="125"/>
        <v/>
      </c>
    </row>
    <row r="874" spans="1:36">
      <c r="A874" s="5">
        <v>927</v>
      </c>
      <c r="B874" s="5" t="s">
        <v>2412</v>
      </c>
      <c r="C874" s="5" t="s">
        <v>2229</v>
      </c>
      <c r="D874" s="5" t="s">
        <v>2403</v>
      </c>
      <c r="E874" s="5" t="s">
        <v>1939</v>
      </c>
      <c r="F874" s="5" t="str">
        <f t="shared" si="117"/>
        <v>Capacity Building-Principal Officer</v>
      </c>
      <c r="G874" s="5" t="s">
        <v>56</v>
      </c>
      <c r="H874" s="9">
        <v>45076.494004629632</v>
      </c>
      <c r="I874" s="9">
        <v>45078.494004629632</v>
      </c>
      <c r="J874" s="9" t="e">
        <f>I874+#REF!</f>
        <v>#REF!</v>
      </c>
      <c r="K874" s="9" t="e">
        <f>J874+#REF!</f>
        <v>#REF!</v>
      </c>
      <c r="L874" s="10" t="s">
        <v>52</v>
      </c>
      <c r="M874" s="11"/>
      <c r="N874" s="5"/>
      <c r="O874" s="5"/>
      <c r="P874" s="9"/>
      <c r="Q874" s="5"/>
      <c r="R874" s="5"/>
      <c r="S874" s="5"/>
      <c r="T874" s="9"/>
      <c r="U874" s="5"/>
      <c r="V874" s="5">
        <v>0</v>
      </c>
      <c r="W874" s="5"/>
      <c r="X874" s="5"/>
      <c r="Y874" s="5"/>
      <c r="Z874" s="5"/>
      <c r="AA874" s="5"/>
      <c r="AC874" t="str">
        <f t="shared" si="118"/>
        <v/>
      </c>
      <c r="AD874" t="str">
        <f t="shared" si="119"/>
        <v/>
      </c>
      <c r="AE874" t="str">
        <f t="shared" si="120"/>
        <v/>
      </c>
      <c r="AF874" t="str">
        <f t="shared" si="121"/>
        <v/>
      </c>
      <c r="AG874" t="str">
        <f t="shared" si="122"/>
        <v/>
      </c>
      <c r="AH874">
        <f t="shared" si="123"/>
        <v>2</v>
      </c>
      <c r="AI874" t="str">
        <f t="shared" si="124"/>
        <v/>
      </c>
      <c r="AJ874" t="str">
        <f t="shared" si="125"/>
        <v/>
      </c>
    </row>
    <row r="875" spans="1:36">
      <c r="A875" s="5">
        <v>928</v>
      </c>
      <c r="B875" s="5" t="s">
        <v>2323</v>
      </c>
      <c r="C875" s="5" t="s">
        <v>2229</v>
      </c>
      <c r="D875" s="5" t="s">
        <v>2302</v>
      </c>
      <c r="E875" s="5" t="s">
        <v>269</v>
      </c>
      <c r="F875" s="5" t="str">
        <f t="shared" si="117"/>
        <v>Capacity Building-Manager</v>
      </c>
      <c r="G875" s="5" t="s">
        <v>270</v>
      </c>
      <c r="H875" s="9">
        <v>45074.494004629632</v>
      </c>
      <c r="I875" s="9">
        <v>45078.494004629632</v>
      </c>
      <c r="J875" s="9" t="e">
        <f>I875+#REF!</f>
        <v>#REF!</v>
      </c>
      <c r="K875" s="9" t="e">
        <f>J875+#REF!</f>
        <v>#REF!</v>
      </c>
      <c r="L875" s="10" t="s">
        <v>52</v>
      </c>
      <c r="M875" s="11"/>
      <c r="N875" s="5"/>
      <c r="O875" s="5"/>
      <c r="P875" s="9"/>
      <c r="Q875" s="5"/>
      <c r="R875" s="5"/>
      <c r="S875" s="5"/>
      <c r="T875" s="9"/>
      <c r="U875" s="5"/>
      <c r="V875" s="5">
        <v>0</v>
      </c>
      <c r="W875" s="5"/>
      <c r="X875" s="5"/>
      <c r="Y875" s="5"/>
      <c r="Z875" s="5"/>
      <c r="AA875" s="5"/>
      <c r="AC875" t="str">
        <f t="shared" si="118"/>
        <v/>
      </c>
      <c r="AD875" t="str">
        <f t="shared" si="119"/>
        <v/>
      </c>
      <c r="AE875" t="str">
        <f t="shared" si="120"/>
        <v/>
      </c>
      <c r="AF875" t="str">
        <f t="shared" si="121"/>
        <v/>
      </c>
      <c r="AG875" t="str">
        <f t="shared" si="122"/>
        <v/>
      </c>
      <c r="AH875">
        <f t="shared" si="123"/>
        <v>4</v>
      </c>
      <c r="AI875" t="str">
        <f t="shared" si="124"/>
        <v/>
      </c>
      <c r="AJ875" t="str">
        <f t="shared" si="125"/>
        <v/>
      </c>
    </row>
    <row r="876" spans="1:36">
      <c r="A876" s="5">
        <v>929</v>
      </c>
      <c r="B876" s="5" t="s">
        <v>2411</v>
      </c>
      <c r="C876" s="5" t="s">
        <v>2229</v>
      </c>
      <c r="D876" s="5" t="s">
        <v>2403</v>
      </c>
      <c r="E876" s="5" t="s">
        <v>1039</v>
      </c>
      <c r="F876" s="5" t="str">
        <f t="shared" si="117"/>
        <v>Capacity Building-Associate Director</v>
      </c>
      <c r="G876" s="5" t="s">
        <v>56</v>
      </c>
      <c r="H876" s="9">
        <v>45071.494004629632</v>
      </c>
      <c r="I876" s="9">
        <v>45075.494004629632</v>
      </c>
      <c r="J876" s="9" t="e">
        <f>I876+#REF!</f>
        <v>#REF!</v>
      </c>
      <c r="K876" s="9" t="e">
        <f>J876+#REF!</f>
        <v>#REF!</v>
      </c>
      <c r="L876" s="10" t="s">
        <v>41</v>
      </c>
      <c r="M876" s="11">
        <v>45087.494004629632</v>
      </c>
      <c r="N876" s="5" t="s">
        <v>42</v>
      </c>
      <c r="O876" s="5" t="s">
        <v>113</v>
      </c>
      <c r="P876" s="9"/>
      <c r="Q876" s="5"/>
      <c r="R876" s="5"/>
      <c r="S876" s="5"/>
      <c r="T876" s="9">
        <v>45090.494004629632</v>
      </c>
      <c r="U876" s="5"/>
      <c r="V876" s="5">
        <v>0</v>
      </c>
      <c r="W876" s="5"/>
      <c r="X876" s="5"/>
      <c r="Y876" s="5"/>
      <c r="Z876" s="5"/>
      <c r="AA876" s="5" t="s">
        <v>44</v>
      </c>
      <c r="AC876">
        <f t="shared" si="118"/>
        <v>12</v>
      </c>
      <c r="AD876" t="str">
        <f t="shared" si="119"/>
        <v/>
      </c>
      <c r="AE876">
        <f t="shared" si="120"/>
        <v>3</v>
      </c>
      <c r="AF876" t="str">
        <f t="shared" si="121"/>
        <v/>
      </c>
      <c r="AG876" t="str">
        <f t="shared" si="122"/>
        <v/>
      </c>
      <c r="AH876">
        <f t="shared" si="123"/>
        <v>4</v>
      </c>
      <c r="AI876" t="str">
        <f t="shared" si="124"/>
        <v/>
      </c>
      <c r="AJ876" t="str">
        <f t="shared" si="125"/>
        <v/>
      </c>
    </row>
    <row r="877" spans="1:36">
      <c r="A877" s="5">
        <v>931</v>
      </c>
      <c r="B877" s="5" t="s">
        <v>2136</v>
      </c>
      <c r="C877" s="10" t="s">
        <v>2089</v>
      </c>
      <c r="D877" s="5" t="s">
        <v>2114</v>
      </c>
      <c r="E877" s="5" t="s">
        <v>388</v>
      </c>
      <c r="F877" s="5" t="str">
        <f t="shared" si="117"/>
        <v>Communication and Advocacy-Extension Officer</v>
      </c>
      <c r="G877" s="5" t="s">
        <v>147</v>
      </c>
      <c r="H877" s="9">
        <v>44997.704907407409</v>
      </c>
      <c r="I877" s="9">
        <v>45000.704907407409</v>
      </c>
      <c r="J877" s="9" t="e">
        <f>I877+#REF!</f>
        <v>#REF!</v>
      </c>
      <c r="K877" s="9" t="e">
        <f>J877+#REF!</f>
        <v>#REF!</v>
      </c>
      <c r="L877" s="10" t="s">
        <v>41</v>
      </c>
      <c r="M877" s="11">
        <v>45014.704907407409</v>
      </c>
      <c r="N877" s="5" t="s">
        <v>48</v>
      </c>
      <c r="O877" s="5"/>
      <c r="P877" s="9">
        <v>45020.704907407409</v>
      </c>
      <c r="Q877" s="5" t="s">
        <v>48</v>
      </c>
      <c r="R877" s="5"/>
      <c r="S877" s="5"/>
      <c r="T877" s="9">
        <v>45016.704907407409</v>
      </c>
      <c r="U877" s="5"/>
      <c r="V877" s="5">
        <v>0</v>
      </c>
      <c r="W877" s="5"/>
      <c r="X877" s="5"/>
      <c r="Y877" s="5"/>
      <c r="Z877" s="5"/>
      <c r="AA877" s="5"/>
      <c r="AC877">
        <f t="shared" si="118"/>
        <v>14</v>
      </c>
      <c r="AD877" t="str">
        <f t="shared" si="119"/>
        <v/>
      </c>
      <c r="AE877">
        <f t="shared" si="120"/>
        <v>2</v>
      </c>
      <c r="AF877" t="str">
        <f t="shared" si="121"/>
        <v/>
      </c>
      <c r="AG877" t="str">
        <f t="shared" si="122"/>
        <v/>
      </c>
      <c r="AH877">
        <f t="shared" si="123"/>
        <v>3</v>
      </c>
      <c r="AI877" t="str">
        <f t="shared" si="124"/>
        <v/>
      </c>
      <c r="AJ877" t="str">
        <f t="shared" si="125"/>
        <v/>
      </c>
    </row>
    <row r="878" spans="1:36">
      <c r="A878" s="5">
        <v>932</v>
      </c>
      <c r="B878" s="5" t="s">
        <v>719</v>
      </c>
      <c r="C878" s="10" t="s">
        <v>671</v>
      </c>
      <c r="D878" s="5" t="s">
        <v>708</v>
      </c>
      <c r="E878" s="5" t="s">
        <v>709</v>
      </c>
      <c r="F878" s="5" t="str">
        <f t="shared" si="117"/>
        <v>Operations-Lead</v>
      </c>
      <c r="G878" s="5" t="s">
        <v>56</v>
      </c>
      <c r="H878" s="9">
        <v>44996.704907407409</v>
      </c>
      <c r="I878" s="9">
        <v>45000.704907407409</v>
      </c>
      <c r="J878" s="9" t="e">
        <f>I878+#REF!</f>
        <v>#REF!</v>
      </c>
      <c r="K878" s="9" t="e">
        <f>J878+#REF!</f>
        <v>#REF!</v>
      </c>
      <c r="L878" s="10" t="s">
        <v>41</v>
      </c>
      <c r="M878" s="11">
        <v>45012.704907407409</v>
      </c>
      <c r="N878" s="5" t="s">
        <v>42</v>
      </c>
      <c r="O878" s="5" t="s">
        <v>73</v>
      </c>
      <c r="P878" s="9"/>
      <c r="Q878" s="5"/>
      <c r="R878" s="5"/>
      <c r="S878" s="5"/>
      <c r="T878" s="9"/>
      <c r="U878" s="5"/>
      <c r="V878" s="5">
        <v>0</v>
      </c>
      <c r="W878" s="5"/>
      <c r="X878" s="5"/>
      <c r="Y878" s="5"/>
      <c r="Z878" s="5"/>
      <c r="AA878" s="5" t="s">
        <v>44</v>
      </c>
      <c r="AC878">
        <f t="shared" si="118"/>
        <v>12</v>
      </c>
      <c r="AD878" t="str">
        <f t="shared" si="119"/>
        <v/>
      </c>
      <c r="AE878" t="str">
        <f t="shared" si="120"/>
        <v/>
      </c>
      <c r="AF878" t="str">
        <f t="shared" si="121"/>
        <v/>
      </c>
      <c r="AG878" t="str">
        <f t="shared" si="122"/>
        <v/>
      </c>
      <c r="AH878">
        <f t="shared" si="123"/>
        <v>4</v>
      </c>
      <c r="AI878" t="str">
        <f t="shared" si="124"/>
        <v/>
      </c>
      <c r="AJ878" t="str">
        <f t="shared" si="125"/>
        <v/>
      </c>
    </row>
    <row r="879" spans="1:36">
      <c r="A879" s="5">
        <v>934</v>
      </c>
      <c r="B879" s="5" t="s">
        <v>718</v>
      </c>
      <c r="C879" s="10" t="s">
        <v>671</v>
      </c>
      <c r="D879" s="5" t="s">
        <v>708</v>
      </c>
      <c r="E879" s="5" t="s">
        <v>709</v>
      </c>
      <c r="F879" s="5" t="str">
        <f t="shared" si="117"/>
        <v>Operations-Lead</v>
      </c>
      <c r="G879" s="5" t="s">
        <v>56</v>
      </c>
      <c r="H879" s="9">
        <v>45001.704907407409</v>
      </c>
      <c r="I879" s="9">
        <v>45003.704907407409</v>
      </c>
      <c r="J879" s="9" t="e">
        <f>I879+#REF!</f>
        <v>#REF!</v>
      </c>
      <c r="K879" s="9" t="e">
        <f>J879+#REF!</f>
        <v>#REF!</v>
      </c>
      <c r="L879" s="10" t="s">
        <v>41</v>
      </c>
      <c r="M879" s="11">
        <v>45011.704907407409</v>
      </c>
      <c r="N879" s="5" t="s">
        <v>42</v>
      </c>
      <c r="O879" s="5" t="s">
        <v>98</v>
      </c>
      <c r="P879" s="9"/>
      <c r="Q879" s="5"/>
      <c r="R879" s="5"/>
      <c r="S879" s="5"/>
      <c r="T879" s="9"/>
      <c r="U879" s="5"/>
      <c r="V879" s="5">
        <v>0</v>
      </c>
      <c r="W879" s="5"/>
      <c r="X879" s="5"/>
      <c r="Y879" s="5"/>
      <c r="Z879" s="5"/>
      <c r="AA879" s="5" t="s">
        <v>44</v>
      </c>
      <c r="AC879">
        <f t="shared" si="118"/>
        <v>8</v>
      </c>
      <c r="AD879" t="str">
        <f t="shared" si="119"/>
        <v/>
      </c>
      <c r="AE879" t="str">
        <f t="shared" si="120"/>
        <v/>
      </c>
      <c r="AF879" t="str">
        <f t="shared" si="121"/>
        <v/>
      </c>
      <c r="AG879" t="str">
        <f t="shared" si="122"/>
        <v/>
      </c>
      <c r="AH879">
        <f t="shared" si="123"/>
        <v>2</v>
      </c>
      <c r="AI879" t="str">
        <f t="shared" si="124"/>
        <v/>
      </c>
      <c r="AJ879" t="str">
        <f t="shared" si="125"/>
        <v/>
      </c>
    </row>
    <row r="880" spans="1:36">
      <c r="A880" s="5">
        <v>935</v>
      </c>
      <c r="B880" s="5" t="s">
        <v>717</v>
      </c>
      <c r="C880" s="10" t="s">
        <v>671</v>
      </c>
      <c r="D880" s="5" t="s">
        <v>708</v>
      </c>
      <c r="E880" s="5" t="s">
        <v>709</v>
      </c>
      <c r="F880" s="5" t="str">
        <f t="shared" si="117"/>
        <v>Operations-Lead</v>
      </c>
      <c r="G880" s="5" t="s">
        <v>56</v>
      </c>
      <c r="H880" s="9">
        <v>44999.704907407409</v>
      </c>
      <c r="I880" s="9">
        <v>45002.704907407409</v>
      </c>
      <c r="J880" s="9" t="e">
        <f>I880+#REF!</f>
        <v>#REF!</v>
      </c>
      <c r="K880" s="9" t="e">
        <f>J880+#REF!</f>
        <v>#REF!</v>
      </c>
      <c r="L880" s="10" t="s">
        <v>41</v>
      </c>
      <c r="M880" s="11">
        <v>45018.704907407409</v>
      </c>
      <c r="N880" s="5" t="s">
        <v>48</v>
      </c>
      <c r="O880" s="5"/>
      <c r="P880" s="9">
        <v>45022.704907407409</v>
      </c>
      <c r="Q880" s="5" t="s">
        <v>48</v>
      </c>
      <c r="R880" s="5"/>
      <c r="S880" s="5"/>
      <c r="T880" s="9">
        <v>45021.704907407409</v>
      </c>
      <c r="U880" s="5"/>
      <c r="V880" s="5">
        <v>0</v>
      </c>
      <c r="W880" s="5"/>
      <c r="X880" s="5"/>
      <c r="Y880" s="5"/>
      <c r="Z880" s="5"/>
      <c r="AA880" s="5"/>
      <c r="AC880">
        <f t="shared" si="118"/>
        <v>16</v>
      </c>
      <c r="AD880" t="str">
        <f t="shared" si="119"/>
        <v/>
      </c>
      <c r="AE880">
        <f t="shared" si="120"/>
        <v>3</v>
      </c>
      <c r="AF880" t="str">
        <f t="shared" si="121"/>
        <v/>
      </c>
      <c r="AG880" t="str">
        <f t="shared" si="122"/>
        <v/>
      </c>
      <c r="AH880">
        <f t="shared" si="123"/>
        <v>3</v>
      </c>
      <c r="AI880" t="str">
        <f t="shared" si="124"/>
        <v/>
      </c>
      <c r="AJ880" t="str">
        <f t="shared" si="125"/>
        <v/>
      </c>
    </row>
    <row r="881" spans="1:36">
      <c r="A881" s="5">
        <v>936</v>
      </c>
      <c r="B881" s="5" t="s">
        <v>759</v>
      </c>
      <c r="C881" s="10" t="s">
        <v>671</v>
      </c>
      <c r="D881" s="5" t="s">
        <v>747</v>
      </c>
      <c r="E881" s="5" t="s">
        <v>55</v>
      </c>
      <c r="F881" s="5" t="str">
        <f t="shared" si="117"/>
        <v>Operations-Director</v>
      </c>
      <c r="G881" s="5" t="s">
        <v>47</v>
      </c>
      <c r="H881" s="9">
        <v>44998.704907407409</v>
      </c>
      <c r="I881" s="9">
        <v>45002.704907407409</v>
      </c>
      <c r="J881" s="9" t="e">
        <f>I881+#REF!</f>
        <v>#REF!</v>
      </c>
      <c r="K881" s="9" t="e">
        <f>J881+#REF!</f>
        <v>#REF!</v>
      </c>
      <c r="L881" s="10" t="s">
        <v>41</v>
      </c>
      <c r="M881" s="11">
        <v>45019.704907407409</v>
      </c>
      <c r="N881" s="5" t="s">
        <v>42</v>
      </c>
      <c r="O881" s="5" t="s">
        <v>58</v>
      </c>
      <c r="P881" s="9"/>
      <c r="Q881" s="5"/>
      <c r="R881" s="5"/>
      <c r="S881" s="5"/>
      <c r="T881" s="9"/>
      <c r="U881" s="5"/>
      <c r="V881" s="5">
        <v>0</v>
      </c>
      <c r="W881" s="5"/>
      <c r="X881" s="5"/>
      <c r="Y881" s="5"/>
      <c r="Z881" s="5"/>
      <c r="AA881" s="5" t="s">
        <v>44</v>
      </c>
      <c r="AC881">
        <f t="shared" si="118"/>
        <v>17</v>
      </c>
      <c r="AD881" t="str">
        <f t="shared" si="119"/>
        <v/>
      </c>
      <c r="AE881" t="str">
        <f t="shared" si="120"/>
        <v/>
      </c>
      <c r="AF881" t="str">
        <f t="shared" si="121"/>
        <v/>
      </c>
      <c r="AG881" t="str">
        <f t="shared" si="122"/>
        <v/>
      </c>
      <c r="AH881">
        <f t="shared" si="123"/>
        <v>4</v>
      </c>
      <c r="AI881" t="str">
        <f t="shared" si="124"/>
        <v/>
      </c>
      <c r="AJ881" t="str">
        <f t="shared" si="125"/>
        <v/>
      </c>
    </row>
    <row r="882" spans="1:36">
      <c r="A882" s="5">
        <v>937</v>
      </c>
      <c r="B882" s="5" t="s">
        <v>716</v>
      </c>
      <c r="C882" s="10" t="s">
        <v>671</v>
      </c>
      <c r="D882" s="5" t="s">
        <v>708</v>
      </c>
      <c r="E882" s="5" t="s">
        <v>709</v>
      </c>
      <c r="F882" s="5" t="str">
        <f t="shared" si="117"/>
        <v>Operations-Lead</v>
      </c>
      <c r="G882" s="5" t="s">
        <v>56</v>
      </c>
      <c r="H882" s="9">
        <v>45002.704907407409</v>
      </c>
      <c r="I882" s="9">
        <v>45004.704907407409</v>
      </c>
      <c r="J882" s="9" t="e">
        <f>I882+#REF!</f>
        <v>#REF!</v>
      </c>
      <c r="K882" s="9" t="e">
        <f>J882+#REF!</f>
        <v>#REF!</v>
      </c>
      <c r="L882" s="10" t="s">
        <v>41</v>
      </c>
      <c r="M882" s="11">
        <v>45022.704907407409</v>
      </c>
      <c r="N882" s="5" t="s">
        <v>42</v>
      </c>
      <c r="O882" s="5" t="s">
        <v>58</v>
      </c>
      <c r="P882" s="9"/>
      <c r="Q882" s="5"/>
      <c r="R882" s="5"/>
      <c r="S882" s="5"/>
      <c r="T882" s="9">
        <v>45025.704907407409</v>
      </c>
      <c r="U882" s="5"/>
      <c r="V882" s="5">
        <v>0</v>
      </c>
      <c r="W882" s="5"/>
      <c r="X882" s="5"/>
      <c r="Y882" s="5"/>
      <c r="Z882" s="5"/>
      <c r="AA882" s="5" t="s">
        <v>62</v>
      </c>
      <c r="AC882">
        <f t="shared" si="118"/>
        <v>18</v>
      </c>
      <c r="AD882" t="str">
        <f t="shared" si="119"/>
        <v/>
      </c>
      <c r="AE882">
        <f t="shared" si="120"/>
        <v>3</v>
      </c>
      <c r="AF882" t="str">
        <f t="shared" si="121"/>
        <v/>
      </c>
      <c r="AG882" t="str">
        <f t="shared" si="122"/>
        <v/>
      </c>
      <c r="AH882">
        <f t="shared" si="123"/>
        <v>2</v>
      </c>
      <c r="AI882" t="str">
        <f t="shared" si="124"/>
        <v/>
      </c>
      <c r="AJ882" t="str">
        <f t="shared" si="125"/>
        <v/>
      </c>
    </row>
    <row r="883" spans="1:36">
      <c r="A883" s="5">
        <v>938</v>
      </c>
      <c r="B883" s="5" t="s">
        <v>2135</v>
      </c>
      <c r="C883" s="10" t="s">
        <v>2089</v>
      </c>
      <c r="D883" s="5" t="s">
        <v>2114</v>
      </c>
      <c r="E883" s="5" t="s">
        <v>388</v>
      </c>
      <c r="F883" s="5" t="str">
        <f t="shared" si="117"/>
        <v>Communication and Advocacy-Extension Officer</v>
      </c>
      <c r="G883" s="5" t="s">
        <v>147</v>
      </c>
      <c r="H883" s="9">
        <v>45001.704907407409</v>
      </c>
      <c r="I883" s="9">
        <v>45003.704907407409</v>
      </c>
      <c r="J883" s="9" t="e">
        <f>I883+#REF!</f>
        <v>#REF!</v>
      </c>
      <c r="K883" s="9" t="e">
        <f>J883+#REF!</f>
        <v>#REF!</v>
      </c>
      <c r="L883" s="10" t="s">
        <v>41</v>
      </c>
      <c r="M883" s="11">
        <v>45007.704907407409</v>
      </c>
      <c r="N883" s="5" t="s">
        <v>42</v>
      </c>
      <c r="O883" s="5" t="s">
        <v>98</v>
      </c>
      <c r="P883" s="9"/>
      <c r="Q883" s="5"/>
      <c r="R883" s="5"/>
      <c r="S883" s="5"/>
      <c r="T883" s="9">
        <v>45010.704907407409</v>
      </c>
      <c r="U883" s="5"/>
      <c r="V883" s="5">
        <v>0</v>
      </c>
      <c r="W883" s="5"/>
      <c r="X883" s="5"/>
      <c r="Y883" s="5"/>
      <c r="Z883" s="5"/>
      <c r="AA883" s="5" t="s">
        <v>44</v>
      </c>
      <c r="AC883">
        <f t="shared" si="118"/>
        <v>4</v>
      </c>
      <c r="AD883" t="str">
        <f t="shared" si="119"/>
        <v/>
      </c>
      <c r="AE883">
        <f t="shared" si="120"/>
        <v>3</v>
      </c>
      <c r="AF883" t="str">
        <f t="shared" si="121"/>
        <v/>
      </c>
      <c r="AG883" t="str">
        <f t="shared" si="122"/>
        <v/>
      </c>
      <c r="AH883">
        <f t="shared" si="123"/>
        <v>2</v>
      </c>
      <c r="AI883" t="str">
        <f t="shared" si="124"/>
        <v/>
      </c>
      <c r="AJ883" t="str">
        <f t="shared" si="125"/>
        <v/>
      </c>
    </row>
    <row r="884" spans="1:36">
      <c r="A884" s="5">
        <v>940</v>
      </c>
      <c r="B884" s="5" t="s">
        <v>692</v>
      </c>
      <c r="C884" s="10" t="s">
        <v>671</v>
      </c>
      <c r="D884" s="5" t="s">
        <v>672</v>
      </c>
      <c r="E884" s="5" t="s">
        <v>597</v>
      </c>
      <c r="F884" s="5" t="str">
        <f t="shared" si="117"/>
        <v>Operations-Business Partner</v>
      </c>
      <c r="G884" s="5" t="s">
        <v>40</v>
      </c>
      <c r="H884" s="9">
        <v>44998.704907407409</v>
      </c>
      <c r="I884" s="9">
        <v>45001.704907407409</v>
      </c>
      <c r="J884" s="9" t="e">
        <f>I884+#REF!</f>
        <v>#REF!</v>
      </c>
      <c r="K884" s="9" t="e">
        <f>J884+#REF!</f>
        <v>#REF!</v>
      </c>
      <c r="L884" s="10" t="s">
        <v>41</v>
      </c>
      <c r="M884" s="11">
        <v>45017.704907407409</v>
      </c>
      <c r="N884" s="5" t="s">
        <v>48</v>
      </c>
      <c r="O884" s="5"/>
      <c r="P884" s="9">
        <v>45020.704907407409</v>
      </c>
      <c r="Q884" s="5" t="s">
        <v>48</v>
      </c>
      <c r="R884" s="5"/>
      <c r="S884" s="5"/>
      <c r="T884" s="9">
        <v>45019.704907407409</v>
      </c>
      <c r="U884" s="5"/>
      <c r="V884" s="5">
        <v>0</v>
      </c>
      <c r="W884" s="5"/>
      <c r="X884" s="5"/>
      <c r="Y884" s="5"/>
      <c r="Z884" s="5"/>
      <c r="AA884" s="5"/>
      <c r="AC884">
        <f t="shared" si="118"/>
        <v>16</v>
      </c>
      <c r="AD884" t="str">
        <f t="shared" si="119"/>
        <v/>
      </c>
      <c r="AE884">
        <f t="shared" si="120"/>
        <v>2</v>
      </c>
      <c r="AF884" t="str">
        <f t="shared" si="121"/>
        <v/>
      </c>
      <c r="AG884" t="str">
        <f t="shared" si="122"/>
        <v/>
      </c>
      <c r="AH884">
        <f t="shared" si="123"/>
        <v>3</v>
      </c>
      <c r="AI884" t="str">
        <f t="shared" si="124"/>
        <v/>
      </c>
      <c r="AJ884" t="str">
        <f t="shared" si="125"/>
        <v/>
      </c>
    </row>
    <row r="885" spans="1:36">
      <c r="A885" s="5">
        <v>941</v>
      </c>
      <c r="B885" s="5" t="s">
        <v>461</v>
      </c>
      <c r="C885" s="5" t="s">
        <v>100</v>
      </c>
      <c r="D885" s="5" t="s">
        <v>387</v>
      </c>
      <c r="E885" s="5" t="s">
        <v>388</v>
      </c>
      <c r="F885" s="5" t="str">
        <f t="shared" si="117"/>
        <v>Program Office-Extension Officer</v>
      </c>
      <c r="G885" s="5" t="s">
        <v>40</v>
      </c>
      <c r="H885" s="9">
        <v>44864.043067129627</v>
      </c>
      <c r="I885" s="9">
        <v>44866.043067129627</v>
      </c>
      <c r="J885" s="9" t="e">
        <f>I885+#REF!</f>
        <v>#REF!</v>
      </c>
      <c r="K885" s="9" t="e">
        <f>J885+#REF!</f>
        <v>#REF!</v>
      </c>
      <c r="L885" s="10" t="s">
        <v>41</v>
      </c>
      <c r="M885" s="11">
        <v>44871.043067129627</v>
      </c>
      <c r="N885" s="5" t="s">
        <v>42</v>
      </c>
      <c r="O885" s="5" t="s">
        <v>58</v>
      </c>
      <c r="P885" s="9"/>
      <c r="Q885" s="5"/>
      <c r="R885" s="5"/>
      <c r="S885" s="5"/>
      <c r="T885" s="9">
        <v>44873.043067129627</v>
      </c>
      <c r="U885" s="5"/>
      <c r="V885" s="5">
        <v>0</v>
      </c>
      <c r="W885" s="5"/>
      <c r="X885" s="5"/>
      <c r="Y885" s="5"/>
      <c r="Z885" s="5"/>
      <c r="AA885" s="5" t="s">
        <v>44</v>
      </c>
      <c r="AC885">
        <f t="shared" si="118"/>
        <v>5</v>
      </c>
      <c r="AD885" t="str">
        <f t="shared" si="119"/>
        <v/>
      </c>
      <c r="AE885">
        <f t="shared" si="120"/>
        <v>2</v>
      </c>
      <c r="AF885" t="str">
        <f t="shared" si="121"/>
        <v/>
      </c>
      <c r="AG885" t="str">
        <f t="shared" si="122"/>
        <v/>
      </c>
      <c r="AH885">
        <f t="shared" si="123"/>
        <v>2</v>
      </c>
      <c r="AI885" t="str">
        <f t="shared" si="124"/>
        <v/>
      </c>
      <c r="AJ885" t="str">
        <f t="shared" si="125"/>
        <v/>
      </c>
    </row>
    <row r="886" spans="1:36">
      <c r="A886" s="5">
        <v>942</v>
      </c>
      <c r="B886" s="5" t="s">
        <v>460</v>
      </c>
      <c r="C886" s="5" t="s">
        <v>100</v>
      </c>
      <c r="D886" s="5" t="s">
        <v>387</v>
      </c>
      <c r="E886" s="5" t="s">
        <v>388</v>
      </c>
      <c r="F886" s="5" t="str">
        <f t="shared" si="117"/>
        <v>Program Office-Extension Officer</v>
      </c>
      <c r="G886" s="5" t="s">
        <v>40</v>
      </c>
      <c r="H886" s="9">
        <v>44863.043067129627</v>
      </c>
      <c r="I886" s="9">
        <v>44864.043067129627</v>
      </c>
      <c r="J886" s="9" t="e">
        <f>I886+#REF!</f>
        <v>#REF!</v>
      </c>
      <c r="K886" s="9" t="e">
        <f>J886+#REF!</f>
        <v>#REF!</v>
      </c>
      <c r="L886" s="10" t="s">
        <v>41</v>
      </c>
      <c r="M886" s="11">
        <v>44872.043067129627</v>
      </c>
      <c r="N886" s="5" t="s">
        <v>42</v>
      </c>
      <c r="O886" s="5" t="s">
        <v>73</v>
      </c>
      <c r="P886" s="9"/>
      <c r="Q886" s="5"/>
      <c r="R886" s="5"/>
      <c r="S886" s="5"/>
      <c r="T886" s="9"/>
      <c r="U886" s="5"/>
      <c r="V886" s="5">
        <v>0</v>
      </c>
      <c r="W886" s="5"/>
      <c r="X886" s="5"/>
      <c r="Y886" s="5"/>
      <c r="Z886" s="5"/>
      <c r="AA886" s="5" t="s">
        <v>62</v>
      </c>
      <c r="AC886">
        <f t="shared" si="118"/>
        <v>8</v>
      </c>
      <c r="AD886" t="str">
        <f t="shared" si="119"/>
        <v/>
      </c>
      <c r="AE886" t="str">
        <f t="shared" si="120"/>
        <v/>
      </c>
      <c r="AF886" t="str">
        <f t="shared" si="121"/>
        <v/>
      </c>
      <c r="AG886" t="str">
        <f t="shared" si="122"/>
        <v/>
      </c>
      <c r="AH886">
        <f t="shared" si="123"/>
        <v>1</v>
      </c>
      <c r="AI886" t="str">
        <f t="shared" si="124"/>
        <v/>
      </c>
      <c r="AJ886" t="str">
        <f t="shared" si="125"/>
        <v/>
      </c>
    </row>
    <row r="887" spans="1:36">
      <c r="A887" s="5">
        <v>943</v>
      </c>
      <c r="B887" s="5" t="s">
        <v>637</v>
      </c>
      <c r="C887" s="5" t="s">
        <v>100</v>
      </c>
      <c r="D887" s="5" t="s">
        <v>554</v>
      </c>
      <c r="E887" s="5" t="s">
        <v>597</v>
      </c>
      <c r="F887" s="5" t="str">
        <f t="shared" si="117"/>
        <v>Program Office-Business Partner</v>
      </c>
      <c r="G887" s="5" t="s">
        <v>47</v>
      </c>
      <c r="H887" s="9">
        <v>44859.043067129627</v>
      </c>
      <c r="I887" s="9">
        <v>44862.043067129627</v>
      </c>
      <c r="J887" s="9" t="e">
        <f>I887+#REF!</f>
        <v>#REF!</v>
      </c>
      <c r="K887" s="9" t="e">
        <f>J887+#REF!</f>
        <v>#REF!</v>
      </c>
      <c r="L887" s="10" t="s">
        <v>41</v>
      </c>
      <c r="M887" s="11">
        <v>44875.043067129627</v>
      </c>
      <c r="N887" s="5" t="s">
        <v>42</v>
      </c>
      <c r="O887" s="5" t="s">
        <v>73</v>
      </c>
      <c r="P887" s="9"/>
      <c r="Q887" s="5"/>
      <c r="R887" s="5"/>
      <c r="S887" s="5"/>
      <c r="T887" s="9"/>
      <c r="U887" s="5"/>
      <c r="V887" s="5">
        <v>0</v>
      </c>
      <c r="W887" s="5"/>
      <c r="X887" s="5"/>
      <c r="Y887" s="5"/>
      <c r="Z887" s="5"/>
      <c r="AA887" s="5" t="s">
        <v>44</v>
      </c>
      <c r="AC887">
        <f t="shared" si="118"/>
        <v>13</v>
      </c>
      <c r="AD887" t="str">
        <f t="shared" si="119"/>
        <v/>
      </c>
      <c r="AE887" t="str">
        <f t="shared" si="120"/>
        <v/>
      </c>
      <c r="AF887" t="str">
        <f t="shared" si="121"/>
        <v/>
      </c>
      <c r="AG887" t="str">
        <f t="shared" si="122"/>
        <v/>
      </c>
      <c r="AH887">
        <f t="shared" si="123"/>
        <v>3</v>
      </c>
      <c r="AI887" t="str">
        <f t="shared" si="124"/>
        <v/>
      </c>
      <c r="AJ887" t="str">
        <f t="shared" si="125"/>
        <v/>
      </c>
    </row>
    <row r="888" spans="1:36">
      <c r="A888" s="5">
        <v>944</v>
      </c>
      <c r="B888" s="5" t="s">
        <v>217</v>
      </c>
      <c r="C888" s="5" t="s">
        <v>100</v>
      </c>
      <c r="D888" s="5" t="s">
        <v>146</v>
      </c>
      <c r="E888" s="5" t="s">
        <v>39</v>
      </c>
      <c r="F888" s="5" t="str">
        <f t="shared" si="117"/>
        <v>Program Office-Analyst</v>
      </c>
      <c r="G888" s="5" t="s">
        <v>147</v>
      </c>
      <c r="H888" s="9">
        <v>44859.043067129627</v>
      </c>
      <c r="I888" s="9">
        <v>44863.043067129627</v>
      </c>
      <c r="J888" s="9" t="e">
        <f>I888+#REF!</f>
        <v>#REF!</v>
      </c>
      <c r="K888" s="9" t="e">
        <f>J888+#REF!</f>
        <v>#REF!</v>
      </c>
      <c r="L888" s="10" t="s">
        <v>41</v>
      </c>
      <c r="M888" s="11">
        <v>44884.043067129627</v>
      </c>
      <c r="N888" s="5" t="s">
        <v>42</v>
      </c>
      <c r="O888" s="5" t="s">
        <v>58</v>
      </c>
      <c r="P888" s="9"/>
      <c r="Q888" s="5"/>
      <c r="R888" s="5"/>
      <c r="S888" s="5"/>
      <c r="T888" s="9"/>
      <c r="U888" s="5"/>
      <c r="V888" s="5">
        <v>0</v>
      </c>
      <c r="W888" s="5"/>
      <c r="X888" s="5"/>
      <c r="Y888" s="5"/>
      <c r="Z888" s="5"/>
      <c r="AA888" s="5" t="s">
        <v>44</v>
      </c>
      <c r="AC888">
        <f t="shared" si="118"/>
        <v>21</v>
      </c>
      <c r="AD888" t="str">
        <f t="shared" si="119"/>
        <v/>
      </c>
      <c r="AE888" t="str">
        <f t="shared" si="120"/>
        <v/>
      </c>
      <c r="AF888" t="str">
        <f t="shared" si="121"/>
        <v/>
      </c>
      <c r="AG888" t="str">
        <f t="shared" si="122"/>
        <v/>
      </c>
      <c r="AH888">
        <f t="shared" si="123"/>
        <v>4</v>
      </c>
      <c r="AI888" t="str">
        <f t="shared" si="124"/>
        <v/>
      </c>
      <c r="AJ888" t="str">
        <f t="shared" si="125"/>
        <v/>
      </c>
    </row>
    <row r="889" spans="1:36">
      <c r="A889" s="5">
        <v>946</v>
      </c>
      <c r="B889" s="5" t="s">
        <v>459</v>
      </c>
      <c r="C889" s="5" t="s">
        <v>100</v>
      </c>
      <c r="D889" s="5" t="s">
        <v>387</v>
      </c>
      <c r="E889" s="5" t="s">
        <v>388</v>
      </c>
      <c r="F889" s="5" t="str">
        <f t="shared" si="117"/>
        <v>Program Office-Extension Officer</v>
      </c>
      <c r="G889" s="5" t="s">
        <v>40</v>
      </c>
      <c r="H889" s="9">
        <v>44863.043067129627</v>
      </c>
      <c r="I889" s="9">
        <v>44865.043067129627</v>
      </c>
      <c r="J889" s="9" t="e">
        <f>I889+#REF!</f>
        <v>#REF!</v>
      </c>
      <c r="K889" s="9" t="e">
        <f>J889+#REF!</f>
        <v>#REF!</v>
      </c>
      <c r="L889" s="10" t="s">
        <v>52</v>
      </c>
      <c r="M889" s="11"/>
      <c r="N889" s="5"/>
      <c r="O889" s="5"/>
      <c r="P889" s="9"/>
      <c r="Q889" s="5"/>
      <c r="R889" s="5"/>
      <c r="S889" s="5"/>
      <c r="T889" s="9"/>
      <c r="U889" s="5"/>
      <c r="V889" s="5">
        <v>0</v>
      </c>
      <c r="W889" s="5"/>
      <c r="X889" s="5"/>
      <c r="Y889" s="5"/>
      <c r="Z889" s="5"/>
      <c r="AA889" s="5"/>
      <c r="AC889" t="str">
        <f t="shared" si="118"/>
        <v/>
      </c>
      <c r="AD889" t="str">
        <f t="shared" si="119"/>
        <v/>
      </c>
      <c r="AE889" t="str">
        <f t="shared" si="120"/>
        <v/>
      </c>
      <c r="AF889" t="str">
        <f t="shared" si="121"/>
        <v/>
      </c>
      <c r="AG889" t="str">
        <f t="shared" si="122"/>
        <v/>
      </c>
      <c r="AH889">
        <f t="shared" si="123"/>
        <v>2</v>
      </c>
      <c r="AI889" t="str">
        <f t="shared" si="124"/>
        <v/>
      </c>
      <c r="AJ889" t="str">
        <f t="shared" si="125"/>
        <v/>
      </c>
    </row>
    <row r="890" spans="1:36">
      <c r="A890" s="5">
        <v>947</v>
      </c>
      <c r="B890" s="5" t="s">
        <v>344</v>
      </c>
      <c r="C890" s="5" t="s">
        <v>100</v>
      </c>
      <c r="D890" s="5" t="s">
        <v>268</v>
      </c>
      <c r="E890" s="5" t="s">
        <v>291</v>
      </c>
      <c r="F890" s="5" t="str">
        <f t="shared" si="117"/>
        <v>Program Office-Cordination Manager</v>
      </c>
      <c r="G890" s="5" t="s">
        <v>270</v>
      </c>
      <c r="H890" s="9">
        <v>44862.043067129627</v>
      </c>
      <c r="I890" s="9">
        <v>44864.043067129627</v>
      </c>
      <c r="J890" s="9" t="e">
        <f>I890+#REF!</f>
        <v>#REF!</v>
      </c>
      <c r="K890" s="9" t="e">
        <f>J890+#REF!</f>
        <v>#REF!</v>
      </c>
      <c r="L890" s="10" t="s">
        <v>41</v>
      </c>
      <c r="M890" s="11">
        <v>44875.043067129627</v>
      </c>
      <c r="N890" s="5" t="s">
        <v>42</v>
      </c>
      <c r="O890" s="5" t="s">
        <v>58</v>
      </c>
      <c r="P890" s="9"/>
      <c r="Q890" s="5"/>
      <c r="R890" s="5"/>
      <c r="S890" s="5"/>
      <c r="T890" s="9">
        <v>44876.043067129627</v>
      </c>
      <c r="U890" s="5"/>
      <c r="V890" s="5">
        <v>0</v>
      </c>
      <c r="W890" s="5"/>
      <c r="X890" s="5"/>
      <c r="Y890" s="5"/>
      <c r="Z890" s="5"/>
      <c r="AA890" s="5" t="s">
        <v>44</v>
      </c>
      <c r="AC890">
        <f t="shared" si="118"/>
        <v>11</v>
      </c>
      <c r="AD890" t="str">
        <f t="shared" si="119"/>
        <v/>
      </c>
      <c r="AE890">
        <f t="shared" si="120"/>
        <v>1</v>
      </c>
      <c r="AF890" t="str">
        <f t="shared" si="121"/>
        <v/>
      </c>
      <c r="AG890" t="str">
        <f t="shared" si="122"/>
        <v/>
      </c>
      <c r="AH890">
        <f t="shared" si="123"/>
        <v>2</v>
      </c>
      <c r="AI890" t="str">
        <f t="shared" si="124"/>
        <v/>
      </c>
      <c r="AJ890" t="str">
        <f t="shared" si="125"/>
        <v/>
      </c>
    </row>
    <row r="891" spans="1:36">
      <c r="A891" s="5">
        <v>948</v>
      </c>
      <c r="B891" s="5" t="s">
        <v>343</v>
      </c>
      <c r="C891" s="5" t="s">
        <v>100</v>
      </c>
      <c r="D891" s="5" t="s">
        <v>268</v>
      </c>
      <c r="E891" s="5" t="s">
        <v>291</v>
      </c>
      <c r="F891" s="5" t="str">
        <f t="shared" si="117"/>
        <v>Program Office-Cordination Manager</v>
      </c>
      <c r="G891" s="5" t="s">
        <v>270</v>
      </c>
      <c r="H891" s="9">
        <v>44864.043067129627</v>
      </c>
      <c r="I891" s="9">
        <v>44865.043067129627</v>
      </c>
      <c r="J891" s="9" t="e">
        <f>I891+#REF!</f>
        <v>#REF!</v>
      </c>
      <c r="K891" s="9" t="e">
        <f>J891+#REF!</f>
        <v>#REF!</v>
      </c>
      <c r="L891" s="10" t="s">
        <v>52</v>
      </c>
      <c r="M891" s="11"/>
      <c r="N891" s="5"/>
      <c r="O891" s="5"/>
      <c r="P891" s="9"/>
      <c r="Q891" s="5"/>
      <c r="R891" s="5"/>
      <c r="S891" s="5"/>
      <c r="T891" s="9"/>
      <c r="U891" s="5"/>
      <c r="V891" s="5">
        <v>0</v>
      </c>
      <c r="W891" s="5"/>
      <c r="X891" s="5"/>
      <c r="Y891" s="5"/>
      <c r="Z891" s="5"/>
      <c r="AA891" s="5"/>
      <c r="AC891" t="str">
        <f t="shared" si="118"/>
        <v/>
      </c>
      <c r="AD891" t="str">
        <f t="shared" si="119"/>
        <v/>
      </c>
      <c r="AE891" t="str">
        <f t="shared" si="120"/>
        <v/>
      </c>
      <c r="AF891" t="str">
        <f t="shared" si="121"/>
        <v/>
      </c>
      <c r="AG891" t="str">
        <f t="shared" si="122"/>
        <v/>
      </c>
      <c r="AH891">
        <f t="shared" si="123"/>
        <v>1</v>
      </c>
      <c r="AI891" t="str">
        <f t="shared" si="124"/>
        <v/>
      </c>
      <c r="AJ891" t="str">
        <f t="shared" si="125"/>
        <v/>
      </c>
    </row>
    <row r="892" spans="1:36">
      <c r="A892" s="5">
        <v>949</v>
      </c>
      <c r="B892" s="5" t="s">
        <v>517</v>
      </c>
      <c r="C892" s="5" t="s">
        <v>100</v>
      </c>
      <c r="D892" s="5" t="s">
        <v>506</v>
      </c>
      <c r="E892" s="5" t="s">
        <v>55</v>
      </c>
      <c r="F892" s="5" t="str">
        <f t="shared" si="117"/>
        <v>Program Office-Director</v>
      </c>
      <c r="G892" s="5" t="s">
        <v>56</v>
      </c>
      <c r="H892" s="9">
        <v>44865.043067129627</v>
      </c>
      <c r="I892" s="9">
        <v>44867.043067129627</v>
      </c>
      <c r="J892" s="9" t="e">
        <f>I892+#REF!</f>
        <v>#REF!</v>
      </c>
      <c r="K892" s="9" t="e">
        <f>J892+#REF!</f>
        <v>#REF!</v>
      </c>
      <c r="L892" s="10" t="s">
        <v>41</v>
      </c>
      <c r="M892" s="11">
        <v>44872.043067129627</v>
      </c>
      <c r="N892" s="5" t="s">
        <v>48</v>
      </c>
      <c r="O892" s="5"/>
      <c r="P892" s="9">
        <v>44878.043067129627</v>
      </c>
      <c r="Q892" s="5" t="s">
        <v>48</v>
      </c>
      <c r="R892" s="5"/>
      <c r="S892" s="5"/>
      <c r="T892" s="9">
        <v>44876.043067129627</v>
      </c>
      <c r="U892" s="5"/>
      <c r="V892" s="5">
        <v>0</v>
      </c>
      <c r="W892" s="5"/>
      <c r="X892" s="5"/>
      <c r="Y892" s="5"/>
      <c r="Z892" s="5"/>
      <c r="AA892" s="5"/>
      <c r="AC892">
        <f t="shared" si="118"/>
        <v>5</v>
      </c>
      <c r="AD892" t="str">
        <f t="shared" si="119"/>
        <v/>
      </c>
      <c r="AE892">
        <f t="shared" si="120"/>
        <v>4</v>
      </c>
      <c r="AF892" t="str">
        <f t="shared" si="121"/>
        <v/>
      </c>
      <c r="AG892" t="str">
        <f t="shared" si="122"/>
        <v/>
      </c>
      <c r="AH892">
        <f t="shared" si="123"/>
        <v>2</v>
      </c>
      <c r="AI892" t="str">
        <f t="shared" si="124"/>
        <v/>
      </c>
      <c r="AJ892" t="str">
        <f t="shared" si="125"/>
        <v/>
      </c>
    </row>
    <row r="893" spans="1:36">
      <c r="A893" s="5">
        <v>951</v>
      </c>
      <c r="B893" s="5" t="s">
        <v>636</v>
      </c>
      <c r="C893" s="5" t="s">
        <v>100</v>
      </c>
      <c r="D893" s="5" t="s">
        <v>554</v>
      </c>
      <c r="E893" s="5" t="s">
        <v>597</v>
      </c>
      <c r="F893" s="5" t="str">
        <f t="shared" si="117"/>
        <v>Program Office-Business Partner</v>
      </c>
      <c r="G893" s="5" t="s">
        <v>47</v>
      </c>
      <c r="H893" s="9">
        <v>45144.997118055559</v>
      </c>
      <c r="I893" s="9">
        <v>45146.997118055559</v>
      </c>
      <c r="J893" s="9" t="e">
        <f>I893+#REF!</f>
        <v>#REF!</v>
      </c>
      <c r="K893" s="9" t="e">
        <f>J893+#REF!</f>
        <v>#REF!</v>
      </c>
      <c r="L893" s="10" t="s">
        <v>41</v>
      </c>
      <c r="M893" s="11">
        <v>45161.997118055559</v>
      </c>
      <c r="N893" s="5" t="s">
        <v>42</v>
      </c>
      <c r="O893" s="5" t="s">
        <v>98</v>
      </c>
      <c r="P893" s="9"/>
      <c r="Q893" s="5"/>
      <c r="R893" s="5"/>
      <c r="S893" s="5"/>
      <c r="T893" s="9">
        <v>45165.997118055559</v>
      </c>
      <c r="U893" s="5"/>
      <c r="V893" s="5">
        <v>0</v>
      </c>
      <c r="W893" s="5"/>
      <c r="X893" s="5"/>
      <c r="Y893" s="5"/>
      <c r="Z893" s="5"/>
      <c r="AA893" s="5" t="s">
        <v>62</v>
      </c>
      <c r="AC893">
        <f t="shared" si="118"/>
        <v>15</v>
      </c>
      <c r="AD893" t="str">
        <f t="shared" si="119"/>
        <v/>
      </c>
      <c r="AE893">
        <f t="shared" si="120"/>
        <v>4</v>
      </c>
      <c r="AF893" t="str">
        <f t="shared" si="121"/>
        <v/>
      </c>
      <c r="AG893" t="str">
        <f t="shared" si="122"/>
        <v/>
      </c>
      <c r="AH893">
        <f t="shared" si="123"/>
        <v>2</v>
      </c>
      <c r="AI893" t="str">
        <f t="shared" si="124"/>
        <v/>
      </c>
      <c r="AJ893" t="str">
        <f t="shared" si="125"/>
        <v/>
      </c>
    </row>
    <row r="894" spans="1:36">
      <c r="A894" s="5">
        <v>952</v>
      </c>
      <c r="B894" s="5" t="s">
        <v>635</v>
      </c>
      <c r="C894" s="5" t="s">
        <v>100</v>
      </c>
      <c r="D894" s="5" t="s">
        <v>554</v>
      </c>
      <c r="E894" s="5" t="s">
        <v>597</v>
      </c>
      <c r="F894" s="5" t="str">
        <f t="shared" si="117"/>
        <v>Program Office-Business Partner</v>
      </c>
      <c r="G894" s="5" t="s">
        <v>47</v>
      </c>
      <c r="H894" s="9">
        <v>45142.997118055559</v>
      </c>
      <c r="I894" s="9">
        <v>45143.997118055559</v>
      </c>
      <c r="J894" s="9" t="e">
        <f>I894+#REF!</f>
        <v>#REF!</v>
      </c>
      <c r="K894" s="9" t="e">
        <f>J894+#REF!</f>
        <v>#REF!</v>
      </c>
      <c r="L894" s="10" t="s">
        <v>41</v>
      </c>
      <c r="M894" s="11">
        <v>45155.997118055559</v>
      </c>
      <c r="N894" s="5" t="s">
        <v>64</v>
      </c>
      <c r="O894" s="5"/>
      <c r="P894" s="9">
        <v>45157.997118055559</v>
      </c>
      <c r="Q894" s="5" t="s">
        <v>64</v>
      </c>
      <c r="R894" s="9">
        <v>45157.997118055559</v>
      </c>
      <c r="S894" s="9">
        <v>45160.997118055559</v>
      </c>
      <c r="T894" s="9">
        <v>45156.997118055559</v>
      </c>
      <c r="U894" s="9">
        <v>45158.997118055559</v>
      </c>
      <c r="V894" s="12">
        <v>1</v>
      </c>
      <c r="W894" s="9">
        <v>45162.997118055559</v>
      </c>
      <c r="X894" s="9">
        <v>45165.997118055559</v>
      </c>
      <c r="Y894" s="9">
        <v>45167.997118055559</v>
      </c>
      <c r="Z894" s="5"/>
      <c r="AA894" s="5"/>
      <c r="AB894" s="13">
        <v>45181.997118055559</v>
      </c>
      <c r="AC894">
        <f t="shared" si="118"/>
        <v>12</v>
      </c>
      <c r="AD894">
        <f t="shared" si="119"/>
        <v>17</v>
      </c>
      <c r="AE894">
        <f t="shared" si="120"/>
        <v>1</v>
      </c>
      <c r="AF894">
        <f t="shared" si="121"/>
        <v>7</v>
      </c>
      <c r="AG894">
        <f t="shared" si="122"/>
        <v>4</v>
      </c>
      <c r="AH894">
        <f t="shared" si="123"/>
        <v>1</v>
      </c>
      <c r="AI894" t="str">
        <f t="shared" si="124"/>
        <v/>
      </c>
      <c r="AJ894" t="str">
        <f t="shared" si="125"/>
        <v/>
      </c>
    </row>
    <row r="895" spans="1:36">
      <c r="A895" s="5">
        <v>953</v>
      </c>
      <c r="B895" s="5" t="s">
        <v>216</v>
      </c>
      <c r="C895" s="5" t="s">
        <v>100</v>
      </c>
      <c r="D895" s="5" t="s">
        <v>146</v>
      </c>
      <c r="E895" s="5" t="s">
        <v>39</v>
      </c>
      <c r="F895" s="5" t="str">
        <f t="shared" si="117"/>
        <v>Program Office-Analyst</v>
      </c>
      <c r="G895" s="5" t="s">
        <v>147</v>
      </c>
      <c r="H895" s="9">
        <v>45140.997118055559</v>
      </c>
      <c r="I895" s="9">
        <v>45142.997118055559</v>
      </c>
      <c r="J895" s="9" t="e">
        <f>I895+#REF!</f>
        <v>#REF!</v>
      </c>
      <c r="K895" s="9" t="e">
        <f>J895+#REF!</f>
        <v>#REF!</v>
      </c>
      <c r="L895" s="10" t="s">
        <v>41</v>
      </c>
      <c r="M895" s="11">
        <v>45150.997118055559</v>
      </c>
      <c r="N895" s="5" t="s">
        <v>42</v>
      </c>
      <c r="O895" s="5" t="s">
        <v>58</v>
      </c>
      <c r="P895" s="9"/>
      <c r="Q895" s="5"/>
      <c r="R895" s="5"/>
      <c r="S895" s="5"/>
      <c r="T895" s="9"/>
      <c r="U895" s="5"/>
      <c r="V895" s="5">
        <v>0</v>
      </c>
      <c r="W895" s="5"/>
      <c r="X895" s="5"/>
      <c r="Y895" s="5"/>
      <c r="Z895" s="5"/>
      <c r="AA895" s="5" t="s">
        <v>44</v>
      </c>
      <c r="AC895">
        <f t="shared" si="118"/>
        <v>8</v>
      </c>
      <c r="AD895" t="str">
        <f t="shared" si="119"/>
        <v/>
      </c>
      <c r="AE895" t="str">
        <f t="shared" si="120"/>
        <v/>
      </c>
      <c r="AF895" t="str">
        <f t="shared" si="121"/>
        <v/>
      </c>
      <c r="AG895" t="str">
        <f t="shared" si="122"/>
        <v/>
      </c>
      <c r="AH895">
        <f t="shared" si="123"/>
        <v>2</v>
      </c>
      <c r="AI895" t="str">
        <f t="shared" si="124"/>
        <v/>
      </c>
      <c r="AJ895" t="str">
        <f t="shared" si="125"/>
        <v/>
      </c>
    </row>
    <row r="896" spans="1:36">
      <c r="A896" s="5">
        <v>954</v>
      </c>
      <c r="B896" s="5" t="s">
        <v>634</v>
      </c>
      <c r="C896" s="5" t="s">
        <v>100</v>
      </c>
      <c r="D896" s="5" t="s">
        <v>554</v>
      </c>
      <c r="E896" s="5" t="s">
        <v>597</v>
      </c>
      <c r="F896" s="5" t="str">
        <f t="shared" si="117"/>
        <v>Program Office-Business Partner</v>
      </c>
      <c r="G896" s="5" t="s">
        <v>47</v>
      </c>
      <c r="H896" s="9">
        <v>45141.997118055559</v>
      </c>
      <c r="I896" s="9">
        <v>45143.997118055559</v>
      </c>
      <c r="J896" s="9" t="e">
        <f>I896+#REF!</f>
        <v>#REF!</v>
      </c>
      <c r="K896" s="9" t="e">
        <f>J896+#REF!</f>
        <v>#REF!</v>
      </c>
      <c r="L896" s="10" t="s">
        <v>41</v>
      </c>
      <c r="M896" s="11">
        <v>45163.997118055559</v>
      </c>
      <c r="N896" s="5" t="s">
        <v>64</v>
      </c>
      <c r="O896" s="5"/>
      <c r="P896" s="9">
        <v>45166.997118055559</v>
      </c>
      <c r="Q896" s="5" t="s">
        <v>64</v>
      </c>
      <c r="R896" s="9">
        <v>45164.997118055559</v>
      </c>
      <c r="S896" s="9">
        <v>45166.997118055559</v>
      </c>
      <c r="T896" s="9">
        <v>45165.997118055559</v>
      </c>
      <c r="U896" s="9">
        <v>45172.997118055559</v>
      </c>
      <c r="V896" s="12">
        <v>1</v>
      </c>
      <c r="W896" s="9">
        <v>45173.997118055559</v>
      </c>
      <c r="X896" s="9">
        <v>45176.997118055559</v>
      </c>
      <c r="Y896" s="9">
        <v>45179.997118055559</v>
      </c>
      <c r="Z896" s="5"/>
      <c r="AA896" s="5"/>
      <c r="AB896" s="13">
        <v>45188.997118055559</v>
      </c>
      <c r="AC896">
        <f t="shared" si="118"/>
        <v>20</v>
      </c>
      <c r="AD896">
        <f t="shared" si="119"/>
        <v>23</v>
      </c>
      <c r="AE896">
        <f t="shared" si="120"/>
        <v>2</v>
      </c>
      <c r="AF896">
        <f t="shared" si="121"/>
        <v>4</v>
      </c>
      <c r="AG896">
        <f t="shared" si="122"/>
        <v>1</v>
      </c>
      <c r="AH896">
        <f t="shared" si="123"/>
        <v>2</v>
      </c>
      <c r="AI896" t="str">
        <f t="shared" si="124"/>
        <v/>
      </c>
      <c r="AJ896" t="str">
        <f t="shared" si="125"/>
        <v/>
      </c>
    </row>
    <row r="897" spans="1:36">
      <c r="A897" s="5">
        <v>955</v>
      </c>
      <c r="B897" s="5" t="s">
        <v>633</v>
      </c>
      <c r="C897" s="5" t="s">
        <v>100</v>
      </c>
      <c r="D897" s="5" t="s">
        <v>554</v>
      </c>
      <c r="E897" s="5" t="s">
        <v>597</v>
      </c>
      <c r="F897" s="5" t="str">
        <f t="shared" si="117"/>
        <v>Program Office-Business Partner</v>
      </c>
      <c r="G897" s="5" t="s">
        <v>47</v>
      </c>
      <c r="H897" s="9">
        <v>45139.997118055559</v>
      </c>
      <c r="I897" s="9">
        <v>45143.997118055559</v>
      </c>
      <c r="J897" s="9" t="e">
        <f>I897+#REF!</f>
        <v>#REF!</v>
      </c>
      <c r="K897" s="9" t="e">
        <f>J897+#REF!</f>
        <v>#REF!</v>
      </c>
      <c r="L897" s="10" t="s">
        <v>41</v>
      </c>
      <c r="M897" s="11">
        <v>45159.997118055559</v>
      </c>
      <c r="N897" s="5" t="s">
        <v>64</v>
      </c>
      <c r="O897" s="5"/>
      <c r="P897" s="9">
        <v>45165.997118055559</v>
      </c>
      <c r="Q897" s="5" t="s">
        <v>64</v>
      </c>
      <c r="R897" s="9">
        <v>45161.997118055559</v>
      </c>
      <c r="S897" s="9">
        <v>45162.997118055559</v>
      </c>
      <c r="T897" s="9">
        <v>45162.997118055559</v>
      </c>
      <c r="U897" s="9">
        <v>45168.997118055559</v>
      </c>
      <c r="V897" s="12">
        <v>1</v>
      </c>
      <c r="W897" s="9">
        <v>45171.997118055559</v>
      </c>
      <c r="X897" s="9">
        <v>45173.997118055559</v>
      </c>
      <c r="Y897" s="9">
        <v>45176.997118055559</v>
      </c>
      <c r="Z897" s="5"/>
      <c r="AA897" s="5"/>
      <c r="AB897" s="13">
        <v>45197.997118055559</v>
      </c>
      <c r="AC897">
        <f t="shared" si="118"/>
        <v>16</v>
      </c>
      <c r="AD897">
        <f t="shared" si="119"/>
        <v>19</v>
      </c>
      <c r="AE897">
        <f t="shared" si="120"/>
        <v>3</v>
      </c>
      <c r="AF897">
        <f t="shared" si="121"/>
        <v>5</v>
      </c>
      <c r="AG897">
        <f t="shared" si="122"/>
        <v>3</v>
      </c>
      <c r="AH897">
        <f t="shared" si="123"/>
        <v>4</v>
      </c>
      <c r="AI897" t="str">
        <f t="shared" si="124"/>
        <v/>
      </c>
      <c r="AJ897" t="str">
        <f t="shared" si="125"/>
        <v/>
      </c>
    </row>
    <row r="898" spans="1:36">
      <c r="A898" s="5">
        <v>956</v>
      </c>
      <c r="B898" s="5" t="s">
        <v>342</v>
      </c>
      <c r="C898" s="5" t="s">
        <v>100</v>
      </c>
      <c r="D898" s="5" t="s">
        <v>268</v>
      </c>
      <c r="E898" s="5" t="s">
        <v>291</v>
      </c>
      <c r="F898" s="5" t="str">
        <f t="shared" ref="F898:F961" si="126">_xlfn.CONCAT(C898,"-",E898)</f>
        <v>Program Office-Cordination Manager</v>
      </c>
      <c r="G898" s="5" t="s">
        <v>270</v>
      </c>
      <c r="H898" s="9">
        <v>45141.997118055559</v>
      </c>
      <c r="I898" s="9">
        <v>45143.997118055559</v>
      </c>
      <c r="J898" s="9" t="e">
        <f>I898+#REF!</f>
        <v>#REF!</v>
      </c>
      <c r="K898" s="9" t="e">
        <f>J898+#REF!</f>
        <v>#REF!</v>
      </c>
      <c r="L898" s="10" t="s">
        <v>41</v>
      </c>
      <c r="M898" s="11">
        <v>45152.997118055559</v>
      </c>
      <c r="N898" s="5" t="s">
        <v>42</v>
      </c>
      <c r="O898" s="5" t="s">
        <v>98</v>
      </c>
      <c r="P898" s="9"/>
      <c r="Q898" s="5"/>
      <c r="R898" s="5"/>
      <c r="S898" s="5"/>
      <c r="T898" s="9">
        <v>45153.997118055559</v>
      </c>
      <c r="U898" s="5"/>
      <c r="V898" s="5">
        <v>0</v>
      </c>
      <c r="W898" s="5"/>
      <c r="X898" s="5"/>
      <c r="Y898" s="5"/>
      <c r="Z898" s="5"/>
      <c r="AA898" s="5" t="s">
        <v>44</v>
      </c>
      <c r="AC898">
        <f t="shared" ref="AC898:AC961" si="127">IF(AND(ISNUMBER(M898), ISNUMBER(I898)), M898 - I898, "")</f>
        <v>9</v>
      </c>
      <c r="AD898" t="str">
        <f t="shared" si="119"/>
        <v/>
      </c>
      <c r="AE898">
        <f t="shared" si="120"/>
        <v>1</v>
      </c>
      <c r="AF898" t="str">
        <f t="shared" si="121"/>
        <v/>
      </c>
      <c r="AG898" t="str">
        <f t="shared" si="122"/>
        <v/>
      </c>
      <c r="AH898">
        <f t="shared" si="123"/>
        <v>2</v>
      </c>
      <c r="AI898" t="str">
        <f t="shared" si="124"/>
        <v/>
      </c>
      <c r="AJ898" t="str">
        <f t="shared" si="125"/>
        <v/>
      </c>
    </row>
    <row r="899" spans="1:36">
      <c r="A899" s="5">
        <v>957</v>
      </c>
      <c r="B899" s="5" t="s">
        <v>341</v>
      </c>
      <c r="C899" s="5" t="s">
        <v>100</v>
      </c>
      <c r="D899" s="5" t="s">
        <v>268</v>
      </c>
      <c r="E899" s="5" t="s">
        <v>291</v>
      </c>
      <c r="F899" s="5" t="str">
        <f t="shared" si="126"/>
        <v>Program Office-Cordination Manager</v>
      </c>
      <c r="G899" s="5" t="s">
        <v>270</v>
      </c>
      <c r="H899" s="9">
        <v>45141.997118055559</v>
      </c>
      <c r="I899" s="9">
        <v>45142.997118055559</v>
      </c>
      <c r="J899" s="9" t="e">
        <f>I899+#REF!</f>
        <v>#REF!</v>
      </c>
      <c r="K899" s="9" t="e">
        <f>J899+#REF!</f>
        <v>#REF!</v>
      </c>
      <c r="L899" s="10" t="s">
        <v>41</v>
      </c>
      <c r="M899" s="11">
        <v>45161.997118055559</v>
      </c>
      <c r="N899" s="5" t="s">
        <v>64</v>
      </c>
      <c r="O899" s="5"/>
      <c r="P899" s="9">
        <v>45168.997118055559</v>
      </c>
      <c r="Q899" s="5" t="s">
        <v>64</v>
      </c>
      <c r="R899" s="9">
        <v>45163.997118055559</v>
      </c>
      <c r="S899" s="9">
        <v>45166.997118055559</v>
      </c>
      <c r="T899" s="9">
        <v>45164.997118055559</v>
      </c>
      <c r="U899" s="9">
        <v>45170.997118055559</v>
      </c>
      <c r="V899" s="12">
        <v>1</v>
      </c>
      <c r="W899" s="9">
        <v>45174.997118055559</v>
      </c>
      <c r="X899" s="9">
        <v>45177.997118055559</v>
      </c>
      <c r="Y899" s="9">
        <v>45178.997118055559</v>
      </c>
      <c r="Z899" s="5"/>
      <c r="AA899" s="5"/>
      <c r="AB899" s="13">
        <v>45190.997118055559</v>
      </c>
      <c r="AC899">
        <f t="shared" si="127"/>
        <v>19</v>
      </c>
      <c r="AD899">
        <f t="shared" ref="AD899:AD962" si="128">IF(AND(ISNUMBER(S899), ISNUMBER(I899)), S899 - I899, "")</f>
        <v>24</v>
      </c>
      <c r="AE899">
        <f t="shared" ref="AE899:AE962" si="129">IF(AND(ISNUMBER(T899), ISNUMBER(M899)), T899-M899, "")</f>
        <v>3</v>
      </c>
      <c r="AF899">
        <f t="shared" ref="AF899:AF962" si="130">IF(AND(ISNUMBER(X899), ISNUMBER(U899)), X899-U899,"")</f>
        <v>7</v>
      </c>
      <c r="AG899">
        <f t="shared" ref="AG899:AG962" si="131">IF(AND(ISNUMBER(W899), ISNUMBER(U899)), W899-U899, "")</f>
        <v>4</v>
      </c>
      <c r="AH899">
        <f t="shared" ref="AH899:AH962" si="132">IF(AND(ISNUMBER(I899), ISNUMBER(H899)), I899-H899,"")</f>
        <v>1</v>
      </c>
      <c r="AI899" t="str">
        <f t="shared" ref="AI899:AI962" si="133">IF(AND(ISNUMBER(J899),ISNUMBER(K899)),K899-J899,"")</f>
        <v/>
      </c>
      <c r="AJ899" t="str">
        <f t="shared" ref="AJ899:AJ962" si="134">IF(AND(ISNUMBER(J899),ISNUMBER(I899)), J899-I899,"")</f>
        <v/>
      </c>
    </row>
    <row r="900" spans="1:36">
      <c r="A900" s="5">
        <v>958</v>
      </c>
      <c r="B900" s="5" t="s">
        <v>215</v>
      </c>
      <c r="C900" s="5" t="s">
        <v>100</v>
      </c>
      <c r="D900" s="5" t="s">
        <v>146</v>
      </c>
      <c r="E900" s="5" t="s">
        <v>39</v>
      </c>
      <c r="F900" s="5" t="str">
        <f t="shared" si="126"/>
        <v>Program Office-Analyst</v>
      </c>
      <c r="G900" s="5" t="s">
        <v>147</v>
      </c>
      <c r="H900" s="9">
        <v>45140.997118055559</v>
      </c>
      <c r="I900" s="9">
        <v>45143.997118055559</v>
      </c>
      <c r="J900" s="9" t="e">
        <f>I900+#REF!</f>
        <v>#REF!</v>
      </c>
      <c r="K900" s="9" t="e">
        <f>J900+#REF!</f>
        <v>#REF!</v>
      </c>
      <c r="L900" s="10" t="s">
        <v>41</v>
      </c>
      <c r="M900" s="11">
        <v>45161.997118055559</v>
      </c>
      <c r="N900" s="5" t="s">
        <v>42</v>
      </c>
      <c r="O900" s="5" t="s">
        <v>73</v>
      </c>
      <c r="P900" s="9"/>
      <c r="Q900" s="5"/>
      <c r="R900" s="5"/>
      <c r="S900" s="5"/>
      <c r="T900" s="9">
        <v>45163.997118055559</v>
      </c>
      <c r="U900" s="5"/>
      <c r="V900" s="5">
        <v>0</v>
      </c>
      <c r="W900" s="5"/>
      <c r="X900" s="5"/>
      <c r="Y900" s="5"/>
      <c r="Z900" s="5"/>
      <c r="AA900" s="5" t="s">
        <v>62</v>
      </c>
      <c r="AC900">
        <f t="shared" si="127"/>
        <v>18</v>
      </c>
      <c r="AD900" t="str">
        <f t="shared" si="128"/>
        <v/>
      </c>
      <c r="AE900">
        <f t="shared" si="129"/>
        <v>2</v>
      </c>
      <c r="AF900" t="str">
        <f t="shared" si="130"/>
        <v/>
      </c>
      <c r="AG900" t="str">
        <f t="shared" si="131"/>
        <v/>
      </c>
      <c r="AH900">
        <f t="shared" si="132"/>
        <v>3</v>
      </c>
      <c r="AI900" t="str">
        <f t="shared" si="133"/>
        <v/>
      </c>
      <c r="AJ900" t="str">
        <f t="shared" si="134"/>
        <v/>
      </c>
    </row>
    <row r="901" spans="1:36">
      <c r="A901" s="5">
        <v>961</v>
      </c>
      <c r="B901" s="5" t="s">
        <v>1935</v>
      </c>
      <c r="C901" s="5" t="s">
        <v>1540</v>
      </c>
      <c r="D901" s="5" t="s">
        <v>1925</v>
      </c>
      <c r="E901" s="5" t="s">
        <v>1039</v>
      </c>
      <c r="F901" s="5" t="str">
        <f t="shared" si="126"/>
        <v>Finance-Associate Director</v>
      </c>
      <c r="G901" s="5" t="s">
        <v>56</v>
      </c>
      <c r="H901" s="9">
        <v>45122.340451388889</v>
      </c>
      <c r="I901" s="9">
        <v>45124.340451388889</v>
      </c>
      <c r="J901" s="9" t="e">
        <f>I901+#REF!</f>
        <v>#REF!</v>
      </c>
      <c r="K901" s="9" t="e">
        <f>J901+#REF!</f>
        <v>#REF!</v>
      </c>
      <c r="L901" s="10" t="s">
        <v>41</v>
      </c>
      <c r="M901" s="11">
        <v>45141.340451388889</v>
      </c>
      <c r="N901" s="5" t="s">
        <v>64</v>
      </c>
      <c r="O901" s="5"/>
      <c r="P901" s="9">
        <v>45144.340451388889</v>
      </c>
      <c r="Q901" s="5" t="s">
        <v>64</v>
      </c>
      <c r="R901" s="9">
        <v>45143.340451388889</v>
      </c>
      <c r="S901" s="9">
        <v>45147.340451388889</v>
      </c>
      <c r="T901" s="9">
        <v>45142.340451388889</v>
      </c>
      <c r="U901" s="9">
        <v>45149.340451388889</v>
      </c>
      <c r="V901" s="12">
        <v>1</v>
      </c>
      <c r="W901" s="9">
        <v>45152.340451388889</v>
      </c>
      <c r="X901" s="9">
        <v>45155.340451388889</v>
      </c>
      <c r="Y901" s="9">
        <v>45156.340451388889</v>
      </c>
      <c r="Z901" s="5"/>
      <c r="AA901" s="5"/>
      <c r="AB901" s="13">
        <v>45166.340451388889</v>
      </c>
      <c r="AC901">
        <f t="shared" si="127"/>
        <v>17</v>
      </c>
      <c r="AD901">
        <f t="shared" si="128"/>
        <v>23</v>
      </c>
      <c r="AE901">
        <f t="shared" si="129"/>
        <v>1</v>
      </c>
      <c r="AF901">
        <f t="shared" si="130"/>
        <v>6</v>
      </c>
      <c r="AG901">
        <f t="shared" si="131"/>
        <v>3</v>
      </c>
      <c r="AH901">
        <f t="shared" si="132"/>
        <v>2</v>
      </c>
      <c r="AI901" t="str">
        <f t="shared" si="133"/>
        <v/>
      </c>
      <c r="AJ901" t="str">
        <f t="shared" si="134"/>
        <v/>
      </c>
    </row>
    <row r="902" spans="1:36">
      <c r="A902" s="5">
        <v>962</v>
      </c>
      <c r="B902" s="5" t="s">
        <v>1669</v>
      </c>
      <c r="C902" s="5" t="s">
        <v>1540</v>
      </c>
      <c r="D902" s="5" t="s">
        <v>1588</v>
      </c>
      <c r="E902" s="5" t="s">
        <v>1360</v>
      </c>
      <c r="F902" s="5" t="str">
        <f t="shared" si="126"/>
        <v>Finance-Fund Administrator</v>
      </c>
      <c r="G902" s="5" t="s">
        <v>147</v>
      </c>
      <c r="H902" s="9">
        <v>45120.340451388889</v>
      </c>
      <c r="I902" s="9">
        <v>45121.340451388889</v>
      </c>
      <c r="J902" s="9" t="e">
        <f>I902+#REF!</f>
        <v>#REF!</v>
      </c>
      <c r="K902" s="9" t="e">
        <f>J902+#REF!</f>
        <v>#REF!</v>
      </c>
      <c r="L902" s="10" t="s">
        <v>41</v>
      </c>
      <c r="M902" s="11">
        <v>45144.340451388889</v>
      </c>
      <c r="N902" s="5" t="s">
        <v>64</v>
      </c>
      <c r="O902" s="5"/>
      <c r="P902" s="9">
        <v>45150.340451388889</v>
      </c>
      <c r="Q902" s="5" t="s">
        <v>64</v>
      </c>
      <c r="R902" s="9">
        <v>45145.340451388889</v>
      </c>
      <c r="S902" s="9">
        <v>45147.340451388889</v>
      </c>
      <c r="T902" s="9">
        <v>45147.340451388889</v>
      </c>
      <c r="U902" s="9">
        <v>45153.340451388889</v>
      </c>
      <c r="V902" s="12">
        <v>1</v>
      </c>
      <c r="W902" s="9">
        <v>45156.340451388889</v>
      </c>
      <c r="X902" s="9">
        <v>45158.340451388889</v>
      </c>
      <c r="Y902" s="9">
        <v>45160.340451388889</v>
      </c>
      <c r="Z902" s="5"/>
      <c r="AA902" s="5"/>
      <c r="AB902" s="13">
        <v>45180.340451388889</v>
      </c>
      <c r="AC902">
        <f t="shared" si="127"/>
        <v>23</v>
      </c>
      <c r="AD902">
        <f t="shared" si="128"/>
        <v>26</v>
      </c>
      <c r="AE902">
        <f t="shared" si="129"/>
        <v>3</v>
      </c>
      <c r="AF902">
        <f t="shared" si="130"/>
        <v>5</v>
      </c>
      <c r="AG902">
        <f t="shared" si="131"/>
        <v>3</v>
      </c>
      <c r="AH902">
        <f t="shared" si="132"/>
        <v>1</v>
      </c>
      <c r="AI902" t="str">
        <f t="shared" si="133"/>
        <v/>
      </c>
      <c r="AJ902" t="str">
        <f t="shared" si="134"/>
        <v/>
      </c>
    </row>
    <row r="903" spans="1:36">
      <c r="A903" s="5">
        <v>963</v>
      </c>
      <c r="B903" s="5" t="s">
        <v>2057</v>
      </c>
      <c r="C903" s="5" t="s">
        <v>1540</v>
      </c>
      <c r="D903" s="5" t="s">
        <v>1985</v>
      </c>
      <c r="E903" s="5" t="s">
        <v>1862</v>
      </c>
      <c r="F903" s="5" t="str">
        <f t="shared" si="126"/>
        <v>Finance-Billing Officer</v>
      </c>
      <c r="G903" s="5" t="s">
        <v>47</v>
      </c>
      <c r="H903" s="9">
        <v>45125.340451388889</v>
      </c>
      <c r="I903" s="9">
        <v>45126.340451388889</v>
      </c>
      <c r="J903" s="9" t="e">
        <f>I903+#REF!</f>
        <v>#REF!</v>
      </c>
      <c r="K903" s="9" t="e">
        <f>J903+#REF!</f>
        <v>#REF!</v>
      </c>
      <c r="L903" s="10" t="s">
        <v>41</v>
      </c>
      <c r="M903" s="11">
        <v>45130.340451388889</v>
      </c>
      <c r="N903" s="5" t="s">
        <v>42</v>
      </c>
      <c r="O903" s="5" t="s">
        <v>113</v>
      </c>
      <c r="P903" s="9"/>
      <c r="Q903" s="5"/>
      <c r="R903" s="5"/>
      <c r="S903" s="5"/>
      <c r="T903" s="9"/>
      <c r="U903" s="5"/>
      <c r="V903" s="5">
        <v>0</v>
      </c>
      <c r="W903" s="5"/>
      <c r="X903" s="5"/>
      <c r="Y903" s="5"/>
      <c r="Z903" s="5"/>
      <c r="AA903" s="5" t="s">
        <v>62</v>
      </c>
      <c r="AC903">
        <f t="shared" si="127"/>
        <v>4</v>
      </c>
      <c r="AD903" t="str">
        <f t="shared" si="128"/>
        <v/>
      </c>
      <c r="AE903" t="str">
        <f t="shared" si="129"/>
        <v/>
      </c>
      <c r="AF903" t="str">
        <f t="shared" si="130"/>
        <v/>
      </c>
      <c r="AG903" t="str">
        <f t="shared" si="131"/>
        <v/>
      </c>
      <c r="AH903">
        <f t="shared" si="132"/>
        <v>1</v>
      </c>
      <c r="AI903" t="str">
        <f t="shared" si="133"/>
        <v/>
      </c>
      <c r="AJ903" t="str">
        <f t="shared" si="134"/>
        <v/>
      </c>
    </row>
    <row r="904" spans="1:36">
      <c r="A904" s="5">
        <v>965</v>
      </c>
      <c r="B904" s="5" t="s">
        <v>1896</v>
      </c>
      <c r="C904" s="5" t="s">
        <v>1540</v>
      </c>
      <c r="D904" s="5" t="s">
        <v>1820</v>
      </c>
      <c r="E904" s="5" t="s">
        <v>1862</v>
      </c>
      <c r="F904" s="5" t="str">
        <f t="shared" si="126"/>
        <v>Finance-Billing Officer</v>
      </c>
      <c r="G904" s="5" t="s">
        <v>40</v>
      </c>
      <c r="H904" s="9">
        <v>45120.340451388889</v>
      </c>
      <c r="I904" s="9">
        <v>45121.340451388889</v>
      </c>
      <c r="J904" s="9" t="e">
        <f>I904+#REF!</f>
        <v>#REF!</v>
      </c>
      <c r="K904" s="9" t="e">
        <f>J904+#REF!</f>
        <v>#REF!</v>
      </c>
      <c r="L904" s="10" t="s">
        <v>41</v>
      </c>
      <c r="M904" s="11">
        <v>45130.340451388889</v>
      </c>
      <c r="N904" s="5" t="s">
        <v>64</v>
      </c>
      <c r="O904" s="5"/>
      <c r="P904" s="9">
        <v>45137.340451388889</v>
      </c>
      <c r="Q904" s="5" t="s">
        <v>64</v>
      </c>
      <c r="R904" s="9">
        <v>45131.340451388889</v>
      </c>
      <c r="S904" s="9">
        <v>45133.340451388889</v>
      </c>
      <c r="T904" s="9">
        <v>45133.340451388889</v>
      </c>
      <c r="U904" s="9">
        <v>45134.340451388889</v>
      </c>
      <c r="V904" s="12">
        <v>1</v>
      </c>
      <c r="W904" s="9">
        <v>45137.340451388889</v>
      </c>
      <c r="X904" s="9">
        <v>45140.340451388889</v>
      </c>
      <c r="Y904" s="9">
        <v>45143.340451388889</v>
      </c>
      <c r="Z904" s="5"/>
      <c r="AA904" s="5"/>
      <c r="AB904" s="13">
        <v>45155.340451388889</v>
      </c>
      <c r="AC904">
        <f t="shared" si="127"/>
        <v>9</v>
      </c>
      <c r="AD904">
        <f t="shared" si="128"/>
        <v>12</v>
      </c>
      <c r="AE904">
        <f t="shared" si="129"/>
        <v>3</v>
      </c>
      <c r="AF904">
        <f t="shared" si="130"/>
        <v>6</v>
      </c>
      <c r="AG904">
        <f t="shared" si="131"/>
        <v>3</v>
      </c>
      <c r="AH904">
        <f t="shared" si="132"/>
        <v>1</v>
      </c>
      <c r="AI904" t="str">
        <f t="shared" si="133"/>
        <v/>
      </c>
      <c r="AJ904" t="str">
        <f t="shared" si="134"/>
        <v/>
      </c>
    </row>
    <row r="905" spans="1:36">
      <c r="A905" s="5">
        <v>966</v>
      </c>
      <c r="B905" s="5" t="s">
        <v>1895</v>
      </c>
      <c r="C905" s="5" t="s">
        <v>1540</v>
      </c>
      <c r="D905" s="5" t="s">
        <v>1820</v>
      </c>
      <c r="E905" s="5" t="s">
        <v>1862</v>
      </c>
      <c r="F905" s="5" t="str">
        <f t="shared" si="126"/>
        <v>Finance-Billing Officer</v>
      </c>
      <c r="G905" s="5" t="s">
        <v>40</v>
      </c>
      <c r="H905" s="9">
        <v>45118.340451388889</v>
      </c>
      <c r="I905" s="9">
        <v>45122.340451388889</v>
      </c>
      <c r="J905" s="9" t="e">
        <f>I905+#REF!</f>
        <v>#REF!</v>
      </c>
      <c r="K905" s="9" t="e">
        <f>J905+#REF!</f>
        <v>#REF!</v>
      </c>
      <c r="L905" s="10" t="s">
        <v>41</v>
      </c>
      <c r="M905" s="11">
        <v>45138.340451388889</v>
      </c>
      <c r="N905" s="5" t="s">
        <v>48</v>
      </c>
      <c r="O905" s="5"/>
      <c r="P905" s="9">
        <v>45143.340451388889</v>
      </c>
      <c r="Q905" s="5" t="s">
        <v>48</v>
      </c>
      <c r="R905" s="5"/>
      <c r="S905" s="5"/>
      <c r="T905" s="9">
        <v>45140.340451388889</v>
      </c>
      <c r="U905" s="5"/>
      <c r="V905" s="5">
        <v>0</v>
      </c>
      <c r="W905" s="5"/>
      <c r="X905" s="5"/>
      <c r="Y905" s="5"/>
      <c r="Z905" s="5"/>
      <c r="AA905" s="5"/>
      <c r="AC905">
        <f t="shared" si="127"/>
        <v>16</v>
      </c>
      <c r="AD905" t="str">
        <f t="shared" si="128"/>
        <v/>
      </c>
      <c r="AE905">
        <f t="shared" si="129"/>
        <v>2</v>
      </c>
      <c r="AF905" t="str">
        <f t="shared" si="130"/>
        <v/>
      </c>
      <c r="AG905" t="str">
        <f t="shared" si="131"/>
        <v/>
      </c>
      <c r="AH905">
        <f t="shared" si="132"/>
        <v>4</v>
      </c>
      <c r="AI905" t="str">
        <f t="shared" si="133"/>
        <v/>
      </c>
      <c r="AJ905" t="str">
        <f t="shared" si="134"/>
        <v/>
      </c>
    </row>
    <row r="906" spans="1:36">
      <c r="A906" s="5">
        <v>967</v>
      </c>
      <c r="B906" s="5" t="s">
        <v>1668</v>
      </c>
      <c r="C906" s="5" t="s">
        <v>1540</v>
      </c>
      <c r="D906" s="5" t="s">
        <v>1588</v>
      </c>
      <c r="E906" s="5" t="s">
        <v>1360</v>
      </c>
      <c r="F906" s="5" t="str">
        <f t="shared" si="126"/>
        <v>Finance-Fund Administrator</v>
      </c>
      <c r="G906" s="5" t="s">
        <v>147</v>
      </c>
      <c r="H906" s="9">
        <v>45122.340451388889</v>
      </c>
      <c r="I906" s="9">
        <v>45126.340451388889</v>
      </c>
      <c r="J906" s="9" t="e">
        <f>I906+#REF!</f>
        <v>#REF!</v>
      </c>
      <c r="K906" s="9" t="e">
        <f>J906+#REF!</f>
        <v>#REF!</v>
      </c>
      <c r="L906" s="10" t="s">
        <v>41</v>
      </c>
      <c r="M906" s="11">
        <v>45139.340451388889</v>
      </c>
      <c r="N906" s="5" t="s">
        <v>167</v>
      </c>
      <c r="O906" s="5"/>
      <c r="P906" s="9">
        <v>45143.340451388889</v>
      </c>
      <c r="Q906" s="5" t="s">
        <v>167</v>
      </c>
      <c r="R906" s="5"/>
      <c r="S906" s="5"/>
      <c r="T906" s="9">
        <v>45140.340451388889</v>
      </c>
      <c r="U906" s="5"/>
      <c r="V906" s="5">
        <v>0</v>
      </c>
      <c r="W906" s="5"/>
      <c r="X906" s="5"/>
      <c r="Y906" s="5"/>
      <c r="Z906" s="5"/>
      <c r="AA906" s="5"/>
      <c r="AC906">
        <f t="shared" si="127"/>
        <v>13</v>
      </c>
      <c r="AD906" t="str">
        <f t="shared" si="128"/>
        <v/>
      </c>
      <c r="AE906">
        <f t="shared" si="129"/>
        <v>1</v>
      </c>
      <c r="AF906" t="str">
        <f t="shared" si="130"/>
        <v/>
      </c>
      <c r="AG906" t="str">
        <f t="shared" si="131"/>
        <v/>
      </c>
      <c r="AH906">
        <f t="shared" si="132"/>
        <v>4</v>
      </c>
      <c r="AI906" t="str">
        <f t="shared" si="133"/>
        <v/>
      </c>
      <c r="AJ906" t="str">
        <f t="shared" si="134"/>
        <v/>
      </c>
    </row>
    <row r="907" spans="1:36">
      <c r="A907" s="5">
        <v>968</v>
      </c>
      <c r="B907" s="5" t="s">
        <v>1667</v>
      </c>
      <c r="C907" s="5" t="s">
        <v>1540</v>
      </c>
      <c r="D907" s="5" t="s">
        <v>1588</v>
      </c>
      <c r="E907" s="5" t="s">
        <v>1360</v>
      </c>
      <c r="F907" s="5" t="str">
        <f t="shared" si="126"/>
        <v>Finance-Fund Administrator</v>
      </c>
      <c r="G907" s="5" t="s">
        <v>147</v>
      </c>
      <c r="H907" s="9">
        <v>45121.340451388889</v>
      </c>
      <c r="I907" s="9">
        <v>45122.340451388889</v>
      </c>
      <c r="J907" s="9" t="e">
        <f>I907+#REF!</f>
        <v>#REF!</v>
      </c>
      <c r="K907" s="9" t="e">
        <f>J907+#REF!</f>
        <v>#REF!</v>
      </c>
      <c r="L907" s="10" t="s">
        <v>41</v>
      </c>
      <c r="M907" s="11">
        <v>45133.340451388889</v>
      </c>
      <c r="N907" s="5" t="s">
        <v>64</v>
      </c>
      <c r="O907" s="5"/>
      <c r="P907" s="9">
        <v>45137.340451388889</v>
      </c>
      <c r="Q907" s="5" t="s">
        <v>64</v>
      </c>
      <c r="R907" s="9">
        <v>45135.340451388889</v>
      </c>
      <c r="S907" s="9">
        <v>45138.340451388889</v>
      </c>
      <c r="T907" s="9">
        <v>45134.340451388889</v>
      </c>
      <c r="U907" s="9">
        <v>45138.340451388889</v>
      </c>
      <c r="V907" s="12">
        <v>1</v>
      </c>
      <c r="W907" s="9">
        <v>45139.340451388889</v>
      </c>
      <c r="X907" s="9">
        <v>45142.340451388889</v>
      </c>
      <c r="Y907" s="9">
        <v>45143.340451388889</v>
      </c>
      <c r="Z907" s="5"/>
      <c r="AA907" s="5"/>
      <c r="AB907" s="13">
        <v>45163.340451388889</v>
      </c>
      <c r="AC907">
        <f t="shared" si="127"/>
        <v>11</v>
      </c>
      <c r="AD907">
        <f t="shared" si="128"/>
        <v>16</v>
      </c>
      <c r="AE907">
        <f t="shared" si="129"/>
        <v>1</v>
      </c>
      <c r="AF907">
        <f t="shared" si="130"/>
        <v>4</v>
      </c>
      <c r="AG907">
        <f t="shared" si="131"/>
        <v>1</v>
      </c>
      <c r="AH907">
        <f t="shared" si="132"/>
        <v>1</v>
      </c>
      <c r="AI907" t="str">
        <f t="shared" si="133"/>
        <v/>
      </c>
      <c r="AJ907" t="str">
        <f t="shared" si="134"/>
        <v/>
      </c>
    </row>
    <row r="908" spans="1:36">
      <c r="A908" s="5">
        <v>969</v>
      </c>
      <c r="B908" s="5" t="s">
        <v>2056</v>
      </c>
      <c r="C908" s="5" t="s">
        <v>1540</v>
      </c>
      <c r="D908" s="5" t="s">
        <v>1985</v>
      </c>
      <c r="E908" s="5" t="s">
        <v>1862</v>
      </c>
      <c r="F908" s="5" t="str">
        <f t="shared" si="126"/>
        <v>Finance-Billing Officer</v>
      </c>
      <c r="G908" s="5" t="s">
        <v>47</v>
      </c>
      <c r="H908" s="9">
        <v>45119.340451388889</v>
      </c>
      <c r="I908" s="9">
        <v>45122.340451388889</v>
      </c>
      <c r="J908" s="9" t="e">
        <f>I908+#REF!</f>
        <v>#REF!</v>
      </c>
      <c r="K908" s="9" t="e">
        <f>J908+#REF!</f>
        <v>#REF!</v>
      </c>
      <c r="L908" s="10" t="s">
        <v>41</v>
      </c>
      <c r="M908" s="11">
        <v>45140.340451388889</v>
      </c>
      <c r="N908" s="5" t="s">
        <v>48</v>
      </c>
      <c r="O908" s="5"/>
      <c r="P908" s="9">
        <v>45148.340451388889</v>
      </c>
      <c r="Q908" s="5" t="s">
        <v>48</v>
      </c>
      <c r="R908" s="5"/>
      <c r="S908" s="5"/>
      <c r="T908" s="9">
        <v>45144.340451388889</v>
      </c>
      <c r="U908" s="5"/>
      <c r="V908" s="5">
        <v>0</v>
      </c>
      <c r="W908" s="5"/>
      <c r="X908" s="5"/>
      <c r="Y908" s="5"/>
      <c r="Z908" s="5"/>
      <c r="AA908" s="5"/>
      <c r="AC908">
        <f t="shared" si="127"/>
        <v>18</v>
      </c>
      <c r="AD908" t="str">
        <f t="shared" si="128"/>
        <v/>
      </c>
      <c r="AE908">
        <f t="shared" si="129"/>
        <v>4</v>
      </c>
      <c r="AF908" t="str">
        <f t="shared" si="130"/>
        <v/>
      </c>
      <c r="AG908" t="str">
        <f t="shared" si="131"/>
        <v/>
      </c>
      <c r="AH908">
        <f t="shared" si="132"/>
        <v>3</v>
      </c>
      <c r="AI908" t="str">
        <f t="shared" si="133"/>
        <v/>
      </c>
      <c r="AJ908" t="str">
        <f t="shared" si="134"/>
        <v/>
      </c>
    </row>
    <row r="909" spans="1:36">
      <c r="A909" s="5">
        <v>970</v>
      </c>
      <c r="B909" s="5" t="s">
        <v>1785</v>
      </c>
      <c r="C909" s="5" t="s">
        <v>1540</v>
      </c>
      <c r="D909" s="5" t="s">
        <v>1706</v>
      </c>
      <c r="E909" s="5" t="s">
        <v>269</v>
      </c>
      <c r="F909" s="5" t="str">
        <f t="shared" si="126"/>
        <v>Finance-Manager</v>
      </c>
      <c r="G909" s="5" t="s">
        <v>270</v>
      </c>
      <c r="H909" s="9">
        <v>45117.340451388889</v>
      </c>
      <c r="I909" s="9">
        <v>45121.340451388889</v>
      </c>
      <c r="J909" s="9" t="e">
        <f>I909+#REF!</f>
        <v>#REF!</v>
      </c>
      <c r="K909" s="9" t="e">
        <f>J909+#REF!</f>
        <v>#REF!</v>
      </c>
      <c r="L909" s="10" t="s">
        <v>52</v>
      </c>
      <c r="M909" s="11"/>
      <c r="N909" s="5"/>
      <c r="O909" s="5"/>
      <c r="P909" s="9"/>
      <c r="Q909" s="5"/>
      <c r="R909" s="5"/>
      <c r="S909" s="5"/>
      <c r="T909" s="9"/>
      <c r="U909" s="5"/>
      <c r="V909" s="5">
        <v>0</v>
      </c>
      <c r="W909" s="5"/>
      <c r="X909" s="5"/>
      <c r="Y909" s="5"/>
      <c r="Z909" s="5"/>
      <c r="AA909" s="5"/>
      <c r="AC909" t="str">
        <f t="shared" si="127"/>
        <v/>
      </c>
      <c r="AD909" t="str">
        <f t="shared" si="128"/>
        <v/>
      </c>
      <c r="AE909" t="str">
        <f t="shared" si="129"/>
        <v/>
      </c>
      <c r="AF909" t="str">
        <f t="shared" si="130"/>
        <v/>
      </c>
      <c r="AG909" t="str">
        <f t="shared" si="131"/>
        <v/>
      </c>
      <c r="AH909">
        <f t="shared" si="132"/>
        <v>4</v>
      </c>
      <c r="AI909" t="str">
        <f t="shared" si="133"/>
        <v/>
      </c>
      <c r="AJ909" t="str">
        <f t="shared" si="134"/>
        <v/>
      </c>
    </row>
    <row r="910" spans="1:36">
      <c r="A910" s="5">
        <v>971</v>
      </c>
      <c r="B910" s="5" t="s">
        <v>1784</v>
      </c>
      <c r="C910" s="5" t="s">
        <v>1540</v>
      </c>
      <c r="D910" s="5" t="s">
        <v>1706</v>
      </c>
      <c r="E910" s="5" t="s">
        <v>269</v>
      </c>
      <c r="F910" s="5" t="str">
        <f t="shared" si="126"/>
        <v>Finance-Manager</v>
      </c>
      <c r="G910" s="5" t="s">
        <v>270</v>
      </c>
      <c r="H910" s="9">
        <v>44756.699247685188</v>
      </c>
      <c r="I910" s="9">
        <v>44758.699247685188</v>
      </c>
      <c r="J910" s="9" t="e">
        <f>I910+#REF!</f>
        <v>#REF!</v>
      </c>
      <c r="K910" s="9" t="e">
        <f>J910+#REF!</f>
        <v>#REF!</v>
      </c>
      <c r="L910" s="10" t="s">
        <v>41</v>
      </c>
      <c r="M910" s="11">
        <v>44771.699247685188</v>
      </c>
      <c r="N910" s="5" t="s">
        <v>42</v>
      </c>
      <c r="O910" s="5" t="s">
        <v>98</v>
      </c>
      <c r="P910" s="9"/>
      <c r="Q910" s="5"/>
      <c r="R910" s="5"/>
      <c r="S910" s="5"/>
      <c r="T910" s="9">
        <v>44774.699247685188</v>
      </c>
      <c r="U910" s="5"/>
      <c r="V910" s="5">
        <v>0</v>
      </c>
      <c r="W910" s="5"/>
      <c r="X910" s="5"/>
      <c r="Y910" s="5"/>
      <c r="Z910" s="5"/>
      <c r="AA910" s="5" t="s">
        <v>44</v>
      </c>
      <c r="AC910">
        <f t="shared" si="127"/>
        <v>13</v>
      </c>
      <c r="AD910" t="str">
        <f t="shared" si="128"/>
        <v/>
      </c>
      <c r="AE910">
        <f t="shared" si="129"/>
        <v>3</v>
      </c>
      <c r="AF910" t="str">
        <f t="shared" si="130"/>
        <v/>
      </c>
      <c r="AG910" t="str">
        <f t="shared" si="131"/>
        <v/>
      </c>
      <c r="AH910">
        <f t="shared" si="132"/>
        <v>2</v>
      </c>
      <c r="AI910" t="str">
        <f t="shared" si="133"/>
        <v/>
      </c>
      <c r="AJ910" t="str">
        <f t="shared" si="134"/>
        <v/>
      </c>
    </row>
    <row r="911" spans="1:36">
      <c r="A911" s="5">
        <v>973</v>
      </c>
      <c r="B911" s="5" t="s">
        <v>1666</v>
      </c>
      <c r="C911" s="5" t="s">
        <v>1540</v>
      </c>
      <c r="D911" s="5" t="s">
        <v>1588</v>
      </c>
      <c r="E911" s="5" t="s">
        <v>1360</v>
      </c>
      <c r="F911" s="5" t="str">
        <f t="shared" si="126"/>
        <v>Finance-Fund Administrator</v>
      </c>
      <c r="G911" s="5" t="s">
        <v>147</v>
      </c>
      <c r="H911" s="9">
        <v>44755.699247685188</v>
      </c>
      <c r="I911" s="9">
        <v>44759.699247685188</v>
      </c>
      <c r="J911" s="9" t="e">
        <f>I911+#REF!</f>
        <v>#REF!</v>
      </c>
      <c r="K911" s="9" t="e">
        <f>J911+#REF!</f>
        <v>#REF!</v>
      </c>
      <c r="L911" s="10" t="s">
        <v>41</v>
      </c>
      <c r="M911" s="11">
        <v>44773.699247685188</v>
      </c>
      <c r="N911" s="5" t="s">
        <v>42</v>
      </c>
      <c r="O911" s="5" t="s">
        <v>98</v>
      </c>
      <c r="P911" s="9"/>
      <c r="Q911" s="5"/>
      <c r="R911" s="5"/>
      <c r="S911" s="5"/>
      <c r="T911" s="9">
        <v>44774.699247685188</v>
      </c>
      <c r="U911" s="5"/>
      <c r="V911" s="5">
        <v>0</v>
      </c>
      <c r="W911" s="5"/>
      <c r="X911" s="5"/>
      <c r="Y911" s="5"/>
      <c r="Z911" s="5"/>
      <c r="AA911" s="5" t="s">
        <v>44</v>
      </c>
      <c r="AC911">
        <f t="shared" si="127"/>
        <v>14</v>
      </c>
      <c r="AD911" t="str">
        <f t="shared" si="128"/>
        <v/>
      </c>
      <c r="AE911">
        <f t="shared" si="129"/>
        <v>1</v>
      </c>
      <c r="AF911" t="str">
        <f t="shared" si="130"/>
        <v/>
      </c>
      <c r="AG911" t="str">
        <f t="shared" si="131"/>
        <v/>
      </c>
      <c r="AH911">
        <f t="shared" si="132"/>
        <v>4</v>
      </c>
      <c r="AI911" t="str">
        <f t="shared" si="133"/>
        <v/>
      </c>
      <c r="AJ911" t="str">
        <f t="shared" si="134"/>
        <v/>
      </c>
    </row>
    <row r="912" spans="1:36">
      <c r="A912" s="5">
        <v>974</v>
      </c>
      <c r="B912" s="5" t="s">
        <v>1934</v>
      </c>
      <c r="C912" s="5" t="s">
        <v>1540</v>
      </c>
      <c r="D912" s="5" t="s">
        <v>1925</v>
      </c>
      <c r="E912" s="5" t="s">
        <v>1039</v>
      </c>
      <c r="F912" s="5" t="str">
        <f t="shared" si="126"/>
        <v>Finance-Associate Director</v>
      </c>
      <c r="G912" s="5" t="s">
        <v>56</v>
      </c>
      <c r="H912" s="9">
        <v>44754.699247685188</v>
      </c>
      <c r="I912" s="9">
        <v>44758.699247685188</v>
      </c>
      <c r="J912" s="9" t="e">
        <f>I912+#REF!</f>
        <v>#REF!</v>
      </c>
      <c r="K912" s="9" t="e">
        <f>J912+#REF!</f>
        <v>#REF!</v>
      </c>
      <c r="L912" s="10" t="s">
        <v>41</v>
      </c>
      <c r="M912" s="11">
        <v>44781.699247685188</v>
      </c>
      <c r="N912" s="5" t="s">
        <v>48</v>
      </c>
      <c r="O912" s="5"/>
      <c r="P912" s="9">
        <v>44786.699247685188</v>
      </c>
      <c r="Q912" s="5" t="s">
        <v>48</v>
      </c>
      <c r="R912" s="5"/>
      <c r="S912" s="5"/>
      <c r="T912" s="9">
        <v>44785.699247685188</v>
      </c>
      <c r="U912" s="5"/>
      <c r="V912" s="5">
        <v>0</v>
      </c>
      <c r="W912" s="5"/>
      <c r="X912" s="5"/>
      <c r="Y912" s="5"/>
      <c r="Z912" s="5"/>
      <c r="AA912" s="5"/>
      <c r="AC912">
        <f t="shared" si="127"/>
        <v>23</v>
      </c>
      <c r="AD912" t="str">
        <f t="shared" si="128"/>
        <v/>
      </c>
      <c r="AE912">
        <f t="shared" si="129"/>
        <v>4</v>
      </c>
      <c r="AF912" t="str">
        <f t="shared" si="130"/>
        <v/>
      </c>
      <c r="AG912" t="str">
        <f t="shared" si="131"/>
        <v/>
      </c>
      <c r="AH912">
        <f t="shared" si="132"/>
        <v>4</v>
      </c>
      <c r="AI912" t="str">
        <f t="shared" si="133"/>
        <v/>
      </c>
      <c r="AJ912" t="str">
        <f t="shared" si="134"/>
        <v/>
      </c>
    </row>
    <row r="913" spans="1:36">
      <c r="A913" s="5">
        <v>975</v>
      </c>
      <c r="B913" s="5" t="s">
        <v>1783</v>
      </c>
      <c r="C913" s="5" t="s">
        <v>1540</v>
      </c>
      <c r="D913" s="5" t="s">
        <v>1706</v>
      </c>
      <c r="E913" s="5" t="s">
        <v>269</v>
      </c>
      <c r="F913" s="5" t="str">
        <f t="shared" si="126"/>
        <v>Finance-Manager</v>
      </c>
      <c r="G913" s="5" t="s">
        <v>270</v>
      </c>
      <c r="H913" s="9">
        <v>44758.699247685188</v>
      </c>
      <c r="I913" s="9">
        <v>44759.699247685188</v>
      </c>
      <c r="J913" s="9" t="e">
        <f>I913+#REF!</f>
        <v>#REF!</v>
      </c>
      <c r="K913" s="9" t="e">
        <f>J913+#REF!</f>
        <v>#REF!</v>
      </c>
      <c r="L913" s="10" t="s">
        <v>41</v>
      </c>
      <c r="M913" s="11">
        <v>44766.699247685188</v>
      </c>
      <c r="N913" s="5" t="s">
        <v>167</v>
      </c>
      <c r="O913" s="5"/>
      <c r="P913" s="9">
        <v>44770.699247685188</v>
      </c>
      <c r="Q913" s="5" t="s">
        <v>167</v>
      </c>
      <c r="R913" s="5"/>
      <c r="S913" s="5"/>
      <c r="T913" s="9">
        <v>44768.699247685188</v>
      </c>
      <c r="U913" s="5"/>
      <c r="V913" s="5">
        <v>0</v>
      </c>
      <c r="W913" s="5"/>
      <c r="X913" s="5"/>
      <c r="Y913" s="5"/>
      <c r="Z913" s="5"/>
      <c r="AA913" s="5"/>
      <c r="AC913">
        <f t="shared" si="127"/>
        <v>7</v>
      </c>
      <c r="AD913" t="str">
        <f t="shared" si="128"/>
        <v/>
      </c>
      <c r="AE913">
        <f t="shared" si="129"/>
        <v>2</v>
      </c>
      <c r="AF913" t="str">
        <f t="shared" si="130"/>
        <v/>
      </c>
      <c r="AG913" t="str">
        <f t="shared" si="131"/>
        <v/>
      </c>
      <c r="AH913">
        <f t="shared" si="132"/>
        <v>1</v>
      </c>
      <c r="AI913" t="str">
        <f t="shared" si="133"/>
        <v/>
      </c>
      <c r="AJ913" t="str">
        <f t="shared" si="134"/>
        <v/>
      </c>
    </row>
    <row r="914" spans="1:36">
      <c r="A914" s="5">
        <v>976</v>
      </c>
      <c r="B914" s="5" t="s">
        <v>1665</v>
      </c>
      <c r="C914" s="5" t="s">
        <v>1540</v>
      </c>
      <c r="D914" s="5" t="s">
        <v>1588</v>
      </c>
      <c r="E914" s="5" t="s">
        <v>1360</v>
      </c>
      <c r="F914" s="5" t="str">
        <f t="shared" si="126"/>
        <v>Finance-Fund Administrator</v>
      </c>
      <c r="G914" s="5" t="s">
        <v>147</v>
      </c>
      <c r="H914" s="9">
        <v>44761.699247685188</v>
      </c>
      <c r="I914" s="9">
        <v>44763.699247685188</v>
      </c>
      <c r="J914" s="9" t="e">
        <f>I914+#REF!</f>
        <v>#REF!</v>
      </c>
      <c r="K914" s="9" t="e">
        <f>J914+#REF!</f>
        <v>#REF!</v>
      </c>
      <c r="L914" s="10" t="s">
        <v>41</v>
      </c>
      <c r="M914" s="11">
        <v>44777.699247685188</v>
      </c>
      <c r="N914" s="5" t="s">
        <v>42</v>
      </c>
      <c r="O914" s="5" t="s">
        <v>113</v>
      </c>
      <c r="P914" s="9"/>
      <c r="Q914" s="5"/>
      <c r="R914" s="5"/>
      <c r="S914" s="5"/>
      <c r="T914" s="9">
        <v>44778.699247685188</v>
      </c>
      <c r="U914" s="5"/>
      <c r="V914" s="5">
        <v>0</v>
      </c>
      <c r="W914" s="5"/>
      <c r="X914" s="5"/>
      <c r="Y914" s="5"/>
      <c r="Z914" s="5"/>
      <c r="AA914" s="5" t="s">
        <v>44</v>
      </c>
      <c r="AC914">
        <f t="shared" si="127"/>
        <v>14</v>
      </c>
      <c r="AD914" t="str">
        <f t="shared" si="128"/>
        <v/>
      </c>
      <c r="AE914">
        <f t="shared" si="129"/>
        <v>1</v>
      </c>
      <c r="AF914" t="str">
        <f t="shared" si="130"/>
        <v/>
      </c>
      <c r="AG914" t="str">
        <f t="shared" si="131"/>
        <v/>
      </c>
      <c r="AH914">
        <f t="shared" si="132"/>
        <v>2</v>
      </c>
      <c r="AI914" t="str">
        <f t="shared" si="133"/>
        <v/>
      </c>
      <c r="AJ914" t="str">
        <f t="shared" si="134"/>
        <v/>
      </c>
    </row>
    <row r="915" spans="1:36">
      <c r="A915" s="5">
        <v>977</v>
      </c>
      <c r="B915" s="5" t="s">
        <v>2055</v>
      </c>
      <c r="C915" s="5" t="s">
        <v>1540</v>
      </c>
      <c r="D915" s="5" t="s">
        <v>1985</v>
      </c>
      <c r="E915" s="5" t="s">
        <v>1862</v>
      </c>
      <c r="F915" s="5" t="str">
        <f t="shared" si="126"/>
        <v>Finance-Billing Officer</v>
      </c>
      <c r="G915" s="5" t="s">
        <v>47</v>
      </c>
      <c r="H915" s="9">
        <v>44759.699247685188</v>
      </c>
      <c r="I915" s="9">
        <v>44760.699247685188</v>
      </c>
      <c r="J915" s="9" t="e">
        <f>I915+#REF!</f>
        <v>#REF!</v>
      </c>
      <c r="K915" s="9" t="e">
        <f>J915+#REF!</f>
        <v>#REF!</v>
      </c>
      <c r="L915" s="10" t="s">
        <v>41</v>
      </c>
      <c r="M915" s="11">
        <v>44777.699247685188</v>
      </c>
      <c r="N915" s="5" t="s">
        <v>42</v>
      </c>
      <c r="O915" s="5" t="s">
        <v>98</v>
      </c>
      <c r="P915" s="9"/>
      <c r="Q915" s="5"/>
      <c r="R915" s="5"/>
      <c r="S915" s="5"/>
      <c r="T915" s="9"/>
      <c r="U915" s="5"/>
      <c r="V915" s="5">
        <v>0</v>
      </c>
      <c r="W915" s="5"/>
      <c r="X915" s="5"/>
      <c r="Y915" s="5"/>
      <c r="Z915" s="5"/>
      <c r="AA915" s="5" t="s">
        <v>44</v>
      </c>
      <c r="AC915">
        <f t="shared" si="127"/>
        <v>17</v>
      </c>
      <c r="AD915" t="str">
        <f t="shared" si="128"/>
        <v/>
      </c>
      <c r="AE915" t="str">
        <f t="shared" si="129"/>
        <v/>
      </c>
      <c r="AF915" t="str">
        <f t="shared" si="130"/>
        <v/>
      </c>
      <c r="AG915" t="str">
        <f t="shared" si="131"/>
        <v/>
      </c>
      <c r="AH915">
        <f t="shared" si="132"/>
        <v>1</v>
      </c>
      <c r="AI915" t="str">
        <f t="shared" si="133"/>
        <v/>
      </c>
      <c r="AJ915" t="str">
        <f t="shared" si="134"/>
        <v/>
      </c>
    </row>
    <row r="916" spans="1:36">
      <c r="A916" s="5">
        <v>979</v>
      </c>
      <c r="B916" s="5" t="s">
        <v>1782</v>
      </c>
      <c r="C916" s="5" t="s">
        <v>1540</v>
      </c>
      <c r="D916" s="5" t="s">
        <v>1706</v>
      </c>
      <c r="E916" s="5" t="s">
        <v>269</v>
      </c>
      <c r="F916" s="5" t="str">
        <f t="shared" si="126"/>
        <v>Finance-Manager</v>
      </c>
      <c r="G916" s="5" t="s">
        <v>270</v>
      </c>
      <c r="H916" s="9">
        <v>44757.699247685188</v>
      </c>
      <c r="I916" s="9">
        <v>44761.699247685188</v>
      </c>
      <c r="J916" s="9" t="e">
        <f>I916+#REF!</f>
        <v>#REF!</v>
      </c>
      <c r="K916" s="9" t="e">
        <f>J916+#REF!</f>
        <v>#REF!</v>
      </c>
      <c r="L916" s="10" t="s">
        <v>41</v>
      </c>
      <c r="M916" s="11">
        <v>44768.699247685188</v>
      </c>
      <c r="N916" s="5" t="s">
        <v>64</v>
      </c>
      <c r="O916" s="5"/>
      <c r="P916" s="9">
        <v>44774.699247685188</v>
      </c>
      <c r="Q916" s="5" t="s">
        <v>64</v>
      </c>
      <c r="R916" s="9">
        <v>44769.699247685188</v>
      </c>
      <c r="S916" s="9">
        <v>44773.699247685188</v>
      </c>
      <c r="T916" s="9">
        <v>44771.699247685188</v>
      </c>
      <c r="U916" s="9">
        <v>44779.699247685188</v>
      </c>
      <c r="V916" s="12">
        <v>1</v>
      </c>
      <c r="W916" s="9">
        <v>44782.699247685188</v>
      </c>
      <c r="X916" s="9">
        <v>44784.699247685188</v>
      </c>
      <c r="Y916" s="9">
        <v>44786.699247685188</v>
      </c>
      <c r="Z916" s="5"/>
      <c r="AA916" s="5"/>
      <c r="AB916" s="13">
        <v>44795.699247685188</v>
      </c>
      <c r="AC916">
        <f t="shared" si="127"/>
        <v>7</v>
      </c>
      <c r="AD916">
        <f t="shared" si="128"/>
        <v>12</v>
      </c>
      <c r="AE916">
        <f t="shared" si="129"/>
        <v>3</v>
      </c>
      <c r="AF916">
        <f t="shared" si="130"/>
        <v>5</v>
      </c>
      <c r="AG916">
        <f t="shared" si="131"/>
        <v>3</v>
      </c>
      <c r="AH916">
        <f t="shared" si="132"/>
        <v>4</v>
      </c>
      <c r="AI916" t="str">
        <f t="shared" si="133"/>
        <v/>
      </c>
      <c r="AJ916" t="str">
        <f t="shared" si="134"/>
        <v/>
      </c>
    </row>
    <row r="917" spans="1:36">
      <c r="A917" s="5">
        <v>980</v>
      </c>
      <c r="B917" s="5" t="s">
        <v>1664</v>
      </c>
      <c r="C917" s="5" t="s">
        <v>1540</v>
      </c>
      <c r="D917" s="5" t="s">
        <v>1588</v>
      </c>
      <c r="E917" s="5" t="s">
        <v>1360</v>
      </c>
      <c r="F917" s="5" t="str">
        <f t="shared" si="126"/>
        <v>Finance-Fund Administrator</v>
      </c>
      <c r="G917" s="5" t="s">
        <v>147</v>
      </c>
      <c r="H917" s="9">
        <v>44759.699247685188</v>
      </c>
      <c r="I917" s="9">
        <v>44762.699247685188</v>
      </c>
      <c r="J917" s="9" t="e">
        <f>I917+#REF!</f>
        <v>#REF!</v>
      </c>
      <c r="K917" s="9" t="e">
        <f>J917+#REF!</f>
        <v>#REF!</v>
      </c>
      <c r="L917" s="10" t="s">
        <v>52</v>
      </c>
      <c r="M917" s="11"/>
      <c r="N917" s="5"/>
      <c r="O917" s="5"/>
      <c r="P917" s="9"/>
      <c r="Q917" s="5"/>
      <c r="R917" s="5"/>
      <c r="S917" s="5"/>
      <c r="T917" s="9"/>
      <c r="U917" s="5"/>
      <c r="V917" s="5">
        <v>0</v>
      </c>
      <c r="W917" s="5"/>
      <c r="X917" s="5"/>
      <c r="Y917" s="5"/>
      <c r="Z917" s="5"/>
      <c r="AA917" s="5"/>
      <c r="AC917" t="str">
        <f t="shared" si="127"/>
        <v/>
      </c>
      <c r="AD917" t="str">
        <f t="shared" si="128"/>
        <v/>
      </c>
      <c r="AE917" t="str">
        <f t="shared" si="129"/>
        <v/>
      </c>
      <c r="AF917" t="str">
        <f t="shared" si="130"/>
        <v/>
      </c>
      <c r="AG917" t="str">
        <f t="shared" si="131"/>
        <v/>
      </c>
      <c r="AH917">
        <f t="shared" si="132"/>
        <v>3</v>
      </c>
      <c r="AI917" t="str">
        <f t="shared" si="133"/>
        <v/>
      </c>
      <c r="AJ917" t="str">
        <f t="shared" si="134"/>
        <v/>
      </c>
    </row>
    <row r="918" spans="1:36">
      <c r="A918" s="5">
        <v>981</v>
      </c>
      <c r="B918" s="5" t="s">
        <v>1107</v>
      </c>
      <c r="C918" s="5" t="s">
        <v>796</v>
      </c>
      <c r="D918" s="5" t="s">
        <v>1046</v>
      </c>
      <c r="E918" s="5" t="s">
        <v>597</v>
      </c>
      <c r="F918" s="5" t="str">
        <f t="shared" si="126"/>
        <v>M and E-Business Partner</v>
      </c>
      <c r="G918" s="5" t="s">
        <v>47</v>
      </c>
      <c r="H918" s="9">
        <v>44794.241203703707</v>
      </c>
      <c r="I918" s="9">
        <v>44798.241203703707</v>
      </c>
      <c r="J918" s="9" t="e">
        <f>I918+#REF!</f>
        <v>#REF!</v>
      </c>
      <c r="K918" s="9" t="e">
        <f>J918+#REF!</f>
        <v>#REF!</v>
      </c>
      <c r="L918" s="10" t="s">
        <v>41</v>
      </c>
      <c r="M918" s="11">
        <v>44820.241203703707</v>
      </c>
      <c r="N918" s="5" t="s">
        <v>48</v>
      </c>
      <c r="O918" s="5"/>
      <c r="P918" s="9">
        <v>44825.241203703707</v>
      </c>
      <c r="Q918" s="5" t="s">
        <v>48</v>
      </c>
      <c r="R918" s="5"/>
      <c r="S918" s="5"/>
      <c r="T918" s="9">
        <v>44821.241203703707</v>
      </c>
      <c r="U918" s="5"/>
      <c r="V918" s="5">
        <v>0</v>
      </c>
      <c r="W918" s="5"/>
      <c r="X918" s="5"/>
      <c r="Y918" s="5"/>
      <c r="Z918" s="5"/>
      <c r="AA918" s="5"/>
      <c r="AC918">
        <f t="shared" si="127"/>
        <v>22</v>
      </c>
      <c r="AD918" t="str">
        <f t="shared" si="128"/>
        <v/>
      </c>
      <c r="AE918">
        <f t="shared" si="129"/>
        <v>1</v>
      </c>
      <c r="AF918" t="str">
        <f t="shared" si="130"/>
        <v/>
      </c>
      <c r="AG918" t="str">
        <f t="shared" si="131"/>
        <v/>
      </c>
      <c r="AH918">
        <f t="shared" si="132"/>
        <v>4</v>
      </c>
      <c r="AI918" t="str">
        <f t="shared" si="133"/>
        <v/>
      </c>
      <c r="AJ918" t="str">
        <f t="shared" si="134"/>
        <v/>
      </c>
    </row>
    <row r="919" spans="1:36">
      <c r="A919" s="5">
        <v>982</v>
      </c>
      <c r="B919" s="5" t="s">
        <v>936</v>
      </c>
      <c r="C919" s="5" t="s">
        <v>796</v>
      </c>
      <c r="D919" s="5" t="s">
        <v>893</v>
      </c>
      <c r="E919" s="5" t="s">
        <v>269</v>
      </c>
      <c r="F919" s="5" t="str">
        <f t="shared" si="126"/>
        <v>M and E-Manager</v>
      </c>
      <c r="G919" s="5" t="s">
        <v>270</v>
      </c>
      <c r="H919" s="9">
        <v>44797.241203703707</v>
      </c>
      <c r="I919" s="9">
        <v>44798.241203703707</v>
      </c>
      <c r="J919" s="9" t="e">
        <f>I919+#REF!</f>
        <v>#REF!</v>
      </c>
      <c r="K919" s="9" t="e">
        <f>J919+#REF!</f>
        <v>#REF!</v>
      </c>
      <c r="L919" s="10" t="s">
        <v>41</v>
      </c>
      <c r="M919" s="11">
        <v>44811.241203703707</v>
      </c>
      <c r="N919" s="5" t="s">
        <v>48</v>
      </c>
      <c r="O919" s="5"/>
      <c r="P919" s="9">
        <v>44816.241203703707</v>
      </c>
      <c r="Q919" s="5" t="s">
        <v>48</v>
      </c>
      <c r="R919" s="5"/>
      <c r="S919" s="5"/>
      <c r="T919" s="9">
        <v>44814.241203703707</v>
      </c>
      <c r="U919" s="5"/>
      <c r="V919" s="5">
        <v>0</v>
      </c>
      <c r="W919" s="5"/>
      <c r="X919" s="5"/>
      <c r="Y919" s="5"/>
      <c r="Z919" s="5"/>
      <c r="AA919" s="5"/>
      <c r="AC919">
        <f t="shared" si="127"/>
        <v>13</v>
      </c>
      <c r="AD919" t="str">
        <f t="shared" si="128"/>
        <v/>
      </c>
      <c r="AE919">
        <f t="shared" si="129"/>
        <v>3</v>
      </c>
      <c r="AF919" t="str">
        <f t="shared" si="130"/>
        <v/>
      </c>
      <c r="AG919" t="str">
        <f t="shared" si="131"/>
        <v/>
      </c>
      <c r="AH919">
        <f t="shared" si="132"/>
        <v>1</v>
      </c>
      <c r="AI919" t="str">
        <f t="shared" si="133"/>
        <v/>
      </c>
      <c r="AJ919" t="str">
        <f t="shared" si="134"/>
        <v/>
      </c>
    </row>
    <row r="920" spans="1:36">
      <c r="A920" s="5">
        <v>983</v>
      </c>
      <c r="B920" s="5" t="s">
        <v>883</v>
      </c>
      <c r="C920" s="5" t="s">
        <v>796</v>
      </c>
      <c r="D920" s="5" t="s">
        <v>814</v>
      </c>
      <c r="E920" s="5" t="s">
        <v>39</v>
      </c>
      <c r="F920" s="5" t="str">
        <f t="shared" si="126"/>
        <v>M and E-Analyst</v>
      </c>
      <c r="G920" s="5" t="s">
        <v>147</v>
      </c>
      <c r="H920" s="9">
        <v>44801.241203703707</v>
      </c>
      <c r="I920" s="9">
        <v>44802.241203703707</v>
      </c>
      <c r="J920" s="9" t="e">
        <f>I920+#REF!</f>
        <v>#REF!</v>
      </c>
      <c r="K920" s="9" t="e">
        <f>J920+#REF!</f>
        <v>#REF!</v>
      </c>
      <c r="L920" s="10" t="s">
        <v>41</v>
      </c>
      <c r="M920" s="11">
        <v>44810.241203703707</v>
      </c>
      <c r="N920" s="5" t="s">
        <v>64</v>
      </c>
      <c r="O920" s="5"/>
      <c r="P920" s="9">
        <v>44812.241203703707</v>
      </c>
      <c r="Q920" s="5" t="s">
        <v>64</v>
      </c>
      <c r="R920" s="9">
        <v>44812.241203703707</v>
      </c>
      <c r="S920" s="9">
        <v>44815.241203703707</v>
      </c>
      <c r="T920" s="9">
        <v>44811.241203703707</v>
      </c>
      <c r="U920" s="9">
        <v>44817.241203703707</v>
      </c>
      <c r="V920" s="12">
        <v>1</v>
      </c>
      <c r="W920" s="9">
        <v>44820.241203703707</v>
      </c>
      <c r="X920" s="9">
        <v>44822.241203703707</v>
      </c>
      <c r="Y920" s="9">
        <v>44824.241203703707</v>
      </c>
      <c r="Z920" s="5"/>
      <c r="AA920" s="5"/>
      <c r="AB920" s="13">
        <v>44842.241203703707</v>
      </c>
      <c r="AC920">
        <f t="shared" si="127"/>
        <v>8</v>
      </c>
      <c r="AD920">
        <f t="shared" si="128"/>
        <v>13</v>
      </c>
      <c r="AE920">
        <f t="shared" si="129"/>
        <v>1</v>
      </c>
      <c r="AF920">
        <f t="shared" si="130"/>
        <v>5</v>
      </c>
      <c r="AG920">
        <f t="shared" si="131"/>
        <v>3</v>
      </c>
      <c r="AH920">
        <f t="shared" si="132"/>
        <v>1</v>
      </c>
      <c r="AI920" t="str">
        <f t="shared" si="133"/>
        <v/>
      </c>
      <c r="AJ920" t="str">
        <f t="shared" si="134"/>
        <v/>
      </c>
    </row>
    <row r="921" spans="1:36">
      <c r="A921" s="5">
        <v>984</v>
      </c>
      <c r="B921" s="5" t="s">
        <v>1012</v>
      </c>
      <c r="C921" s="5" t="s">
        <v>796</v>
      </c>
      <c r="D921" s="5" t="s">
        <v>957</v>
      </c>
      <c r="E921" s="5" t="s">
        <v>388</v>
      </c>
      <c r="F921" s="5" t="str">
        <f t="shared" si="126"/>
        <v>M and E-Extension Officer</v>
      </c>
      <c r="G921" s="5" t="s">
        <v>40</v>
      </c>
      <c r="H921" s="9">
        <v>44795.241203703707</v>
      </c>
      <c r="I921" s="9">
        <v>44797.241203703707</v>
      </c>
      <c r="J921" s="9" t="e">
        <f>I921+#REF!</f>
        <v>#REF!</v>
      </c>
      <c r="K921" s="9" t="e">
        <f>J921+#REF!</f>
        <v>#REF!</v>
      </c>
      <c r="L921" s="10" t="s">
        <v>52</v>
      </c>
      <c r="M921" s="11"/>
      <c r="N921" s="5"/>
      <c r="O921" s="5"/>
      <c r="P921" s="9"/>
      <c r="Q921" s="5"/>
      <c r="R921" s="5"/>
      <c r="S921" s="5"/>
      <c r="T921" s="9"/>
      <c r="U921" s="5"/>
      <c r="V921" s="5">
        <v>0</v>
      </c>
      <c r="W921" s="5"/>
      <c r="X921" s="5"/>
      <c r="Y921" s="5"/>
      <c r="Z921" s="5"/>
      <c r="AA921" s="5"/>
      <c r="AC921" t="str">
        <f t="shared" si="127"/>
        <v/>
      </c>
      <c r="AD921" t="str">
        <f t="shared" si="128"/>
        <v/>
      </c>
      <c r="AE921" t="str">
        <f t="shared" si="129"/>
        <v/>
      </c>
      <c r="AF921" t="str">
        <f t="shared" si="130"/>
        <v/>
      </c>
      <c r="AG921" t="str">
        <f t="shared" si="131"/>
        <v/>
      </c>
      <c r="AH921">
        <f t="shared" si="132"/>
        <v>2</v>
      </c>
      <c r="AI921" t="str">
        <f t="shared" si="133"/>
        <v/>
      </c>
      <c r="AJ921" t="str">
        <f t="shared" si="134"/>
        <v/>
      </c>
    </row>
    <row r="922" spans="1:36">
      <c r="A922" s="5">
        <v>985</v>
      </c>
      <c r="B922" s="5" t="s">
        <v>882</v>
      </c>
      <c r="C922" s="5" t="s">
        <v>796</v>
      </c>
      <c r="D922" s="5" t="s">
        <v>814</v>
      </c>
      <c r="E922" s="5" t="s">
        <v>39</v>
      </c>
      <c r="F922" s="5" t="str">
        <f t="shared" si="126"/>
        <v>M and E-Analyst</v>
      </c>
      <c r="G922" s="5" t="s">
        <v>147</v>
      </c>
      <c r="H922" s="9">
        <v>44796.241203703707</v>
      </c>
      <c r="I922" s="9">
        <v>44798.241203703707</v>
      </c>
      <c r="J922" s="9" t="e">
        <f>I922+#REF!</f>
        <v>#REF!</v>
      </c>
      <c r="K922" s="9" t="e">
        <f>J922+#REF!</f>
        <v>#REF!</v>
      </c>
      <c r="L922" s="10" t="s">
        <v>41</v>
      </c>
      <c r="M922" s="11">
        <v>44807.241203703707</v>
      </c>
      <c r="N922" s="5" t="s">
        <v>42</v>
      </c>
      <c r="O922" s="5" t="s">
        <v>113</v>
      </c>
      <c r="P922" s="9"/>
      <c r="Q922" s="5"/>
      <c r="R922" s="5"/>
      <c r="S922" s="5"/>
      <c r="T922" s="9"/>
      <c r="U922" s="5"/>
      <c r="V922" s="5">
        <v>0</v>
      </c>
      <c r="W922" s="5"/>
      <c r="X922" s="5"/>
      <c r="Y922" s="5"/>
      <c r="Z922" s="5"/>
      <c r="AA922" s="5" t="s">
        <v>62</v>
      </c>
      <c r="AC922">
        <f t="shared" si="127"/>
        <v>9</v>
      </c>
      <c r="AD922" t="str">
        <f t="shared" si="128"/>
        <v/>
      </c>
      <c r="AE922" t="str">
        <f t="shared" si="129"/>
        <v/>
      </c>
      <c r="AF922" t="str">
        <f t="shared" si="130"/>
        <v/>
      </c>
      <c r="AG922" t="str">
        <f t="shared" si="131"/>
        <v/>
      </c>
      <c r="AH922">
        <f t="shared" si="132"/>
        <v>2</v>
      </c>
      <c r="AI922" t="str">
        <f t="shared" si="133"/>
        <v/>
      </c>
      <c r="AJ922" t="str">
        <f t="shared" si="134"/>
        <v/>
      </c>
    </row>
    <row r="923" spans="1:36">
      <c r="A923" s="5">
        <v>986</v>
      </c>
      <c r="B923" s="5" t="s">
        <v>881</v>
      </c>
      <c r="C923" s="5" t="s">
        <v>796</v>
      </c>
      <c r="D923" s="5" t="s">
        <v>814</v>
      </c>
      <c r="E923" s="5" t="s">
        <v>39</v>
      </c>
      <c r="F923" s="5" t="str">
        <f t="shared" si="126"/>
        <v>M and E-Analyst</v>
      </c>
      <c r="G923" s="5" t="s">
        <v>147</v>
      </c>
      <c r="H923" s="9">
        <v>44798.241203703707</v>
      </c>
      <c r="I923" s="9">
        <v>44799.241203703707</v>
      </c>
      <c r="J923" s="9" t="e">
        <f>I923+#REF!</f>
        <v>#REF!</v>
      </c>
      <c r="K923" s="9" t="e">
        <f>J923+#REF!</f>
        <v>#REF!</v>
      </c>
      <c r="L923" s="10" t="s">
        <v>41</v>
      </c>
      <c r="M923" s="11">
        <v>44816.241203703707</v>
      </c>
      <c r="N923" s="5" t="s">
        <v>48</v>
      </c>
      <c r="O923" s="5"/>
      <c r="P923" s="9">
        <v>44819.241203703707</v>
      </c>
      <c r="Q923" s="5" t="s">
        <v>48</v>
      </c>
      <c r="R923" s="5"/>
      <c r="S923" s="5"/>
      <c r="T923" s="9">
        <v>44817.241203703707</v>
      </c>
      <c r="U923" s="5"/>
      <c r="V923" s="5">
        <v>0</v>
      </c>
      <c r="W923" s="5"/>
      <c r="X923" s="5"/>
      <c r="Y923" s="5"/>
      <c r="Z923" s="5"/>
      <c r="AA923" s="5"/>
      <c r="AC923">
        <f t="shared" si="127"/>
        <v>17</v>
      </c>
      <c r="AD923" t="str">
        <f t="shared" si="128"/>
        <v/>
      </c>
      <c r="AE923">
        <f t="shared" si="129"/>
        <v>1</v>
      </c>
      <c r="AF923" t="str">
        <f t="shared" si="130"/>
        <v/>
      </c>
      <c r="AG923" t="str">
        <f t="shared" si="131"/>
        <v/>
      </c>
      <c r="AH923">
        <f t="shared" si="132"/>
        <v>1</v>
      </c>
      <c r="AI923" t="str">
        <f t="shared" si="133"/>
        <v/>
      </c>
      <c r="AJ923" t="str">
        <f t="shared" si="134"/>
        <v/>
      </c>
    </row>
    <row r="924" spans="1:36">
      <c r="A924" s="5">
        <v>987</v>
      </c>
      <c r="B924" s="5" t="s">
        <v>1106</v>
      </c>
      <c r="C924" s="5" t="s">
        <v>796</v>
      </c>
      <c r="D924" s="5" t="s">
        <v>1046</v>
      </c>
      <c r="E924" s="5" t="s">
        <v>597</v>
      </c>
      <c r="F924" s="5" t="str">
        <f t="shared" si="126"/>
        <v>M and E-Business Partner</v>
      </c>
      <c r="G924" s="5" t="s">
        <v>47</v>
      </c>
      <c r="H924" s="9">
        <v>44795.241203703707</v>
      </c>
      <c r="I924" s="9">
        <v>44798.241203703707</v>
      </c>
      <c r="J924" s="9" t="e">
        <f>I924+#REF!</f>
        <v>#REF!</v>
      </c>
      <c r="K924" s="9" t="e">
        <f>J924+#REF!</f>
        <v>#REF!</v>
      </c>
      <c r="L924" s="10" t="s">
        <v>41</v>
      </c>
      <c r="M924" s="11">
        <v>44818.241203703707</v>
      </c>
      <c r="N924" s="5" t="s">
        <v>48</v>
      </c>
      <c r="O924" s="5"/>
      <c r="P924" s="9">
        <v>44824.241203703707</v>
      </c>
      <c r="Q924" s="5" t="s">
        <v>48</v>
      </c>
      <c r="R924" s="5"/>
      <c r="S924" s="5"/>
      <c r="T924" s="9">
        <v>44820.241203703707</v>
      </c>
      <c r="U924" s="5"/>
      <c r="V924" s="5">
        <v>0</v>
      </c>
      <c r="W924" s="5"/>
      <c r="X924" s="5"/>
      <c r="Y924" s="5"/>
      <c r="Z924" s="5"/>
      <c r="AA924" s="5"/>
      <c r="AC924">
        <f t="shared" si="127"/>
        <v>20</v>
      </c>
      <c r="AD924" t="str">
        <f t="shared" si="128"/>
        <v/>
      </c>
      <c r="AE924">
        <f t="shared" si="129"/>
        <v>2</v>
      </c>
      <c r="AF924" t="str">
        <f t="shared" si="130"/>
        <v/>
      </c>
      <c r="AG924" t="str">
        <f t="shared" si="131"/>
        <v/>
      </c>
      <c r="AH924">
        <f t="shared" si="132"/>
        <v>3</v>
      </c>
      <c r="AI924" t="str">
        <f t="shared" si="133"/>
        <v/>
      </c>
      <c r="AJ924" t="str">
        <f t="shared" si="134"/>
        <v/>
      </c>
    </row>
    <row r="925" spans="1:36">
      <c r="A925" s="5">
        <v>988</v>
      </c>
      <c r="B925" s="5" t="s">
        <v>880</v>
      </c>
      <c r="C925" s="5" t="s">
        <v>796</v>
      </c>
      <c r="D925" s="5" t="s">
        <v>814</v>
      </c>
      <c r="E925" s="5" t="s">
        <v>39</v>
      </c>
      <c r="F925" s="5" t="str">
        <f t="shared" si="126"/>
        <v>M and E-Analyst</v>
      </c>
      <c r="G925" s="5" t="s">
        <v>147</v>
      </c>
      <c r="H925" s="9">
        <v>44795.241203703707</v>
      </c>
      <c r="I925" s="9">
        <v>44798.241203703707</v>
      </c>
      <c r="J925" s="9" t="e">
        <f>I925+#REF!</f>
        <v>#REF!</v>
      </c>
      <c r="K925" s="9" t="e">
        <f>J925+#REF!</f>
        <v>#REF!</v>
      </c>
      <c r="L925" s="10" t="s">
        <v>52</v>
      </c>
      <c r="M925" s="11"/>
      <c r="N925" s="5"/>
      <c r="O925" s="5"/>
      <c r="P925" s="9"/>
      <c r="Q925" s="5"/>
      <c r="R925" s="5"/>
      <c r="S925" s="5"/>
      <c r="T925" s="9"/>
      <c r="U925" s="5"/>
      <c r="V925" s="5">
        <v>0</v>
      </c>
      <c r="W925" s="5"/>
      <c r="X925" s="5"/>
      <c r="Y925" s="5"/>
      <c r="Z925" s="5"/>
      <c r="AA925" s="5"/>
      <c r="AC925" t="str">
        <f t="shared" si="127"/>
        <v/>
      </c>
      <c r="AD925" t="str">
        <f t="shared" si="128"/>
        <v/>
      </c>
      <c r="AE925" t="str">
        <f t="shared" si="129"/>
        <v/>
      </c>
      <c r="AF925" t="str">
        <f t="shared" si="130"/>
        <v/>
      </c>
      <c r="AG925" t="str">
        <f t="shared" si="131"/>
        <v/>
      </c>
      <c r="AH925">
        <f t="shared" si="132"/>
        <v>3</v>
      </c>
      <c r="AI925" t="str">
        <f t="shared" si="133"/>
        <v/>
      </c>
      <c r="AJ925" t="str">
        <f t="shared" si="134"/>
        <v/>
      </c>
    </row>
    <row r="926" spans="1:36">
      <c r="A926" s="5">
        <v>989</v>
      </c>
      <c r="B926" s="5" t="s">
        <v>879</v>
      </c>
      <c r="C926" s="5" t="s">
        <v>796</v>
      </c>
      <c r="D926" s="5" t="s">
        <v>814</v>
      </c>
      <c r="E926" s="5" t="s">
        <v>39</v>
      </c>
      <c r="F926" s="5" t="str">
        <f t="shared" si="126"/>
        <v>M and E-Analyst</v>
      </c>
      <c r="G926" s="5" t="s">
        <v>147</v>
      </c>
      <c r="H926" s="9">
        <v>44801.241203703707</v>
      </c>
      <c r="I926" s="9">
        <v>44802.241203703707</v>
      </c>
      <c r="J926" s="9" t="e">
        <f>I926+#REF!</f>
        <v>#REF!</v>
      </c>
      <c r="K926" s="9" t="e">
        <f>J926+#REF!</f>
        <v>#REF!</v>
      </c>
      <c r="L926" s="10" t="s">
        <v>41</v>
      </c>
      <c r="M926" s="11">
        <v>44820.241203703707</v>
      </c>
      <c r="N926" s="5" t="s">
        <v>48</v>
      </c>
      <c r="O926" s="5"/>
      <c r="P926" s="9">
        <v>44825.241203703707</v>
      </c>
      <c r="Q926" s="5" t="s">
        <v>48</v>
      </c>
      <c r="R926" s="5"/>
      <c r="S926" s="5"/>
      <c r="T926" s="9">
        <v>44821.241203703707</v>
      </c>
      <c r="U926" s="5"/>
      <c r="V926" s="5">
        <v>0</v>
      </c>
      <c r="W926" s="5"/>
      <c r="X926" s="5"/>
      <c r="Y926" s="5"/>
      <c r="Z926" s="5"/>
      <c r="AA926" s="5"/>
      <c r="AC926">
        <f t="shared" si="127"/>
        <v>18</v>
      </c>
      <c r="AD926" t="str">
        <f t="shared" si="128"/>
        <v/>
      </c>
      <c r="AE926">
        <f t="shared" si="129"/>
        <v>1</v>
      </c>
      <c r="AF926" t="str">
        <f t="shared" si="130"/>
        <v/>
      </c>
      <c r="AG926" t="str">
        <f t="shared" si="131"/>
        <v/>
      </c>
      <c r="AH926">
        <f t="shared" si="132"/>
        <v>1</v>
      </c>
      <c r="AI926" t="str">
        <f t="shared" si="133"/>
        <v/>
      </c>
      <c r="AJ926" t="str">
        <f t="shared" si="134"/>
        <v/>
      </c>
    </row>
    <row r="927" spans="1:36">
      <c r="A927" s="5">
        <v>990</v>
      </c>
      <c r="B927" s="5" t="s">
        <v>878</v>
      </c>
      <c r="C927" s="5" t="s">
        <v>796</v>
      </c>
      <c r="D927" s="5" t="s">
        <v>814</v>
      </c>
      <c r="E927" s="5" t="s">
        <v>39</v>
      </c>
      <c r="F927" s="5" t="str">
        <f t="shared" si="126"/>
        <v>M and E-Analyst</v>
      </c>
      <c r="G927" s="5" t="s">
        <v>147</v>
      </c>
      <c r="H927" s="9">
        <v>44796.241203703707</v>
      </c>
      <c r="I927" s="9">
        <v>44799.241203703707</v>
      </c>
      <c r="J927" s="9" t="e">
        <f>I927+#REF!</f>
        <v>#REF!</v>
      </c>
      <c r="K927" s="9" t="e">
        <f>J927+#REF!</f>
        <v>#REF!</v>
      </c>
      <c r="L927" s="10" t="s">
        <v>41</v>
      </c>
      <c r="M927" s="11">
        <v>44808.241203703707</v>
      </c>
      <c r="N927" s="5" t="s">
        <v>64</v>
      </c>
      <c r="O927" s="5"/>
      <c r="P927" s="9">
        <v>44811.241203703707</v>
      </c>
      <c r="Q927" s="5" t="s">
        <v>64</v>
      </c>
      <c r="R927" s="9">
        <v>44810.241203703707</v>
      </c>
      <c r="S927" s="9">
        <v>44811.241203703707</v>
      </c>
      <c r="T927" s="9">
        <v>44809.241203703707</v>
      </c>
      <c r="U927" s="9">
        <v>44812.241203703707</v>
      </c>
      <c r="V927" s="12">
        <v>1</v>
      </c>
      <c r="W927" s="9">
        <v>44815.241203703707</v>
      </c>
      <c r="X927" s="9">
        <v>44818.241203703707</v>
      </c>
      <c r="Y927" s="9">
        <v>44819.241203703707</v>
      </c>
      <c r="Z927" s="5"/>
      <c r="AA927" s="5"/>
      <c r="AB927" s="13">
        <v>44842.241203703707</v>
      </c>
      <c r="AC927">
        <f t="shared" si="127"/>
        <v>9</v>
      </c>
      <c r="AD927">
        <f t="shared" si="128"/>
        <v>12</v>
      </c>
      <c r="AE927">
        <f t="shared" si="129"/>
        <v>1</v>
      </c>
      <c r="AF927">
        <f t="shared" si="130"/>
        <v>6</v>
      </c>
      <c r="AG927">
        <f t="shared" si="131"/>
        <v>3</v>
      </c>
      <c r="AH927">
        <f t="shared" si="132"/>
        <v>3</v>
      </c>
      <c r="AI927" t="str">
        <f t="shared" si="133"/>
        <v/>
      </c>
      <c r="AJ927" t="str">
        <f t="shared" si="134"/>
        <v/>
      </c>
    </row>
    <row r="928" spans="1:36">
      <c r="A928" s="5">
        <v>991</v>
      </c>
      <c r="B928" s="5" t="s">
        <v>340</v>
      </c>
      <c r="C928" s="5" t="s">
        <v>100</v>
      </c>
      <c r="D928" s="5" t="s">
        <v>268</v>
      </c>
      <c r="E928" s="5" t="s">
        <v>291</v>
      </c>
      <c r="F928" s="5" t="str">
        <f t="shared" si="126"/>
        <v>Program Office-Cordination Manager</v>
      </c>
      <c r="G928" s="5" t="s">
        <v>270</v>
      </c>
      <c r="H928" s="9">
        <v>45010.858425925922</v>
      </c>
      <c r="I928" s="9">
        <v>45014.858425925922</v>
      </c>
      <c r="J928" s="9" t="e">
        <f>I928+#REF!</f>
        <v>#REF!</v>
      </c>
      <c r="K928" s="9" t="e">
        <f>J928+#REF!</f>
        <v>#REF!</v>
      </c>
      <c r="L928" s="10" t="s">
        <v>41</v>
      </c>
      <c r="M928" s="11">
        <v>45031.858425925922</v>
      </c>
      <c r="N928" s="5" t="s">
        <v>64</v>
      </c>
      <c r="O928" s="5"/>
      <c r="P928" s="9">
        <v>45034.858425925922</v>
      </c>
      <c r="Q928" s="5" t="s">
        <v>64</v>
      </c>
      <c r="R928" s="9">
        <v>45033.858425925922</v>
      </c>
      <c r="S928" s="9">
        <v>45037.858425925922</v>
      </c>
      <c r="T928" s="9">
        <v>45033.858425925922</v>
      </c>
      <c r="U928" s="9">
        <v>45040.858425925922</v>
      </c>
      <c r="V928" s="12">
        <v>1</v>
      </c>
      <c r="W928" s="9">
        <v>45042.858425925922</v>
      </c>
      <c r="X928" s="9">
        <v>45044.858425925922</v>
      </c>
      <c r="Y928" s="9">
        <v>45045.858425925922</v>
      </c>
      <c r="Z928" s="5"/>
      <c r="AA928" s="5"/>
      <c r="AB928" s="13">
        <v>45060.858425925922</v>
      </c>
      <c r="AC928">
        <f t="shared" si="127"/>
        <v>17</v>
      </c>
      <c r="AD928">
        <f t="shared" si="128"/>
        <v>23</v>
      </c>
      <c r="AE928">
        <f t="shared" si="129"/>
        <v>2</v>
      </c>
      <c r="AF928">
        <f t="shared" si="130"/>
        <v>4</v>
      </c>
      <c r="AG928">
        <f t="shared" si="131"/>
        <v>2</v>
      </c>
      <c r="AH928">
        <f t="shared" si="132"/>
        <v>4</v>
      </c>
      <c r="AI928" t="str">
        <f t="shared" si="133"/>
        <v/>
      </c>
      <c r="AJ928" t="str">
        <f t="shared" si="134"/>
        <v/>
      </c>
    </row>
    <row r="929" spans="1:36">
      <c r="A929" s="5">
        <v>992</v>
      </c>
      <c r="B929" s="5" t="s">
        <v>339</v>
      </c>
      <c r="C929" s="5" t="s">
        <v>100</v>
      </c>
      <c r="D929" s="5" t="s">
        <v>268</v>
      </c>
      <c r="E929" s="5" t="s">
        <v>291</v>
      </c>
      <c r="F929" s="5" t="str">
        <f t="shared" si="126"/>
        <v>Program Office-Cordination Manager</v>
      </c>
      <c r="G929" s="5" t="s">
        <v>270</v>
      </c>
      <c r="H929" s="9">
        <v>45016.858425925922</v>
      </c>
      <c r="I929" s="9">
        <v>45018.858425925922</v>
      </c>
      <c r="J929" s="9" t="e">
        <f>I929+#REF!</f>
        <v>#REF!</v>
      </c>
      <c r="K929" s="9" t="e">
        <f>J929+#REF!</f>
        <v>#REF!</v>
      </c>
      <c r="L929" s="10" t="s">
        <v>41</v>
      </c>
      <c r="M929" s="11">
        <v>45024.858425925922</v>
      </c>
      <c r="N929" s="5" t="s">
        <v>42</v>
      </c>
      <c r="O929" s="5" t="s">
        <v>98</v>
      </c>
      <c r="P929" s="9"/>
      <c r="Q929" s="5"/>
      <c r="R929" s="5"/>
      <c r="S929" s="5"/>
      <c r="T929" s="9"/>
      <c r="U929" s="5"/>
      <c r="V929" s="5">
        <v>0</v>
      </c>
      <c r="W929" s="5"/>
      <c r="X929" s="5"/>
      <c r="Y929" s="5"/>
      <c r="Z929" s="5"/>
      <c r="AA929" s="5" t="s">
        <v>44</v>
      </c>
      <c r="AC929">
        <f t="shared" si="127"/>
        <v>6</v>
      </c>
      <c r="AD929" t="str">
        <f t="shared" si="128"/>
        <v/>
      </c>
      <c r="AE929" t="str">
        <f t="shared" si="129"/>
        <v/>
      </c>
      <c r="AF929" t="str">
        <f t="shared" si="130"/>
        <v/>
      </c>
      <c r="AG929" t="str">
        <f t="shared" si="131"/>
        <v/>
      </c>
      <c r="AH929">
        <f t="shared" si="132"/>
        <v>2</v>
      </c>
      <c r="AI929" t="str">
        <f t="shared" si="133"/>
        <v/>
      </c>
      <c r="AJ929" t="str">
        <f t="shared" si="134"/>
        <v/>
      </c>
    </row>
    <row r="930" spans="1:36">
      <c r="A930" s="5">
        <v>993</v>
      </c>
      <c r="B930" s="5" t="s">
        <v>516</v>
      </c>
      <c r="C930" s="5" t="s">
        <v>100</v>
      </c>
      <c r="D930" s="5" t="s">
        <v>506</v>
      </c>
      <c r="E930" s="5" t="s">
        <v>55</v>
      </c>
      <c r="F930" s="5" t="str">
        <f t="shared" si="126"/>
        <v>Program Office-Director</v>
      </c>
      <c r="G930" s="5" t="s">
        <v>56</v>
      </c>
      <c r="H930" s="9">
        <v>45018.858425925922</v>
      </c>
      <c r="I930" s="9">
        <v>45019.858425925922</v>
      </c>
      <c r="J930" s="9" t="e">
        <f>I930+#REF!</f>
        <v>#REF!</v>
      </c>
      <c r="K930" s="9" t="e">
        <f>J930+#REF!</f>
        <v>#REF!</v>
      </c>
      <c r="L930" s="10" t="s">
        <v>41</v>
      </c>
      <c r="M930" s="11">
        <v>45032.858425925922</v>
      </c>
      <c r="N930" s="5" t="s">
        <v>64</v>
      </c>
      <c r="O930" s="5"/>
      <c r="P930" s="9">
        <v>45039.858425925922</v>
      </c>
      <c r="Q930" s="5" t="s">
        <v>64</v>
      </c>
      <c r="R930" s="9">
        <v>45034.858425925922</v>
      </c>
      <c r="S930" s="9">
        <v>45037.858425925922</v>
      </c>
      <c r="T930" s="9">
        <v>45035.858425925922</v>
      </c>
      <c r="U930" s="9">
        <v>45038.858425925922</v>
      </c>
      <c r="V930" s="12">
        <v>1</v>
      </c>
      <c r="W930" s="9">
        <v>45041.858425925922</v>
      </c>
      <c r="X930" s="9">
        <v>45044.858425925922</v>
      </c>
      <c r="Y930" s="9">
        <v>45046.858425925922</v>
      </c>
      <c r="Z930" s="5"/>
      <c r="AA930" s="5"/>
      <c r="AB930" s="13">
        <v>45061.858425925922</v>
      </c>
      <c r="AC930">
        <f t="shared" si="127"/>
        <v>13</v>
      </c>
      <c r="AD930">
        <f t="shared" si="128"/>
        <v>18</v>
      </c>
      <c r="AE930">
        <f t="shared" si="129"/>
        <v>3</v>
      </c>
      <c r="AF930">
        <f t="shared" si="130"/>
        <v>6</v>
      </c>
      <c r="AG930">
        <f t="shared" si="131"/>
        <v>3</v>
      </c>
      <c r="AH930">
        <f t="shared" si="132"/>
        <v>1</v>
      </c>
      <c r="AI930" t="str">
        <f t="shared" si="133"/>
        <v/>
      </c>
      <c r="AJ930" t="str">
        <f t="shared" si="134"/>
        <v/>
      </c>
    </row>
    <row r="931" spans="1:36">
      <c r="A931" s="5">
        <v>995</v>
      </c>
      <c r="B931" s="5" t="s">
        <v>458</v>
      </c>
      <c r="C931" s="5" t="s">
        <v>100</v>
      </c>
      <c r="D931" s="5" t="s">
        <v>387</v>
      </c>
      <c r="E931" s="5" t="s">
        <v>388</v>
      </c>
      <c r="F931" s="5" t="str">
        <f t="shared" si="126"/>
        <v>Program Office-Extension Officer</v>
      </c>
      <c r="G931" s="5" t="s">
        <v>40</v>
      </c>
      <c r="H931" s="9">
        <v>45017.858425925922</v>
      </c>
      <c r="I931" s="9">
        <v>45018.858425925922</v>
      </c>
      <c r="J931" s="9" t="e">
        <f>I931+#REF!</f>
        <v>#REF!</v>
      </c>
      <c r="K931" s="9" t="e">
        <f>J931+#REF!</f>
        <v>#REF!</v>
      </c>
      <c r="L931" s="10" t="s">
        <v>41</v>
      </c>
      <c r="M931" s="11">
        <v>45023.858425925922</v>
      </c>
      <c r="N931" s="5" t="s">
        <v>42</v>
      </c>
      <c r="O931" s="5" t="s">
        <v>43</v>
      </c>
      <c r="P931" s="9"/>
      <c r="Q931" s="5"/>
      <c r="R931" s="5"/>
      <c r="S931" s="5"/>
      <c r="T931" s="9"/>
      <c r="U931" s="5"/>
      <c r="V931" s="5">
        <v>0</v>
      </c>
      <c r="W931" s="5"/>
      <c r="X931" s="5"/>
      <c r="Y931" s="5"/>
      <c r="Z931" s="5"/>
      <c r="AA931" s="5" t="s">
        <v>44</v>
      </c>
      <c r="AC931">
        <f t="shared" si="127"/>
        <v>5</v>
      </c>
      <c r="AD931" t="str">
        <f t="shared" si="128"/>
        <v/>
      </c>
      <c r="AE931" t="str">
        <f t="shared" si="129"/>
        <v/>
      </c>
      <c r="AF931" t="str">
        <f t="shared" si="130"/>
        <v/>
      </c>
      <c r="AG931" t="str">
        <f t="shared" si="131"/>
        <v/>
      </c>
      <c r="AH931">
        <f t="shared" si="132"/>
        <v>1</v>
      </c>
      <c r="AI931" t="str">
        <f t="shared" si="133"/>
        <v/>
      </c>
      <c r="AJ931" t="str">
        <f t="shared" si="134"/>
        <v/>
      </c>
    </row>
    <row r="932" spans="1:36">
      <c r="A932" s="5">
        <v>996</v>
      </c>
      <c r="B932" s="5" t="s">
        <v>632</v>
      </c>
      <c r="C932" s="5" t="s">
        <v>100</v>
      </c>
      <c r="D932" s="5" t="s">
        <v>554</v>
      </c>
      <c r="E932" s="5" t="s">
        <v>597</v>
      </c>
      <c r="F932" s="5" t="str">
        <f t="shared" si="126"/>
        <v>Program Office-Business Partner</v>
      </c>
      <c r="G932" s="5" t="s">
        <v>47</v>
      </c>
      <c r="H932" s="9">
        <v>45015.858425925922</v>
      </c>
      <c r="I932" s="9">
        <v>45018.858425925922</v>
      </c>
      <c r="J932" s="9" t="e">
        <f>I932+#REF!</f>
        <v>#REF!</v>
      </c>
      <c r="K932" s="9" t="e">
        <f>J932+#REF!</f>
        <v>#REF!</v>
      </c>
      <c r="L932" s="10" t="s">
        <v>41</v>
      </c>
      <c r="M932" s="11">
        <v>45027.858425925922</v>
      </c>
      <c r="N932" s="5" t="s">
        <v>42</v>
      </c>
      <c r="O932" s="5" t="s">
        <v>73</v>
      </c>
      <c r="P932" s="9"/>
      <c r="Q932" s="5"/>
      <c r="R932" s="5"/>
      <c r="S932" s="5"/>
      <c r="T932" s="9"/>
      <c r="U932" s="5"/>
      <c r="V932" s="5">
        <v>0</v>
      </c>
      <c r="W932" s="5"/>
      <c r="X932" s="5"/>
      <c r="Y932" s="5"/>
      <c r="Z932" s="5"/>
      <c r="AA932" s="5" t="s">
        <v>44</v>
      </c>
      <c r="AC932">
        <f t="shared" si="127"/>
        <v>9</v>
      </c>
      <c r="AD932" t="str">
        <f t="shared" si="128"/>
        <v/>
      </c>
      <c r="AE932" t="str">
        <f t="shared" si="129"/>
        <v/>
      </c>
      <c r="AF932" t="str">
        <f t="shared" si="130"/>
        <v/>
      </c>
      <c r="AG932" t="str">
        <f t="shared" si="131"/>
        <v/>
      </c>
      <c r="AH932">
        <f t="shared" si="132"/>
        <v>3</v>
      </c>
      <c r="AI932" t="str">
        <f t="shared" si="133"/>
        <v/>
      </c>
      <c r="AJ932" t="str">
        <f t="shared" si="134"/>
        <v/>
      </c>
    </row>
    <row r="933" spans="1:36">
      <c r="A933" s="5">
        <v>997</v>
      </c>
      <c r="B933" s="5" t="s">
        <v>214</v>
      </c>
      <c r="C933" s="5" t="s">
        <v>100</v>
      </c>
      <c r="D933" s="5" t="s">
        <v>146</v>
      </c>
      <c r="E933" s="5" t="s">
        <v>39</v>
      </c>
      <c r="F933" s="5" t="str">
        <f t="shared" si="126"/>
        <v>Program Office-Analyst</v>
      </c>
      <c r="G933" s="5" t="s">
        <v>147</v>
      </c>
      <c r="H933" s="9">
        <v>45015.858425925922</v>
      </c>
      <c r="I933" s="9">
        <v>45019.858425925922</v>
      </c>
      <c r="J933" s="9" t="e">
        <f>I933+#REF!</f>
        <v>#REF!</v>
      </c>
      <c r="K933" s="9" t="e">
        <f>J933+#REF!</f>
        <v>#REF!</v>
      </c>
      <c r="L933" s="10" t="s">
        <v>41</v>
      </c>
      <c r="M933" s="11">
        <v>45024.858425925922</v>
      </c>
      <c r="N933" s="5" t="s">
        <v>64</v>
      </c>
      <c r="O933" s="5"/>
      <c r="P933" s="9">
        <v>45030.858425925922</v>
      </c>
      <c r="Q933" s="5" t="s">
        <v>64</v>
      </c>
      <c r="R933" s="9">
        <v>45025.858425925922</v>
      </c>
      <c r="S933" s="9">
        <v>45027.858425925922</v>
      </c>
      <c r="T933" s="9">
        <v>45026.858425925922</v>
      </c>
      <c r="U933" s="9">
        <v>45035.858425925922</v>
      </c>
      <c r="V933" s="12">
        <v>1</v>
      </c>
      <c r="W933" s="9">
        <v>45039.858425925922</v>
      </c>
      <c r="X933" s="9">
        <v>45042.858425925922</v>
      </c>
      <c r="Y933" s="9">
        <v>45044.858425925922</v>
      </c>
      <c r="Z933" s="5"/>
      <c r="AA933" s="5"/>
      <c r="AB933" s="13">
        <v>45063.858425925922</v>
      </c>
      <c r="AC933">
        <f t="shared" si="127"/>
        <v>5</v>
      </c>
      <c r="AD933">
        <f t="shared" si="128"/>
        <v>8</v>
      </c>
      <c r="AE933">
        <f t="shared" si="129"/>
        <v>2</v>
      </c>
      <c r="AF933">
        <f t="shared" si="130"/>
        <v>7</v>
      </c>
      <c r="AG933">
        <f t="shared" si="131"/>
        <v>4</v>
      </c>
      <c r="AH933">
        <f t="shared" si="132"/>
        <v>4</v>
      </c>
      <c r="AI933" t="str">
        <f t="shared" si="133"/>
        <v/>
      </c>
      <c r="AJ933" t="str">
        <f t="shared" si="134"/>
        <v/>
      </c>
    </row>
    <row r="934" spans="1:36">
      <c r="A934" s="5">
        <v>998</v>
      </c>
      <c r="B934" s="5" t="s">
        <v>213</v>
      </c>
      <c r="C934" s="5" t="s">
        <v>100</v>
      </c>
      <c r="D934" s="5" t="s">
        <v>146</v>
      </c>
      <c r="E934" s="5" t="s">
        <v>39</v>
      </c>
      <c r="F934" s="5" t="str">
        <f t="shared" si="126"/>
        <v>Program Office-Analyst</v>
      </c>
      <c r="G934" s="5" t="s">
        <v>147</v>
      </c>
      <c r="H934" s="9">
        <v>45012.858425925922</v>
      </c>
      <c r="I934" s="9">
        <v>45016.858425925922</v>
      </c>
      <c r="J934" s="9" t="e">
        <f>I934+#REF!</f>
        <v>#REF!</v>
      </c>
      <c r="K934" s="9" t="e">
        <f>J934+#REF!</f>
        <v>#REF!</v>
      </c>
      <c r="L934" s="10" t="s">
        <v>41</v>
      </c>
      <c r="M934" s="11">
        <v>45028.858425925922</v>
      </c>
      <c r="N934" s="5" t="s">
        <v>42</v>
      </c>
      <c r="O934" s="5" t="s">
        <v>43</v>
      </c>
      <c r="P934" s="9"/>
      <c r="Q934" s="5"/>
      <c r="R934" s="5"/>
      <c r="S934" s="5"/>
      <c r="T934" s="9"/>
      <c r="U934" s="5"/>
      <c r="V934" s="5">
        <v>0</v>
      </c>
      <c r="W934" s="5"/>
      <c r="X934" s="5"/>
      <c r="Y934" s="5"/>
      <c r="Z934" s="5"/>
      <c r="AA934" s="5" t="s">
        <v>62</v>
      </c>
      <c r="AC934">
        <f t="shared" si="127"/>
        <v>12</v>
      </c>
      <c r="AD934" t="str">
        <f t="shared" si="128"/>
        <v/>
      </c>
      <c r="AE934" t="str">
        <f t="shared" si="129"/>
        <v/>
      </c>
      <c r="AF934" t="str">
        <f t="shared" si="130"/>
        <v/>
      </c>
      <c r="AG934" t="str">
        <f t="shared" si="131"/>
        <v/>
      </c>
      <c r="AH934">
        <f t="shared" si="132"/>
        <v>4</v>
      </c>
      <c r="AI934" t="str">
        <f t="shared" si="133"/>
        <v/>
      </c>
      <c r="AJ934" t="str">
        <f t="shared" si="134"/>
        <v/>
      </c>
    </row>
    <row r="935" spans="1:36">
      <c r="A935" s="5">
        <v>1000</v>
      </c>
      <c r="B935" s="5" t="s">
        <v>338</v>
      </c>
      <c r="C935" s="5" t="s">
        <v>100</v>
      </c>
      <c r="D935" s="5" t="s">
        <v>268</v>
      </c>
      <c r="E935" s="5" t="s">
        <v>291</v>
      </c>
      <c r="F935" s="5" t="str">
        <f t="shared" si="126"/>
        <v>Program Office-Cordination Manager</v>
      </c>
      <c r="G935" s="5" t="s">
        <v>270</v>
      </c>
      <c r="H935" s="9">
        <v>45015.858425925922</v>
      </c>
      <c r="I935" s="9">
        <v>45018.858425925922</v>
      </c>
      <c r="J935" s="9" t="e">
        <f>I935+#REF!</f>
        <v>#REF!</v>
      </c>
      <c r="K935" s="9" t="e">
        <f>J935+#REF!</f>
        <v>#REF!</v>
      </c>
      <c r="L935" s="10" t="s">
        <v>41</v>
      </c>
      <c r="M935" s="11">
        <v>45033.858425925922</v>
      </c>
      <c r="N935" s="5" t="s">
        <v>48</v>
      </c>
      <c r="O935" s="5"/>
      <c r="P935" s="9">
        <v>45039.858425925922</v>
      </c>
      <c r="Q935" s="5" t="s">
        <v>48</v>
      </c>
      <c r="R935" s="5"/>
      <c r="S935" s="5"/>
      <c r="T935" s="9">
        <v>45037.858425925922</v>
      </c>
      <c r="U935" s="5"/>
      <c r="V935" s="5">
        <v>0</v>
      </c>
      <c r="W935" s="5"/>
      <c r="X935" s="5"/>
      <c r="Y935" s="5"/>
      <c r="Z935" s="5"/>
      <c r="AA935" s="5"/>
      <c r="AC935">
        <f t="shared" si="127"/>
        <v>15</v>
      </c>
      <c r="AD935" t="str">
        <f t="shared" si="128"/>
        <v/>
      </c>
      <c r="AE935">
        <f t="shared" si="129"/>
        <v>4</v>
      </c>
      <c r="AF935" t="str">
        <f t="shared" si="130"/>
        <v/>
      </c>
      <c r="AG935" t="str">
        <f t="shared" si="131"/>
        <v/>
      </c>
      <c r="AH935">
        <f t="shared" si="132"/>
        <v>3</v>
      </c>
      <c r="AI935" t="str">
        <f t="shared" si="133"/>
        <v/>
      </c>
      <c r="AJ935" t="str">
        <f t="shared" si="134"/>
        <v/>
      </c>
    </row>
    <row r="936" spans="1:36">
      <c r="A936" s="5">
        <v>1001</v>
      </c>
      <c r="B936" s="5" t="s">
        <v>935</v>
      </c>
      <c r="C936" s="5" t="s">
        <v>796</v>
      </c>
      <c r="D936" s="5" t="s">
        <v>893</v>
      </c>
      <c r="E936" s="5" t="s">
        <v>269</v>
      </c>
      <c r="F936" s="5" t="str">
        <f t="shared" si="126"/>
        <v>M and E-Manager</v>
      </c>
      <c r="G936" s="5" t="s">
        <v>270</v>
      </c>
      <c r="H936" s="9">
        <v>44919.68855324074</v>
      </c>
      <c r="I936" s="9">
        <v>44922.68855324074</v>
      </c>
      <c r="J936" s="9" t="e">
        <f>I936+#REF!</f>
        <v>#REF!</v>
      </c>
      <c r="K936" s="9" t="e">
        <f>J936+#REF!</f>
        <v>#REF!</v>
      </c>
      <c r="L936" s="10" t="s">
        <v>41</v>
      </c>
      <c r="M936" s="11">
        <v>44939.68855324074</v>
      </c>
      <c r="N936" s="5" t="s">
        <v>48</v>
      </c>
      <c r="O936" s="5"/>
      <c r="P936" s="9">
        <v>44943.68855324074</v>
      </c>
      <c r="Q936" s="5" t="s">
        <v>48</v>
      </c>
      <c r="R936" s="5"/>
      <c r="S936" s="5"/>
      <c r="T936" s="9">
        <v>44941.68855324074</v>
      </c>
      <c r="U936" s="5"/>
      <c r="V936" s="5">
        <v>0</v>
      </c>
      <c r="W936" s="5"/>
      <c r="X936" s="5"/>
      <c r="Y936" s="5"/>
      <c r="Z936" s="5"/>
      <c r="AA936" s="5"/>
      <c r="AC936">
        <f t="shared" si="127"/>
        <v>17</v>
      </c>
      <c r="AD936" t="str">
        <f t="shared" si="128"/>
        <v/>
      </c>
      <c r="AE936">
        <f t="shared" si="129"/>
        <v>2</v>
      </c>
      <c r="AF936" t="str">
        <f t="shared" si="130"/>
        <v/>
      </c>
      <c r="AG936" t="str">
        <f t="shared" si="131"/>
        <v/>
      </c>
      <c r="AH936">
        <f t="shared" si="132"/>
        <v>3</v>
      </c>
      <c r="AI936" t="str">
        <f t="shared" si="133"/>
        <v/>
      </c>
      <c r="AJ936" t="str">
        <f t="shared" si="134"/>
        <v/>
      </c>
    </row>
    <row r="937" spans="1:36">
      <c r="A937" s="5">
        <v>1002</v>
      </c>
      <c r="B937" s="5" t="s">
        <v>1011</v>
      </c>
      <c r="C937" s="5" t="s">
        <v>796</v>
      </c>
      <c r="D937" s="5" t="s">
        <v>957</v>
      </c>
      <c r="E937" s="5" t="s">
        <v>388</v>
      </c>
      <c r="F937" s="5" t="str">
        <f t="shared" si="126"/>
        <v>M and E-Extension Officer</v>
      </c>
      <c r="G937" s="5" t="s">
        <v>40</v>
      </c>
      <c r="H937" s="9">
        <v>44918.68855324074</v>
      </c>
      <c r="I937" s="9">
        <v>44919.68855324074</v>
      </c>
      <c r="J937" s="9" t="e">
        <f>I937+#REF!</f>
        <v>#REF!</v>
      </c>
      <c r="K937" s="9" t="e">
        <f>J937+#REF!</f>
        <v>#REF!</v>
      </c>
      <c r="L937" s="10" t="s">
        <v>52</v>
      </c>
      <c r="M937" s="11"/>
      <c r="N937" s="5"/>
      <c r="O937" s="5"/>
      <c r="P937" s="9"/>
      <c r="Q937" s="5"/>
      <c r="R937" s="5"/>
      <c r="S937" s="5"/>
      <c r="T937" s="9"/>
      <c r="U937" s="5"/>
      <c r="V937" s="5">
        <v>0</v>
      </c>
      <c r="W937" s="5"/>
      <c r="X937" s="5"/>
      <c r="Y937" s="5"/>
      <c r="Z937" s="5"/>
      <c r="AA937" s="5"/>
      <c r="AC937" t="str">
        <f t="shared" si="127"/>
        <v/>
      </c>
      <c r="AD937" t="str">
        <f t="shared" si="128"/>
        <v/>
      </c>
      <c r="AE937" t="str">
        <f t="shared" si="129"/>
        <v/>
      </c>
      <c r="AF937" t="str">
        <f t="shared" si="130"/>
        <v/>
      </c>
      <c r="AG937" t="str">
        <f t="shared" si="131"/>
        <v/>
      </c>
      <c r="AH937">
        <f t="shared" si="132"/>
        <v>1</v>
      </c>
      <c r="AI937" t="str">
        <f t="shared" si="133"/>
        <v/>
      </c>
      <c r="AJ937" t="str">
        <f t="shared" si="134"/>
        <v/>
      </c>
    </row>
    <row r="938" spans="1:36">
      <c r="A938" s="5">
        <v>1003</v>
      </c>
      <c r="B938" s="5" t="s">
        <v>877</v>
      </c>
      <c r="C938" s="5" t="s">
        <v>796</v>
      </c>
      <c r="D938" s="5" t="s">
        <v>814</v>
      </c>
      <c r="E938" s="5" t="s">
        <v>39</v>
      </c>
      <c r="F938" s="5" t="str">
        <f t="shared" si="126"/>
        <v>M and E-Analyst</v>
      </c>
      <c r="G938" s="5" t="s">
        <v>147</v>
      </c>
      <c r="H938" s="9">
        <v>44913.68855324074</v>
      </c>
      <c r="I938" s="9">
        <v>44917.68855324074</v>
      </c>
      <c r="J938" s="9" t="e">
        <f>I938+#REF!</f>
        <v>#REF!</v>
      </c>
      <c r="K938" s="9" t="e">
        <f>J938+#REF!</f>
        <v>#REF!</v>
      </c>
      <c r="L938" s="10" t="s">
        <v>41</v>
      </c>
      <c r="M938" s="11">
        <v>44937.68855324074</v>
      </c>
      <c r="N938" s="5" t="s">
        <v>64</v>
      </c>
      <c r="O938" s="5"/>
      <c r="P938" s="9">
        <v>44941.68855324074</v>
      </c>
      <c r="Q938" s="5" t="s">
        <v>64</v>
      </c>
      <c r="R938" s="9">
        <v>44939.68855324074</v>
      </c>
      <c r="S938" s="9">
        <v>44940.68855324074</v>
      </c>
      <c r="T938" s="9">
        <v>44938.68855324074</v>
      </c>
      <c r="U938" s="9">
        <v>44948.68855324074</v>
      </c>
      <c r="V938" s="12">
        <v>1</v>
      </c>
      <c r="W938" s="9">
        <v>44951.68855324074</v>
      </c>
      <c r="X938" s="9">
        <v>44954.68855324074</v>
      </c>
      <c r="Y938" s="9">
        <v>44957.68855324074</v>
      </c>
      <c r="Z938" s="5"/>
      <c r="AA938" s="5"/>
      <c r="AB938" s="13">
        <v>44973.68855324074</v>
      </c>
      <c r="AC938">
        <f t="shared" si="127"/>
        <v>20</v>
      </c>
      <c r="AD938">
        <f t="shared" si="128"/>
        <v>23</v>
      </c>
      <c r="AE938">
        <f t="shared" si="129"/>
        <v>1</v>
      </c>
      <c r="AF938">
        <f t="shared" si="130"/>
        <v>6</v>
      </c>
      <c r="AG938">
        <f t="shared" si="131"/>
        <v>3</v>
      </c>
      <c r="AH938">
        <f t="shared" si="132"/>
        <v>4</v>
      </c>
      <c r="AI938" t="str">
        <f t="shared" si="133"/>
        <v/>
      </c>
      <c r="AJ938" t="str">
        <f t="shared" si="134"/>
        <v/>
      </c>
    </row>
    <row r="939" spans="1:36">
      <c r="A939" s="5">
        <v>1004</v>
      </c>
      <c r="B939" s="5" t="s">
        <v>876</v>
      </c>
      <c r="C939" s="5" t="s">
        <v>796</v>
      </c>
      <c r="D939" s="5" t="s">
        <v>814</v>
      </c>
      <c r="E939" s="5" t="s">
        <v>39</v>
      </c>
      <c r="F939" s="5" t="str">
        <f t="shared" si="126"/>
        <v>M and E-Analyst</v>
      </c>
      <c r="G939" s="5" t="s">
        <v>147</v>
      </c>
      <c r="H939" s="9">
        <v>44918.68855324074</v>
      </c>
      <c r="I939" s="9">
        <v>44921.68855324074</v>
      </c>
      <c r="J939" s="9" t="e">
        <f>I939+#REF!</f>
        <v>#REF!</v>
      </c>
      <c r="K939" s="9" t="e">
        <f>J939+#REF!</f>
        <v>#REF!</v>
      </c>
      <c r="L939" s="10" t="s">
        <v>52</v>
      </c>
      <c r="M939" s="11"/>
      <c r="N939" s="5"/>
      <c r="O939" s="5"/>
      <c r="P939" s="9"/>
      <c r="Q939" s="5"/>
      <c r="R939" s="5"/>
      <c r="S939" s="5"/>
      <c r="T939" s="9"/>
      <c r="U939" s="5"/>
      <c r="V939" s="5">
        <v>0</v>
      </c>
      <c r="W939" s="5"/>
      <c r="X939" s="5"/>
      <c r="Y939" s="5"/>
      <c r="Z939" s="5"/>
      <c r="AA939" s="5"/>
      <c r="AC939" t="str">
        <f t="shared" si="127"/>
        <v/>
      </c>
      <c r="AD939" t="str">
        <f t="shared" si="128"/>
        <v/>
      </c>
      <c r="AE939" t="str">
        <f t="shared" si="129"/>
        <v/>
      </c>
      <c r="AF939" t="str">
        <f t="shared" si="130"/>
        <v/>
      </c>
      <c r="AG939" t="str">
        <f t="shared" si="131"/>
        <v/>
      </c>
      <c r="AH939">
        <f t="shared" si="132"/>
        <v>3</v>
      </c>
      <c r="AI939" t="str">
        <f t="shared" si="133"/>
        <v/>
      </c>
      <c r="AJ939" t="str">
        <f t="shared" si="134"/>
        <v/>
      </c>
    </row>
    <row r="940" spans="1:36">
      <c r="A940" s="5">
        <v>1006</v>
      </c>
      <c r="B940" s="5" t="s">
        <v>875</v>
      </c>
      <c r="C940" s="5" t="s">
        <v>796</v>
      </c>
      <c r="D940" s="5" t="s">
        <v>814</v>
      </c>
      <c r="E940" s="5" t="s">
        <v>39</v>
      </c>
      <c r="F940" s="5" t="str">
        <f t="shared" si="126"/>
        <v>M and E-Analyst</v>
      </c>
      <c r="G940" s="5" t="s">
        <v>147</v>
      </c>
      <c r="H940" s="9">
        <v>44918.68855324074</v>
      </c>
      <c r="I940" s="9">
        <v>44922.68855324074</v>
      </c>
      <c r="J940" s="9" t="e">
        <f>I940+#REF!</f>
        <v>#REF!</v>
      </c>
      <c r="K940" s="9" t="e">
        <f>J940+#REF!</f>
        <v>#REF!</v>
      </c>
      <c r="L940" s="10" t="s">
        <v>41</v>
      </c>
      <c r="M940" s="11">
        <v>44936.68855324074</v>
      </c>
      <c r="N940" s="5" t="s">
        <v>42</v>
      </c>
      <c r="O940" s="5" t="s">
        <v>43</v>
      </c>
      <c r="P940" s="9"/>
      <c r="Q940" s="5"/>
      <c r="R940" s="5"/>
      <c r="S940" s="5"/>
      <c r="T940" s="9">
        <v>44940.68855324074</v>
      </c>
      <c r="U940" s="5"/>
      <c r="V940" s="5">
        <v>0</v>
      </c>
      <c r="W940" s="5"/>
      <c r="X940" s="5"/>
      <c r="Y940" s="5"/>
      <c r="Z940" s="5"/>
      <c r="AA940" s="5" t="s">
        <v>44</v>
      </c>
      <c r="AC940">
        <f t="shared" si="127"/>
        <v>14</v>
      </c>
      <c r="AD940" t="str">
        <f t="shared" si="128"/>
        <v/>
      </c>
      <c r="AE940">
        <f t="shared" si="129"/>
        <v>4</v>
      </c>
      <c r="AF940" t="str">
        <f t="shared" si="130"/>
        <v/>
      </c>
      <c r="AG940" t="str">
        <f t="shared" si="131"/>
        <v/>
      </c>
      <c r="AH940">
        <f t="shared" si="132"/>
        <v>4</v>
      </c>
      <c r="AI940" t="str">
        <f t="shared" si="133"/>
        <v/>
      </c>
      <c r="AJ940" t="str">
        <f t="shared" si="134"/>
        <v/>
      </c>
    </row>
    <row r="941" spans="1:36">
      <c r="A941" s="5">
        <v>1008</v>
      </c>
      <c r="B941" s="5" t="s">
        <v>1105</v>
      </c>
      <c r="C941" s="5" t="s">
        <v>796</v>
      </c>
      <c r="D941" s="5" t="s">
        <v>1046</v>
      </c>
      <c r="E941" s="5" t="s">
        <v>597</v>
      </c>
      <c r="F941" s="5" t="str">
        <f t="shared" si="126"/>
        <v>M and E-Business Partner</v>
      </c>
      <c r="G941" s="5" t="s">
        <v>47</v>
      </c>
      <c r="H941" s="9">
        <v>44915.68855324074</v>
      </c>
      <c r="I941" s="9">
        <v>44919.68855324074</v>
      </c>
      <c r="J941" s="9" t="e">
        <f>I941+#REF!</f>
        <v>#REF!</v>
      </c>
      <c r="K941" s="9" t="e">
        <f>J941+#REF!</f>
        <v>#REF!</v>
      </c>
      <c r="L941" s="10" t="s">
        <v>52</v>
      </c>
      <c r="M941" s="11"/>
      <c r="N941" s="5"/>
      <c r="O941" s="5"/>
      <c r="P941" s="9"/>
      <c r="Q941" s="5"/>
      <c r="R941" s="5"/>
      <c r="S941" s="5"/>
      <c r="T941" s="9"/>
      <c r="U941" s="5"/>
      <c r="V941" s="5">
        <v>0</v>
      </c>
      <c r="W941" s="5"/>
      <c r="X941" s="5"/>
      <c r="Y941" s="5"/>
      <c r="Z941" s="5"/>
      <c r="AA941" s="5"/>
      <c r="AC941" t="str">
        <f t="shared" si="127"/>
        <v/>
      </c>
      <c r="AD941" t="str">
        <f t="shared" si="128"/>
        <v/>
      </c>
      <c r="AE941" t="str">
        <f t="shared" si="129"/>
        <v/>
      </c>
      <c r="AF941" t="str">
        <f t="shared" si="130"/>
        <v/>
      </c>
      <c r="AG941" t="str">
        <f t="shared" si="131"/>
        <v/>
      </c>
      <c r="AH941">
        <f t="shared" si="132"/>
        <v>4</v>
      </c>
      <c r="AI941" t="str">
        <f t="shared" si="133"/>
        <v/>
      </c>
      <c r="AJ941" t="str">
        <f t="shared" si="134"/>
        <v/>
      </c>
    </row>
    <row r="942" spans="1:36">
      <c r="A942" s="5">
        <v>1009</v>
      </c>
      <c r="B942" s="5" t="s">
        <v>1104</v>
      </c>
      <c r="C942" s="5" t="s">
        <v>796</v>
      </c>
      <c r="D942" s="5" t="s">
        <v>1046</v>
      </c>
      <c r="E942" s="5" t="s">
        <v>597</v>
      </c>
      <c r="F942" s="5" t="str">
        <f t="shared" si="126"/>
        <v>M and E-Business Partner</v>
      </c>
      <c r="G942" s="5" t="s">
        <v>47</v>
      </c>
      <c r="H942" s="9">
        <v>44916.68855324074</v>
      </c>
      <c r="I942" s="9">
        <v>44918.68855324074</v>
      </c>
      <c r="J942" s="9" t="e">
        <f>I942+#REF!</f>
        <v>#REF!</v>
      </c>
      <c r="K942" s="9" t="e">
        <f>J942+#REF!</f>
        <v>#REF!</v>
      </c>
      <c r="L942" s="10" t="s">
        <v>41</v>
      </c>
      <c r="M942" s="11">
        <v>44925.68855324074</v>
      </c>
      <c r="N942" s="5" t="s">
        <v>42</v>
      </c>
      <c r="O942" s="5" t="s">
        <v>113</v>
      </c>
      <c r="P942" s="9"/>
      <c r="Q942" s="5"/>
      <c r="R942" s="5"/>
      <c r="S942" s="5"/>
      <c r="T942" s="9">
        <v>44928.68855324074</v>
      </c>
      <c r="U942" s="5"/>
      <c r="V942" s="5">
        <v>0</v>
      </c>
      <c r="W942" s="5"/>
      <c r="X942" s="5"/>
      <c r="Y942" s="5"/>
      <c r="Z942" s="5"/>
      <c r="AA942" s="5" t="s">
        <v>62</v>
      </c>
      <c r="AC942">
        <f t="shared" si="127"/>
        <v>7</v>
      </c>
      <c r="AD942" t="str">
        <f t="shared" si="128"/>
        <v/>
      </c>
      <c r="AE942">
        <f t="shared" si="129"/>
        <v>3</v>
      </c>
      <c r="AF942" t="str">
        <f t="shared" si="130"/>
        <v/>
      </c>
      <c r="AG942" t="str">
        <f t="shared" si="131"/>
        <v/>
      </c>
      <c r="AH942">
        <f t="shared" si="132"/>
        <v>2</v>
      </c>
      <c r="AI942" t="str">
        <f t="shared" si="133"/>
        <v/>
      </c>
      <c r="AJ942" t="str">
        <f t="shared" si="134"/>
        <v/>
      </c>
    </row>
    <row r="943" spans="1:36">
      <c r="A943" s="5">
        <v>1011</v>
      </c>
      <c r="B943" s="5" t="s">
        <v>1781</v>
      </c>
      <c r="C943" s="5" t="s">
        <v>1540</v>
      </c>
      <c r="D943" s="5" t="s">
        <v>1706</v>
      </c>
      <c r="E943" s="5" t="s">
        <v>269</v>
      </c>
      <c r="F943" s="5" t="str">
        <f t="shared" si="126"/>
        <v>Finance-Manager</v>
      </c>
      <c r="G943" s="5" t="s">
        <v>270</v>
      </c>
      <c r="H943" s="9">
        <v>44597.329571759263</v>
      </c>
      <c r="I943" s="9">
        <v>44599.329571759263</v>
      </c>
      <c r="J943" s="9" t="e">
        <f>I943+#REF!</f>
        <v>#REF!</v>
      </c>
      <c r="K943" s="9" t="e">
        <f>J943+#REF!</f>
        <v>#REF!</v>
      </c>
      <c r="L943" s="10" t="s">
        <v>41</v>
      </c>
      <c r="M943" s="11">
        <v>44615.329571759263</v>
      </c>
      <c r="N943" s="5" t="s">
        <v>42</v>
      </c>
      <c r="O943" s="5" t="s">
        <v>113</v>
      </c>
      <c r="P943" s="9"/>
      <c r="Q943" s="5"/>
      <c r="R943" s="5"/>
      <c r="S943" s="5"/>
      <c r="T943" s="9">
        <v>44617.329571759263</v>
      </c>
      <c r="U943" s="5"/>
      <c r="V943" s="5">
        <v>0</v>
      </c>
      <c r="W943" s="5"/>
      <c r="X943" s="5"/>
      <c r="Y943" s="5"/>
      <c r="Z943" s="5"/>
      <c r="AA943" s="5" t="s">
        <v>62</v>
      </c>
      <c r="AC943">
        <f t="shared" si="127"/>
        <v>16</v>
      </c>
      <c r="AD943" t="str">
        <f t="shared" si="128"/>
        <v/>
      </c>
      <c r="AE943">
        <f t="shared" si="129"/>
        <v>2</v>
      </c>
      <c r="AF943" t="str">
        <f t="shared" si="130"/>
        <v/>
      </c>
      <c r="AG943" t="str">
        <f t="shared" si="131"/>
        <v/>
      </c>
      <c r="AH943">
        <f t="shared" si="132"/>
        <v>2</v>
      </c>
      <c r="AI943" t="str">
        <f t="shared" si="133"/>
        <v/>
      </c>
      <c r="AJ943" t="str">
        <f t="shared" si="134"/>
        <v/>
      </c>
    </row>
    <row r="944" spans="1:36">
      <c r="A944" s="5">
        <v>1012</v>
      </c>
      <c r="B944" s="5" t="s">
        <v>2054</v>
      </c>
      <c r="C944" s="5" t="s">
        <v>1540</v>
      </c>
      <c r="D944" s="5" t="s">
        <v>1985</v>
      </c>
      <c r="E944" s="5" t="s">
        <v>1862</v>
      </c>
      <c r="F944" s="5" t="str">
        <f t="shared" si="126"/>
        <v>Finance-Billing Officer</v>
      </c>
      <c r="G944" s="5" t="s">
        <v>47</v>
      </c>
      <c r="H944" s="9">
        <v>44594.329571759263</v>
      </c>
      <c r="I944" s="9">
        <v>44596.329571759263</v>
      </c>
      <c r="J944" s="9" t="e">
        <f>I944+#REF!</f>
        <v>#REF!</v>
      </c>
      <c r="K944" s="9" t="e">
        <f>J944+#REF!</f>
        <v>#REF!</v>
      </c>
      <c r="L944" s="10" t="s">
        <v>41</v>
      </c>
      <c r="M944" s="11">
        <v>44616.329571759263</v>
      </c>
      <c r="N944" s="5" t="s">
        <v>42</v>
      </c>
      <c r="O944" s="5" t="s">
        <v>113</v>
      </c>
      <c r="P944" s="9"/>
      <c r="Q944" s="5"/>
      <c r="R944" s="5"/>
      <c r="S944" s="5"/>
      <c r="T944" s="9">
        <v>44620.329571759263</v>
      </c>
      <c r="U944" s="5"/>
      <c r="V944" s="5">
        <v>0</v>
      </c>
      <c r="W944" s="5"/>
      <c r="X944" s="5"/>
      <c r="Y944" s="5"/>
      <c r="Z944" s="5"/>
      <c r="AA944" s="5" t="s">
        <v>62</v>
      </c>
      <c r="AC944">
        <f t="shared" si="127"/>
        <v>20</v>
      </c>
      <c r="AD944" t="str">
        <f t="shared" si="128"/>
        <v/>
      </c>
      <c r="AE944">
        <f t="shared" si="129"/>
        <v>4</v>
      </c>
      <c r="AF944" t="str">
        <f t="shared" si="130"/>
        <v/>
      </c>
      <c r="AG944" t="str">
        <f t="shared" si="131"/>
        <v/>
      </c>
      <c r="AH944">
        <f t="shared" si="132"/>
        <v>2</v>
      </c>
      <c r="AI944" t="str">
        <f t="shared" si="133"/>
        <v/>
      </c>
      <c r="AJ944" t="str">
        <f t="shared" si="134"/>
        <v/>
      </c>
    </row>
    <row r="945" spans="1:36">
      <c r="A945" s="5">
        <v>1014</v>
      </c>
      <c r="B945" s="5" t="s">
        <v>1663</v>
      </c>
      <c r="C945" s="5" t="s">
        <v>1540</v>
      </c>
      <c r="D945" s="5" t="s">
        <v>1588</v>
      </c>
      <c r="E945" s="5" t="s">
        <v>1360</v>
      </c>
      <c r="F945" s="5" t="str">
        <f t="shared" si="126"/>
        <v>Finance-Fund Administrator</v>
      </c>
      <c r="G945" s="5" t="s">
        <v>147</v>
      </c>
      <c r="H945" s="9">
        <v>44598.329571759263</v>
      </c>
      <c r="I945" s="9">
        <v>44599.329571759263</v>
      </c>
      <c r="J945" s="9" t="e">
        <f>I945+#REF!</f>
        <v>#REF!</v>
      </c>
      <c r="K945" s="9" t="e">
        <f>J945+#REF!</f>
        <v>#REF!</v>
      </c>
      <c r="L945" s="10" t="s">
        <v>41</v>
      </c>
      <c r="M945" s="11">
        <v>44607.329571759263</v>
      </c>
      <c r="N945" s="5" t="s">
        <v>42</v>
      </c>
      <c r="O945" s="5" t="s">
        <v>73</v>
      </c>
      <c r="P945" s="9"/>
      <c r="Q945" s="5"/>
      <c r="R945" s="5"/>
      <c r="S945" s="5"/>
      <c r="T945" s="9"/>
      <c r="U945" s="5"/>
      <c r="V945" s="5">
        <v>0</v>
      </c>
      <c r="W945" s="5"/>
      <c r="X945" s="5"/>
      <c r="Y945" s="5"/>
      <c r="Z945" s="5"/>
      <c r="AA945" s="5" t="s">
        <v>62</v>
      </c>
      <c r="AC945">
        <f t="shared" si="127"/>
        <v>8</v>
      </c>
      <c r="AD945" t="str">
        <f t="shared" si="128"/>
        <v/>
      </c>
      <c r="AE945" t="str">
        <f t="shared" si="129"/>
        <v/>
      </c>
      <c r="AF945" t="str">
        <f t="shared" si="130"/>
        <v/>
      </c>
      <c r="AG945" t="str">
        <f t="shared" si="131"/>
        <v/>
      </c>
      <c r="AH945">
        <f t="shared" si="132"/>
        <v>1</v>
      </c>
      <c r="AI945" t="str">
        <f t="shared" si="133"/>
        <v/>
      </c>
      <c r="AJ945" t="str">
        <f t="shared" si="134"/>
        <v/>
      </c>
    </row>
    <row r="946" spans="1:36">
      <c r="A946" s="5">
        <v>1015</v>
      </c>
      <c r="B946" s="5" t="s">
        <v>1662</v>
      </c>
      <c r="C946" s="5" t="s">
        <v>1540</v>
      </c>
      <c r="D946" s="5" t="s">
        <v>1588</v>
      </c>
      <c r="E946" s="5" t="s">
        <v>1360</v>
      </c>
      <c r="F946" s="5" t="str">
        <f t="shared" si="126"/>
        <v>Finance-Fund Administrator</v>
      </c>
      <c r="G946" s="5" t="s">
        <v>147</v>
      </c>
      <c r="H946" s="9">
        <v>44594.329571759263</v>
      </c>
      <c r="I946" s="9">
        <v>44596.329571759263</v>
      </c>
      <c r="J946" s="9" t="e">
        <f>I946+#REF!</f>
        <v>#REF!</v>
      </c>
      <c r="K946" s="9" t="e">
        <f>J946+#REF!</f>
        <v>#REF!</v>
      </c>
      <c r="L946" s="10" t="s">
        <v>41</v>
      </c>
      <c r="M946" s="11">
        <v>44611.329571759263</v>
      </c>
      <c r="N946" s="5" t="s">
        <v>48</v>
      </c>
      <c r="O946" s="5"/>
      <c r="P946" s="9">
        <v>44615.329571759263</v>
      </c>
      <c r="Q946" s="5" t="s">
        <v>48</v>
      </c>
      <c r="R946" s="5"/>
      <c r="S946" s="5"/>
      <c r="T946" s="9">
        <v>44613.329571759263</v>
      </c>
      <c r="U946" s="5"/>
      <c r="V946" s="5">
        <v>0</v>
      </c>
      <c r="W946" s="5"/>
      <c r="X946" s="5"/>
      <c r="Y946" s="5"/>
      <c r="Z946" s="5"/>
      <c r="AA946" s="5"/>
      <c r="AC946">
        <f t="shared" si="127"/>
        <v>15</v>
      </c>
      <c r="AD946" t="str">
        <f t="shared" si="128"/>
        <v/>
      </c>
      <c r="AE946">
        <f t="shared" si="129"/>
        <v>2</v>
      </c>
      <c r="AF946" t="str">
        <f t="shared" si="130"/>
        <v/>
      </c>
      <c r="AG946" t="str">
        <f t="shared" si="131"/>
        <v/>
      </c>
      <c r="AH946">
        <f t="shared" si="132"/>
        <v>2</v>
      </c>
      <c r="AI946" t="str">
        <f t="shared" si="133"/>
        <v/>
      </c>
      <c r="AJ946" t="str">
        <f t="shared" si="134"/>
        <v/>
      </c>
    </row>
    <row r="947" spans="1:36">
      <c r="A947" s="5">
        <v>1016</v>
      </c>
      <c r="B947" s="5" t="s">
        <v>1894</v>
      </c>
      <c r="C947" s="5" t="s">
        <v>1540</v>
      </c>
      <c r="D947" s="5" t="s">
        <v>1820</v>
      </c>
      <c r="E947" s="5" t="s">
        <v>1862</v>
      </c>
      <c r="F947" s="5" t="str">
        <f t="shared" si="126"/>
        <v>Finance-Billing Officer</v>
      </c>
      <c r="G947" s="5" t="s">
        <v>40</v>
      </c>
      <c r="H947" s="9">
        <v>44599.329571759263</v>
      </c>
      <c r="I947" s="9">
        <v>44600.329571759263</v>
      </c>
      <c r="J947" s="9" t="e">
        <f>I947+#REF!</f>
        <v>#REF!</v>
      </c>
      <c r="K947" s="9" t="e">
        <f>J947+#REF!</f>
        <v>#REF!</v>
      </c>
      <c r="L947" s="10" t="s">
        <v>52</v>
      </c>
      <c r="M947" s="11"/>
      <c r="N947" s="5"/>
      <c r="O947" s="5"/>
      <c r="P947" s="9"/>
      <c r="Q947" s="5"/>
      <c r="R947" s="5"/>
      <c r="S947" s="5"/>
      <c r="T947" s="9"/>
      <c r="U947" s="5"/>
      <c r="V947" s="5">
        <v>0</v>
      </c>
      <c r="W947" s="5"/>
      <c r="X947" s="5"/>
      <c r="Y947" s="5"/>
      <c r="Z947" s="5"/>
      <c r="AA947" s="5"/>
      <c r="AC947" t="str">
        <f t="shared" si="127"/>
        <v/>
      </c>
      <c r="AD947" t="str">
        <f t="shared" si="128"/>
        <v/>
      </c>
      <c r="AE947" t="str">
        <f t="shared" si="129"/>
        <v/>
      </c>
      <c r="AF947" t="str">
        <f t="shared" si="130"/>
        <v/>
      </c>
      <c r="AG947" t="str">
        <f t="shared" si="131"/>
        <v/>
      </c>
      <c r="AH947">
        <f t="shared" si="132"/>
        <v>1</v>
      </c>
      <c r="AI947" t="str">
        <f t="shared" si="133"/>
        <v/>
      </c>
      <c r="AJ947" t="str">
        <f t="shared" si="134"/>
        <v/>
      </c>
    </row>
    <row r="948" spans="1:36">
      <c r="A948" s="5">
        <v>1017</v>
      </c>
      <c r="B948" s="5" t="s">
        <v>1893</v>
      </c>
      <c r="C948" s="5" t="s">
        <v>1540</v>
      </c>
      <c r="D948" s="5" t="s">
        <v>1820</v>
      </c>
      <c r="E948" s="5" t="s">
        <v>1862</v>
      </c>
      <c r="F948" s="5" t="str">
        <f t="shared" si="126"/>
        <v>Finance-Billing Officer</v>
      </c>
      <c r="G948" s="5" t="s">
        <v>40</v>
      </c>
      <c r="H948" s="9">
        <v>44598.329571759263</v>
      </c>
      <c r="I948" s="9">
        <v>44599.329571759263</v>
      </c>
      <c r="J948" s="9" t="e">
        <f>I948+#REF!</f>
        <v>#REF!</v>
      </c>
      <c r="K948" s="9" t="e">
        <f>J948+#REF!</f>
        <v>#REF!</v>
      </c>
      <c r="L948" s="10" t="s">
        <v>41</v>
      </c>
      <c r="M948" s="11">
        <v>44615.329571759263</v>
      </c>
      <c r="N948" s="5" t="s">
        <v>42</v>
      </c>
      <c r="O948" s="5" t="s">
        <v>58</v>
      </c>
      <c r="P948" s="9"/>
      <c r="Q948" s="5"/>
      <c r="R948" s="5"/>
      <c r="S948" s="5"/>
      <c r="T948" s="9">
        <v>44617.329571759263</v>
      </c>
      <c r="U948" s="5"/>
      <c r="V948" s="5">
        <v>0</v>
      </c>
      <c r="W948" s="5"/>
      <c r="X948" s="5"/>
      <c r="Y948" s="5"/>
      <c r="Z948" s="5"/>
      <c r="AA948" s="5" t="s">
        <v>62</v>
      </c>
      <c r="AC948">
        <f t="shared" si="127"/>
        <v>16</v>
      </c>
      <c r="AD948" t="str">
        <f t="shared" si="128"/>
        <v/>
      </c>
      <c r="AE948">
        <f t="shared" si="129"/>
        <v>2</v>
      </c>
      <c r="AF948" t="str">
        <f t="shared" si="130"/>
        <v/>
      </c>
      <c r="AG948" t="str">
        <f t="shared" si="131"/>
        <v/>
      </c>
      <c r="AH948">
        <f t="shared" si="132"/>
        <v>1</v>
      </c>
      <c r="AI948" t="str">
        <f t="shared" si="133"/>
        <v/>
      </c>
      <c r="AJ948" t="str">
        <f t="shared" si="134"/>
        <v/>
      </c>
    </row>
    <row r="949" spans="1:36">
      <c r="A949" s="5">
        <v>1018</v>
      </c>
      <c r="B949" s="5" t="s">
        <v>2053</v>
      </c>
      <c r="C949" s="5" t="s">
        <v>1540</v>
      </c>
      <c r="D949" s="5" t="s">
        <v>1985</v>
      </c>
      <c r="E949" s="5" t="s">
        <v>1862</v>
      </c>
      <c r="F949" s="5" t="str">
        <f t="shared" si="126"/>
        <v>Finance-Billing Officer</v>
      </c>
      <c r="G949" s="5" t="s">
        <v>47</v>
      </c>
      <c r="H949" s="9">
        <v>44599.329571759263</v>
      </c>
      <c r="I949" s="9">
        <v>44600.329571759263</v>
      </c>
      <c r="J949" s="9" t="e">
        <f>I949+#REF!</f>
        <v>#REF!</v>
      </c>
      <c r="K949" s="9" t="e">
        <f>J949+#REF!</f>
        <v>#REF!</v>
      </c>
      <c r="L949" s="10" t="s">
        <v>41</v>
      </c>
      <c r="M949" s="11">
        <v>44613.329571759263</v>
      </c>
      <c r="N949" s="5" t="s">
        <v>64</v>
      </c>
      <c r="O949" s="5"/>
      <c r="P949" s="9">
        <v>44615.329571759263</v>
      </c>
      <c r="Q949" s="5" t="s">
        <v>64</v>
      </c>
      <c r="R949" s="9">
        <v>44615.329571759263</v>
      </c>
      <c r="S949" s="9">
        <v>44616.329571759263</v>
      </c>
      <c r="T949" s="9">
        <v>44614.329571759263</v>
      </c>
      <c r="U949" s="9">
        <v>44624.329571759263</v>
      </c>
      <c r="V949" s="12">
        <v>1</v>
      </c>
      <c r="W949" s="9">
        <v>44625.329571759263</v>
      </c>
      <c r="X949" s="9">
        <v>44627.329571759263</v>
      </c>
      <c r="Y949" s="9">
        <v>44630.329571759263</v>
      </c>
      <c r="Z949" s="5"/>
      <c r="AA949" s="5"/>
      <c r="AB949" s="13">
        <v>44639.329571759263</v>
      </c>
      <c r="AC949">
        <f t="shared" si="127"/>
        <v>13</v>
      </c>
      <c r="AD949">
        <f t="shared" si="128"/>
        <v>16</v>
      </c>
      <c r="AE949">
        <f t="shared" si="129"/>
        <v>1</v>
      </c>
      <c r="AF949">
        <f t="shared" si="130"/>
        <v>3</v>
      </c>
      <c r="AG949">
        <f t="shared" si="131"/>
        <v>1</v>
      </c>
      <c r="AH949">
        <f t="shared" si="132"/>
        <v>1</v>
      </c>
      <c r="AI949" t="str">
        <f t="shared" si="133"/>
        <v/>
      </c>
      <c r="AJ949" t="str">
        <f t="shared" si="134"/>
        <v/>
      </c>
    </row>
    <row r="950" spans="1:36">
      <c r="A950" s="5">
        <v>1019</v>
      </c>
      <c r="B950" s="5" t="s">
        <v>1573</v>
      </c>
      <c r="C950" s="5" t="s">
        <v>1540</v>
      </c>
      <c r="D950" s="5" t="s">
        <v>1541</v>
      </c>
      <c r="E950" s="5" t="s">
        <v>102</v>
      </c>
      <c r="F950" s="5" t="str">
        <f t="shared" si="126"/>
        <v>Finance-Senior Manager</v>
      </c>
      <c r="G950" s="5" t="s">
        <v>103</v>
      </c>
      <c r="H950" s="9">
        <v>44595.329571759263</v>
      </c>
      <c r="I950" s="9">
        <v>44598.329571759263</v>
      </c>
      <c r="J950" s="9" t="e">
        <f>I950+#REF!</f>
        <v>#REF!</v>
      </c>
      <c r="K950" s="9" t="e">
        <f>J950+#REF!</f>
        <v>#REF!</v>
      </c>
      <c r="L950" s="10" t="s">
        <v>41</v>
      </c>
      <c r="M950" s="11">
        <v>44606.329571759263</v>
      </c>
      <c r="N950" s="5" t="s">
        <v>42</v>
      </c>
      <c r="O950" s="5" t="s">
        <v>73</v>
      </c>
      <c r="P950" s="9"/>
      <c r="Q950" s="5"/>
      <c r="R950" s="5"/>
      <c r="S950" s="5"/>
      <c r="T950" s="9">
        <v>44609.329571759263</v>
      </c>
      <c r="U950" s="5"/>
      <c r="V950" s="5">
        <v>0</v>
      </c>
      <c r="W950" s="5"/>
      <c r="X950" s="5"/>
      <c r="Y950" s="5"/>
      <c r="Z950" s="5"/>
      <c r="AA950" s="5" t="s">
        <v>62</v>
      </c>
      <c r="AC950">
        <f t="shared" si="127"/>
        <v>8</v>
      </c>
      <c r="AD950" t="str">
        <f t="shared" si="128"/>
        <v/>
      </c>
      <c r="AE950">
        <f t="shared" si="129"/>
        <v>3</v>
      </c>
      <c r="AF950" t="str">
        <f t="shared" si="130"/>
        <v/>
      </c>
      <c r="AG950" t="str">
        <f t="shared" si="131"/>
        <v/>
      </c>
      <c r="AH950">
        <f t="shared" si="132"/>
        <v>3</v>
      </c>
      <c r="AI950" t="str">
        <f t="shared" si="133"/>
        <v/>
      </c>
      <c r="AJ950" t="str">
        <f t="shared" si="134"/>
        <v/>
      </c>
    </row>
    <row r="951" spans="1:36">
      <c r="A951" s="5">
        <v>1020</v>
      </c>
      <c r="B951" s="5" t="s">
        <v>1780</v>
      </c>
      <c r="C951" s="5" t="s">
        <v>1540</v>
      </c>
      <c r="D951" s="5" t="s">
        <v>1706</v>
      </c>
      <c r="E951" s="5" t="s">
        <v>269</v>
      </c>
      <c r="F951" s="5" t="str">
        <f t="shared" si="126"/>
        <v>Finance-Manager</v>
      </c>
      <c r="G951" s="5" t="s">
        <v>270</v>
      </c>
      <c r="H951" s="9">
        <v>44597.329571759263</v>
      </c>
      <c r="I951" s="9">
        <v>44601.329571759263</v>
      </c>
      <c r="J951" s="9" t="e">
        <f>I951+#REF!</f>
        <v>#REF!</v>
      </c>
      <c r="K951" s="9" t="e">
        <f>J951+#REF!</f>
        <v>#REF!</v>
      </c>
      <c r="L951" s="10" t="s">
        <v>41</v>
      </c>
      <c r="M951" s="11">
        <v>44612.329571759263</v>
      </c>
      <c r="N951" s="5" t="s">
        <v>64</v>
      </c>
      <c r="O951" s="5"/>
      <c r="P951" s="9">
        <v>44617.329571759263</v>
      </c>
      <c r="Q951" s="5" t="s">
        <v>64</v>
      </c>
      <c r="R951" s="9">
        <v>44613.329571759263</v>
      </c>
      <c r="S951" s="9">
        <v>44614.329571759263</v>
      </c>
      <c r="T951" s="9">
        <v>44614.329571759263</v>
      </c>
      <c r="U951" s="9">
        <v>44624.329571759263</v>
      </c>
      <c r="V951" s="12">
        <v>1</v>
      </c>
      <c r="W951" s="9">
        <v>44626.329571759263</v>
      </c>
      <c r="X951" s="9">
        <v>44628.329571759263</v>
      </c>
      <c r="Y951" s="9">
        <v>44629.329571759263</v>
      </c>
      <c r="Z951" s="5"/>
      <c r="AA951" s="5"/>
      <c r="AB951" s="13">
        <v>44651.329571759263</v>
      </c>
      <c r="AC951">
        <f t="shared" si="127"/>
        <v>11</v>
      </c>
      <c r="AD951">
        <f t="shared" si="128"/>
        <v>13</v>
      </c>
      <c r="AE951">
        <f t="shared" si="129"/>
        <v>2</v>
      </c>
      <c r="AF951">
        <f t="shared" si="130"/>
        <v>4</v>
      </c>
      <c r="AG951">
        <f t="shared" si="131"/>
        <v>2</v>
      </c>
      <c r="AH951">
        <f t="shared" si="132"/>
        <v>4</v>
      </c>
      <c r="AI951" t="str">
        <f t="shared" si="133"/>
        <v/>
      </c>
      <c r="AJ951" t="str">
        <f t="shared" si="134"/>
        <v/>
      </c>
    </row>
    <row r="952" spans="1:36">
      <c r="A952" s="5">
        <v>1021</v>
      </c>
      <c r="B952" s="5" t="s">
        <v>1285</v>
      </c>
      <c r="C952" s="10" t="s">
        <v>1215</v>
      </c>
      <c r="D952" s="5" t="s">
        <v>1249</v>
      </c>
      <c r="E952" s="5" t="s">
        <v>39</v>
      </c>
      <c r="F952" s="5" t="str">
        <f t="shared" si="126"/>
        <v>HR-Analyst</v>
      </c>
      <c r="G952" s="5" t="s">
        <v>40</v>
      </c>
      <c r="H952" s="9">
        <v>44955.791134259256</v>
      </c>
      <c r="I952" s="9">
        <v>44956.791134259256</v>
      </c>
      <c r="J952" s="9" t="e">
        <f>I952+#REF!</f>
        <v>#REF!</v>
      </c>
      <c r="K952" s="9" t="e">
        <f>J952+#REF!</f>
        <v>#REF!</v>
      </c>
      <c r="L952" s="10" t="s">
        <v>41</v>
      </c>
      <c r="M952" s="11">
        <v>44973.791134259256</v>
      </c>
      <c r="N952" s="5" t="s">
        <v>42</v>
      </c>
      <c r="O952" s="5" t="s">
        <v>113</v>
      </c>
      <c r="P952" s="9"/>
      <c r="Q952" s="5"/>
      <c r="R952" s="5"/>
      <c r="S952" s="5"/>
      <c r="T952" s="9">
        <v>44975.791134259256</v>
      </c>
      <c r="U952" s="5"/>
      <c r="V952" s="5">
        <v>0</v>
      </c>
      <c r="W952" s="5"/>
      <c r="X952" s="5"/>
      <c r="Y952" s="5"/>
      <c r="Z952" s="5"/>
      <c r="AA952" s="5" t="s">
        <v>44</v>
      </c>
      <c r="AC952">
        <f t="shared" si="127"/>
        <v>17</v>
      </c>
      <c r="AD952" t="str">
        <f t="shared" si="128"/>
        <v/>
      </c>
      <c r="AE952">
        <f t="shared" si="129"/>
        <v>2</v>
      </c>
      <c r="AF952" t="str">
        <f t="shared" si="130"/>
        <v/>
      </c>
      <c r="AG952" t="str">
        <f t="shared" si="131"/>
        <v/>
      </c>
      <c r="AH952">
        <f t="shared" si="132"/>
        <v>1</v>
      </c>
      <c r="AI952" t="str">
        <f t="shared" si="133"/>
        <v/>
      </c>
      <c r="AJ952" t="str">
        <f t="shared" si="134"/>
        <v/>
      </c>
    </row>
    <row r="953" spans="1:36">
      <c r="A953" s="5">
        <v>1022</v>
      </c>
      <c r="B953" s="5" t="s">
        <v>758</v>
      </c>
      <c r="C953" s="10" t="s">
        <v>671</v>
      </c>
      <c r="D953" s="5" t="s">
        <v>747</v>
      </c>
      <c r="E953" s="5" t="s">
        <v>55</v>
      </c>
      <c r="F953" s="5" t="str">
        <f t="shared" si="126"/>
        <v>Operations-Director</v>
      </c>
      <c r="G953" s="5" t="s">
        <v>47</v>
      </c>
      <c r="H953" s="9">
        <v>44951.791134259256</v>
      </c>
      <c r="I953" s="9">
        <v>44952.791134259256</v>
      </c>
      <c r="J953" s="9" t="e">
        <f>I953+#REF!</f>
        <v>#REF!</v>
      </c>
      <c r="K953" s="9" t="e">
        <f>J953+#REF!</f>
        <v>#REF!</v>
      </c>
      <c r="L953" s="10" t="s">
        <v>52</v>
      </c>
      <c r="M953" s="11"/>
      <c r="N953" s="5"/>
      <c r="O953" s="5"/>
      <c r="P953" s="9"/>
      <c r="Q953" s="5"/>
      <c r="R953" s="5"/>
      <c r="S953" s="5"/>
      <c r="T953" s="9"/>
      <c r="U953" s="5"/>
      <c r="V953" s="5">
        <v>0</v>
      </c>
      <c r="W953" s="5"/>
      <c r="X953" s="5"/>
      <c r="Y953" s="5"/>
      <c r="Z953" s="5"/>
      <c r="AA953" s="5"/>
      <c r="AC953" t="str">
        <f t="shared" si="127"/>
        <v/>
      </c>
      <c r="AD953" t="str">
        <f t="shared" si="128"/>
        <v/>
      </c>
      <c r="AE953" t="str">
        <f t="shared" si="129"/>
        <v/>
      </c>
      <c r="AF953" t="str">
        <f t="shared" si="130"/>
        <v/>
      </c>
      <c r="AG953" t="str">
        <f t="shared" si="131"/>
        <v/>
      </c>
      <c r="AH953">
        <f t="shared" si="132"/>
        <v>1</v>
      </c>
      <c r="AI953" t="str">
        <f t="shared" si="133"/>
        <v/>
      </c>
      <c r="AJ953" t="str">
        <f t="shared" si="134"/>
        <v/>
      </c>
    </row>
    <row r="954" spans="1:36">
      <c r="A954" s="5">
        <v>1023</v>
      </c>
      <c r="B954" s="5" t="s">
        <v>2182</v>
      </c>
      <c r="C954" s="10" t="s">
        <v>2089</v>
      </c>
      <c r="D954" s="5" t="s">
        <v>2167</v>
      </c>
      <c r="E954" s="5" t="s">
        <v>269</v>
      </c>
      <c r="F954" s="5" t="str">
        <f t="shared" si="126"/>
        <v>Communication and Advocacy-Manager</v>
      </c>
      <c r="G954" s="5" t="s">
        <v>270</v>
      </c>
      <c r="H954" s="9">
        <v>44951.791134259256</v>
      </c>
      <c r="I954" s="9">
        <v>44953.791134259256</v>
      </c>
      <c r="J954" s="9" t="e">
        <f>I954+#REF!</f>
        <v>#REF!</v>
      </c>
      <c r="K954" s="9" t="e">
        <f>J954+#REF!</f>
        <v>#REF!</v>
      </c>
      <c r="L954" s="10" t="s">
        <v>52</v>
      </c>
      <c r="M954" s="11"/>
      <c r="N954" s="5"/>
      <c r="O954" s="5"/>
      <c r="P954" s="9"/>
      <c r="Q954" s="5"/>
      <c r="R954" s="5"/>
      <c r="S954" s="5"/>
      <c r="T954" s="9"/>
      <c r="U954" s="5"/>
      <c r="V954" s="5">
        <v>0</v>
      </c>
      <c r="W954" s="5"/>
      <c r="X954" s="5"/>
      <c r="Y954" s="5"/>
      <c r="Z954" s="5"/>
      <c r="AA954" s="5"/>
      <c r="AC954" t="str">
        <f t="shared" si="127"/>
        <v/>
      </c>
      <c r="AD954" t="str">
        <f t="shared" si="128"/>
        <v/>
      </c>
      <c r="AE954" t="str">
        <f t="shared" si="129"/>
        <v/>
      </c>
      <c r="AF954" t="str">
        <f t="shared" si="130"/>
        <v/>
      </c>
      <c r="AG954" t="str">
        <f t="shared" si="131"/>
        <v/>
      </c>
      <c r="AH954">
        <f t="shared" si="132"/>
        <v>2</v>
      </c>
      <c r="AI954" t="str">
        <f t="shared" si="133"/>
        <v/>
      </c>
      <c r="AJ954" t="str">
        <f t="shared" si="134"/>
        <v/>
      </c>
    </row>
    <row r="955" spans="1:36">
      <c r="A955" s="5">
        <v>1024</v>
      </c>
      <c r="B955" s="5" t="s">
        <v>1189</v>
      </c>
      <c r="C955" s="10" t="s">
        <v>1122</v>
      </c>
      <c r="D955" s="5" t="s">
        <v>1145</v>
      </c>
      <c r="E955" s="5" t="s">
        <v>39</v>
      </c>
      <c r="F955" s="5" t="str">
        <f t="shared" si="126"/>
        <v>IT-Analyst</v>
      </c>
      <c r="G955" s="5" t="s">
        <v>147</v>
      </c>
      <c r="H955" s="9">
        <v>44954.791134259256</v>
      </c>
      <c r="I955" s="9">
        <v>44955.791134259256</v>
      </c>
      <c r="J955" s="9" t="e">
        <f>I955+#REF!</f>
        <v>#REF!</v>
      </c>
      <c r="K955" s="9" t="e">
        <f>J955+#REF!</f>
        <v>#REF!</v>
      </c>
      <c r="L955" s="10" t="s">
        <v>41</v>
      </c>
      <c r="M955" s="11">
        <v>44974.791134259256</v>
      </c>
      <c r="N955" s="5" t="s">
        <v>167</v>
      </c>
      <c r="O955" s="5"/>
      <c r="P955" s="9">
        <v>44982.791134259256</v>
      </c>
      <c r="Q955" s="5" t="s">
        <v>167</v>
      </c>
      <c r="R955" s="5"/>
      <c r="S955" s="5"/>
      <c r="T955" s="9">
        <v>44978.791134259256</v>
      </c>
      <c r="U955" s="5"/>
      <c r="V955" s="5">
        <v>0</v>
      </c>
      <c r="W955" s="5"/>
      <c r="X955" s="5"/>
      <c r="Y955" s="5"/>
      <c r="Z955" s="5"/>
      <c r="AA955" s="5"/>
      <c r="AC955">
        <f t="shared" si="127"/>
        <v>19</v>
      </c>
      <c r="AD955" t="str">
        <f t="shared" si="128"/>
        <v/>
      </c>
      <c r="AE955">
        <f t="shared" si="129"/>
        <v>4</v>
      </c>
      <c r="AF955" t="str">
        <f t="shared" si="130"/>
        <v/>
      </c>
      <c r="AG955" t="str">
        <f t="shared" si="131"/>
        <v/>
      </c>
      <c r="AH955">
        <f t="shared" si="132"/>
        <v>1</v>
      </c>
      <c r="AI955" t="str">
        <f t="shared" si="133"/>
        <v/>
      </c>
      <c r="AJ955" t="str">
        <f t="shared" si="134"/>
        <v/>
      </c>
    </row>
    <row r="956" spans="1:36">
      <c r="A956" s="5">
        <v>1025</v>
      </c>
      <c r="B956" s="5" t="s">
        <v>1284</v>
      </c>
      <c r="C956" s="10" t="s">
        <v>1215</v>
      </c>
      <c r="D956" s="5" t="s">
        <v>1249</v>
      </c>
      <c r="E956" s="5" t="s">
        <v>39</v>
      </c>
      <c r="F956" s="5" t="str">
        <f t="shared" si="126"/>
        <v>HR-Analyst</v>
      </c>
      <c r="G956" s="5" t="s">
        <v>40</v>
      </c>
      <c r="H956" s="9">
        <v>44954.791134259256</v>
      </c>
      <c r="I956" s="9">
        <v>44957.791134259256</v>
      </c>
      <c r="J956" s="9" t="e">
        <f>I956+#REF!</f>
        <v>#REF!</v>
      </c>
      <c r="K956" s="9" t="e">
        <f>J956+#REF!</f>
        <v>#REF!</v>
      </c>
      <c r="L956" s="10" t="s">
        <v>41</v>
      </c>
      <c r="M956" s="11">
        <v>44965.791134259256</v>
      </c>
      <c r="N956" s="5" t="s">
        <v>167</v>
      </c>
      <c r="O956" s="5"/>
      <c r="P956" s="9">
        <v>44968.791134259256</v>
      </c>
      <c r="Q956" s="5" t="s">
        <v>167</v>
      </c>
      <c r="R956" s="5"/>
      <c r="S956" s="5"/>
      <c r="T956" s="9">
        <v>44967.791134259256</v>
      </c>
      <c r="U956" s="5"/>
      <c r="V956" s="5">
        <v>0</v>
      </c>
      <c r="W956" s="5"/>
      <c r="X956" s="5"/>
      <c r="Y956" s="5"/>
      <c r="Z956" s="5"/>
      <c r="AA956" s="5"/>
      <c r="AC956">
        <f t="shared" si="127"/>
        <v>8</v>
      </c>
      <c r="AD956" t="str">
        <f t="shared" si="128"/>
        <v/>
      </c>
      <c r="AE956">
        <f t="shared" si="129"/>
        <v>2</v>
      </c>
      <c r="AF956" t="str">
        <f t="shared" si="130"/>
        <v/>
      </c>
      <c r="AG956" t="str">
        <f t="shared" si="131"/>
        <v/>
      </c>
      <c r="AH956">
        <f t="shared" si="132"/>
        <v>3</v>
      </c>
      <c r="AI956" t="str">
        <f t="shared" si="133"/>
        <v/>
      </c>
      <c r="AJ956" t="str">
        <f t="shared" si="134"/>
        <v/>
      </c>
    </row>
    <row r="957" spans="1:36">
      <c r="A957" s="5">
        <v>1026</v>
      </c>
      <c r="B957" s="5" t="s">
        <v>1213</v>
      </c>
      <c r="C957" s="10" t="s">
        <v>1122</v>
      </c>
      <c r="D957" s="5" t="s">
        <v>1191</v>
      </c>
      <c r="E957" s="5" t="s">
        <v>1146</v>
      </c>
      <c r="F957" s="5" t="str">
        <f t="shared" si="126"/>
        <v>IT-Quality Assurance</v>
      </c>
      <c r="G957" s="5" t="s">
        <v>270</v>
      </c>
      <c r="H957" s="9">
        <v>44949.791134259256</v>
      </c>
      <c r="I957" s="9">
        <v>44953.791134259256</v>
      </c>
      <c r="J957" s="9" t="e">
        <f>I957+#REF!</f>
        <v>#REF!</v>
      </c>
      <c r="K957" s="9" t="e">
        <f>J957+#REF!</f>
        <v>#REF!</v>
      </c>
      <c r="L957" s="10" t="s">
        <v>41</v>
      </c>
      <c r="M957" s="11">
        <v>44973.791134259256</v>
      </c>
      <c r="N957" s="5" t="s">
        <v>48</v>
      </c>
      <c r="O957" s="5"/>
      <c r="P957" s="9">
        <v>44977.791134259256</v>
      </c>
      <c r="Q957" s="5" t="s">
        <v>48</v>
      </c>
      <c r="R957" s="5"/>
      <c r="S957" s="5"/>
      <c r="T957" s="9">
        <v>44975.791134259256</v>
      </c>
      <c r="U957" s="5"/>
      <c r="V957" s="5">
        <v>0</v>
      </c>
      <c r="W957" s="5"/>
      <c r="X957" s="5"/>
      <c r="Y957" s="5"/>
      <c r="Z957" s="5"/>
      <c r="AA957" s="5"/>
      <c r="AC957">
        <f t="shared" si="127"/>
        <v>20</v>
      </c>
      <c r="AD957" t="str">
        <f t="shared" si="128"/>
        <v/>
      </c>
      <c r="AE957">
        <f t="shared" si="129"/>
        <v>2</v>
      </c>
      <c r="AF957" t="str">
        <f t="shared" si="130"/>
        <v/>
      </c>
      <c r="AG957" t="str">
        <f t="shared" si="131"/>
        <v/>
      </c>
      <c r="AH957">
        <f t="shared" si="132"/>
        <v>4</v>
      </c>
      <c r="AI957" t="str">
        <f t="shared" si="133"/>
        <v/>
      </c>
      <c r="AJ957" t="str">
        <f t="shared" si="134"/>
        <v/>
      </c>
    </row>
    <row r="958" spans="1:36">
      <c r="A958" s="5">
        <v>1027</v>
      </c>
      <c r="B958" s="5" t="s">
        <v>1330</v>
      </c>
      <c r="C958" s="10" t="s">
        <v>1215</v>
      </c>
      <c r="D958" s="5" t="s">
        <v>1287</v>
      </c>
      <c r="E958" s="5" t="s">
        <v>597</v>
      </c>
      <c r="F958" s="5" t="str">
        <f t="shared" si="126"/>
        <v>HR-Business Partner</v>
      </c>
      <c r="G958" s="5" t="s">
        <v>47</v>
      </c>
      <c r="H958" s="9">
        <v>44951.791134259256</v>
      </c>
      <c r="I958" s="9">
        <v>44953.791134259256</v>
      </c>
      <c r="J958" s="9" t="e">
        <f>I958+#REF!</f>
        <v>#REF!</v>
      </c>
      <c r="K958" s="9" t="e">
        <f>J958+#REF!</f>
        <v>#REF!</v>
      </c>
      <c r="L958" s="10" t="s">
        <v>41</v>
      </c>
      <c r="M958" s="11">
        <v>44960.791134259256</v>
      </c>
      <c r="N958" s="5" t="s">
        <v>64</v>
      </c>
      <c r="O958" s="5"/>
      <c r="P958" s="9">
        <v>44965.791134259256</v>
      </c>
      <c r="Q958" s="5" t="s">
        <v>64</v>
      </c>
      <c r="R958" s="9">
        <v>44962.791134259256</v>
      </c>
      <c r="S958" s="9">
        <v>44964.791134259256</v>
      </c>
      <c r="T958" s="9">
        <v>44963.791134259256</v>
      </c>
      <c r="U958" s="9">
        <v>44969.791134259256</v>
      </c>
      <c r="V958" s="12">
        <v>1</v>
      </c>
      <c r="W958" s="9">
        <v>44972.791134259256</v>
      </c>
      <c r="X958" s="9">
        <v>44973.791134259256</v>
      </c>
      <c r="Y958" s="9">
        <v>44975.791134259256</v>
      </c>
      <c r="Z958" s="5"/>
      <c r="AA958" s="5"/>
      <c r="AB958" s="13">
        <v>44991.791134259256</v>
      </c>
      <c r="AC958">
        <f t="shared" si="127"/>
        <v>7</v>
      </c>
      <c r="AD958">
        <f t="shared" si="128"/>
        <v>11</v>
      </c>
      <c r="AE958">
        <f t="shared" si="129"/>
        <v>3</v>
      </c>
      <c r="AF958">
        <f t="shared" si="130"/>
        <v>4</v>
      </c>
      <c r="AG958">
        <f t="shared" si="131"/>
        <v>3</v>
      </c>
      <c r="AH958">
        <f t="shared" si="132"/>
        <v>2</v>
      </c>
      <c r="AI958" t="str">
        <f t="shared" si="133"/>
        <v/>
      </c>
      <c r="AJ958" t="str">
        <f t="shared" si="134"/>
        <v/>
      </c>
    </row>
    <row r="959" spans="1:36">
      <c r="A959" s="5">
        <v>1028</v>
      </c>
      <c r="B959" s="5" t="s">
        <v>1329</v>
      </c>
      <c r="C959" s="10" t="s">
        <v>1215</v>
      </c>
      <c r="D959" s="5" t="s">
        <v>1287</v>
      </c>
      <c r="E959" s="5" t="s">
        <v>597</v>
      </c>
      <c r="F959" s="5" t="str">
        <f t="shared" si="126"/>
        <v>HR-Business Partner</v>
      </c>
      <c r="G959" s="5" t="s">
        <v>47</v>
      </c>
      <c r="H959" s="9">
        <v>44952.791134259256</v>
      </c>
      <c r="I959" s="9">
        <v>44953.791134259256</v>
      </c>
      <c r="J959" s="9" t="e">
        <f>I959+#REF!</f>
        <v>#REF!</v>
      </c>
      <c r="K959" s="9" t="e">
        <f>J959+#REF!</f>
        <v>#REF!</v>
      </c>
      <c r="L959" s="10" t="s">
        <v>41</v>
      </c>
      <c r="M959" s="11">
        <v>44968.791134259256</v>
      </c>
      <c r="N959" s="5" t="s">
        <v>42</v>
      </c>
      <c r="O959" s="5" t="s">
        <v>73</v>
      </c>
      <c r="P959" s="9"/>
      <c r="Q959" s="5"/>
      <c r="R959" s="5"/>
      <c r="S959" s="5"/>
      <c r="T959" s="9">
        <v>44970.791134259256</v>
      </c>
      <c r="U959" s="5"/>
      <c r="V959" s="5">
        <v>0</v>
      </c>
      <c r="W959" s="5"/>
      <c r="X959" s="5"/>
      <c r="Y959" s="5"/>
      <c r="Z959" s="5"/>
      <c r="AA959" s="5" t="s">
        <v>44</v>
      </c>
      <c r="AC959">
        <f t="shared" si="127"/>
        <v>15</v>
      </c>
      <c r="AD959" t="str">
        <f t="shared" si="128"/>
        <v/>
      </c>
      <c r="AE959">
        <f t="shared" si="129"/>
        <v>2</v>
      </c>
      <c r="AF959" t="str">
        <f t="shared" si="130"/>
        <v/>
      </c>
      <c r="AG959" t="str">
        <f t="shared" si="131"/>
        <v/>
      </c>
      <c r="AH959">
        <f t="shared" si="132"/>
        <v>1</v>
      </c>
      <c r="AI959" t="str">
        <f t="shared" si="133"/>
        <v/>
      </c>
      <c r="AJ959" t="str">
        <f t="shared" si="134"/>
        <v/>
      </c>
    </row>
    <row r="960" spans="1:36">
      <c r="A960" s="5">
        <v>1029</v>
      </c>
      <c r="B960" s="5" t="s">
        <v>1143</v>
      </c>
      <c r="C960" s="10" t="s">
        <v>1122</v>
      </c>
      <c r="D960" s="5" t="s">
        <v>1123</v>
      </c>
      <c r="E960" s="5" t="s">
        <v>102</v>
      </c>
      <c r="F960" s="5" t="str">
        <f t="shared" si="126"/>
        <v>IT-Senior Manager</v>
      </c>
      <c r="G960" s="5" t="s">
        <v>103</v>
      </c>
      <c r="H960" s="9">
        <v>44954.791134259256</v>
      </c>
      <c r="I960" s="9">
        <v>44955.791134259256</v>
      </c>
      <c r="J960" s="9" t="e">
        <f>I960+#REF!</f>
        <v>#REF!</v>
      </c>
      <c r="K960" s="9" t="e">
        <f>J960+#REF!</f>
        <v>#REF!</v>
      </c>
      <c r="L960" s="10" t="s">
        <v>41</v>
      </c>
      <c r="M960" s="11">
        <v>44966.791134259256</v>
      </c>
      <c r="N960" s="5" t="s">
        <v>42</v>
      </c>
      <c r="O960" s="5" t="s">
        <v>43</v>
      </c>
      <c r="P960" s="9"/>
      <c r="Q960" s="5"/>
      <c r="R960" s="5"/>
      <c r="S960" s="5"/>
      <c r="T960" s="9">
        <v>44968.791134259256</v>
      </c>
      <c r="U960" s="5"/>
      <c r="V960" s="5">
        <v>0</v>
      </c>
      <c r="W960" s="5"/>
      <c r="X960" s="5"/>
      <c r="Y960" s="5"/>
      <c r="Z960" s="5"/>
      <c r="AA960" s="5" t="s">
        <v>62</v>
      </c>
      <c r="AC960">
        <f t="shared" si="127"/>
        <v>11</v>
      </c>
      <c r="AD960" t="str">
        <f t="shared" si="128"/>
        <v/>
      </c>
      <c r="AE960">
        <f t="shared" si="129"/>
        <v>2</v>
      </c>
      <c r="AF960" t="str">
        <f t="shared" si="130"/>
        <v/>
      </c>
      <c r="AG960" t="str">
        <f t="shared" si="131"/>
        <v/>
      </c>
      <c r="AH960">
        <f t="shared" si="132"/>
        <v>1</v>
      </c>
      <c r="AI960" t="str">
        <f t="shared" si="133"/>
        <v/>
      </c>
      <c r="AJ960" t="str">
        <f t="shared" si="134"/>
        <v/>
      </c>
    </row>
    <row r="961" spans="1:36">
      <c r="A961" s="5">
        <v>1030</v>
      </c>
      <c r="B961" s="5" t="s">
        <v>2134</v>
      </c>
      <c r="C961" s="10" t="s">
        <v>2089</v>
      </c>
      <c r="D961" s="5" t="s">
        <v>2114</v>
      </c>
      <c r="E961" s="5" t="s">
        <v>388</v>
      </c>
      <c r="F961" s="5" t="str">
        <f t="shared" si="126"/>
        <v>Communication and Advocacy-Extension Officer</v>
      </c>
      <c r="G961" s="5" t="s">
        <v>147</v>
      </c>
      <c r="H961" s="9">
        <v>44951.791134259256</v>
      </c>
      <c r="I961" s="9">
        <v>44952.791134259256</v>
      </c>
      <c r="J961" s="9" t="e">
        <f>I961+#REF!</f>
        <v>#REF!</v>
      </c>
      <c r="K961" s="9" t="e">
        <f>J961+#REF!</f>
        <v>#REF!</v>
      </c>
      <c r="L961" s="10" t="s">
        <v>41</v>
      </c>
      <c r="M961" s="11">
        <v>44960.791134259256</v>
      </c>
      <c r="N961" s="5" t="s">
        <v>64</v>
      </c>
      <c r="O961" s="5"/>
      <c r="P961" s="9">
        <v>44967.791134259256</v>
      </c>
      <c r="Q961" s="5" t="s">
        <v>64</v>
      </c>
      <c r="R961" s="9">
        <v>44961.791134259256</v>
      </c>
      <c r="S961" s="9">
        <v>44962.791134259256</v>
      </c>
      <c r="T961" s="9">
        <v>44964.791134259256</v>
      </c>
      <c r="U961" s="9">
        <v>44968.791134259256</v>
      </c>
      <c r="V961" s="12">
        <v>1</v>
      </c>
      <c r="W961" s="9">
        <v>44971.791134259256</v>
      </c>
      <c r="X961" s="9">
        <v>44972.791134259256</v>
      </c>
      <c r="Y961" s="9">
        <v>44974.791134259256</v>
      </c>
      <c r="Z961" s="5"/>
      <c r="AA961" s="5"/>
      <c r="AB961" s="13">
        <v>44993.791134259256</v>
      </c>
      <c r="AC961">
        <f t="shared" si="127"/>
        <v>8</v>
      </c>
      <c r="AD961">
        <f t="shared" si="128"/>
        <v>10</v>
      </c>
      <c r="AE961">
        <f t="shared" si="129"/>
        <v>4</v>
      </c>
      <c r="AF961">
        <f t="shared" si="130"/>
        <v>4</v>
      </c>
      <c r="AG961">
        <f t="shared" si="131"/>
        <v>3</v>
      </c>
      <c r="AH961">
        <f t="shared" si="132"/>
        <v>1</v>
      </c>
      <c r="AI961" t="str">
        <f t="shared" si="133"/>
        <v/>
      </c>
      <c r="AJ961" t="str">
        <f t="shared" si="134"/>
        <v/>
      </c>
    </row>
    <row r="962" spans="1:36">
      <c r="A962" s="5">
        <v>1031</v>
      </c>
      <c r="B962" s="5" t="s">
        <v>2052</v>
      </c>
      <c r="C962" s="5" t="s">
        <v>1540</v>
      </c>
      <c r="D962" s="5" t="s">
        <v>1985</v>
      </c>
      <c r="E962" s="5" t="s">
        <v>1862</v>
      </c>
      <c r="F962" s="5" t="str">
        <f t="shared" ref="F962:F1025" si="135">_xlfn.CONCAT(C962,"-",E962)</f>
        <v>Finance-Billing Officer</v>
      </c>
      <c r="G962" s="5" t="s">
        <v>47</v>
      </c>
      <c r="H962" s="9">
        <v>44990.822372685187</v>
      </c>
      <c r="I962" s="9">
        <v>44991.822372685187</v>
      </c>
      <c r="J962" s="9" t="e">
        <f>I962+#REF!</f>
        <v>#REF!</v>
      </c>
      <c r="K962" s="9" t="e">
        <f>J962+#REF!</f>
        <v>#REF!</v>
      </c>
      <c r="L962" s="10" t="s">
        <v>41</v>
      </c>
      <c r="M962" s="11">
        <v>44997.822372685187</v>
      </c>
      <c r="N962" s="5" t="s">
        <v>48</v>
      </c>
      <c r="O962" s="5"/>
      <c r="P962" s="9">
        <v>44999.822372685187</v>
      </c>
      <c r="Q962" s="5" t="s">
        <v>48</v>
      </c>
      <c r="R962" s="5"/>
      <c r="S962" s="5"/>
      <c r="T962" s="9">
        <v>44998.822372685187</v>
      </c>
      <c r="U962" s="5"/>
      <c r="V962" s="5">
        <v>0</v>
      </c>
      <c r="W962" s="5"/>
      <c r="X962" s="5"/>
      <c r="Y962" s="5"/>
      <c r="Z962" s="5"/>
      <c r="AA962" s="5"/>
      <c r="AC962">
        <f t="shared" ref="AC962:AC1025" si="136">IF(AND(ISNUMBER(M962), ISNUMBER(I962)), M962 - I962, "")</f>
        <v>6</v>
      </c>
      <c r="AD962" t="str">
        <f t="shared" si="128"/>
        <v/>
      </c>
      <c r="AE962">
        <f t="shared" si="129"/>
        <v>1</v>
      </c>
      <c r="AF962" t="str">
        <f t="shared" si="130"/>
        <v/>
      </c>
      <c r="AG962" t="str">
        <f t="shared" si="131"/>
        <v/>
      </c>
      <c r="AH962">
        <f t="shared" si="132"/>
        <v>1</v>
      </c>
      <c r="AI962" t="str">
        <f t="shared" si="133"/>
        <v/>
      </c>
      <c r="AJ962" t="str">
        <f t="shared" si="134"/>
        <v/>
      </c>
    </row>
    <row r="963" spans="1:36">
      <c r="A963" s="5">
        <v>1032</v>
      </c>
      <c r="B963" s="5" t="s">
        <v>1572</v>
      </c>
      <c r="C963" s="5" t="s">
        <v>1540</v>
      </c>
      <c r="D963" s="5" t="s">
        <v>1541</v>
      </c>
      <c r="E963" s="5" t="s">
        <v>102</v>
      </c>
      <c r="F963" s="5" t="str">
        <f t="shared" si="135"/>
        <v>Finance-Senior Manager</v>
      </c>
      <c r="G963" s="5" t="s">
        <v>103</v>
      </c>
      <c r="H963" s="9">
        <v>44988.822372685187</v>
      </c>
      <c r="I963" s="9">
        <v>44990.822372685187</v>
      </c>
      <c r="J963" s="9" t="e">
        <f>I963+#REF!</f>
        <v>#REF!</v>
      </c>
      <c r="K963" s="9" t="e">
        <f>J963+#REF!</f>
        <v>#REF!</v>
      </c>
      <c r="L963" s="10" t="s">
        <v>41</v>
      </c>
      <c r="M963" s="11">
        <v>45004.822372685187</v>
      </c>
      <c r="N963" s="5" t="s">
        <v>42</v>
      </c>
      <c r="O963" s="5" t="s">
        <v>43</v>
      </c>
      <c r="P963" s="9"/>
      <c r="Q963" s="5"/>
      <c r="R963" s="5"/>
      <c r="S963" s="5"/>
      <c r="T963" s="9"/>
      <c r="U963" s="5"/>
      <c r="V963" s="5">
        <v>0</v>
      </c>
      <c r="W963" s="5"/>
      <c r="X963" s="5"/>
      <c r="Y963" s="5"/>
      <c r="Z963" s="5"/>
      <c r="AA963" s="5" t="s">
        <v>44</v>
      </c>
      <c r="AC963">
        <f t="shared" si="136"/>
        <v>14</v>
      </c>
      <c r="AD963" t="str">
        <f t="shared" ref="AD963:AD1026" si="137">IF(AND(ISNUMBER(S963), ISNUMBER(I963)), S963 - I963, "")</f>
        <v/>
      </c>
      <c r="AE963" t="str">
        <f t="shared" ref="AE963:AE1026" si="138">IF(AND(ISNUMBER(T963), ISNUMBER(M963)), T963-M963, "")</f>
        <v/>
      </c>
      <c r="AF963" t="str">
        <f t="shared" ref="AF963:AF1026" si="139">IF(AND(ISNUMBER(X963), ISNUMBER(U963)), X963-U963,"")</f>
        <v/>
      </c>
      <c r="AG963" t="str">
        <f t="shared" ref="AG963:AG1026" si="140">IF(AND(ISNUMBER(W963), ISNUMBER(U963)), W963-U963, "")</f>
        <v/>
      </c>
      <c r="AH963">
        <f t="shared" ref="AH963:AH1026" si="141">IF(AND(ISNUMBER(I963), ISNUMBER(H963)), I963-H963,"")</f>
        <v>2</v>
      </c>
      <c r="AI963" t="str">
        <f t="shared" ref="AI963:AI1026" si="142">IF(AND(ISNUMBER(J963),ISNUMBER(K963)),K963-J963,"")</f>
        <v/>
      </c>
      <c r="AJ963" t="str">
        <f t="shared" ref="AJ963:AJ1026" si="143">IF(AND(ISNUMBER(J963),ISNUMBER(I963)), J963-I963,"")</f>
        <v/>
      </c>
    </row>
    <row r="964" spans="1:36">
      <c r="A964" s="5">
        <v>1033</v>
      </c>
      <c r="B964" s="5" t="s">
        <v>1892</v>
      </c>
      <c r="C964" s="5" t="s">
        <v>1540</v>
      </c>
      <c r="D964" s="5" t="s">
        <v>1820</v>
      </c>
      <c r="E964" s="5" t="s">
        <v>1862</v>
      </c>
      <c r="F964" s="5" t="str">
        <f t="shared" si="135"/>
        <v>Finance-Billing Officer</v>
      </c>
      <c r="G964" s="5" t="s">
        <v>40</v>
      </c>
      <c r="H964" s="9">
        <v>44985.822372685187</v>
      </c>
      <c r="I964" s="9">
        <v>44989.822372685187</v>
      </c>
      <c r="J964" s="9" t="e">
        <f>I964+#REF!</f>
        <v>#REF!</v>
      </c>
      <c r="K964" s="9" t="e">
        <f>J964+#REF!</f>
        <v>#REF!</v>
      </c>
      <c r="L964" s="10" t="s">
        <v>41</v>
      </c>
      <c r="M964" s="11">
        <v>44997.822372685187</v>
      </c>
      <c r="N964" s="5" t="s">
        <v>48</v>
      </c>
      <c r="O964" s="5"/>
      <c r="P964" s="9">
        <v>45002.822372685187</v>
      </c>
      <c r="Q964" s="5" t="s">
        <v>48</v>
      </c>
      <c r="R964" s="5"/>
      <c r="S964" s="5"/>
      <c r="T964" s="9">
        <v>45000.822372685187</v>
      </c>
      <c r="U964" s="5"/>
      <c r="V964" s="5">
        <v>0</v>
      </c>
      <c r="W964" s="5"/>
      <c r="X964" s="5"/>
      <c r="Y964" s="5"/>
      <c r="Z964" s="5"/>
      <c r="AA964" s="5"/>
      <c r="AC964">
        <f t="shared" si="136"/>
        <v>8</v>
      </c>
      <c r="AD964" t="str">
        <f t="shared" si="137"/>
        <v/>
      </c>
      <c r="AE964">
        <f t="shared" si="138"/>
        <v>3</v>
      </c>
      <c r="AF964" t="str">
        <f t="shared" si="139"/>
        <v/>
      </c>
      <c r="AG964" t="str">
        <f t="shared" si="140"/>
        <v/>
      </c>
      <c r="AH964">
        <f t="shared" si="141"/>
        <v>4</v>
      </c>
      <c r="AI964" t="str">
        <f t="shared" si="142"/>
        <v/>
      </c>
      <c r="AJ964" t="str">
        <f t="shared" si="143"/>
        <v/>
      </c>
    </row>
    <row r="965" spans="1:36">
      <c r="A965" s="5">
        <v>1034</v>
      </c>
      <c r="B965" s="5" t="s">
        <v>1933</v>
      </c>
      <c r="C965" s="5" t="s">
        <v>1540</v>
      </c>
      <c r="D965" s="5" t="s">
        <v>1925</v>
      </c>
      <c r="E965" s="5" t="s">
        <v>1039</v>
      </c>
      <c r="F965" s="5" t="str">
        <f t="shared" si="135"/>
        <v>Finance-Associate Director</v>
      </c>
      <c r="G965" s="5" t="s">
        <v>56</v>
      </c>
      <c r="H965" s="9">
        <v>44986.822372685187</v>
      </c>
      <c r="I965" s="9">
        <v>44987.822372685187</v>
      </c>
      <c r="J965" s="9" t="e">
        <f>I965+#REF!</f>
        <v>#REF!</v>
      </c>
      <c r="K965" s="9" t="e">
        <f>J965+#REF!</f>
        <v>#REF!</v>
      </c>
      <c r="L965" s="10" t="s">
        <v>52</v>
      </c>
      <c r="M965" s="11"/>
      <c r="N965" s="5"/>
      <c r="O965" s="5"/>
      <c r="P965" s="9"/>
      <c r="Q965" s="5"/>
      <c r="R965" s="5"/>
      <c r="S965" s="5"/>
      <c r="T965" s="9"/>
      <c r="U965" s="5"/>
      <c r="V965" s="5">
        <v>0</v>
      </c>
      <c r="W965" s="5"/>
      <c r="X965" s="5"/>
      <c r="Y965" s="5"/>
      <c r="Z965" s="5"/>
      <c r="AA965" s="5"/>
      <c r="AC965" t="str">
        <f t="shared" si="136"/>
        <v/>
      </c>
      <c r="AD965" t="str">
        <f t="shared" si="137"/>
        <v/>
      </c>
      <c r="AE965" t="str">
        <f t="shared" si="138"/>
        <v/>
      </c>
      <c r="AF965" t="str">
        <f t="shared" si="139"/>
        <v/>
      </c>
      <c r="AG965" t="str">
        <f t="shared" si="140"/>
        <v/>
      </c>
      <c r="AH965">
        <f t="shared" si="141"/>
        <v>1</v>
      </c>
      <c r="AI965" t="str">
        <f t="shared" si="142"/>
        <v/>
      </c>
      <c r="AJ965" t="str">
        <f t="shared" si="143"/>
        <v/>
      </c>
    </row>
    <row r="966" spans="1:36">
      <c r="A966" s="5">
        <v>1035</v>
      </c>
      <c r="B966" s="5" t="s">
        <v>1779</v>
      </c>
      <c r="C966" s="5" t="s">
        <v>1540</v>
      </c>
      <c r="D966" s="5" t="s">
        <v>1706</v>
      </c>
      <c r="E966" s="5" t="s">
        <v>269</v>
      </c>
      <c r="F966" s="5" t="str">
        <f t="shared" si="135"/>
        <v>Finance-Manager</v>
      </c>
      <c r="G966" s="5" t="s">
        <v>270</v>
      </c>
      <c r="H966" s="9">
        <v>44988.822372685187</v>
      </c>
      <c r="I966" s="9">
        <v>44989.822372685187</v>
      </c>
      <c r="J966" s="9" t="e">
        <f>I966+#REF!</f>
        <v>#REF!</v>
      </c>
      <c r="K966" s="9" t="e">
        <f>J966+#REF!</f>
        <v>#REF!</v>
      </c>
      <c r="L966" s="10" t="s">
        <v>52</v>
      </c>
      <c r="M966" s="11"/>
      <c r="N966" s="5"/>
      <c r="O966" s="5"/>
      <c r="P966" s="9"/>
      <c r="Q966" s="5"/>
      <c r="R966" s="5"/>
      <c r="S966" s="5"/>
      <c r="T966" s="9"/>
      <c r="U966" s="5"/>
      <c r="V966" s="5">
        <v>0</v>
      </c>
      <c r="W966" s="5"/>
      <c r="X966" s="5"/>
      <c r="Y966" s="5"/>
      <c r="Z966" s="5"/>
      <c r="AA966" s="5"/>
      <c r="AC966" t="str">
        <f t="shared" si="136"/>
        <v/>
      </c>
      <c r="AD966" t="str">
        <f t="shared" si="137"/>
        <v/>
      </c>
      <c r="AE966" t="str">
        <f t="shared" si="138"/>
        <v/>
      </c>
      <c r="AF966" t="str">
        <f t="shared" si="139"/>
        <v/>
      </c>
      <c r="AG966" t="str">
        <f t="shared" si="140"/>
        <v/>
      </c>
      <c r="AH966">
        <f t="shared" si="141"/>
        <v>1</v>
      </c>
      <c r="AI966" t="str">
        <f t="shared" si="142"/>
        <v/>
      </c>
      <c r="AJ966" t="str">
        <f t="shared" si="143"/>
        <v/>
      </c>
    </row>
    <row r="967" spans="1:36">
      <c r="A967" s="5">
        <v>1036</v>
      </c>
      <c r="B967" s="5" t="s">
        <v>2051</v>
      </c>
      <c r="C967" s="5" t="s">
        <v>1540</v>
      </c>
      <c r="D967" s="5" t="s">
        <v>1985</v>
      </c>
      <c r="E967" s="5" t="s">
        <v>1862</v>
      </c>
      <c r="F967" s="5" t="str">
        <f t="shared" si="135"/>
        <v>Finance-Billing Officer</v>
      </c>
      <c r="G967" s="5" t="s">
        <v>47</v>
      </c>
      <c r="H967" s="9">
        <v>44988.822372685187</v>
      </c>
      <c r="I967" s="9">
        <v>44990.822372685187</v>
      </c>
      <c r="J967" s="9" t="e">
        <f>I967+#REF!</f>
        <v>#REF!</v>
      </c>
      <c r="K967" s="9" t="e">
        <f>J967+#REF!</f>
        <v>#REF!</v>
      </c>
      <c r="L967" s="10" t="s">
        <v>41</v>
      </c>
      <c r="M967" s="11">
        <v>45006.822372685187</v>
      </c>
      <c r="N967" s="5" t="s">
        <v>42</v>
      </c>
      <c r="O967" s="5" t="s">
        <v>43</v>
      </c>
      <c r="P967" s="9"/>
      <c r="Q967" s="5"/>
      <c r="R967" s="5"/>
      <c r="S967" s="5"/>
      <c r="T967" s="9"/>
      <c r="U967" s="5"/>
      <c r="V967" s="5">
        <v>0</v>
      </c>
      <c r="W967" s="5"/>
      <c r="X967" s="5"/>
      <c r="Y967" s="5"/>
      <c r="Z967" s="5"/>
      <c r="AA967" s="5" t="s">
        <v>62</v>
      </c>
      <c r="AC967">
        <f t="shared" si="136"/>
        <v>16</v>
      </c>
      <c r="AD967" t="str">
        <f t="shared" si="137"/>
        <v/>
      </c>
      <c r="AE967" t="str">
        <f t="shared" si="138"/>
        <v/>
      </c>
      <c r="AF967" t="str">
        <f t="shared" si="139"/>
        <v/>
      </c>
      <c r="AG967" t="str">
        <f t="shared" si="140"/>
        <v/>
      </c>
      <c r="AH967">
        <f t="shared" si="141"/>
        <v>2</v>
      </c>
      <c r="AI967" t="str">
        <f t="shared" si="142"/>
        <v/>
      </c>
      <c r="AJ967" t="str">
        <f t="shared" si="143"/>
        <v/>
      </c>
    </row>
    <row r="968" spans="1:36">
      <c r="A968" s="5">
        <v>1038</v>
      </c>
      <c r="B968" s="5" t="s">
        <v>1891</v>
      </c>
      <c r="C968" s="5" t="s">
        <v>1540</v>
      </c>
      <c r="D968" s="5" t="s">
        <v>1820</v>
      </c>
      <c r="E968" s="5" t="s">
        <v>1862</v>
      </c>
      <c r="F968" s="5" t="str">
        <f t="shared" si="135"/>
        <v>Finance-Billing Officer</v>
      </c>
      <c r="G968" s="5" t="s">
        <v>40</v>
      </c>
      <c r="H968" s="9">
        <v>44987.822372685187</v>
      </c>
      <c r="I968" s="9">
        <v>44990.822372685187</v>
      </c>
      <c r="J968" s="9" t="e">
        <f>I968+#REF!</f>
        <v>#REF!</v>
      </c>
      <c r="K968" s="9" t="e">
        <f>J968+#REF!</f>
        <v>#REF!</v>
      </c>
      <c r="L968" s="10" t="s">
        <v>41</v>
      </c>
      <c r="M968" s="11">
        <v>45001.822372685187</v>
      </c>
      <c r="N968" s="5" t="s">
        <v>42</v>
      </c>
      <c r="O968" s="5" t="s">
        <v>73</v>
      </c>
      <c r="P968" s="9"/>
      <c r="Q968" s="5"/>
      <c r="R968" s="5"/>
      <c r="S968" s="5"/>
      <c r="T968" s="9">
        <v>45004.822372685187</v>
      </c>
      <c r="U968" s="5"/>
      <c r="V968" s="5">
        <v>0</v>
      </c>
      <c r="W968" s="5"/>
      <c r="X968" s="5"/>
      <c r="Y968" s="5"/>
      <c r="Z968" s="5"/>
      <c r="AA968" s="5" t="s">
        <v>62</v>
      </c>
      <c r="AC968">
        <f t="shared" si="136"/>
        <v>11</v>
      </c>
      <c r="AD968" t="str">
        <f t="shared" si="137"/>
        <v/>
      </c>
      <c r="AE968">
        <f t="shared" si="138"/>
        <v>3</v>
      </c>
      <c r="AF968" t="str">
        <f t="shared" si="139"/>
        <v/>
      </c>
      <c r="AG968" t="str">
        <f t="shared" si="140"/>
        <v/>
      </c>
      <c r="AH968">
        <f t="shared" si="141"/>
        <v>3</v>
      </c>
      <c r="AI968" t="str">
        <f t="shared" si="142"/>
        <v/>
      </c>
      <c r="AJ968" t="str">
        <f t="shared" si="143"/>
        <v/>
      </c>
    </row>
    <row r="969" spans="1:36">
      <c r="A969" s="5">
        <v>1041</v>
      </c>
      <c r="B969" s="5" t="s">
        <v>1188</v>
      </c>
      <c r="C969" s="10" t="s">
        <v>1122</v>
      </c>
      <c r="D969" s="5" t="s">
        <v>1145</v>
      </c>
      <c r="E969" s="5" t="s">
        <v>39</v>
      </c>
      <c r="F969" s="5" t="str">
        <f t="shared" si="135"/>
        <v>IT-Analyst</v>
      </c>
      <c r="G969" s="5" t="s">
        <v>147</v>
      </c>
      <c r="H969" s="9">
        <v>44886.960578703707</v>
      </c>
      <c r="I969" s="9">
        <v>44888.960578703707</v>
      </c>
      <c r="J969" s="9" t="e">
        <f>I969+#REF!</f>
        <v>#REF!</v>
      </c>
      <c r="K969" s="9" t="e">
        <f>J969+#REF!</f>
        <v>#REF!</v>
      </c>
      <c r="L969" s="10" t="s">
        <v>41</v>
      </c>
      <c r="M969" s="11">
        <v>44903.960578703707</v>
      </c>
      <c r="N969" s="5" t="s">
        <v>48</v>
      </c>
      <c r="O969" s="5"/>
      <c r="P969" s="9">
        <v>44908.960578703707</v>
      </c>
      <c r="Q969" s="5" t="s">
        <v>48</v>
      </c>
      <c r="R969" s="5"/>
      <c r="S969" s="5"/>
      <c r="T969" s="9">
        <v>44905.960578703707</v>
      </c>
      <c r="U969" s="5"/>
      <c r="V969" s="5">
        <v>0</v>
      </c>
      <c r="W969" s="5"/>
      <c r="X969" s="5"/>
      <c r="Y969" s="5"/>
      <c r="Z969" s="5"/>
      <c r="AA969" s="5"/>
      <c r="AC969">
        <f t="shared" si="136"/>
        <v>15</v>
      </c>
      <c r="AD969" t="str">
        <f t="shared" si="137"/>
        <v/>
      </c>
      <c r="AE969">
        <f t="shared" si="138"/>
        <v>2</v>
      </c>
      <c r="AF969" t="str">
        <f t="shared" si="139"/>
        <v/>
      </c>
      <c r="AG969" t="str">
        <f t="shared" si="140"/>
        <v/>
      </c>
      <c r="AH969">
        <f t="shared" si="141"/>
        <v>2</v>
      </c>
      <c r="AI969" t="str">
        <f t="shared" si="142"/>
        <v/>
      </c>
      <c r="AJ969" t="str">
        <f t="shared" si="143"/>
        <v/>
      </c>
    </row>
    <row r="970" spans="1:36">
      <c r="A970" s="5">
        <v>1042</v>
      </c>
      <c r="B970" s="5" t="s">
        <v>1212</v>
      </c>
      <c r="C970" s="10" t="s">
        <v>1122</v>
      </c>
      <c r="D970" s="5" t="s">
        <v>1191</v>
      </c>
      <c r="E970" s="5" t="s">
        <v>1146</v>
      </c>
      <c r="F970" s="5" t="str">
        <f t="shared" si="135"/>
        <v>IT-Quality Assurance</v>
      </c>
      <c r="G970" s="5" t="s">
        <v>270</v>
      </c>
      <c r="H970" s="9">
        <v>44883.960578703707</v>
      </c>
      <c r="I970" s="9">
        <v>44886.960578703707</v>
      </c>
      <c r="J970" s="9" t="e">
        <f>I970+#REF!</f>
        <v>#REF!</v>
      </c>
      <c r="K970" s="9" t="e">
        <f>J970+#REF!</f>
        <v>#REF!</v>
      </c>
      <c r="L970" s="10" t="s">
        <v>41</v>
      </c>
      <c r="M970" s="11">
        <v>44899.960578703707</v>
      </c>
      <c r="N970" s="5" t="s">
        <v>167</v>
      </c>
      <c r="O970" s="5"/>
      <c r="P970" s="9">
        <v>44902.960578703707</v>
      </c>
      <c r="Q970" s="5" t="s">
        <v>167</v>
      </c>
      <c r="R970" s="5"/>
      <c r="S970" s="5"/>
      <c r="T970" s="9">
        <v>44900.960578703707</v>
      </c>
      <c r="U970" s="5"/>
      <c r="V970" s="5">
        <v>0</v>
      </c>
      <c r="W970" s="5"/>
      <c r="X970" s="5"/>
      <c r="Y970" s="5"/>
      <c r="Z970" s="5"/>
      <c r="AA970" s="5"/>
      <c r="AC970">
        <f t="shared" si="136"/>
        <v>13</v>
      </c>
      <c r="AD970" t="str">
        <f t="shared" si="137"/>
        <v/>
      </c>
      <c r="AE970">
        <f t="shared" si="138"/>
        <v>1</v>
      </c>
      <c r="AF970" t="str">
        <f t="shared" si="139"/>
        <v/>
      </c>
      <c r="AG970" t="str">
        <f t="shared" si="140"/>
        <v/>
      </c>
      <c r="AH970">
        <f t="shared" si="141"/>
        <v>3</v>
      </c>
      <c r="AI970" t="str">
        <f t="shared" si="142"/>
        <v/>
      </c>
      <c r="AJ970" t="str">
        <f t="shared" si="143"/>
        <v/>
      </c>
    </row>
    <row r="971" spans="1:36">
      <c r="A971" s="5">
        <v>1043</v>
      </c>
      <c r="B971" s="5" t="s">
        <v>1328</v>
      </c>
      <c r="C971" s="10" t="s">
        <v>1215</v>
      </c>
      <c r="D971" s="5" t="s">
        <v>1287</v>
      </c>
      <c r="E971" s="5" t="s">
        <v>597</v>
      </c>
      <c r="F971" s="5" t="str">
        <f t="shared" si="135"/>
        <v>HR-Business Partner</v>
      </c>
      <c r="G971" s="5" t="s">
        <v>47</v>
      </c>
      <c r="H971" s="9">
        <v>44882.960578703707</v>
      </c>
      <c r="I971" s="9">
        <v>44886.960578703707</v>
      </c>
      <c r="J971" s="9" t="e">
        <f>I971+#REF!</f>
        <v>#REF!</v>
      </c>
      <c r="K971" s="9" t="e">
        <f>J971+#REF!</f>
        <v>#REF!</v>
      </c>
      <c r="L971" s="10" t="s">
        <v>41</v>
      </c>
      <c r="M971" s="11">
        <v>44898.960578703707</v>
      </c>
      <c r="N971" s="5" t="s">
        <v>48</v>
      </c>
      <c r="O971" s="5"/>
      <c r="P971" s="9">
        <v>44902.960578703707</v>
      </c>
      <c r="Q971" s="5" t="s">
        <v>48</v>
      </c>
      <c r="R971" s="5"/>
      <c r="S971" s="5"/>
      <c r="T971" s="9">
        <v>44901.960578703707</v>
      </c>
      <c r="U971" s="5"/>
      <c r="V971" s="5">
        <v>0</v>
      </c>
      <c r="W971" s="5"/>
      <c r="X971" s="5"/>
      <c r="Y971" s="5"/>
      <c r="Z971" s="5"/>
      <c r="AA971" s="5"/>
      <c r="AC971">
        <f t="shared" si="136"/>
        <v>12</v>
      </c>
      <c r="AD971" t="str">
        <f t="shared" si="137"/>
        <v/>
      </c>
      <c r="AE971">
        <f t="shared" si="138"/>
        <v>3</v>
      </c>
      <c r="AF971" t="str">
        <f t="shared" si="139"/>
        <v/>
      </c>
      <c r="AG971" t="str">
        <f t="shared" si="140"/>
        <v/>
      </c>
      <c r="AH971">
        <f t="shared" si="141"/>
        <v>4</v>
      </c>
      <c r="AI971" t="str">
        <f t="shared" si="142"/>
        <v/>
      </c>
      <c r="AJ971" t="str">
        <f t="shared" si="143"/>
        <v/>
      </c>
    </row>
    <row r="972" spans="1:36">
      <c r="A972" s="5">
        <v>1044</v>
      </c>
      <c r="B972" s="5" t="s">
        <v>1187</v>
      </c>
      <c r="C972" s="10" t="s">
        <v>1122</v>
      </c>
      <c r="D972" s="5" t="s">
        <v>1145</v>
      </c>
      <c r="E972" s="5" t="s">
        <v>39</v>
      </c>
      <c r="F972" s="5" t="str">
        <f t="shared" si="135"/>
        <v>IT-Analyst</v>
      </c>
      <c r="G972" s="5" t="s">
        <v>147</v>
      </c>
      <c r="H972" s="9">
        <v>44886.960578703707</v>
      </c>
      <c r="I972" s="9">
        <v>44887.960578703707</v>
      </c>
      <c r="J972" s="9" t="e">
        <f>I972+#REF!</f>
        <v>#REF!</v>
      </c>
      <c r="K972" s="9" t="e">
        <f>J972+#REF!</f>
        <v>#REF!</v>
      </c>
      <c r="L972" s="10" t="s">
        <v>41</v>
      </c>
      <c r="M972" s="11">
        <v>44908.960578703707</v>
      </c>
      <c r="N972" s="5" t="s">
        <v>48</v>
      </c>
      <c r="O972" s="5"/>
      <c r="P972" s="9">
        <v>44911.960578703707</v>
      </c>
      <c r="Q972" s="5" t="s">
        <v>48</v>
      </c>
      <c r="R972" s="5"/>
      <c r="S972" s="5"/>
      <c r="T972" s="9">
        <v>44909.960578703707</v>
      </c>
      <c r="U972" s="5"/>
      <c r="V972" s="5">
        <v>0</v>
      </c>
      <c r="W972" s="5"/>
      <c r="X972" s="5"/>
      <c r="Y972" s="5"/>
      <c r="Z972" s="5"/>
      <c r="AA972" s="5"/>
      <c r="AC972">
        <f t="shared" si="136"/>
        <v>21</v>
      </c>
      <c r="AD972" t="str">
        <f t="shared" si="137"/>
        <v/>
      </c>
      <c r="AE972">
        <f t="shared" si="138"/>
        <v>1</v>
      </c>
      <c r="AF972" t="str">
        <f t="shared" si="139"/>
        <v/>
      </c>
      <c r="AG972" t="str">
        <f t="shared" si="140"/>
        <v/>
      </c>
      <c r="AH972">
        <f t="shared" si="141"/>
        <v>1</v>
      </c>
      <c r="AI972" t="str">
        <f t="shared" si="142"/>
        <v/>
      </c>
      <c r="AJ972" t="str">
        <f t="shared" si="143"/>
        <v/>
      </c>
    </row>
    <row r="973" spans="1:36">
      <c r="A973" s="5">
        <v>1045</v>
      </c>
      <c r="B973" s="5" t="s">
        <v>1283</v>
      </c>
      <c r="C973" s="10" t="s">
        <v>1215</v>
      </c>
      <c r="D973" s="5" t="s">
        <v>1249</v>
      </c>
      <c r="E973" s="5" t="s">
        <v>39</v>
      </c>
      <c r="F973" s="5" t="str">
        <f t="shared" si="135"/>
        <v>HR-Analyst</v>
      </c>
      <c r="G973" s="5" t="s">
        <v>40</v>
      </c>
      <c r="H973" s="9">
        <v>44886.960578703707</v>
      </c>
      <c r="I973" s="9">
        <v>44888.960578703707</v>
      </c>
      <c r="J973" s="9" t="e">
        <f>I973+#REF!</f>
        <v>#REF!</v>
      </c>
      <c r="K973" s="9" t="e">
        <f>J973+#REF!</f>
        <v>#REF!</v>
      </c>
      <c r="L973" s="10" t="s">
        <v>41</v>
      </c>
      <c r="M973" s="11">
        <v>44902.960578703707</v>
      </c>
      <c r="N973" s="5" t="s">
        <v>42</v>
      </c>
      <c r="O973" s="5" t="s">
        <v>73</v>
      </c>
      <c r="P973" s="9"/>
      <c r="Q973" s="5"/>
      <c r="R973" s="5"/>
      <c r="S973" s="5"/>
      <c r="T973" s="9">
        <v>44906.960578703707</v>
      </c>
      <c r="U973" s="5"/>
      <c r="V973" s="5">
        <v>0</v>
      </c>
      <c r="W973" s="5"/>
      <c r="X973" s="5"/>
      <c r="Y973" s="5"/>
      <c r="Z973" s="5"/>
      <c r="AA973" s="5" t="s">
        <v>62</v>
      </c>
      <c r="AC973">
        <f t="shared" si="136"/>
        <v>14</v>
      </c>
      <c r="AD973" t="str">
        <f t="shared" si="137"/>
        <v/>
      </c>
      <c r="AE973">
        <f t="shared" si="138"/>
        <v>4</v>
      </c>
      <c r="AF973" t="str">
        <f t="shared" si="139"/>
        <v/>
      </c>
      <c r="AG973" t="str">
        <f t="shared" si="140"/>
        <v/>
      </c>
      <c r="AH973">
        <f t="shared" si="141"/>
        <v>2</v>
      </c>
      <c r="AI973" t="str">
        <f t="shared" si="142"/>
        <v/>
      </c>
      <c r="AJ973" t="str">
        <f t="shared" si="143"/>
        <v/>
      </c>
    </row>
    <row r="974" spans="1:36">
      <c r="A974" s="5">
        <v>1046</v>
      </c>
      <c r="B974" s="5" t="s">
        <v>691</v>
      </c>
      <c r="C974" s="10" t="s">
        <v>671</v>
      </c>
      <c r="D974" s="5" t="s">
        <v>672</v>
      </c>
      <c r="E974" s="5" t="s">
        <v>597</v>
      </c>
      <c r="F974" s="5" t="str">
        <f t="shared" si="135"/>
        <v>Operations-Business Partner</v>
      </c>
      <c r="G974" s="5" t="s">
        <v>40</v>
      </c>
      <c r="H974" s="9">
        <v>44887.960578703707</v>
      </c>
      <c r="I974" s="9">
        <v>44889.960578703707</v>
      </c>
      <c r="J974" s="9" t="e">
        <f>I974+#REF!</f>
        <v>#REF!</v>
      </c>
      <c r="K974" s="9" t="e">
        <f>J974+#REF!</f>
        <v>#REF!</v>
      </c>
      <c r="L974" s="10" t="s">
        <v>52</v>
      </c>
      <c r="M974" s="11"/>
      <c r="N974" s="5"/>
      <c r="O974" s="5"/>
      <c r="P974" s="9"/>
      <c r="Q974" s="5"/>
      <c r="R974" s="5"/>
      <c r="S974" s="5"/>
      <c r="T974" s="9"/>
      <c r="U974" s="5"/>
      <c r="V974" s="5">
        <v>0</v>
      </c>
      <c r="W974" s="5"/>
      <c r="X974" s="5"/>
      <c r="Y974" s="5"/>
      <c r="Z974" s="5"/>
      <c r="AA974" s="5"/>
      <c r="AC974" t="str">
        <f t="shared" si="136"/>
        <v/>
      </c>
      <c r="AD974" t="str">
        <f t="shared" si="137"/>
        <v/>
      </c>
      <c r="AE974" t="str">
        <f t="shared" si="138"/>
        <v/>
      </c>
      <c r="AF974" t="str">
        <f t="shared" si="139"/>
        <v/>
      </c>
      <c r="AG974" t="str">
        <f t="shared" si="140"/>
        <v/>
      </c>
      <c r="AH974">
        <f t="shared" si="141"/>
        <v>2</v>
      </c>
      <c r="AI974" t="str">
        <f t="shared" si="142"/>
        <v/>
      </c>
      <c r="AJ974" t="str">
        <f t="shared" si="143"/>
        <v/>
      </c>
    </row>
    <row r="975" spans="1:36">
      <c r="A975" s="5">
        <v>1047</v>
      </c>
      <c r="B975" s="5" t="s">
        <v>2133</v>
      </c>
      <c r="C975" s="10" t="s">
        <v>2089</v>
      </c>
      <c r="D975" s="5" t="s">
        <v>2114</v>
      </c>
      <c r="E975" s="5" t="s">
        <v>388</v>
      </c>
      <c r="F975" s="5" t="str">
        <f t="shared" si="135"/>
        <v>Communication and Advocacy-Extension Officer</v>
      </c>
      <c r="G975" s="5" t="s">
        <v>147</v>
      </c>
      <c r="H975" s="9">
        <v>44885.960578703707</v>
      </c>
      <c r="I975" s="9">
        <v>44888.960578703707</v>
      </c>
      <c r="J975" s="9" t="e">
        <f>I975+#REF!</f>
        <v>#REF!</v>
      </c>
      <c r="K975" s="9" t="e">
        <f>J975+#REF!</f>
        <v>#REF!</v>
      </c>
      <c r="L975" s="10" t="s">
        <v>52</v>
      </c>
      <c r="M975" s="11"/>
      <c r="N975" s="5"/>
      <c r="O975" s="5"/>
      <c r="P975" s="9"/>
      <c r="Q975" s="5"/>
      <c r="R975" s="5"/>
      <c r="S975" s="5"/>
      <c r="T975" s="9"/>
      <c r="U975" s="5"/>
      <c r="V975" s="5">
        <v>0</v>
      </c>
      <c r="W975" s="5"/>
      <c r="X975" s="5"/>
      <c r="Y975" s="5"/>
      <c r="Z975" s="5"/>
      <c r="AA975" s="5"/>
      <c r="AC975" t="str">
        <f t="shared" si="136"/>
        <v/>
      </c>
      <c r="AD975" t="str">
        <f t="shared" si="137"/>
        <v/>
      </c>
      <c r="AE975" t="str">
        <f t="shared" si="138"/>
        <v/>
      </c>
      <c r="AF975" t="str">
        <f t="shared" si="139"/>
        <v/>
      </c>
      <c r="AG975" t="str">
        <f t="shared" si="140"/>
        <v/>
      </c>
      <c r="AH975">
        <f t="shared" si="141"/>
        <v>3</v>
      </c>
      <c r="AI975" t="str">
        <f t="shared" si="142"/>
        <v/>
      </c>
      <c r="AJ975" t="str">
        <f t="shared" si="143"/>
        <v/>
      </c>
    </row>
    <row r="976" spans="1:36">
      <c r="A976" s="5">
        <v>1048</v>
      </c>
      <c r="B976" s="5" t="s">
        <v>1327</v>
      </c>
      <c r="C976" s="10" t="s">
        <v>1215</v>
      </c>
      <c r="D976" s="5" t="s">
        <v>1287</v>
      </c>
      <c r="E976" s="5" t="s">
        <v>597</v>
      </c>
      <c r="F976" s="5" t="str">
        <f t="shared" si="135"/>
        <v>HR-Business Partner</v>
      </c>
      <c r="G976" s="5" t="s">
        <v>47</v>
      </c>
      <c r="H976" s="9">
        <v>44882.960578703707</v>
      </c>
      <c r="I976" s="9">
        <v>44886.960578703707</v>
      </c>
      <c r="J976" s="9" t="e">
        <f>I976+#REF!</f>
        <v>#REF!</v>
      </c>
      <c r="K976" s="9" t="e">
        <f>J976+#REF!</f>
        <v>#REF!</v>
      </c>
      <c r="L976" s="10" t="s">
        <v>41</v>
      </c>
      <c r="M976" s="11">
        <v>44902.960578703707</v>
      </c>
      <c r="N976" s="5" t="s">
        <v>42</v>
      </c>
      <c r="O976" s="5" t="s">
        <v>43</v>
      </c>
      <c r="P976" s="9"/>
      <c r="Q976" s="5"/>
      <c r="R976" s="5"/>
      <c r="S976" s="5"/>
      <c r="T976" s="9"/>
      <c r="U976" s="5"/>
      <c r="V976" s="5">
        <v>0</v>
      </c>
      <c r="W976" s="5"/>
      <c r="X976" s="5"/>
      <c r="Y976" s="5"/>
      <c r="Z976" s="5"/>
      <c r="AA976" s="5" t="s">
        <v>62</v>
      </c>
      <c r="AC976">
        <f t="shared" si="136"/>
        <v>16</v>
      </c>
      <c r="AD976" t="str">
        <f t="shared" si="137"/>
        <v/>
      </c>
      <c r="AE976" t="str">
        <f t="shared" si="138"/>
        <v/>
      </c>
      <c r="AF976" t="str">
        <f t="shared" si="139"/>
        <v/>
      </c>
      <c r="AG976" t="str">
        <f t="shared" si="140"/>
        <v/>
      </c>
      <c r="AH976">
        <f t="shared" si="141"/>
        <v>4</v>
      </c>
      <c r="AI976" t="str">
        <f t="shared" si="142"/>
        <v/>
      </c>
      <c r="AJ976" t="str">
        <f t="shared" si="143"/>
        <v/>
      </c>
    </row>
    <row r="977" spans="1:36">
      <c r="A977" s="5">
        <v>1049</v>
      </c>
      <c r="B977" s="5" t="s">
        <v>1186</v>
      </c>
      <c r="C977" s="10" t="s">
        <v>1122</v>
      </c>
      <c r="D977" s="5" t="s">
        <v>1145</v>
      </c>
      <c r="E977" s="5" t="s">
        <v>39</v>
      </c>
      <c r="F977" s="5" t="str">
        <f t="shared" si="135"/>
        <v>IT-Analyst</v>
      </c>
      <c r="G977" s="5" t="s">
        <v>147</v>
      </c>
      <c r="H977" s="9">
        <v>44884.960578703707</v>
      </c>
      <c r="I977" s="9">
        <v>44885.960578703707</v>
      </c>
      <c r="J977" s="9" t="e">
        <f>I977+#REF!</f>
        <v>#REF!</v>
      </c>
      <c r="K977" s="9" t="e">
        <f>J977+#REF!</f>
        <v>#REF!</v>
      </c>
      <c r="L977" s="10" t="s">
        <v>41</v>
      </c>
      <c r="M977" s="11">
        <v>44905.960578703707</v>
      </c>
      <c r="N977" s="5" t="s">
        <v>42</v>
      </c>
      <c r="O977" s="5" t="s">
        <v>98</v>
      </c>
      <c r="P977" s="9"/>
      <c r="Q977" s="5"/>
      <c r="R977" s="5"/>
      <c r="S977" s="5"/>
      <c r="T977" s="9"/>
      <c r="U977" s="5"/>
      <c r="V977" s="5">
        <v>0</v>
      </c>
      <c r="W977" s="5"/>
      <c r="X977" s="5"/>
      <c r="Y977" s="5"/>
      <c r="Z977" s="5"/>
      <c r="AA977" s="5" t="s">
        <v>44</v>
      </c>
      <c r="AC977">
        <f t="shared" si="136"/>
        <v>20</v>
      </c>
      <c r="AD977" t="str">
        <f t="shared" si="137"/>
        <v/>
      </c>
      <c r="AE977" t="str">
        <f t="shared" si="138"/>
        <v/>
      </c>
      <c r="AF977" t="str">
        <f t="shared" si="139"/>
        <v/>
      </c>
      <c r="AG977" t="str">
        <f t="shared" si="140"/>
        <v/>
      </c>
      <c r="AH977">
        <f t="shared" si="141"/>
        <v>1</v>
      </c>
      <c r="AI977" t="str">
        <f t="shared" si="142"/>
        <v/>
      </c>
      <c r="AJ977" t="str">
        <f t="shared" si="143"/>
        <v/>
      </c>
    </row>
    <row r="978" spans="1:36">
      <c r="A978" s="5">
        <v>1050</v>
      </c>
      <c r="B978" s="5" t="s">
        <v>1142</v>
      </c>
      <c r="C978" s="10" t="s">
        <v>1122</v>
      </c>
      <c r="D978" s="5" t="s">
        <v>1123</v>
      </c>
      <c r="E978" s="5" t="s">
        <v>102</v>
      </c>
      <c r="F978" s="5" t="str">
        <f t="shared" si="135"/>
        <v>IT-Senior Manager</v>
      </c>
      <c r="G978" s="5" t="s">
        <v>103</v>
      </c>
      <c r="H978" s="9">
        <v>44886.960578703707</v>
      </c>
      <c r="I978" s="9">
        <v>44888.960578703707</v>
      </c>
      <c r="J978" s="9" t="e">
        <f>I978+#REF!</f>
        <v>#REF!</v>
      </c>
      <c r="K978" s="9" t="e">
        <f>J978+#REF!</f>
        <v>#REF!</v>
      </c>
      <c r="L978" s="10" t="s">
        <v>41</v>
      </c>
      <c r="M978" s="11">
        <v>44900.960578703707</v>
      </c>
      <c r="N978" s="5" t="s">
        <v>42</v>
      </c>
      <c r="O978" s="5" t="s">
        <v>58</v>
      </c>
      <c r="P978" s="9"/>
      <c r="Q978" s="5"/>
      <c r="R978" s="5"/>
      <c r="S978" s="5"/>
      <c r="T978" s="9">
        <v>44904.960578703707</v>
      </c>
      <c r="U978" s="5"/>
      <c r="V978" s="5">
        <v>0</v>
      </c>
      <c r="W978" s="5"/>
      <c r="X978" s="5"/>
      <c r="Y978" s="5"/>
      <c r="Z978" s="5"/>
      <c r="AA978" s="5" t="s">
        <v>44</v>
      </c>
      <c r="AC978">
        <f t="shared" si="136"/>
        <v>12</v>
      </c>
      <c r="AD978" t="str">
        <f t="shared" si="137"/>
        <v/>
      </c>
      <c r="AE978">
        <f t="shared" si="138"/>
        <v>4</v>
      </c>
      <c r="AF978" t="str">
        <f t="shared" si="139"/>
        <v/>
      </c>
      <c r="AG978" t="str">
        <f t="shared" si="140"/>
        <v/>
      </c>
      <c r="AH978">
        <f t="shared" si="141"/>
        <v>2</v>
      </c>
      <c r="AI978" t="str">
        <f t="shared" si="142"/>
        <v/>
      </c>
      <c r="AJ978" t="str">
        <f t="shared" si="143"/>
        <v/>
      </c>
    </row>
    <row r="979" spans="1:36">
      <c r="A979" s="5">
        <v>1051</v>
      </c>
      <c r="B979" s="5" t="s">
        <v>874</v>
      </c>
      <c r="C979" s="5" t="s">
        <v>796</v>
      </c>
      <c r="D979" s="5" t="s">
        <v>814</v>
      </c>
      <c r="E979" s="5" t="s">
        <v>39</v>
      </c>
      <c r="F979" s="5" t="str">
        <f t="shared" si="135"/>
        <v>M and E-Analyst</v>
      </c>
      <c r="G979" s="5" t="s">
        <v>147</v>
      </c>
      <c r="H979" s="9">
        <v>45159.180486111109</v>
      </c>
      <c r="I979" s="9">
        <v>45161.180486111109</v>
      </c>
      <c r="J979" s="9" t="e">
        <f>I979+#REF!</f>
        <v>#REF!</v>
      </c>
      <c r="K979" s="9" t="e">
        <f>J979+#REF!</f>
        <v>#REF!</v>
      </c>
      <c r="L979" s="10" t="s">
        <v>52</v>
      </c>
      <c r="M979" s="11"/>
      <c r="N979" s="5"/>
      <c r="O979" s="5"/>
      <c r="P979" s="9"/>
      <c r="Q979" s="5"/>
      <c r="R979" s="5"/>
      <c r="S979" s="5"/>
      <c r="T979" s="9"/>
      <c r="U979" s="5"/>
      <c r="V979" s="5">
        <v>0</v>
      </c>
      <c r="W979" s="5"/>
      <c r="X979" s="5"/>
      <c r="Y979" s="5"/>
      <c r="Z979" s="5"/>
      <c r="AA979" s="5"/>
      <c r="AC979" t="str">
        <f t="shared" si="136"/>
        <v/>
      </c>
      <c r="AD979" t="str">
        <f t="shared" si="137"/>
        <v/>
      </c>
      <c r="AE979" t="str">
        <f t="shared" si="138"/>
        <v/>
      </c>
      <c r="AF979" t="str">
        <f t="shared" si="139"/>
        <v/>
      </c>
      <c r="AG979" t="str">
        <f t="shared" si="140"/>
        <v/>
      </c>
      <c r="AH979">
        <f t="shared" si="141"/>
        <v>2</v>
      </c>
      <c r="AI979" t="str">
        <f t="shared" si="142"/>
        <v/>
      </c>
      <c r="AJ979" t="str">
        <f t="shared" si="143"/>
        <v/>
      </c>
    </row>
    <row r="980" spans="1:36">
      <c r="A980" s="5">
        <v>1052</v>
      </c>
      <c r="B980" s="5" t="s">
        <v>873</v>
      </c>
      <c r="C980" s="5" t="s">
        <v>796</v>
      </c>
      <c r="D980" s="5" t="s">
        <v>814</v>
      </c>
      <c r="E980" s="5" t="s">
        <v>39</v>
      </c>
      <c r="F980" s="5" t="str">
        <f t="shared" si="135"/>
        <v>M and E-Analyst</v>
      </c>
      <c r="G980" s="5" t="s">
        <v>147</v>
      </c>
      <c r="H980" s="9">
        <v>45158.180486111109</v>
      </c>
      <c r="I980" s="9">
        <v>45162.180486111109</v>
      </c>
      <c r="J980" s="9" t="e">
        <f>I980+#REF!</f>
        <v>#REF!</v>
      </c>
      <c r="K980" s="9" t="e">
        <f>J980+#REF!</f>
        <v>#REF!</v>
      </c>
      <c r="L980" s="10" t="s">
        <v>41</v>
      </c>
      <c r="M980" s="11">
        <v>45169.180486111109</v>
      </c>
      <c r="N980" s="5" t="s">
        <v>42</v>
      </c>
      <c r="O980" s="5" t="s">
        <v>43</v>
      </c>
      <c r="P980" s="9"/>
      <c r="Q980" s="5"/>
      <c r="R980" s="5"/>
      <c r="S980" s="5"/>
      <c r="T980" s="9">
        <v>45170.180486111109</v>
      </c>
      <c r="U980" s="5"/>
      <c r="V980" s="5">
        <v>0</v>
      </c>
      <c r="W980" s="5"/>
      <c r="X980" s="5"/>
      <c r="Y980" s="5"/>
      <c r="Z980" s="5"/>
      <c r="AA980" s="5" t="s">
        <v>62</v>
      </c>
      <c r="AC980">
        <f t="shared" si="136"/>
        <v>7</v>
      </c>
      <c r="AD980" t="str">
        <f t="shared" si="137"/>
        <v/>
      </c>
      <c r="AE980">
        <f t="shared" si="138"/>
        <v>1</v>
      </c>
      <c r="AF980" t="str">
        <f t="shared" si="139"/>
        <v/>
      </c>
      <c r="AG980" t="str">
        <f t="shared" si="140"/>
        <v/>
      </c>
      <c r="AH980">
        <f t="shared" si="141"/>
        <v>4</v>
      </c>
      <c r="AI980" t="str">
        <f t="shared" si="142"/>
        <v/>
      </c>
      <c r="AJ980" t="str">
        <f t="shared" si="143"/>
        <v/>
      </c>
    </row>
    <row r="981" spans="1:36">
      <c r="A981" s="5">
        <v>1053</v>
      </c>
      <c r="B981" s="5" t="s">
        <v>1010</v>
      </c>
      <c r="C981" s="5" t="s">
        <v>796</v>
      </c>
      <c r="D981" s="5" t="s">
        <v>957</v>
      </c>
      <c r="E981" s="5" t="s">
        <v>388</v>
      </c>
      <c r="F981" s="5" t="str">
        <f t="shared" si="135"/>
        <v>M and E-Extension Officer</v>
      </c>
      <c r="G981" s="5" t="s">
        <v>40</v>
      </c>
      <c r="H981" s="9">
        <v>45155.180486111109</v>
      </c>
      <c r="I981" s="9">
        <v>45158.180486111109</v>
      </c>
      <c r="J981" s="9" t="e">
        <f>I981+#REF!</f>
        <v>#REF!</v>
      </c>
      <c r="K981" s="9" t="e">
        <f>J981+#REF!</f>
        <v>#REF!</v>
      </c>
      <c r="L981" s="10" t="s">
        <v>41</v>
      </c>
      <c r="M981" s="11">
        <v>45176.180486111109</v>
      </c>
      <c r="N981" s="5" t="s">
        <v>48</v>
      </c>
      <c r="O981" s="5"/>
      <c r="P981" s="9">
        <v>45181.180486111109</v>
      </c>
      <c r="Q981" s="5" t="s">
        <v>48</v>
      </c>
      <c r="R981" s="5"/>
      <c r="S981" s="5"/>
      <c r="T981" s="9">
        <v>45180.180486111109</v>
      </c>
      <c r="U981" s="5"/>
      <c r="V981" s="5">
        <v>0</v>
      </c>
      <c r="W981" s="5"/>
      <c r="X981" s="5"/>
      <c r="Y981" s="5"/>
      <c r="Z981" s="5"/>
      <c r="AA981" s="5"/>
      <c r="AC981">
        <f t="shared" si="136"/>
        <v>18</v>
      </c>
      <c r="AD981" t="str">
        <f t="shared" si="137"/>
        <v/>
      </c>
      <c r="AE981">
        <f t="shared" si="138"/>
        <v>4</v>
      </c>
      <c r="AF981" t="str">
        <f t="shared" si="139"/>
        <v/>
      </c>
      <c r="AG981" t="str">
        <f t="shared" si="140"/>
        <v/>
      </c>
      <c r="AH981">
        <f t="shared" si="141"/>
        <v>3</v>
      </c>
      <c r="AI981" t="str">
        <f t="shared" si="142"/>
        <v/>
      </c>
      <c r="AJ981" t="str">
        <f t="shared" si="143"/>
        <v/>
      </c>
    </row>
    <row r="982" spans="1:36">
      <c r="A982" s="5">
        <v>1055</v>
      </c>
      <c r="B982" s="5" t="s">
        <v>934</v>
      </c>
      <c r="C982" s="5" t="s">
        <v>796</v>
      </c>
      <c r="D982" s="5" t="s">
        <v>893</v>
      </c>
      <c r="E982" s="5" t="s">
        <v>269</v>
      </c>
      <c r="F982" s="5" t="str">
        <f t="shared" si="135"/>
        <v>M and E-Manager</v>
      </c>
      <c r="G982" s="5" t="s">
        <v>270</v>
      </c>
      <c r="H982" s="9">
        <v>45155.180486111109</v>
      </c>
      <c r="I982" s="9">
        <v>45159.180486111109</v>
      </c>
      <c r="J982" s="9" t="e">
        <f>I982+#REF!</f>
        <v>#REF!</v>
      </c>
      <c r="K982" s="9" t="e">
        <f>J982+#REF!</f>
        <v>#REF!</v>
      </c>
      <c r="L982" s="10" t="s">
        <v>41</v>
      </c>
      <c r="M982" s="11">
        <v>45172.180486111109</v>
      </c>
      <c r="N982" s="5" t="s">
        <v>64</v>
      </c>
      <c r="O982" s="5"/>
      <c r="P982" s="9">
        <v>45177.180486111109</v>
      </c>
      <c r="Q982" s="5" t="s">
        <v>64</v>
      </c>
      <c r="R982" s="9">
        <v>45174.180486111109</v>
      </c>
      <c r="S982" s="9">
        <v>45178.180486111109</v>
      </c>
      <c r="T982" s="9">
        <v>45173.180486111109</v>
      </c>
      <c r="U982" s="9">
        <v>45178.180486111109</v>
      </c>
      <c r="V982" s="12">
        <v>1</v>
      </c>
      <c r="W982" s="9">
        <v>45180.180486111109</v>
      </c>
      <c r="X982" s="9">
        <v>45183.180486111109</v>
      </c>
      <c r="Y982" s="9">
        <v>45186.180486111109</v>
      </c>
      <c r="Z982" s="5"/>
      <c r="AA982" s="5"/>
      <c r="AB982" s="13">
        <v>45202.180486111109</v>
      </c>
      <c r="AC982">
        <f t="shared" si="136"/>
        <v>13</v>
      </c>
      <c r="AD982">
        <f t="shared" si="137"/>
        <v>19</v>
      </c>
      <c r="AE982">
        <f t="shared" si="138"/>
        <v>1</v>
      </c>
      <c r="AF982">
        <f t="shared" si="139"/>
        <v>5</v>
      </c>
      <c r="AG982">
        <f t="shared" si="140"/>
        <v>2</v>
      </c>
      <c r="AH982">
        <f t="shared" si="141"/>
        <v>4</v>
      </c>
      <c r="AI982" t="str">
        <f t="shared" si="142"/>
        <v/>
      </c>
      <c r="AJ982" t="str">
        <f t="shared" si="143"/>
        <v/>
      </c>
    </row>
    <row r="983" spans="1:36">
      <c r="A983" s="5">
        <v>1056</v>
      </c>
      <c r="B983" s="5" t="s">
        <v>1103</v>
      </c>
      <c r="C983" s="5" t="s">
        <v>796</v>
      </c>
      <c r="D983" s="5" t="s">
        <v>1046</v>
      </c>
      <c r="E983" s="5" t="s">
        <v>597</v>
      </c>
      <c r="F983" s="5" t="str">
        <f t="shared" si="135"/>
        <v>M and E-Business Partner</v>
      </c>
      <c r="G983" s="5" t="s">
        <v>47</v>
      </c>
      <c r="H983" s="9">
        <v>45153.180486111109</v>
      </c>
      <c r="I983" s="9">
        <v>45157.180486111109</v>
      </c>
      <c r="J983" s="9" t="e">
        <f>I983+#REF!</f>
        <v>#REF!</v>
      </c>
      <c r="K983" s="9" t="e">
        <f>J983+#REF!</f>
        <v>#REF!</v>
      </c>
      <c r="L983" s="10" t="s">
        <v>41</v>
      </c>
      <c r="M983" s="11">
        <v>45172.180486111109</v>
      </c>
      <c r="N983" s="5" t="s">
        <v>42</v>
      </c>
      <c r="O983" s="5" t="s">
        <v>73</v>
      </c>
      <c r="P983" s="9"/>
      <c r="Q983" s="5"/>
      <c r="R983" s="5"/>
      <c r="S983" s="5"/>
      <c r="T983" s="9">
        <v>45174.180486111109</v>
      </c>
      <c r="U983" s="5"/>
      <c r="V983" s="5">
        <v>0</v>
      </c>
      <c r="W983" s="5"/>
      <c r="X983" s="5"/>
      <c r="Y983" s="5"/>
      <c r="Z983" s="5"/>
      <c r="AA983" s="5" t="s">
        <v>44</v>
      </c>
      <c r="AC983">
        <f t="shared" si="136"/>
        <v>15</v>
      </c>
      <c r="AD983" t="str">
        <f t="shared" si="137"/>
        <v/>
      </c>
      <c r="AE983">
        <f t="shared" si="138"/>
        <v>2</v>
      </c>
      <c r="AF983" t="str">
        <f t="shared" si="139"/>
        <v/>
      </c>
      <c r="AG983" t="str">
        <f t="shared" si="140"/>
        <v/>
      </c>
      <c r="AH983">
        <f t="shared" si="141"/>
        <v>4</v>
      </c>
      <c r="AI983" t="str">
        <f t="shared" si="142"/>
        <v/>
      </c>
      <c r="AJ983" t="str">
        <f t="shared" si="143"/>
        <v/>
      </c>
    </row>
    <row r="984" spans="1:36">
      <c r="A984" s="5">
        <v>1057</v>
      </c>
      <c r="B984" s="5" t="s">
        <v>1102</v>
      </c>
      <c r="C984" s="5" t="s">
        <v>796</v>
      </c>
      <c r="D984" s="5" t="s">
        <v>1046</v>
      </c>
      <c r="E984" s="5" t="s">
        <v>597</v>
      </c>
      <c r="F984" s="5" t="str">
        <f t="shared" si="135"/>
        <v>M and E-Business Partner</v>
      </c>
      <c r="G984" s="5" t="s">
        <v>47</v>
      </c>
      <c r="H984" s="9">
        <v>45157.180486111109</v>
      </c>
      <c r="I984" s="9">
        <v>45158.180486111109</v>
      </c>
      <c r="J984" s="9" t="e">
        <f>I984+#REF!</f>
        <v>#REF!</v>
      </c>
      <c r="K984" s="9" t="e">
        <f>J984+#REF!</f>
        <v>#REF!</v>
      </c>
      <c r="L984" s="10" t="s">
        <v>41</v>
      </c>
      <c r="M984" s="11">
        <v>45172.180486111109</v>
      </c>
      <c r="N984" s="5" t="s">
        <v>42</v>
      </c>
      <c r="O984" s="5" t="s">
        <v>73</v>
      </c>
      <c r="P984" s="9"/>
      <c r="Q984" s="5"/>
      <c r="R984" s="5"/>
      <c r="S984" s="5"/>
      <c r="T984" s="9"/>
      <c r="U984" s="5"/>
      <c r="V984" s="5">
        <v>0</v>
      </c>
      <c r="W984" s="5"/>
      <c r="X984" s="5"/>
      <c r="Y984" s="5"/>
      <c r="Z984" s="5"/>
      <c r="AA984" s="5" t="s">
        <v>44</v>
      </c>
      <c r="AC984">
        <f t="shared" si="136"/>
        <v>14</v>
      </c>
      <c r="AD984" t="str">
        <f t="shared" si="137"/>
        <v/>
      </c>
      <c r="AE984" t="str">
        <f t="shared" si="138"/>
        <v/>
      </c>
      <c r="AF984" t="str">
        <f t="shared" si="139"/>
        <v/>
      </c>
      <c r="AG984" t="str">
        <f t="shared" si="140"/>
        <v/>
      </c>
      <c r="AH984">
        <f t="shared" si="141"/>
        <v>1</v>
      </c>
      <c r="AI984" t="str">
        <f t="shared" si="142"/>
        <v/>
      </c>
      <c r="AJ984" t="str">
        <f t="shared" si="143"/>
        <v/>
      </c>
    </row>
    <row r="985" spans="1:36">
      <c r="A985" s="5">
        <v>1058</v>
      </c>
      <c r="B985" s="5" t="s">
        <v>812</v>
      </c>
      <c r="C985" s="5" t="s">
        <v>796</v>
      </c>
      <c r="D985" s="5" t="s">
        <v>797</v>
      </c>
      <c r="E985" s="5" t="s">
        <v>102</v>
      </c>
      <c r="F985" s="5" t="str">
        <f t="shared" si="135"/>
        <v>M and E-Senior Manager</v>
      </c>
      <c r="G985" s="5" t="s">
        <v>103</v>
      </c>
      <c r="H985" s="9">
        <v>45153.180486111109</v>
      </c>
      <c r="I985" s="9">
        <v>45157.180486111109</v>
      </c>
      <c r="J985" s="9" t="e">
        <f>I985+#REF!</f>
        <v>#REF!</v>
      </c>
      <c r="K985" s="9" t="e">
        <f>J985+#REF!</f>
        <v>#REF!</v>
      </c>
      <c r="L985" s="10" t="s">
        <v>41</v>
      </c>
      <c r="M985" s="11">
        <v>45174.180486111109</v>
      </c>
      <c r="N985" s="5" t="s">
        <v>42</v>
      </c>
      <c r="O985" s="5" t="s">
        <v>73</v>
      </c>
      <c r="P985" s="9"/>
      <c r="Q985" s="5"/>
      <c r="R985" s="5"/>
      <c r="S985" s="5"/>
      <c r="T985" s="9"/>
      <c r="U985" s="5"/>
      <c r="V985" s="5">
        <v>0</v>
      </c>
      <c r="W985" s="5"/>
      <c r="X985" s="5"/>
      <c r="Y985" s="5"/>
      <c r="Z985" s="5"/>
      <c r="AA985" s="5" t="s">
        <v>62</v>
      </c>
      <c r="AC985">
        <f t="shared" si="136"/>
        <v>17</v>
      </c>
      <c r="AD985" t="str">
        <f t="shared" si="137"/>
        <v/>
      </c>
      <c r="AE985" t="str">
        <f t="shared" si="138"/>
        <v/>
      </c>
      <c r="AF985" t="str">
        <f t="shared" si="139"/>
        <v/>
      </c>
      <c r="AG985" t="str">
        <f t="shared" si="140"/>
        <v/>
      </c>
      <c r="AH985">
        <f t="shared" si="141"/>
        <v>4</v>
      </c>
      <c r="AI985" t="str">
        <f t="shared" si="142"/>
        <v/>
      </c>
      <c r="AJ985" t="str">
        <f t="shared" si="143"/>
        <v/>
      </c>
    </row>
    <row r="986" spans="1:36">
      <c r="A986" s="5">
        <v>1059</v>
      </c>
      <c r="B986" s="5" t="s">
        <v>1101</v>
      </c>
      <c r="C986" s="5" t="s">
        <v>796</v>
      </c>
      <c r="D986" s="5" t="s">
        <v>1046</v>
      </c>
      <c r="E986" s="5" t="s">
        <v>673</v>
      </c>
      <c r="F986" s="5" t="str">
        <f t="shared" si="135"/>
        <v>M and E-Controller</v>
      </c>
      <c r="G986" s="5" t="s">
        <v>47</v>
      </c>
      <c r="H986" s="9">
        <v>45159.180486111109</v>
      </c>
      <c r="I986" s="9">
        <v>45162.180486111109</v>
      </c>
      <c r="J986" s="9" t="e">
        <f>I986+#REF!</f>
        <v>#REF!</v>
      </c>
      <c r="K986" s="9" t="e">
        <f>J986+#REF!</f>
        <v>#REF!</v>
      </c>
      <c r="L986" s="10" t="s">
        <v>41</v>
      </c>
      <c r="M986" s="11">
        <v>45180.180486111109</v>
      </c>
      <c r="N986" s="5" t="s">
        <v>64</v>
      </c>
      <c r="O986" s="5"/>
      <c r="P986" s="9">
        <v>45187.180486111109</v>
      </c>
      <c r="Q986" s="5" t="s">
        <v>64</v>
      </c>
      <c r="R986" s="9">
        <v>45182.180486111109</v>
      </c>
      <c r="S986" s="9">
        <v>45185.180486111109</v>
      </c>
      <c r="T986" s="9">
        <v>45183.180486111109</v>
      </c>
      <c r="U986" s="9">
        <v>45192.180486111109</v>
      </c>
      <c r="V986" s="12">
        <v>1</v>
      </c>
      <c r="W986" s="9">
        <v>45196.180486111109</v>
      </c>
      <c r="X986" s="9">
        <v>45197.180486111109</v>
      </c>
      <c r="Y986" s="9">
        <v>45199.180486111109</v>
      </c>
      <c r="Z986" s="5"/>
      <c r="AA986" s="5"/>
      <c r="AB986" s="13">
        <v>45211.180486111109</v>
      </c>
      <c r="AC986">
        <f t="shared" si="136"/>
        <v>18</v>
      </c>
      <c r="AD986">
        <f t="shared" si="137"/>
        <v>23</v>
      </c>
      <c r="AE986">
        <f t="shared" si="138"/>
        <v>3</v>
      </c>
      <c r="AF986">
        <f t="shared" si="139"/>
        <v>5</v>
      </c>
      <c r="AG986">
        <f t="shared" si="140"/>
        <v>4</v>
      </c>
      <c r="AH986">
        <f t="shared" si="141"/>
        <v>3</v>
      </c>
      <c r="AI986" t="str">
        <f t="shared" si="142"/>
        <v/>
      </c>
      <c r="AJ986" t="str">
        <f t="shared" si="143"/>
        <v/>
      </c>
    </row>
    <row r="987" spans="1:36">
      <c r="A987" s="5">
        <v>1060</v>
      </c>
      <c r="B987" s="5" t="s">
        <v>1100</v>
      </c>
      <c r="C987" s="5" t="s">
        <v>796</v>
      </c>
      <c r="D987" s="5" t="s">
        <v>1046</v>
      </c>
      <c r="E987" s="5" t="s">
        <v>673</v>
      </c>
      <c r="F987" s="5" t="str">
        <f t="shared" si="135"/>
        <v>M and E-Controller</v>
      </c>
      <c r="G987" s="5" t="s">
        <v>47</v>
      </c>
      <c r="H987" s="9">
        <v>45159.180486111109</v>
      </c>
      <c r="I987" s="9">
        <v>45162.180486111109</v>
      </c>
      <c r="J987" s="9" t="e">
        <f>I987+#REF!</f>
        <v>#REF!</v>
      </c>
      <c r="K987" s="9" t="e">
        <f>J987+#REF!</f>
        <v>#REF!</v>
      </c>
      <c r="L987" s="10" t="s">
        <v>41</v>
      </c>
      <c r="M987" s="11">
        <v>45174.180486111109</v>
      </c>
      <c r="N987" s="5" t="s">
        <v>64</v>
      </c>
      <c r="O987" s="5"/>
      <c r="P987" s="9">
        <v>45180.180486111109</v>
      </c>
      <c r="Q987" s="5" t="s">
        <v>64</v>
      </c>
      <c r="R987" s="9">
        <v>45176.180486111109</v>
      </c>
      <c r="S987" s="9">
        <v>45177.180486111109</v>
      </c>
      <c r="T987" s="9">
        <v>45176.180486111109</v>
      </c>
      <c r="U987" s="9">
        <v>45181.180486111109</v>
      </c>
      <c r="V987" s="12">
        <v>1</v>
      </c>
      <c r="W987" s="9">
        <v>45185.180486111109</v>
      </c>
      <c r="X987" s="9">
        <v>45188.180486111109</v>
      </c>
      <c r="Y987" s="9">
        <v>45190.180486111109</v>
      </c>
      <c r="Z987" s="5"/>
      <c r="AA987" s="5"/>
      <c r="AB987" s="13">
        <v>45200.180486111109</v>
      </c>
      <c r="AC987">
        <f t="shared" si="136"/>
        <v>12</v>
      </c>
      <c r="AD987">
        <f t="shared" si="137"/>
        <v>15</v>
      </c>
      <c r="AE987">
        <f t="shared" si="138"/>
        <v>2</v>
      </c>
      <c r="AF987">
        <f t="shared" si="139"/>
        <v>7</v>
      </c>
      <c r="AG987">
        <f t="shared" si="140"/>
        <v>4</v>
      </c>
      <c r="AH987">
        <f t="shared" si="141"/>
        <v>3</v>
      </c>
      <c r="AI987" t="str">
        <f t="shared" si="142"/>
        <v/>
      </c>
      <c r="AJ987" t="str">
        <f t="shared" si="143"/>
        <v/>
      </c>
    </row>
    <row r="988" spans="1:36">
      <c r="A988" s="5">
        <v>1062</v>
      </c>
      <c r="B988" s="5" t="s">
        <v>2050</v>
      </c>
      <c r="C988" s="5" t="s">
        <v>1540</v>
      </c>
      <c r="D988" s="5" t="s">
        <v>1985</v>
      </c>
      <c r="E988" s="5" t="s">
        <v>1862</v>
      </c>
      <c r="F988" s="5" t="str">
        <f t="shared" si="135"/>
        <v>Finance-Billing Officer</v>
      </c>
      <c r="G988" s="5" t="s">
        <v>47</v>
      </c>
      <c r="H988" s="9">
        <v>44779.414236111108</v>
      </c>
      <c r="I988" s="9">
        <v>44780.414236111108</v>
      </c>
      <c r="J988" s="9" t="e">
        <f>I988+#REF!</f>
        <v>#REF!</v>
      </c>
      <c r="K988" s="9" t="e">
        <f>J988+#REF!</f>
        <v>#REF!</v>
      </c>
      <c r="L988" s="10" t="s">
        <v>41</v>
      </c>
      <c r="M988" s="11">
        <v>44790.414236111108</v>
      </c>
      <c r="N988" s="5" t="s">
        <v>42</v>
      </c>
      <c r="O988" s="5" t="s">
        <v>98</v>
      </c>
      <c r="P988" s="9"/>
      <c r="Q988" s="5"/>
      <c r="R988" s="5"/>
      <c r="S988" s="5"/>
      <c r="T988" s="9">
        <v>44793.414236111108</v>
      </c>
      <c r="U988" s="5"/>
      <c r="V988" s="5">
        <v>0</v>
      </c>
      <c r="W988" s="5"/>
      <c r="X988" s="5"/>
      <c r="Y988" s="5"/>
      <c r="Z988" s="5"/>
      <c r="AA988" s="5" t="s">
        <v>62</v>
      </c>
      <c r="AC988">
        <f t="shared" si="136"/>
        <v>10</v>
      </c>
      <c r="AD988" t="str">
        <f t="shared" si="137"/>
        <v/>
      </c>
      <c r="AE988">
        <f t="shared" si="138"/>
        <v>3</v>
      </c>
      <c r="AF988" t="str">
        <f t="shared" si="139"/>
        <v/>
      </c>
      <c r="AG988" t="str">
        <f t="shared" si="140"/>
        <v/>
      </c>
      <c r="AH988">
        <f t="shared" si="141"/>
        <v>1</v>
      </c>
      <c r="AI988" t="str">
        <f t="shared" si="142"/>
        <v/>
      </c>
      <c r="AJ988" t="str">
        <f t="shared" si="143"/>
        <v/>
      </c>
    </row>
    <row r="989" spans="1:36">
      <c r="A989" s="5">
        <v>1064</v>
      </c>
      <c r="B989" s="5" t="s">
        <v>2049</v>
      </c>
      <c r="C989" s="5" t="s">
        <v>1540</v>
      </c>
      <c r="D989" s="5" t="s">
        <v>1985</v>
      </c>
      <c r="E989" s="5" t="s">
        <v>1862</v>
      </c>
      <c r="F989" s="5" t="str">
        <f t="shared" si="135"/>
        <v>Finance-Billing Officer</v>
      </c>
      <c r="G989" s="5" t="s">
        <v>47</v>
      </c>
      <c r="H989" s="9">
        <v>44782.414236111108</v>
      </c>
      <c r="I989" s="9">
        <v>44785.414236111108</v>
      </c>
      <c r="J989" s="9" t="e">
        <f>I989+#REF!</f>
        <v>#REF!</v>
      </c>
      <c r="K989" s="9" t="e">
        <f>J989+#REF!</f>
        <v>#REF!</v>
      </c>
      <c r="L989" s="10" t="s">
        <v>41</v>
      </c>
      <c r="M989" s="11">
        <v>44789.414236111108</v>
      </c>
      <c r="N989" s="5" t="s">
        <v>42</v>
      </c>
      <c r="O989" s="5" t="s">
        <v>113</v>
      </c>
      <c r="P989" s="9"/>
      <c r="Q989" s="5"/>
      <c r="R989" s="5"/>
      <c r="S989" s="5"/>
      <c r="T989" s="9"/>
      <c r="U989" s="5"/>
      <c r="V989" s="5">
        <v>0</v>
      </c>
      <c r="W989" s="5"/>
      <c r="X989" s="5"/>
      <c r="Y989" s="5"/>
      <c r="Z989" s="5"/>
      <c r="AA989" s="5" t="s">
        <v>44</v>
      </c>
      <c r="AC989">
        <f t="shared" si="136"/>
        <v>4</v>
      </c>
      <c r="AD989" t="str">
        <f t="shared" si="137"/>
        <v/>
      </c>
      <c r="AE989" t="str">
        <f t="shared" si="138"/>
        <v/>
      </c>
      <c r="AF989" t="str">
        <f t="shared" si="139"/>
        <v/>
      </c>
      <c r="AG989" t="str">
        <f t="shared" si="140"/>
        <v/>
      </c>
      <c r="AH989">
        <f t="shared" si="141"/>
        <v>3</v>
      </c>
      <c r="AI989" t="str">
        <f t="shared" si="142"/>
        <v/>
      </c>
      <c r="AJ989" t="str">
        <f t="shared" si="143"/>
        <v/>
      </c>
    </row>
    <row r="990" spans="1:36">
      <c r="A990" s="5">
        <v>1066</v>
      </c>
      <c r="B990" s="5" t="s">
        <v>1661</v>
      </c>
      <c r="C990" s="5" t="s">
        <v>1540</v>
      </c>
      <c r="D990" s="5" t="s">
        <v>1588</v>
      </c>
      <c r="E990" s="5" t="s">
        <v>1360</v>
      </c>
      <c r="F990" s="5" t="str">
        <f t="shared" si="135"/>
        <v>Finance-Fund Administrator</v>
      </c>
      <c r="G990" s="5" t="s">
        <v>147</v>
      </c>
      <c r="H990" s="9">
        <v>44779.414236111108</v>
      </c>
      <c r="I990" s="9">
        <v>44783.414236111108</v>
      </c>
      <c r="J990" s="9" t="e">
        <f>I990+#REF!</f>
        <v>#REF!</v>
      </c>
      <c r="K990" s="9" t="e">
        <f>J990+#REF!</f>
        <v>#REF!</v>
      </c>
      <c r="L990" s="10" t="s">
        <v>41</v>
      </c>
      <c r="M990" s="11">
        <v>44792.414236111108</v>
      </c>
      <c r="N990" s="5" t="s">
        <v>48</v>
      </c>
      <c r="O990" s="5"/>
      <c r="P990" s="9">
        <v>44796.414236111108</v>
      </c>
      <c r="Q990" s="5" t="s">
        <v>48</v>
      </c>
      <c r="R990" s="5"/>
      <c r="S990" s="5"/>
      <c r="T990" s="9">
        <v>44794.414236111108</v>
      </c>
      <c r="U990" s="5"/>
      <c r="V990" s="5">
        <v>0</v>
      </c>
      <c r="W990" s="5"/>
      <c r="X990" s="5"/>
      <c r="Y990" s="5"/>
      <c r="Z990" s="5"/>
      <c r="AA990" s="5"/>
      <c r="AC990">
        <f t="shared" si="136"/>
        <v>9</v>
      </c>
      <c r="AD990" t="str">
        <f t="shared" si="137"/>
        <v/>
      </c>
      <c r="AE990">
        <f t="shared" si="138"/>
        <v>2</v>
      </c>
      <c r="AF990" t="str">
        <f t="shared" si="139"/>
        <v/>
      </c>
      <c r="AG990" t="str">
        <f t="shared" si="140"/>
        <v/>
      </c>
      <c r="AH990">
        <f t="shared" si="141"/>
        <v>4</v>
      </c>
      <c r="AI990" t="str">
        <f t="shared" si="142"/>
        <v/>
      </c>
      <c r="AJ990" t="str">
        <f t="shared" si="143"/>
        <v/>
      </c>
    </row>
    <row r="991" spans="1:36">
      <c r="A991" s="5">
        <v>1067</v>
      </c>
      <c r="B991" s="5" t="s">
        <v>1571</v>
      </c>
      <c r="C991" s="5" t="s">
        <v>1540</v>
      </c>
      <c r="D991" s="5" t="s">
        <v>1541</v>
      </c>
      <c r="E991" s="5" t="s">
        <v>102</v>
      </c>
      <c r="F991" s="5" t="str">
        <f t="shared" si="135"/>
        <v>Finance-Senior Manager</v>
      </c>
      <c r="G991" s="5" t="s">
        <v>103</v>
      </c>
      <c r="H991" s="9">
        <v>44782.414236111108</v>
      </c>
      <c r="I991" s="9">
        <v>44784.414236111108</v>
      </c>
      <c r="J991" s="9" t="e">
        <f>I991+#REF!</f>
        <v>#REF!</v>
      </c>
      <c r="K991" s="9" t="e">
        <f>J991+#REF!</f>
        <v>#REF!</v>
      </c>
      <c r="L991" s="10" t="s">
        <v>41</v>
      </c>
      <c r="M991" s="11">
        <v>44790.414236111108</v>
      </c>
      <c r="N991" s="5" t="s">
        <v>42</v>
      </c>
      <c r="O991" s="5" t="s">
        <v>98</v>
      </c>
      <c r="P991" s="9"/>
      <c r="Q991" s="5"/>
      <c r="R991" s="5"/>
      <c r="S991" s="5"/>
      <c r="T991" s="9">
        <v>44791.414236111108</v>
      </c>
      <c r="U991" s="5"/>
      <c r="V991" s="5">
        <v>0</v>
      </c>
      <c r="W991" s="5"/>
      <c r="X991" s="5"/>
      <c r="Y991" s="5"/>
      <c r="Z991" s="5"/>
      <c r="AA991" s="5" t="s">
        <v>62</v>
      </c>
      <c r="AC991">
        <f t="shared" si="136"/>
        <v>6</v>
      </c>
      <c r="AD991" t="str">
        <f t="shared" si="137"/>
        <v/>
      </c>
      <c r="AE991">
        <f t="shared" si="138"/>
        <v>1</v>
      </c>
      <c r="AF991" t="str">
        <f t="shared" si="139"/>
        <v/>
      </c>
      <c r="AG991" t="str">
        <f t="shared" si="140"/>
        <v/>
      </c>
      <c r="AH991">
        <f t="shared" si="141"/>
        <v>2</v>
      </c>
      <c r="AI991" t="str">
        <f t="shared" si="142"/>
        <v/>
      </c>
      <c r="AJ991" t="str">
        <f t="shared" si="143"/>
        <v/>
      </c>
    </row>
    <row r="992" spans="1:36">
      <c r="A992" s="5">
        <v>1068</v>
      </c>
      <c r="B992" s="5" t="s">
        <v>1570</v>
      </c>
      <c r="C992" s="5" t="s">
        <v>1540</v>
      </c>
      <c r="D992" s="5" t="s">
        <v>1541</v>
      </c>
      <c r="E992" s="5" t="s">
        <v>102</v>
      </c>
      <c r="F992" s="5" t="str">
        <f t="shared" si="135"/>
        <v>Finance-Senior Manager</v>
      </c>
      <c r="G992" s="5" t="s">
        <v>103</v>
      </c>
      <c r="H992" s="9">
        <v>44777.414236111108</v>
      </c>
      <c r="I992" s="9">
        <v>44781.414236111108</v>
      </c>
      <c r="J992" s="9" t="e">
        <f>I992+#REF!</f>
        <v>#REF!</v>
      </c>
      <c r="K992" s="9" t="e">
        <f>J992+#REF!</f>
        <v>#REF!</v>
      </c>
      <c r="L992" s="10" t="s">
        <v>41</v>
      </c>
      <c r="M992" s="11">
        <v>44804.414236111108</v>
      </c>
      <c r="N992" s="5" t="s">
        <v>42</v>
      </c>
      <c r="O992" s="5" t="s">
        <v>98</v>
      </c>
      <c r="P992" s="9"/>
      <c r="Q992" s="5"/>
      <c r="R992" s="5"/>
      <c r="S992" s="5"/>
      <c r="T992" s="9">
        <v>44805.414236111108</v>
      </c>
      <c r="U992" s="5"/>
      <c r="V992" s="5">
        <v>0</v>
      </c>
      <c r="W992" s="5"/>
      <c r="X992" s="5"/>
      <c r="Y992" s="5"/>
      <c r="Z992" s="5"/>
      <c r="AA992" s="5" t="s">
        <v>62</v>
      </c>
      <c r="AC992">
        <f t="shared" si="136"/>
        <v>23</v>
      </c>
      <c r="AD992" t="str">
        <f t="shared" si="137"/>
        <v/>
      </c>
      <c r="AE992">
        <f t="shared" si="138"/>
        <v>1</v>
      </c>
      <c r="AF992" t="str">
        <f t="shared" si="139"/>
        <v/>
      </c>
      <c r="AG992" t="str">
        <f t="shared" si="140"/>
        <v/>
      </c>
      <c r="AH992">
        <f t="shared" si="141"/>
        <v>4</v>
      </c>
      <c r="AI992" t="str">
        <f t="shared" si="142"/>
        <v/>
      </c>
      <c r="AJ992" t="str">
        <f t="shared" si="143"/>
        <v/>
      </c>
    </row>
    <row r="993" spans="1:36">
      <c r="A993" s="5">
        <v>1069</v>
      </c>
      <c r="B993" s="5" t="s">
        <v>1778</v>
      </c>
      <c r="C993" s="5" t="s">
        <v>1540</v>
      </c>
      <c r="D993" s="5" t="s">
        <v>1706</v>
      </c>
      <c r="E993" s="5" t="s">
        <v>269</v>
      </c>
      <c r="F993" s="5" t="str">
        <f t="shared" si="135"/>
        <v>Finance-Manager</v>
      </c>
      <c r="G993" s="5" t="s">
        <v>270</v>
      </c>
      <c r="H993" s="9">
        <v>44781.414236111108</v>
      </c>
      <c r="I993" s="9">
        <v>44784.414236111108</v>
      </c>
      <c r="J993" s="9" t="e">
        <f>I993+#REF!</f>
        <v>#REF!</v>
      </c>
      <c r="K993" s="9" t="e">
        <f>J993+#REF!</f>
        <v>#REF!</v>
      </c>
      <c r="L993" s="10" t="s">
        <v>41</v>
      </c>
      <c r="M993" s="11">
        <v>44798.414236111108</v>
      </c>
      <c r="N993" s="5" t="s">
        <v>48</v>
      </c>
      <c r="O993" s="5"/>
      <c r="P993" s="9">
        <v>44803.414236111108</v>
      </c>
      <c r="Q993" s="5" t="s">
        <v>48</v>
      </c>
      <c r="R993" s="5"/>
      <c r="S993" s="5"/>
      <c r="T993" s="9">
        <v>44799.414236111108</v>
      </c>
      <c r="U993" s="5"/>
      <c r="V993" s="5">
        <v>0</v>
      </c>
      <c r="W993" s="5"/>
      <c r="X993" s="5"/>
      <c r="Y993" s="5"/>
      <c r="Z993" s="5"/>
      <c r="AA993" s="5"/>
      <c r="AC993">
        <f t="shared" si="136"/>
        <v>14</v>
      </c>
      <c r="AD993" t="str">
        <f t="shared" si="137"/>
        <v/>
      </c>
      <c r="AE993">
        <f t="shared" si="138"/>
        <v>1</v>
      </c>
      <c r="AF993" t="str">
        <f t="shared" si="139"/>
        <v/>
      </c>
      <c r="AG993" t="str">
        <f t="shared" si="140"/>
        <v/>
      </c>
      <c r="AH993">
        <f t="shared" si="141"/>
        <v>3</v>
      </c>
      <c r="AI993" t="str">
        <f t="shared" si="142"/>
        <v/>
      </c>
      <c r="AJ993" t="str">
        <f t="shared" si="143"/>
        <v/>
      </c>
    </row>
    <row r="994" spans="1:36">
      <c r="A994" s="5">
        <v>1070</v>
      </c>
      <c r="B994" s="5" t="s">
        <v>1777</v>
      </c>
      <c r="C994" s="5" t="s">
        <v>1540</v>
      </c>
      <c r="D994" s="5" t="s">
        <v>1706</v>
      </c>
      <c r="E994" s="5" t="s">
        <v>269</v>
      </c>
      <c r="F994" s="5" t="str">
        <f t="shared" si="135"/>
        <v>Finance-Manager</v>
      </c>
      <c r="G994" s="5" t="s">
        <v>270</v>
      </c>
      <c r="H994" s="9">
        <v>44779.414236111108</v>
      </c>
      <c r="I994" s="9">
        <v>44781.414236111108</v>
      </c>
      <c r="J994" s="9" t="e">
        <f>I994+#REF!</f>
        <v>#REF!</v>
      </c>
      <c r="K994" s="9" t="e">
        <f>J994+#REF!</f>
        <v>#REF!</v>
      </c>
      <c r="L994" s="10" t="s">
        <v>41</v>
      </c>
      <c r="M994" s="11">
        <v>44797.414236111108</v>
      </c>
      <c r="N994" s="5" t="s">
        <v>42</v>
      </c>
      <c r="O994" s="5" t="s">
        <v>73</v>
      </c>
      <c r="P994" s="9"/>
      <c r="Q994" s="5"/>
      <c r="R994" s="5"/>
      <c r="S994" s="5"/>
      <c r="T994" s="9">
        <v>44798.414236111108</v>
      </c>
      <c r="U994" s="5"/>
      <c r="V994" s="5">
        <v>0</v>
      </c>
      <c r="W994" s="5"/>
      <c r="X994" s="5"/>
      <c r="Y994" s="5"/>
      <c r="Z994" s="5"/>
      <c r="AA994" s="5" t="s">
        <v>44</v>
      </c>
      <c r="AC994">
        <f t="shared" si="136"/>
        <v>16</v>
      </c>
      <c r="AD994" t="str">
        <f t="shared" si="137"/>
        <v/>
      </c>
      <c r="AE994">
        <f t="shared" si="138"/>
        <v>1</v>
      </c>
      <c r="AF994" t="str">
        <f t="shared" si="139"/>
        <v/>
      </c>
      <c r="AG994" t="str">
        <f t="shared" si="140"/>
        <v/>
      </c>
      <c r="AH994">
        <f t="shared" si="141"/>
        <v>2</v>
      </c>
      <c r="AI994" t="str">
        <f t="shared" si="142"/>
        <v/>
      </c>
      <c r="AJ994" t="str">
        <f t="shared" si="143"/>
        <v/>
      </c>
    </row>
    <row r="995" spans="1:36">
      <c r="A995" s="5">
        <v>1071</v>
      </c>
      <c r="B995" s="5" t="s">
        <v>1538</v>
      </c>
      <c r="C995" s="5" t="s">
        <v>1332</v>
      </c>
      <c r="D995" s="5" t="s">
        <v>1500</v>
      </c>
      <c r="E995" s="5" t="s">
        <v>815</v>
      </c>
      <c r="F995" s="5" t="str">
        <f t="shared" si="135"/>
        <v>Fundraising-Auditor</v>
      </c>
      <c r="G995" s="5" t="s">
        <v>47</v>
      </c>
      <c r="H995" s="9">
        <v>44597.990740740737</v>
      </c>
      <c r="I995" s="9">
        <v>44601.990740740737</v>
      </c>
      <c r="J995" s="9" t="e">
        <f>I995+#REF!</f>
        <v>#REF!</v>
      </c>
      <c r="K995" s="9" t="e">
        <f>J995+#REF!</f>
        <v>#REF!</v>
      </c>
      <c r="L995" s="10" t="s">
        <v>41</v>
      </c>
      <c r="M995" s="11">
        <v>44620.990740740737</v>
      </c>
      <c r="N995" s="5" t="s">
        <v>64</v>
      </c>
      <c r="O995" s="5"/>
      <c r="P995" s="9">
        <v>44628.990740740737</v>
      </c>
      <c r="Q995" s="5" t="s">
        <v>64</v>
      </c>
      <c r="R995" s="9">
        <v>44621.990740740737</v>
      </c>
      <c r="S995" s="9">
        <v>44622.990740740737</v>
      </c>
      <c r="T995" s="9">
        <v>44624.990740740737</v>
      </c>
      <c r="U995" s="9">
        <v>44627.990740740737</v>
      </c>
      <c r="V995" s="12">
        <v>1</v>
      </c>
      <c r="W995" s="9">
        <v>44629.990740740737</v>
      </c>
      <c r="X995" s="9">
        <v>44631.990740740737</v>
      </c>
      <c r="Y995" s="9">
        <v>44633.990740740737</v>
      </c>
      <c r="Z995" s="5"/>
      <c r="AA995" s="5"/>
      <c r="AB995" s="13">
        <v>44655.990740740737</v>
      </c>
      <c r="AC995">
        <f t="shared" si="136"/>
        <v>19</v>
      </c>
      <c r="AD995">
        <f t="shared" si="137"/>
        <v>21</v>
      </c>
      <c r="AE995">
        <f t="shared" si="138"/>
        <v>4</v>
      </c>
      <c r="AF995">
        <f t="shared" si="139"/>
        <v>4</v>
      </c>
      <c r="AG995">
        <f t="shared" si="140"/>
        <v>2</v>
      </c>
      <c r="AH995">
        <f t="shared" si="141"/>
        <v>4</v>
      </c>
      <c r="AI995" t="str">
        <f t="shared" si="142"/>
        <v/>
      </c>
      <c r="AJ995" t="str">
        <f t="shared" si="143"/>
        <v/>
      </c>
    </row>
    <row r="996" spans="1:36">
      <c r="A996" s="5">
        <v>1072</v>
      </c>
      <c r="B996" s="5" t="s">
        <v>2374</v>
      </c>
      <c r="C996" s="5" t="s">
        <v>2229</v>
      </c>
      <c r="D996" s="5" t="s">
        <v>2350</v>
      </c>
      <c r="E996" s="5" t="s">
        <v>2351</v>
      </c>
      <c r="F996" s="5" t="str">
        <f t="shared" si="135"/>
        <v>Capacity Building-Training Associate</v>
      </c>
      <c r="G996" s="5" t="s">
        <v>40</v>
      </c>
      <c r="H996" s="9">
        <v>44603.990740740737</v>
      </c>
      <c r="I996" s="9">
        <v>44604.990740740737</v>
      </c>
      <c r="J996" s="9" t="e">
        <f>I996+#REF!</f>
        <v>#REF!</v>
      </c>
      <c r="K996" s="9" t="e">
        <f>J996+#REF!</f>
        <v>#REF!</v>
      </c>
      <c r="L996" s="10" t="s">
        <v>52</v>
      </c>
      <c r="M996" s="11"/>
      <c r="N996" s="5"/>
      <c r="O996" s="5"/>
      <c r="P996" s="9"/>
      <c r="Q996" s="5"/>
      <c r="R996" s="5"/>
      <c r="S996" s="5"/>
      <c r="T996" s="9"/>
      <c r="U996" s="5"/>
      <c r="V996" s="5">
        <v>0</v>
      </c>
      <c r="W996" s="5"/>
      <c r="X996" s="5"/>
      <c r="Y996" s="5"/>
      <c r="Z996" s="5"/>
      <c r="AA996" s="5"/>
      <c r="AC996" t="str">
        <f t="shared" si="136"/>
        <v/>
      </c>
      <c r="AD996" t="str">
        <f t="shared" si="137"/>
        <v/>
      </c>
      <c r="AE996" t="str">
        <f t="shared" si="138"/>
        <v/>
      </c>
      <c r="AF996" t="str">
        <f t="shared" si="139"/>
        <v/>
      </c>
      <c r="AG996" t="str">
        <f t="shared" si="140"/>
        <v/>
      </c>
      <c r="AH996">
        <f t="shared" si="141"/>
        <v>1</v>
      </c>
      <c r="AI996" t="str">
        <f t="shared" si="142"/>
        <v/>
      </c>
      <c r="AJ996" t="str">
        <f t="shared" si="143"/>
        <v/>
      </c>
    </row>
    <row r="997" spans="1:36">
      <c r="A997" s="5">
        <v>1073</v>
      </c>
      <c r="B997" s="5" t="s">
        <v>1446</v>
      </c>
      <c r="C997" s="5" t="s">
        <v>1332</v>
      </c>
      <c r="D997" s="5" t="s">
        <v>1413</v>
      </c>
      <c r="E997" s="5" t="s">
        <v>269</v>
      </c>
      <c r="F997" s="5" t="str">
        <f t="shared" si="135"/>
        <v>Fundraising-Manager</v>
      </c>
      <c r="G997" s="5" t="s">
        <v>270</v>
      </c>
      <c r="H997" s="9">
        <v>44601.990740740737</v>
      </c>
      <c r="I997" s="9">
        <v>44603.990740740737</v>
      </c>
      <c r="J997" s="9" t="e">
        <f>I997+#REF!</f>
        <v>#REF!</v>
      </c>
      <c r="K997" s="9" t="e">
        <f>J997+#REF!</f>
        <v>#REF!</v>
      </c>
      <c r="L997" s="10" t="s">
        <v>41</v>
      </c>
      <c r="M997" s="11">
        <v>44622.990740740737</v>
      </c>
      <c r="N997" s="5" t="s">
        <v>42</v>
      </c>
      <c r="O997" s="5" t="s">
        <v>113</v>
      </c>
      <c r="P997" s="9"/>
      <c r="Q997" s="5"/>
      <c r="R997" s="5"/>
      <c r="S997" s="5"/>
      <c r="T997" s="9"/>
      <c r="U997" s="5"/>
      <c r="V997" s="5">
        <v>0</v>
      </c>
      <c r="W997" s="5"/>
      <c r="X997" s="5"/>
      <c r="Y997" s="5"/>
      <c r="Z997" s="5"/>
      <c r="AA997" s="5" t="s">
        <v>62</v>
      </c>
      <c r="AC997">
        <f t="shared" si="136"/>
        <v>19</v>
      </c>
      <c r="AD997" t="str">
        <f t="shared" si="137"/>
        <v/>
      </c>
      <c r="AE997" t="str">
        <f t="shared" si="138"/>
        <v/>
      </c>
      <c r="AF997" t="str">
        <f t="shared" si="139"/>
        <v/>
      </c>
      <c r="AG997" t="str">
        <f t="shared" si="140"/>
        <v/>
      </c>
      <c r="AH997">
        <f t="shared" si="141"/>
        <v>2</v>
      </c>
      <c r="AI997" t="str">
        <f t="shared" si="142"/>
        <v/>
      </c>
      <c r="AJ997" t="str">
        <f t="shared" si="143"/>
        <v/>
      </c>
    </row>
    <row r="998" spans="1:36">
      <c r="A998" s="5">
        <v>1074</v>
      </c>
      <c r="B998" s="5" t="s">
        <v>2266</v>
      </c>
      <c r="C998" s="5" t="s">
        <v>2229</v>
      </c>
      <c r="D998" s="5" t="s">
        <v>2250</v>
      </c>
      <c r="E998" s="5" t="s">
        <v>388</v>
      </c>
      <c r="F998" s="5" t="str">
        <f t="shared" si="135"/>
        <v>Capacity Building-Extension Officer</v>
      </c>
      <c r="G998" s="5" t="s">
        <v>147</v>
      </c>
      <c r="H998" s="9">
        <v>44601.990740740737</v>
      </c>
      <c r="I998" s="9">
        <v>44605.990740740737</v>
      </c>
      <c r="J998" s="9" t="e">
        <f>I998+#REF!</f>
        <v>#REF!</v>
      </c>
      <c r="K998" s="9" t="e">
        <f>J998+#REF!</f>
        <v>#REF!</v>
      </c>
      <c r="L998" s="10" t="s">
        <v>52</v>
      </c>
      <c r="M998" s="11"/>
      <c r="N998" s="5"/>
      <c r="O998" s="5"/>
      <c r="P998" s="9"/>
      <c r="Q998" s="5"/>
      <c r="R998" s="5"/>
      <c r="S998" s="5"/>
      <c r="T998" s="9"/>
      <c r="U998" s="5"/>
      <c r="V998" s="5">
        <v>0</v>
      </c>
      <c r="W998" s="5"/>
      <c r="X998" s="5"/>
      <c r="Y998" s="5"/>
      <c r="Z998" s="5"/>
      <c r="AA998" s="5"/>
      <c r="AC998" t="str">
        <f t="shared" si="136"/>
        <v/>
      </c>
      <c r="AD998" t="str">
        <f t="shared" si="137"/>
        <v/>
      </c>
      <c r="AE998" t="str">
        <f t="shared" si="138"/>
        <v/>
      </c>
      <c r="AF998" t="str">
        <f t="shared" si="139"/>
        <v/>
      </c>
      <c r="AG998" t="str">
        <f t="shared" si="140"/>
        <v/>
      </c>
      <c r="AH998">
        <f t="shared" si="141"/>
        <v>4</v>
      </c>
      <c r="AI998" t="str">
        <f t="shared" si="142"/>
        <v/>
      </c>
      <c r="AJ998" t="str">
        <f t="shared" si="143"/>
        <v/>
      </c>
    </row>
    <row r="999" spans="1:36">
      <c r="A999" s="5">
        <v>1075</v>
      </c>
      <c r="B999" s="5" t="s">
        <v>1537</v>
      </c>
      <c r="C999" s="5" t="s">
        <v>1332</v>
      </c>
      <c r="D999" s="5" t="s">
        <v>1500</v>
      </c>
      <c r="E999" s="5" t="s">
        <v>815</v>
      </c>
      <c r="F999" s="5" t="str">
        <f t="shared" si="135"/>
        <v>Fundraising-Auditor</v>
      </c>
      <c r="G999" s="5" t="s">
        <v>47</v>
      </c>
      <c r="H999" s="9">
        <v>44604.990740740737</v>
      </c>
      <c r="I999" s="9">
        <v>44605.990740740737</v>
      </c>
      <c r="J999" s="9" t="e">
        <f>I999+#REF!</f>
        <v>#REF!</v>
      </c>
      <c r="K999" s="9" t="e">
        <f>J999+#REF!</f>
        <v>#REF!</v>
      </c>
      <c r="L999" s="10" t="s">
        <v>41</v>
      </c>
      <c r="M999" s="11">
        <v>44621.990740740737</v>
      </c>
      <c r="N999" s="5" t="s">
        <v>48</v>
      </c>
      <c r="O999" s="5"/>
      <c r="P999" s="9">
        <v>44628.990740740737</v>
      </c>
      <c r="Q999" s="5" t="s">
        <v>48</v>
      </c>
      <c r="R999" s="5"/>
      <c r="S999" s="5"/>
      <c r="T999" s="9">
        <v>44624.990740740737</v>
      </c>
      <c r="U999" s="5"/>
      <c r="V999" s="5">
        <v>0</v>
      </c>
      <c r="W999" s="5"/>
      <c r="X999" s="5"/>
      <c r="Y999" s="5"/>
      <c r="Z999" s="5"/>
      <c r="AA999" s="5"/>
      <c r="AC999">
        <f t="shared" si="136"/>
        <v>16</v>
      </c>
      <c r="AD999" t="str">
        <f t="shared" si="137"/>
        <v/>
      </c>
      <c r="AE999">
        <f t="shared" si="138"/>
        <v>3</v>
      </c>
      <c r="AF999" t="str">
        <f t="shared" si="139"/>
        <v/>
      </c>
      <c r="AG999" t="str">
        <f t="shared" si="140"/>
        <v/>
      </c>
      <c r="AH999">
        <f t="shared" si="141"/>
        <v>1</v>
      </c>
      <c r="AI999" t="str">
        <f t="shared" si="142"/>
        <v/>
      </c>
      <c r="AJ999" t="str">
        <f t="shared" si="143"/>
        <v/>
      </c>
    </row>
    <row r="1000" spans="1:36">
      <c r="A1000" s="5">
        <v>1077</v>
      </c>
      <c r="B1000" s="5" t="s">
        <v>1445</v>
      </c>
      <c r="C1000" s="5" t="s">
        <v>1332</v>
      </c>
      <c r="D1000" s="5" t="s">
        <v>1413</v>
      </c>
      <c r="E1000" s="5" t="s">
        <v>269</v>
      </c>
      <c r="F1000" s="5" t="str">
        <f t="shared" si="135"/>
        <v>Fundraising-Manager</v>
      </c>
      <c r="G1000" s="5" t="s">
        <v>270</v>
      </c>
      <c r="H1000" s="9">
        <v>44603.990740740737</v>
      </c>
      <c r="I1000" s="9">
        <v>44604.990740740737</v>
      </c>
      <c r="J1000" s="9" t="e">
        <f>I1000+#REF!</f>
        <v>#REF!</v>
      </c>
      <c r="K1000" s="9" t="e">
        <f>J1000+#REF!</f>
        <v>#REF!</v>
      </c>
      <c r="L1000" s="10" t="s">
        <v>41</v>
      </c>
      <c r="M1000" s="11">
        <v>44614.990740740737</v>
      </c>
      <c r="N1000" s="5" t="s">
        <v>42</v>
      </c>
      <c r="O1000" s="5" t="s">
        <v>98</v>
      </c>
      <c r="P1000" s="9"/>
      <c r="Q1000" s="5"/>
      <c r="R1000" s="5"/>
      <c r="S1000" s="5"/>
      <c r="T1000" s="9">
        <v>44616.990740740737</v>
      </c>
      <c r="U1000" s="5"/>
      <c r="V1000" s="5">
        <v>0</v>
      </c>
      <c r="W1000" s="5"/>
      <c r="X1000" s="5"/>
      <c r="Y1000" s="5"/>
      <c r="Z1000" s="5"/>
      <c r="AA1000" s="5" t="s">
        <v>62</v>
      </c>
      <c r="AC1000">
        <f t="shared" si="136"/>
        <v>10</v>
      </c>
      <c r="AD1000" t="str">
        <f t="shared" si="137"/>
        <v/>
      </c>
      <c r="AE1000">
        <f t="shared" si="138"/>
        <v>2</v>
      </c>
      <c r="AF1000" t="str">
        <f t="shared" si="139"/>
        <v/>
      </c>
      <c r="AG1000" t="str">
        <f t="shared" si="140"/>
        <v/>
      </c>
      <c r="AH1000">
        <f t="shared" si="141"/>
        <v>1</v>
      </c>
      <c r="AI1000" t="str">
        <f t="shared" si="142"/>
        <v/>
      </c>
      <c r="AJ1000" t="str">
        <f t="shared" si="143"/>
        <v/>
      </c>
    </row>
    <row r="1001" spans="1:36">
      <c r="A1001" s="5">
        <v>1079</v>
      </c>
      <c r="B1001" s="5" t="s">
        <v>2322</v>
      </c>
      <c r="C1001" s="5" t="s">
        <v>2229</v>
      </c>
      <c r="D1001" s="5" t="s">
        <v>2302</v>
      </c>
      <c r="E1001" s="5" t="s">
        <v>269</v>
      </c>
      <c r="F1001" s="5" t="str">
        <f t="shared" si="135"/>
        <v>Capacity Building-Manager</v>
      </c>
      <c r="G1001" s="5" t="s">
        <v>270</v>
      </c>
      <c r="H1001" s="9">
        <v>44602.990740740737</v>
      </c>
      <c r="I1001" s="9">
        <v>44603.990740740737</v>
      </c>
      <c r="J1001" s="9" t="e">
        <f>I1001+#REF!</f>
        <v>#REF!</v>
      </c>
      <c r="K1001" s="9" t="e">
        <f>J1001+#REF!</f>
        <v>#REF!</v>
      </c>
      <c r="L1001" s="10" t="s">
        <v>52</v>
      </c>
      <c r="M1001" s="11"/>
      <c r="N1001" s="5"/>
      <c r="O1001" s="5"/>
      <c r="P1001" s="9"/>
      <c r="Q1001" s="5"/>
      <c r="R1001" s="5"/>
      <c r="S1001" s="5"/>
      <c r="T1001" s="9"/>
      <c r="U1001" s="5"/>
      <c r="V1001" s="5">
        <v>0</v>
      </c>
      <c r="W1001" s="5"/>
      <c r="X1001" s="5"/>
      <c r="Y1001" s="5"/>
      <c r="Z1001" s="5"/>
      <c r="AA1001" s="5"/>
      <c r="AC1001" t="str">
        <f t="shared" si="136"/>
        <v/>
      </c>
      <c r="AD1001" t="str">
        <f t="shared" si="137"/>
        <v/>
      </c>
      <c r="AE1001" t="str">
        <f t="shared" si="138"/>
        <v/>
      </c>
      <c r="AF1001" t="str">
        <f t="shared" si="139"/>
        <v/>
      </c>
      <c r="AG1001" t="str">
        <f t="shared" si="140"/>
        <v/>
      </c>
      <c r="AH1001">
        <f t="shared" si="141"/>
        <v>1</v>
      </c>
      <c r="AI1001" t="str">
        <f t="shared" si="142"/>
        <v/>
      </c>
      <c r="AJ1001" t="str">
        <f t="shared" si="143"/>
        <v/>
      </c>
    </row>
    <row r="1002" spans="1:36">
      <c r="A1002" s="5">
        <v>1080</v>
      </c>
      <c r="B1002" s="5" t="s">
        <v>1357</v>
      </c>
      <c r="C1002" s="5" t="s">
        <v>1332</v>
      </c>
      <c r="D1002" s="5" t="s">
        <v>1333</v>
      </c>
      <c r="E1002" s="5" t="s">
        <v>102</v>
      </c>
      <c r="F1002" s="5" t="str">
        <f t="shared" si="135"/>
        <v>Fundraising-Senior Manager</v>
      </c>
      <c r="G1002" s="5" t="s">
        <v>103</v>
      </c>
      <c r="H1002" s="9">
        <v>44600.990740740737</v>
      </c>
      <c r="I1002" s="9">
        <v>44604.990740740737</v>
      </c>
      <c r="J1002" s="9" t="e">
        <f>I1002+#REF!</f>
        <v>#REF!</v>
      </c>
      <c r="K1002" s="9" t="e">
        <f>J1002+#REF!</f>
        <v>#REF!</v>
      </c>
      <c r="L1002" s="10" t="s">
        <v>41</v>
      </c>
      <c r="M1002" s="11">
        <v>44623.990740740737</v>
      </c>
      <c r="N1002" s="5" t="s">
        <v>42</v>
      </c>
      <c r="O1002" s="5" t="s">
        <v>98</v>
      </c>
      <c r="P1002" s="9"/>
      <c r="Q1002" s="5"/>
      <c r="R1002" s="5"/>
      <c r="S1002" s="5"/>
      <c r="T1002" s="9"/>
      <c r="U1002" s="5"/>
      <c r="V1002" s="5">
        <v>0</v>
      </c>
      <c r="W1002" s="5"/>
      <c r="X1002" s="5"/>
      <c r="Y1002" s="5"/>
      <c r="Z1002" s="5"/>
      <c r="AA1002" s="5" t="s">
        <v>44</v>
      </c>
      <c r="AC1002">
        <f t="shared" si="136"/>
        <v>19</v>
      </c>
      <c r="AD1002" t="str">
        <f t="shared" si="137"/>
        <v/>
      </c>
      <c r="AE1002" t="str">
        <f t="shared" si="138"/>
        <v/>
      </c>
      <c r="AF1002" t="str">
        <f t="shared" si="139"/>
        <v/>
      </c>
      <c r="AG1002" t="str">
        <f t="shared" si="140"/>
        <v/>
      </c>
      <c r="AH1002">
        <f t="shared" si="141"/>
        <v>4</v>
      </c>
      <c r="AI1002" t="str">
        <f t="shared" si="142"/>
        <v/>
      </c>
      <c r="AJ1002" t="str">
        <f t="shared" si="143"/>
        <v/>
      </c>
    </row>
    <row r="1003" spans="1:36">
      <c r="A1003" s="5">
        <v>1081</v>
      </c>
      <c r="B1003" s="5" t="s">
        <v>1185</v>
      </c>
      <c r="C1003" s="10" t="s">
        <v>1122</v>
      </c>
      <c r="D1003" s="5" t="s">
        <v>1145</v>
      </c>
      <c r="E1003" s="5" t="s">
        <v>39</v>
      </c>
      <c r="F1003" s="5" t="str">
        <f t="shared" si="135"/>
        <v>IT-Analyst</v>
      </c>
      <c r="G1003" s="5" t="s">
        <v>147</v>
      </c>
      <c r="H1003" s="9">
        <v>44891.976215277777</v>
      </c>
      <c r="I1003" s="9">
        <v>44895.976215277777</v>
      </c>
      <c r="J1003" s="9" t="e">
        <f>I1003+#REF!</f>
        <v>#REF!</v>
      </c>
      <c r="K1003" s="9" t="e">
        <f>J1003+#REF!</f>
        <v>#REF!</v>
      </c>
      <c r="L1003" s="10" t="s">
        <v>41</v>
      </c>
      <c r="M1003" s="11">
        <v>44907.976215277777</v>
      </c>
      <c r="N1003" s="5" t="s">
        <v>42</v>
      </c>
      <c r="O1003" s="5" t="s">
        <v>73</v>
      </c>
      <c r="P1003" s="9"/>
      <c r="Q1003" s="5"/>
      <c r="R1003" s="5"/>
      <c r="S1003" s="5"/>
      <c r="T1003" s="9"/>
      <c r="U1003" s="5"/>
      <c r="V1003" s="5">
        <v>0</v>
      </c>
      <c r="W1003" s="5"/>
      <c r="X1003" s="5"/>
      <c r="Y1003" s="5"/>
      <c r="Z1003" s="5"/>
      <c r="AA1003" s="5" t="s">
        <v>62</v>
      </c>
      <c r="AC1003">
        <f t="shared" si="136"/>
        <v>12</v>
      </c>
      <c r="AD1003" t="str">
        <f t="shared" si="137"/>
        <v/>
      </c>
      <c r="AE1003" t="str">
        <f t="shared" si="138"/>
        <v/>
      </c>
      <c r="AF1003" t="str">
        <f t="shared" si="139"/>
        <v/>
      </c>
      <c r="AG1003" t="str">
        <f t="shared" si="140"/>
        <v/>
      </c>
      <c r="AH1003">
        <f t="shared" si="141"/>
        <v>4</v>
      </c>
      <c r="AI1003" t="str">
        <f t="shared" si="142"/>
        <v/>
      </c>
      <c r="AJ1003" t="str">
        <f t="shared" si="143"/>
        <v/>
      </c>
    </row>
    <row r="1004" spans="1:36">
      <c r="A1004" s="5">
        <v>1082</v>
      </c>
      <c r="B1004" s="5" t="s">
        <v>690</v>
      </c>
      <c r="C1004" s="10" t="s">
        <v>671</v>
      </c>
      <c r="D1004" s="5" t="s">
        <v>672</v>
      </c>
      <c r="E1004" s="5" t="s">
        <v>597</v>
      </c>
      <c r="F1004" s="5" t="str">
        <f t="shared" si="135"/>
        <v>Operations-Business Partner</v>
      </c>
      <c r="G1004" s="5" t="s">
        <v>40</v>
      </c>
      <c r="H1004" s="9">
        <v>44893.976215277777</v>
      </c>
      <c r="I1004" s="9">
        <v>44894.976215277777</v>
      </c>
      <c r="J1004" s="9" t="e">
        <f>I1004+#REF!</f>
        <v>#REF!</v>
      </c>
      <c r="K1004" s="9" t="e">
        <f>J1004+#REF!</f>
        <v>#REF!</v>
      </c>
      <c r="L1004" s="10" t="s">
        <v>41</v>
      </c>
      <c r="M1004" s="11">
        <v>44906.976215277777</v>
      </c>
      <c r="N1004" s="5" t="s">
        <v>64</v>
      </c>
      <c r="O1004" s="5"/>
      <c r="P1004" s="9">
        <v>44910.976215277777</v>
      </c>
      <c r="Q1004" s="5" t="s">
        <v>64</v>
      </c>
      <c r="R1004" s="9">
        <v>44907.976215277777</v>
      </c>
      <c r="S1004" s="9">
        <v>44908.976215277777</v>
      </c>
      <c r="T1004" s="9">
        <v>44909.976215277777</v>
      </c>
      <c r="U1004" s="9">
        <v>44910.976215277777</v>
      </c>
      <c r="V1004" s="12">
        <v>1</v>
      </c>
      <c r="W1004" s="9">
        <v>44912.976215277777</v>
      </c>
      <c r="X1004" s="9">
        <v>44914.976215277777</v>
      </c>
      <c r="Y1004" s="9">
        <v>44916.976215277777</v>
      </c>
      <c r="Z1004" s="5"/>
      <c r="AA1004" s="5"/>
      <c r="AB1004" s="13">
        <v>44937.976215277777</v>
      </c>
      <c r="AC1004">
        <f t="shared" si="136"/>
        <v>12</v>
      </c>
      <c r="AD1004">
        <f t="shared" si="137"/>
        <v>14</v>
      </c>
      <c r="AE1004">
        <f t="shared" si="138"/>
        <v>3</v>
      </c>
      <c r="AF1004">
        <f t="shared" si="139"/>
        <v>4</v>
      </c>
      <c r="AG1004">
        <f t="shared" si="140"/>
        <v>2</v>
      </c>
      <c r="AH1004">
        <f t="shared" si="141"/>
        <v>1</v>
      </c>
      <c r="AI1004" t="str">
        <f t="shared" si="142"/>
        <v/>
      </c>
      <c r="AJ1004" t="str">
        <f t="shared" si="143"/>
        <v/>
      </c>
    </row>
    <row r="1005" spans="1:36">
      <c r="A1005" s="5">
        <v>1083</v>
      </c>
      <c r="B1005" s="5" t="s">
        <v>1247</v>
      </c>
      <c r="C1005" s="10" t="s">
        <v>1215</v>
      </c>
      <c r="D1005" s="5" t="s">
        <v>1216</v>
      </c>
      <c r="E1005" s="5" t="s">
        <v>269</v>
      </c>
      <c r="F1005" s="5" t="str">
        <f t="shared" si="135"/>
        <v>HR-Manager</v>
      </c>
      <c r="G1005" s="5" t="s">
        <v>270</v>
      </c>
      <c r="H1005" s="9">
        <v>44893.976215277777</v>
      </c>
      <c r="I1005" s="9">
        <v>44897.976215277777</v>
      </c>
      <c r="J1005" s="9" t="e">
        <f>I1005+#REF!</f>
        <v>#REF!</v>
      </c>
      <c r="K1005" s="9" t="e">
        <f>J1005+#REF!</f>
        <v>#REF!</v>
      </c>
      <c r="L1005" s="10" t="s">
        <v>41</v>
      </c>
      <c r="M1005" s="11">
        <v>44903.976215277777</v>
      </c>
      <c r="N1005" s="5" t="s">
        <v>42</v>
      </c>
      <c r="O1005" s="5" t="s">
        <v>113</v>
      </c>
      <c r="P1005" s="9"/>
      <c r="Q1005" s="5"/>
      <c r="R1005" s="5"/>
      <c r="S1005" s="5"/>
      <c r="T1005" s="9"/>
      <c r="U1005" s="5"/>
      <c r="V1005" s="5">
        <v>0</v>
      </c>
      <c r="W1005" s="5"/>
      <c r="X1005" s="5"/>
      <c r="Y1005" s="5"/>
      <c r="Z1005" s="5"/>
      <c r="AA1005" s="5" t="s">
        <v>62</v>
      </c>
      <c r="AC1005">
        <f t="shared" si="136"/>
        <v>6</v>
      </c>
      <c r="AD1005" t="str">
        <f t="shared" si="137"/>
        <v/>
      </c>
      <c r="AE1005" t="str">
        <f t="shared" si="138"/>
        <v/>
      </c>
      <c r="AF1005" t="str">
        <f t="shared" si="139"/>
        <v/>
      </c>
      <c r="AG1005" t="str">
        <f t="shared" si="140"/>
        <v/>
      </c>
      <c r="AH1005">
        <f t="shared" si="141"/>
        <v>4</v>
      </c>
      <c r="AI1005" t="str">
        <f t="shared" si="142"/>
        <v/>
      </c>
      <c r="AJ1005" t="str">
        <f t="shared" si="143"/>
        <v/>
      </c>
    </row>
    <row r="1006" spans="1:36">
      <c r="A1006" s="5">
        <v>1085</v>
      </c>
      <c r="B1006" s="5" t="s">
        <v>2132</v>
      </c>
      <c r="C1006" s="10" t="s">
        <v>2089</v>
      </c>
      <c r="D1006" s="5" t="s">
        <v>2114</v>
      </c>
      <c r="E1006" s="5" t="s">
        <v>388</v>
      </c>
      <c r="F1006" s="5" t="str">
        <f t="shared" si="135"/>
        <v>Communication and Advocacy-Extension Officer</v>
      </c>
      <c r="G1006" s="5" t="s">
        <v>147</v>
      </c>
      <c r="H1006" s="9">
        <v>44894.976215277777</v>
      </c>
      <c r="I1006" s="9">
        <v>44898.976215277777</v>
      </c>
      <c r="J1006" s="9" t="e">
        <f>I1006+#REF!</f>
        <v>#REF!</v>
      </c>
      <c r="K1006" s="9" t="e">
        <f>J1006+#REF!</f>
        <v>#REF!</v>
      </c>
      <c r="L1006" s="10" t="s">
        <v>52</v>
      </c>
      <c r="M1006" s="11"/>
      <c r="N1006" s="5"/>
      <c r="O1006" s="5"/>
      <c r="P1006" s="9"/>
      <c r="Q1006" s="5"/>
      <c r="R1006" s="5"/>
      <c r="S1006" s="5"/>
      <c r="T1006" s="9"/>
      <c r="U1006" s="5"/>
      <c r="V1006" s="5">
        <v>0</v>
      </c>
      <c r="W1006" s="5"/>
      <c r="X1006" s="5"/>
      <c r="Y1006" s="5"/>
      <c r="Z1006" s="5"/>
      <c r="AA1006" s="5"/>
      <c r="AC1006" t="str">
        <f t="shared" si="136"/>
        <v/>
      </c>
      <c r="AD1006" t="str">
        <f t="shared" si="137"/>
        <v/>
      </c>
      <c r="AE1006" t="str">
        <f t="shared" si="138"/>
        <v/>
      </c>
      <c r="AF1006" t="str">
        <f t="shared" si="139"/>
        <v/>
      </c>
      <c r="AG1006" t="str">
        <f t="shared" si="140"/>
        <v/>
      </c>
      <c r="AH1006">
        <f t="shared" si="141"/>
        <v>4</v>
      </c>
      <c r="AI1006" t="str">
        <f t="shared" si="142"/>
        <v/>
      </c>
      <c r="AJ1006" t="str">
        <f t="shared" si="143"/>
        <v/>
      </c>
    </row>
    <row r="1007" spans="1:36">
      <c r="A1007" s="5">
        <v>1086</v>
      </c>
      <c r="B1007" s="5" t="s">
        <v>1282</v>
      </c>
      <c r="C1007" s="10" t="s">
        <v>1215</v>
      </c>
      <c r="D1007" s="5" t="s">
        <v>1249</v>
      </c>
      <c r="E1007" s="5" t="s">
        <v>39</v>
      </c>
      <c r="F1007" s="5" t="str">
        <f t="shared" si="135"/>
        <v>HR-Analyst</v>
      </c>
      <c r="G1007" s="5" t="s">
        <v>40</v>
      </c>
      <c r="H1007" s="9">
        <v>44893.976215277777</v>
      </c>
      <c r="I1007" s="9">
        <v>44896.976215277777</v>
      </c>
      <c r="J1007" s="9" t="e">
        <f>I1007+#REF!</f>
        <v>#REF!</v>
      </c>
      <c r="K1007" s="9" t="e">
        <f>J1007+#REF!</f>
        <v>#REF!</v>
      </c>
      <c r="L1007" s="10" t="s">
        <v>41</v>
      </c>
      <c r="M1007" s="11">
        <v>44906.976215277777</v>
      </c>
      <c r="N1007" s="5" t="s">
        <v>42</v>
      </c>
      <c r="O1007" s="5" t="s">
        <v>73</v>
      </c>
      <c r="P1007" s="9"/>
      <c r="Q1007" s="5"/>
      <c r="R1007" s="5"/>
      <c r="S1007" s="5"/>
      <c r="T1007" s="9"/>
      <c r="U1007" s="5"/>
      <c r="V1007" s="5">
        <v>0</v>
      </c>
      <c r="W1007" s="5"/>
      <c r="X1007" s="5"/>
      <c r="Y1007" s="5"/>
      <c r="Z1007" s="5"/>
      <c r="AA1007" s="5" t="s">
        <v>44</v>
      </c>
      <c r="AC1007">
        <f t="shared" si="136"/>
        <v>10</v>
      </c>
      <c r="AD1007" t="str">
        <f t="shared" si="137"/>
        <v/>
      </c>
      <c r="AE1007" t="str">
        <f t="shared" si="138"/>
        <v/>
      </c>
      <c r="AF1007" t="str">
        <f t="shared" si="139"/>
        <v/>
      </c>
      <c r="AG1007" t="str">
        <f t="shared" si="140"/>
        <v/>
      </c>
      <c r="AH1007">
        <f t="shared" si="141"/>
        <v>3</v>
      </c>
      <c r="AI1007" t="str">
        <f t="shared" si="142"/>
        <v/>
      </c>
      <c r="AJ1007" t="str">
        <f t="shared" si="143"/>
        <v/>
      </c>
    </row>
    <row r="1008" spans="1:36">
      <c r="A1008" s="5">
        <v>1087</v>
      </c>
      <c r="B1008" s="5" t="s">
        <v>1326</v>
      </c>
      <c r="C1008" s="10" t="s">
        <v>1215</v>
      </c>
      <c r="D1008" s="5" t="s">
        <v>1287</v>
      </c>
      <c r="E1008" s="5" t="s">
        <v>597</v>
      </c>
      <c r="F1008" s="5" t="str">
        <f t="shared" si="135"/>
        <v>HR-Business Partner</v>
      </c>
      <c r="G1008" s="5" t="s">
        <v>47</v>
      </c>
      <c r="H1008" s="9">
        <v>44894.976215277777</v>
      </c>
      <c r="I1008" s="9">
        <v>44896.976215277777</v>
      </c>
      <c r="J1008" s="9" t="e">
        <f>I1008+#REF!</f>
        <v>#REF!</v>
      </c>
      <c r="K1008" s="9" t="e">
        <f>J1008+#REF!</f>
        <v>#REF!</v>
      </c>
      <c r="L1008" s="10" t="s">
        <v>41</v>
      </c>
      <c r="M1008" s="11">
        <v>44903.976215277777</v>
      </c>
      <c r="N1008" s="5" t="s">
        <v>64</v>
      </c>
      <c r="O1008" s="5"/>
      <c r="P1008" s="9">
        <v>44909.976215277777</v>
      </c>
      <c r="Q1008" s="5" t="s">
        <v>64</v>
      </c>
      <c r="R1008" s="9">
        <v>44904.976215277777</v>
      </c>
      <c r="S1008" s="9">
        <v>44908.976215277777</v>
      </c>
      <c r="T1008" s="9">
        <v>44906.976215277777</v>
      </c>
      <c r="U1008" s="9">
        <v>44911.976215277777</v>
      </c>
      <c r="V1008" s="12">
        <v>1</v>
      </c>
      <c r="W1008" s="9">
        <v>44914.976215277777</v>
      </c>
      <c r="X1008" s="9">
        <v>44915.976215277777</v>
      </c>
      <c r="Y1008" s="9">
        <v>44916.976215277777</v>
      </c>
      <c r="Z1008" s="5"/>
      <c r="AA1008" s="5"/>
      <c r="AB1008" s="13">
        <v>44936.976215277777</v>
      </c>
      <c r="AC1008">
        <f t="shared" si="136"/>
        <v>7</v>
      </c>
      <c r="AD1008">
        <f t="shared" si="137"/>
        <v>12</v>
      </c>
      <c r="AE1008">
        <f t="shared" si="138"/>
        <v>3</v>
      </c>
      <c r="AF1008">
        <f t="shared" si="139"/>
        <v>4</v>
      </c>
      <c r="AG1008">
        <f t="shared" si="140"/>
        <v>3</v>
      </c>
      <c r="AH1008">
        <f t="shared" si="141"/>
        <v>2</v>
      </c>
      <c r="AI1008" t="str">
        <f t="shared" si="142"/>
        <v/>
      </c>
      <c r="AJ1008" t="str">
        <f t="shared" si="143"/>
        <v/>
      </c>
    </row>
    <row r="1009" spans="1:36">
      <c r="A1009" s="5">
        <v>1089</v>
      </c>
      <c r="B1009" s="5" t="s">
        <v>1141</v>
      </c>
      <c r="C1009" s="10" t="s">
        <v>1122</v>
      </c>
      <c r="D1009" s="5" t="s">
        <v>1123</v>
      </c>
      <c r="E1009" s="5" t="s">
        <v>102</v>
      </c>
      <c r="F1009" s="5" t="str">
        <f t="shared" si="135"/>
        <v>IT-Senior Manager</v>
      </c>
      <c r="G1009" s="5" t="s">
        <v>103</v>
      </c>
      <c r="H1009" s="9">
        <v>44892.976215277777</v>
      </c>
      <c r="I1009" s="9">
        <v>44894.976215277777</v>
      </c>
      <c r="J1009" s="9" t="e">
        <f>I1009+#REF!</f>
        <v>#REF!</v>
      </c>
      <c r="K1009" s="9" t="e">
        <f>J1009+#REF!</f>
        <v>#REF!</v>
      </c>
      <c r="L1009" s="10" t="s">
        <v>41</v>
      </c>
      <c r="M1009" s="11">
        <v>44917.976215277777</v>
      </c>
      <c r="N1009" s="5" t="s">
        <v>42</v>
      </c>
      <c r="O1009" s="5" t="s">
        <v>98</v>
      </c>
      <c r="P1009" s="9"/>
      <c r="Q1009" s="5"/>
      <c r="R1009" s="5"/>
      <c r="S1009" s="5"/>
      <c r="T1009" s="9">
        <v>44920.976215277777</v>
      </c>
      <c r="U1009" s="5"/>
      <c r="V1009" s="5">
        <v>0</v>
      </c>
      <c r="W1009" s="5"/>
      <c r="X1009" s="5"/>
      <c r="Y1009" s="5"/>
      <c r="Z1009" s="5"/>
      <c r="AA1009" s="5" t="s">
        <v>62</v>
      </c>
      <c r="AC1009">
        <f t="shared" si="136"/>
        <v>23</v>
      </c>
      <c r="AD1009" t="str">
        <f t="shared" si="137"/>
        <v/>
      </c>
      <c r="AE1009">
        <f t="shared" si="138"/>
        <v>3</v>
      </c>
      <c r="AF1009" t="str">
        <f t="shared" si="139"/>
        <v/>
      </c>
      <c r="AG1009" t="str">
        <f t="shared" si="140"/>
        <v/>
      </c>
      <c r="AH1009">
        <f t="shared" si="141"/>
        <v>2</v>
      </c>
      <c r="AI1009" t="str">
        <f t="shared" si="142"/>
        <v/>
      </c>
      <c r="AJ1009" t="str">
        <f t="shared" si="143"/>
        <v/>
      </c>
    </row>
    <row r="1010" spans="1:36">
      <c r="A1010" s="5">
        <v>1090</v>
      </c>
      <c r="B1010" s="5" t="s">
        <v>1281</v>
      </c>
      <c r="C1010" s="10" t="s">
        <v>1215</v>
      </c>
      <c r="D1010" s="5" t="s">
        <v>1249</v>
      </c>
      <c r="E1010" s="5" t="s">
        <v>39</v>
      </c>
      <c r="F1010" s="5" t="str">
        <f t="shared" si="135"/>
        <v>HR-Analyst</v>
      </c>
      <c r="G1010" s="5" t="s">
        <v>40</v>
      </c>
      <c r="H1010" s="9">
        <v>44891.976215277777</v>
      </c>
      <c r="I1010" s="9">
        <v>44893.976215277777</v>
      </c>
      <c r="J1010" s="9" t="e">
        <f>I1010+#REF!</f>
        <v>#REF!</v>
      </c>
      <c r="K1010" s="9" t="e">
        <f>J1010+#REF!</f>
        <v>#REF!</v>
      </c>
      <c r="L1010" s="10" t="s">
        <v>41</v>
      </c>
      <c r="M1010" s="11">
        <v>44914.976215277777</v>
      </c>
      <c r="N1010" s="5" t="s">
        <v>48</v>
      </c>
      <c r="O1010" s="5"/>
      <c r="P1010" s="9">
        <v>44921.976215277777</v>
      </c>
      <c r="Q1010" s="5" t="s">
        <v>48</v>
      </c>
      <c r="R1010" s="5"/>
      <c r="S1010" s="5"/>
      <c r="T1010" s="9">
        <v>44917.976215277777</v>
      </c>
      <c r="U1010" s="5"/>
      <c r="V1010" s="5">
        <v>0</v>
      </c>
      <c r="W1010" s="5"/>
      <c r="X1010" s="5"/>
      <c r="Y1010" s="5"/>
      <c r="Z1010" s="5"/>
      <c r="AA1010" s="5"/>
      <c r="AC1010">
        <f t="shared" si="136"/>
        <v>21</v>
      </c>
      <c r="AD1010" t="str">
        <f t="shared" si="137"/>
        <v/>
      </c>
      <c r="AE1010">
        <f t="shared" si="138"/>
        <v>3</v>
      </c>
      <c r="AF1010" t="str">
        <f t="shared" si="139"/>
        <v/>
      </c>
      <c r="AG1010" t="str">
        <f t="shared" si="140"/>
        <v/>
      </c>
      <c r="AH1010">
        <f t="shared" si="141"/>
        <v>2</v>
      </c>
      <c r="AI1010" t="str">
        <f t="shared" si="142"/>
        <v/>
      </c>
      <c r="AJ1010" t="str">
        <f t="shared" si="143"/>
        <v/>
      </c>
    </row>
    <row r="1011" spans="1:36">
      <c r="A1011" s="5">
        <v>1092</v>
      </c>
      <c r="B1011" s="5" t="s">
        <v>872</v>
      </c>
      <c r="C1011" s="5" t="s">
        <v>796</v>
      </c>
      <c r="D1011" s="5" t="s">
        <v>814</v>
      </c>
      <c r="E1011" s="5" t="s">
        <v>39</v>
      </c>
      <c r="F1011" s="5" t="str">
        <f t="shared" si="135"/>
        <v>M and E-Analyst</v>
      </c>
      <c r="G1011" s="5" t="s">
        <v>147</v>
      </c>
      <c r="H1011" s="9">
        <v>45041.26462962963</v>
      </c>
      <c r="I1011" s="9">
        <v>45045.26462962963</v>
      </c>
      <c r="J1011" s="9" t="e">
        <f>I1011+#REF!</f>
        <v>#REF!</v>
      </c>
      <c r="K1011" s="9" t="e">
        <f>J1011+#REF!</f>
        <v>#REF!</v>
      </c>
      <c r="L1011" s="10" t="s">
        <v>41</v>
      </c>
      <c r="M1011" s="11">
        <v>45050.26462962963</v>
      </c>
      <c r="N1011" s="5" t="s">
        <v>64</v>
      </c>
      <c r="O1011" s="5"/>
      <c r="P1011" s="9">
        <v>45055.26462962963</v>
      </c>
      <c r="Q1011" s="5" t="s">
        <v>64</v>
      </c>
      <c r="R1011" s="9">
        <v>45052.26462962963</v>
      </c>
      <c r="S1011" s="9">
        <v>45055.26462962963</v>
      </c>
      <c r="T1011" s="9">
        <v>45052.26462962963</v>
      </c>
      <c r="U1011" s="9">
        <v>45062.26462962963</v>
      </c>
      <c r="V1011" s="12">
        <v>1</v>
      </c>
      <c r="W1011" s="9">
        <v>45063.26462962963</v>
      </c>
      <c r="X1011" s="9">
        <v>45064.26462962963</v>
      </c>
      <c r="Y1011" s="9">
        <v>45065.26462962963</v>
      </c>
      <c r="Z1011" s="5"/>
      <c r="AA1011" s="5"/>
      <c r="AB1011" s="13">
        <v>45083.26462962963</v>
      </c>
      <c r="AC1011">
        <f t="shared" si="136"/>
        <v>5</v>
      </c>
      <c r="AD1011">
        <f t="shared" si="137"/>
        <v>10</v>
      </c>
      <c r="AE1011">
        <f t="shared" si="138"/>
        <v>2</v>
      </c>
      <c r="AF1011">
        <f t="shared" si="139"/>
        <v>2</v>
      </c>
      <c r="AG1011">
        <f t="shared" si="140"/>
        <v>1</v>
      </c>
      <c r="AH1011">
        <f t="shared" si="141"/>
        <v>4</v>
      </c>
      <c r="AI1011" t="str">
        <f t="shared" si="142"/>
        <v/>
      </c>
      <c r="AJ1011" t="str">
        <f t="shared" si="143"/>
        <v/>
      </c>
    </row>
    <row r="1012" spans="1:36">
      <c r="A1012" s="5">
        <v>1093</v>
      </c>
      <c r="B1012" s="5" t="s">
        <v>1099</v>
      </c>
      <c r="C1012" s="5" t="s">
        <v>796</v>
      </c>
      <c r="D1012" s="5" t="s">
        <v>1046</v>
      </c>
      <c r="E1012" s="5" t="s">
        <v>673</v>
      </c>
      <c r="F1012" s="5" t="str">
        <f t="shared" si="135"/>
        <v>M and E-Controller</v>
      </c>
      <c r="G1012" s="5" t="s">
        <v>47</v>
      </c>
      <c r="H1012" s="9">
        <v>45036.26462962963</v>
      </c>
      <c r="I1012" s="9">
        <v>45040.26462962963</v>
      </c>
      <c r="J1012" s="9" t="e">
        <f>I1012+#REF!</f>
        <v>#REF!</v>
      </c>
      <c r="K1012" s="9" t="e">
        <f>J1012+#REF!</f>
        <v>#REF!</v>
      </c>
      <c r="L1012" s="10" t="s">
        <v>41</v>
      </c>
      <c r="M1012" s="11">
        <v>45061.26462962963</v>
      </c>
      <c r="N1012" s="5" t="s">
        <v>48</v>
      </c>
      <c r="O1012" s="5"/>
      <c r="P1012" s="9">
        <v>45067.26462962963</v>
      </c>
      <c r="Q1012" s="5" t="s">
        <v>48</v>
      </c>
      <c r="R1012" s="5"/>
      <c r="S1012" s="5"/>
      <c r="T1012" s="9">
        <v>45065.26462962963</v>
      </c>
      <c r="U1012" s="5"/>
      <c r="V1012" s="5">
        <v>0</v>
      </c>
      <c r="W1012" s="5"/>
      <c r="X1012" s="5"/>
      <c r="Y1012" s="5"/>
      <c r="Z1012" s="5"/>
      <c r="AA1012" s="5"/>
      <c r="AC1012">
        <f t="shared" si="136"/>
        <v>21</v>
      </c>
      <c r="AD1012" t="str">
        <f t="shared" si="137"/>
        <v/>
      </c>
      <c r="AE1012">
        <f t="shared" si="138"/>
        <v>4</v>
      </c>
      <c r="AF1012" t="str">
        <f t="shared" si="139"/>
        <v/>
      </c>
      <c r="AG1012" t="str">
        <f t="shared" si="140"/>
        <v/>
      </c>
      <c r="AH1012">
        <f t="shared" si="141"/>
        <v>4</v>
      </c>
      <c r="AI1012" t="str">
        <f t="shared" si="142"/>
        <v/>
      </c>
      <c r="AJ1012" t="str">
        <f t="shared" si="143"/>
        <v/>
      </c>
    </row>
    <row r="1013" spans="1:36">
      <c r="A1013" s="5">
        <v>1095</v>
      </c>
      <c r="B1013" s="5" t="s">
        <v>1009</v>
      </c>
      <c r="C1013" s="5" t="s">
        <v>796</v>
      </c>
      <c r="D1013" s="5" t="s">
        <v>957</v>
      </c>
      <c r="E1013" s="5" t="s">
        <v>388</v>
      </c>
      <c r="F1013" s="5" t="str">
        <f t="shared" si="135"/>
        <v>M and E-Extension Officer</v>
      </c>
      <c r="G1013" s="5" t="s">
        <v>40</v>
      </c>
      <c r="H1013" s="9">
        <v>45038.26462962963</v>
      </c>
      <c r="I1013" s="9">
        <v>45042.26462962963</v>
      </c>
      <c r="J1013" s="9" t="e">
        <f>I1013+#REF!</f>
        <v>#REF!</v>
      </c>
      <c r="K1013" s="9" t="e">
        <f>J1013+#REF!</f>
        <v>#REF!</v>
      </c>
      <c r="L1013" s="10" t="s">
        <v>41</v>
      </c>
      <c r="M1013" s="11">
        <v>45056.26462962963</v>
      </c>
      <c r="N1013" s="5" t="s">
        <v>42</v>
      </c>
      <c r="O1013" s="5" t="s">
        <v>113</v>
      </c>
      <c r="P1013" s="9"/>
      <c r="Q1013" s="5"/>
      <c r="R1013" s="5"/>
      <c r="S1013" s="5"/>
      <c r="T1013" s="9">
        <v>45060.26462962963</v>
      </c>
      <c r="U1013" s="5"/>
      <c r="V1013" s="5">
        <v>0</v>
      </c>
      <c r="W1013" s="5"/>
      <c r="X1013" s="5"/>
      <c r="Y1013" s="5"/>
      <c r="Z1013" s="5"/>
      <c r="AA1013" s="5" t="s">
        <v>44</v>
      </c>
      <c r="AC1013">
        <f t="shared" si="136"/>
        <v>14</v>
      </c>
      <c r="AD1013" t="str">
        <f t="shared" si="137"/>
        <v/>
      </c>
      <c r="AE1013">
        <f t="shared" si="138"/>
        <v>4</v>
      </c>
      <c r="AF1013" t="str">
        <f t="shared" si="139"/>
        <v/>
      </c>
      <c r="AG1013" t="str">
        <f t="shared" si="140"/>
        <v/>
      </c>
      <c r="AH1013">
        <f t="shared" si="141"/>
        <v>4</v>
      </c>
      <c r="AI1013" t="str">
        <f t="shared" si="142"/>
        <v/>
      </c>
      <c r="AJ1013" t="str">
        <f t="shared" si="143"/>
        <v/>
      </c>
    </row>
    <row r="1014" spans="1:36">
      <c r="A1014" s="5">
        <v>1096</v>
      </c>
      <c r="B1014" s="5" t="s">
        <v>1098</v>
      </c>
      <c r="C1014" s="5" t="s">
        <v>796</v>
      </c>
      <c r="D1014" s="5" t="s">
        <v>1046</v>
      </c>
      <c r="E1014" s="5" t="s">
        <v>673</v>
      </c>
      <c r="F1014" s="5" t="str">
        <f t="shared" si="135"/>
        <v>M and E-Controller</v>
      </c>
      <c r="G1014" s="5" t="s">
        <v>47</v>
      </c>
      <c r="H1014" s="9">
        <v>45040.26462962963</v>
      </c>
      <c r="I1014" s="9">
        <v>45044.26462962963</v>
      </c>
      <c r="J1014" s="9" t="e">
        <f>I1014+#REF!</f>
        <v>#REF!</v>
      </c>
      <c r="K1014" s="9" t="e">
        <f>J1014+#REF!</f>
        <v>#REF!</v>
      </c>
      <c r="L1014" s="10" t="s">
        <v>41</v>
      </c>
      <c r="M1014" s="11">
        <v>45058.26462962963</v>
      </c>
      <c r="N1014" s="5" t="s">
        <v>167</v>
      </c>
      <c r="O1014" s="5"/>
      <c r="P1014" s="9">
        <v>45064.26462962963</v>
      </c>
      <c r="Q1014" s="5" t="s">
        <v>167</v>
      </c>
      <c r="R1014" s="5"/>
      <c r="S1014" s="5"/>
      <c r="T1014" s="9">
        <v>45060.26462962963</v>
      </c>
      <c r="U1014" s="5"/>
      <c r="V1014" s="5">
        <v>0</v>
      </c>
      <c r="W1014" s="5"/>
      <c r="X1014" s="5"/>
      <c r="Y1014" s="5"/>
      <c r="Z1014" s="5"/>
      <c r="AA1014" s="5"/>
      <c r="AC1014">
        <f t="shared" si="136"/>
        <v>14</v>
      </c>
      <c r="AD1014" t="str">
        <f t="shared" si="137"/>
        <v/>
      </c>
      <c r="AE1014">
        <f t="shared" si="138"/>
        <v>2</v>
      </c>
      <c r="AF1014" t="str">
        <f t="shared" si="139"/>
        <v/>
      </c>
      <c r="AG1014" t="str">
        <f t="shared" si="140"/>
        <v/>
      </c>
      <c r="AH1014">
        <f t="shared" si="141"/>
        <v>4</v>
      </c>
      <c r="AI1014" t="str">
        <f t="shared" si="142"/>
        <v/>
      </c>
      <c r="AJ1014" t="str">
        <f t="shared" si="143"/>
        <v/>
      </c>
    </row>
    <row r="1015" spans="1:36">
      <c r="A1015" s="5">
        <v>1101</v>
      </c>
      <c r="B1015" s="5" t="s">
        <v>1411</v>
      </c>
      <c r="C1015" s="5" t="s">
        <v>1332</v>
      </c>
      <c r="D1015" s="5" t="s">
        <v>1359</v>
      </c>
      <c r="E1015" s="5" t="s">
        <v>1360</v>
      </c>
      <c r="F1015" s="5" t="str">
        <f t="shared" si="135"/>
        <v>Fundraising-Fund Administrator</v>
      </c>
      <c r="G1015" s="5" t="s">
        <v>147</v>
      </c>
      <c r="H1015" s="9">
        <v>44675.953865740739</v>
      </c>
      <c r="I1015" s="9">
        <v>44676.953865740739</v>
      </c>
      <c r="J1015" s="9" t="e">
        <f>I1015+#REF!</f>
        <v>#REF!</v>
      </c>
      <c r="K1015" s="9" t="e">
        <f>J1015+#REF!</f>
        <v>#REF!</v>
      </c>
      <c r="L1015" s="10" t="s">
        <v>41</v>
      </c>
      <c r="M1015" s="11">
        <v>44693.953865740739</v>
      </c>
      <c r="N1015" s="5" t="s">
        <v>48</v>
      </c>
      <c r="O1015" s="5"/>
      <c r="P1015" s="9">
        <v>44695.953865740739</v>
      </c>
      <c r="Q1015" s="5" t="s">
        <v>48</v>
      </c>
      <c r="R1015" s="5"/>
      <c r="S1015" s="5"/>
      <c r="T1015" s="9">
        <v>44694.953865740739</v>
      </c>
      <c r="U1015" s="5"/>
      <c r="V1015" s="5">
        <v>0</v>
      </c>
      <c r="W1015" s="5"/>
      <c r="X1015" s="5"/>
      <c r="Y1015" s="5"/>
      <c r="Z1015" s="5"/>
      <c r="AA1015" s="5"/>
      <c r="AC1015">
        <f t="shared" si="136"/>
        <v>17</v>
      </c>
      <c r="AD1015" t="str">
        <f t="shared" si="137"/>
        <v/>
      </c>
      <c r="AE1015">
        <f t="shared" si="138"/>
        <v>1</v>
      </c>
      <c r="AF1015" t="str">
        <f t="shared" si="139"/>
        <v/>
      </c>
      <c r="AG1015" t="str">
        <f t="shared" si="140"/>
        <v/>
      </c>
      <c r="AH1015">
        <f t="shared" si="141"/>
        <v>1</v>
      </c>
      <c r="AI1015" t="str">
        <f t="shared" si="142"/>
        <v/>
      </c>
      <c r="AJ1015" t="str">
        <f t="shared" si="143"/>
        <v/>
      </c>
    </row>
    <row r="1016" spans="1:36">
      <c r="A1016" s="5">
        <v>1102</v>
      </c>
      <c r="B1016" s="5" t="s">
        <v>2321</v>
      </c>
      <c r="C1016" s="5" t="s">
        <v>2229</v>
      </c>
      <c r="D1016" s="5" t="s">
        <v>2302</v>
      </c>
      <c r="E1016" s="5" t="s">
        <v>269</v>
      </c>
      <c r="F1016" s="5" t="str">
        <f t="shared" si="135"/>
        <v>Capacity Building-Manager</v>
      </c>
      <c r="G1016" s="5" t="s">
        <v>270</v>
      </c>
      <c r="H1016" s="9">
        <v>44679.953865740739</v>
      </c>
      <c r="I1016" s="9">
        <v>44680.953865740739</v>
      </c>
      <c r="J1016" s="9" t="e">
        <f>I1016+#REF!</f>
        <v>#REF!</v>
      </c>
      <c r="K1016" s="9" t="e">
        <f>J1016+#REF!</f>
        <v>#REF!</v>
      </c>
      <c r="L1016" s="10" t="s">
        <v>52</v>
      </c>
      <c r="M1016" s="11"/>
      <c r="N1016" s="5"/>
      <c r="O1016" s="5"/>
      <c r="P1016" s="9"/>
      <c r="Q1016" s="5"/>
      <c r="R1016" s="5"/>
      <c r="S1016" s="5"/>
      <c r="T1016" s="9"/>
      <c r="U1016" s="5"/>
      <c r="V1016" s="5">
        <v>0</v>
      </c>
      <c r="W1016" s="5"/>
      <c r="X1016" s="5"/>
      <c r="Y1016" s="5"/>
      <c r="Z1016" s="5"/>
      <c r="AA1016" s="5"/>
      <c r="AC1016" t="str">
        <f t="shared" si="136"/>
        <v/>
      </c>
      <c r="AD1016" t="str">
        <f t="shared" si="137"/>
        <v/>
      </c>
      <c r="AE1016" t="str">
        <f t="shared" si="138"/>
        <v/>
      </c>
      <c r="AF1016" t="str">
        <f t="shared" si="139"/>
        <v/>
      </c>
      <c r="AG1016" t="str">
        <f t="shared" si="140"/>
        <v/>
      </c>
      <c r="AH1016">
        <f t="shared" si="141"/>
        <v>1</v>
      </c>
      <c r="AI1016" t="str">
        <f t="shared" si="142"/>
        <v/>
      </c>
      <c r="AJ1016" t="str">
        <f t="shared" si="143"/>
        <v/>
      </c>
    </row>
    <row r="1017" spans="1:36">
      <c r="A1017" s="5">
        <v>1103</v>
      </c>
      <c r="B1017" s="5" t="s">
        <v>2265</v>
      </c>
      <c r="C1017" s="5" t="s">
        <v>2229</v>
      </c>
      <c r="D1017" s="5" t="s">
        <v>2250</v>
      </c>
      <c r="E1017" s="5" t="s">
        <v>388</v>
      </c>
      <c r="F1017" s="5" t="str">
        <f t="shared" si="135"/>
        <v>Capacity Building-Extension Officer</v>
      </c>
      <c r="G1017" s="5" t="s">
        <v>147</v>
      </c>
      <c r="H1017" s="9">
        <v>44676.953865740739</v>
      </c>
      <c r="I1017" s="9">
        <v>44678.953865740739</v>
      </c>
      <c r="J1017" s="9" t="e">
        <f>I1017+#REF!</f>
        <v>#REF!</v>
      </c>
      <c r="K1017" s="9" t="e">
        <f>J1017+#REF!</f>
        <v>#REF!</v>
      </c>
      <c r="L1017" s="10" t="s">
        <v>41</v>
      </c>
      <c r="M1017" s="11">
        <v>44683.953865740739</v>
      </c>
      <c r="N1017" s="5" t="s">
        <v>64</v>
      </c>
      <c r="O1017" s="5"/>
      <c r="P1017" s="9">
        <v>44686.953865740739</v>
      </c>
      <c r="Q1017" s="5" t="s">
        <v>64</v>
      </c>
      <c r="R1017" s="9">
        <v>44685.953865740739</v>
      </c>
      <c r="S1017" s="9">
        <v>44687.953865740739</v>
      </c>
      <c r="T1017" s="9">
        <v>44685.953865740739</v>
      </c>
      <c r="U1017" s="9">
        <v>44693.953865740739</v>
      </c>
      <c r="V1017" s="12">
        <v>1</v>
      </c>
      <c r="W1017" s="9">
        <v>44695.953865740739</v>
      </c>
      <c r="X1017" s="9">
        <v>44698.953865740739</v>
      </c>
      <c r="Y1017" s="9">
        <v>44700.953865740739</v>
      </c>
      <c r="Z1017" s="5"/>
      <c r="AA1017" s="5"/>
      <c r="AB1017" s="13">
        <v>44712.953865740739</v>
      </c>
      <c r="AC1017">
        <f t="shared" si="136"/>
        <v>5</v>
      </c>
      <c r="AD1017">
        <f t="shared" si="137"/>
        <v>9</v>
      </c>
      <c r="AE1017">
        <f t="shared" si="138"/>
        <v>2</v>
      </c>
      <c r="AF1017">
        <f t="shared" si="139"/>
        <v>5</v>
      </c>
      <c r="AG1017">
        <f t="shared" si="140"/>
        <v>2</v>
      </c>
      <c r="AH1017">
        <f t="shared" si="141"/>
        <v>2</v>
      </c>
      <c r="AI1017" t="str">
        <f t="shared" si="142"/>
        <v/>
      </c>
      <c r="AJ1017" t="str">
        <f t="shared" si="143"/>
        <v/>
      </c>
    </row>
    <row r="1018" spans="1:36">
      <c r="A1018" s="5">
        <v>1104</v>
      </c>
      <c r="B1018" s="5" t="s">
        <v>1356</v>
      </c>
      <c r="C1018" s="5" t="s">
        <v>1332</v>
      </c>
      <c r="D1018" s="5" t="s">
        <v>1333</v>
      </c>
      <c r="E1018" s="5" t="s">
        <v>102</v>
      </c>
      <c r="F1018" s="5" t="str">
        <f t="shared" si="135"/>
        <v>Fundraising-Senior Manager</v>
      </c>
      <c r="G1018" s="5" t="s">
        <v>103</v>
      </c>
      <c r="H1018" s="9">
        <v>44678.953865740739</v>
      </c>
      <c r="I1018" s="9">
        <v>44679.953865740739</v>
      </c>
      <c r="J1018" s="9" t="e">
        <f>I1018+#REF!</f>
        <v>#REF!</v>
      </c>
      <c r="K1018" s="9" t="e">
        <f>J1018+#REF!</f>
        <v>#REF!</v>
      </c>
      <c r="L1018" s="10" t="s">
        <v>41</v>
      </c>
      <c r="M1018" s="11">
        <v>44686.953865740739</v>
      </c>
      <c r="N1018" s="5" t="s">
        <v>42</v>
      </c>
      <c r="O1018" s="5" t="s">
        <v>113</v>
      </c>
      <c r="P1018" s="9"/>
      <c r="Q1018" s="5"/>
      <c r="R1018" s="5"/>
      <c r="S1018" s="5"/>
      <c r="T1018" s="9"/>
      <c r="U1018" s="5"/>
      <c r="V1018" s="5">
        <v>0</v>
      </c>
      <c r="W1018" s="5"/>
      <c r="X1018" s="5"/>
      <c r="Y1018" s="5"/>
      <c r="Z1018" s="5"/>
      <c r="AA1018" s="5" t="s">
        <v>44</v>
      </c>
      <c r="AC1018">
        <f t="shared" si="136"/>
        <v>7</v>
      </c>
      <c r="AD1018" t="str">
        <f t="shared" si="137"/>
        <v/>
      </c>
      <c r="AE1018" t="str">
        <f t="shared" si="138"/>
        <v/>
      </c>
      <c r="AF1018" t="str">
        <f t="shared" si="139"/>
        <v/>
      </c>
      <c r="AG1018" t="str">
        <f t="shared" si="140"/>
        <v/>
      </c>
      <c r="AH1018">
        <f t="shared" si="141"/>
        <v>1</v>
      </c>
      <c r="AI1018" t="str">
        <f t="shared" si="142"/>
        <v/>
      </c>
      <c r="AJ1018" t="str">
        <f t="shared" si="143"/>
        <v/>
      </c>
    </row>
    <row r="1019" spans="1:36">
      <c r="A1019" s="5">
        <v>1105</v>
      </c>
      <c r="B1019" s="5" t="s">
        <v>1410</v>
      </c>
      <c r="C1019" s="5" t="s">
        <v>1332</v>
      </c>
      <c r="D1019" s="5" t="s">
        <v>1359</v>
      </c>
      <c r="E1019" s="5" t="s">
        <v>1360</v>
      </c>
      <c r="F1019" s="5" t="str">
        <f t="shared" si="135"/>
        <v>Fundraising-Fund Administrator</v>
      </c>
      <c r="G1019" s="5" t="s">
        <v>147</v>
      </c>
      <c r="H1019" s="9">
        <v>44671.953865740739</v>
      </c>
      <c r="I1019" s="9">
        <v>44675.953865740739</v>
      </c>
      <c r="J1019" s="9" t="e">
        <f>I1019+#REF!</f>
        <v>#REF!</v>
      </c>
      <c r="K1019" s="9" t="e">
        <f>J1019+#REF!</f>
        <v>#REF!</v>
      </c>
      <c r="L1019" s="10" t="s">
        <v>41</v>
      </c>
      <c r="M1019" s="11">
        <v>44694.953865740739</v>
      </c>
      <c r="N1019" s="5" t="s">
        <v>48</v>
      </c>
      <c r="O1019" s="5"/>
      <c r="P1019" s="9">
        <v>44699.953865740739</v>
      </c>
      <c r="Q1019" s="5" t="s">
        <v>48</v>
      </c>
      <c r="R1019" s="5"/>
      <c r="S1019" s="5"/>
      <c r="T1019" s="9">
        <v>44698.953865740739</v>
      </c>
      <c r="U1019" s="5"/>
      <c r="V1019" s="5">
        <v>0</v>
      </c>
      <c r="W1019" s="5"/>
      <c r="X1019" s="5"/>
      <c r="Y1019" s="5"/>
      <c r="Z1019" s="5"/>
      <c r="AA1019" s="5"/>
      <c r="AC1019">
        <f t="shared" si="136"/>
        <v>19</v>
      </c>
      <c r="AD1019" t="str">
        <f t="shared" si="137"/>
        <v/>
      </c>
      <c r="AE1019">
        <f t="shared" si="138"/>
        <v>4</v>
      </c>
      <c r="AF1019" t="str">
        <f t="shared" si="139"/>
        <v/>
      </c>
      <c r="AG1019" t="str">
        <f t="shared" si="140"/>
        <v/>
      </c>
      <c r="AH1019">
        <f t="shared" si="141"/>
        <v>4</v>
      </c>
      <c r="AI1019" t="str">
        <f t="shared" si="142"/>
        <v/>
      </c>
      <c r="AJ1019" t="str">
        <f t="shared" si="143"/>
        <v/>
      </c>
    </row>
    <row r="1020" spans="1:36">
      <c r="A1020" s="5">
        <v>1106</v>
      </c>
      <c r="B1020" s="5" t="s">
        <v>1444</v>
      </c>
      <c r="C1020" s="5" t="s">
        <v>1332</v>
      </c>
      <c r="D1020" s="5" t="s">
        <v>1413</v>
      </c>
      <c r="E1020" s="5" t="s">
        <v>269</v>
      </c>
      <c r="F1020" s="5" t="str">
        <f t="shared" si="135"/>
        <v>Fundraising-Manager</v>
      </c>
      <c r="G1020" s="5" t="s">
        <v>270</v>
      </c>
      <c r="H1020" s="9">
        <v>44675.953865740739</v>
      </c>
      <c r="I1020" s="9">
        <v>44678.953865740739</v>
      </c>
      <c r="J1020" s="9" t="e">
        <f>I1020+#REF!</f>
        <v>#REF!</v>
      </c>
      <c r="K1020" s="9" t="e">
        <f>J1020+#REF!</f>
        <v>#REF!</v>
      </c>
      <c r="L1020" s="10" t="s">
        <v>41</v>
      </c>
      <c r="M1020" s="11">
        <v>44692.953865740739</v>
      </c>
      <c r="N1020" s="5" t="s">
        <v>42</v>
      </c>
      <c r="O1020" s="5" t="s">
        <v>58</v>
      </c>
      <c r="P1020" s="9"/>
      <c r="Q1020" s="5"/>
      <c r="R1020" s="5"/>
      <c r="S1020" s="5"/>
      <c r="T1020" s="9"/>
      <c r="U1020" s="5"/>
      <c r="V1020" s="5">
        <v>0</v>
      </c>
      <c r="W1020" s="5"/>
      <c r="X1020" s="5"/>
      <c r="Y1020" s="5"/>
      <c r="Z1020" s="5"/>
      <c r="AA1020" s="5" t="s">
        <v>44</v>
      </c>
      <c r="AC1020">
        <f t="shared" si="136"/>
        <v>14</v>
      </c>
      <c r="AD1020" t="str">
        <f t="shared" si="137"/>
        <v/>
      </c>
      <c r="AE1020" t="str">
        <f t="shared" si="138"/>
        <v/>
      </c>
      <c r="AF1020" t="str">
        <f t="shared" si="139"/>
        <v/>
      </c>
      <c r="AG1020" t="str">
        <f t="shared" si="140"/>
        <v/>
      </c>
      <c r="AH1020">
        <f t="shared" si="141"/>
        <v>3</v>
      </c>
      <c r="AI1020" t="str">
        <f t="shared" si="142"/>
        <v/>
      </c>
      <c r="AJ1020" t="str">
        <f t="shared" si="143"/>
        <v/>
      </c>
    </row>
    <row r="1021" spans="1:36">
      <c r="A1021" s="5">
        <v>1107</v>
      </c>
      <c r="B1021" s="5" t="s">
        <v>2373</v>
      </c>
      <c r="C1021" s="5" t="s">
        <v>2229</v>
      </c>
      <c r="D1021" s="5" t="s">
        <v>2350</v>
      </c>
      <c r="E1021" s="5" t="s">
        <v>2351</v>
      </c>
      <c r="F1021" s="5" t="str">
        <f t="shared" si="135"/>
        <v>Capacity Building-Training Associate</v>
      </c>
      <c r="G1021" s="5" t="s">
        <v>40</v>
      </c>
      <c r="H1021" s="9">
        <v>44676.953865740739</v>
      </c>
      <c r="I1021" s="9">
        <v>44677.953865740739</v>
      </c>
      <c r="J1021" s="9" t="e">
        <f>I1021+#REF!</f>
        <v>#REF!</v>
      </c>
      <c r="K1021" s="9" t="e">
        <f>J1021+#REF!</f>
        <v>#REF!</v>
      </c>
      <c r="L1021" s="10" t="s">
        <v>52</v>
      </c>
      <c r="M1021" s="11"/>
      <c r="N1021" s="5"/>
      <c r="O1021" s="5"/>
      <c r="P1021" s="9"/>
      <c r="Q1021" s="5"/>
      <c r="R1021" s="5"/>
      <c r="S1021" s="5"/>
      <c r="T1021" s="9"/>
      <c r="U1021" s="5"/>
      <c r="V1021" s="5">
        <v>0</v>
      </c>
      <c r="W1021" s="5"/>
      <c r="X1021" s="5"/>
      <c r="Y1021" s="5"/>
      <c r="Z1021" s="5"/>
      <c r="AA1021" s="5"/>
      <c r="AC1021" t="str">
        <f t="shared" si="136"/>
        <v/>
      </c>
      <c r="AD1021" t="str">
        <f t="shared" si="137"/>
        <v/>
      </c>
      <c r="AE1021" t="str">
        <f t="shared" si="138"/>
        <v/>
      </c>
      <c r="AF1021" t="str">
        <f t="shared" si="139"/>
        <v/>
      </c>
      <c r="AG1021" t="str">
        <f t="shared" si="140"/>
        <v/>
      </c>
      <c r="AH1021">
        <f t="shared" si="141"/>
        <v>1</v>
      </c>
      <c r="AI1021" t="str">
        <f t="shared" si="142"/>
        <v/>
      </c>
      <c r="AJ1021" t="str">
        <f t="shared" si="143"/>
        <v/>
      </c>
    </row>
    <row r="1022" spans="1:36">
      <c r="A1022" s="5">
        <v>1109</v>
      </c>
      <c r="B1022" s="5" t="s">
        <v>1536</v>
      </c>
      <c r="C1022" s="5" t="s">
        <v>1332</v>
      </c>
      <c r="D1022" s="5" t="s">
        <v>1500</v>
      </c>
      <c r="E1022" s="5" t="s">
        <v>815</v>
      </c>
      <c r="F1022" s="5" t="str">
        <f t="shared" si="135"/>
        <v>Fundraising-Auditor</v>
      </c>
      <c r="G1022" s="5" t="s">
        <v>47</v>
      </c>
      <c r="H1022" s="9">
        <v>44675.953865740739</v>
      </c>
      <c r="I1022" s="9">
        <v>44677.953865740739</v>
      </c>
      <c r="J1022" s="9" t="e">
        <f>I1022+#REF!</f>
        <v>#REF!</v>
      </c>
      <c r="K1022" s="9" t="e">
        <f>J1022+#REF!</f>
        <v>#REF!</v>
      </c>
      <c r="L1022" s="10" t="s">
        <v>41</v>
      </c>
      <c r="M1022" s="11">
        <v>44682.953865740739</v>
      </c>
      <c r="N1022" s="5" t="s">
        <v>42</v>
      </c>
      <c r="O1022" s="5" t="s">
        <v>98</v>
      </c>
      <c r="P1022" s="9"/>
      <c r="Q1022" s="5"/>
      <c r="R1022" s="5"/>
      <c r="S1022" s="5"/>
      <c r="T1022" s="9">
        <v>44684.953865740739</v>
      </c>
      <c r="U1022" s="5"/>
      <c r="V1022" s="5">
        <v>0</v>
      </c>
      <c r="W1022" s="5"/>
      <c r="X1022" s="5"/>
      <c r="Y1022" s="5"/>
      <c r="Z1022" s="5"/>
      <c r="AA1022" s="5" t="s">
        <v>62</v>
      </c>
      <c r="AC1022">
        <f t="shared" si="136"/>
        <v>5</v>
      </c>
      <c r="AD1022" t="str">
        <f t="shared" si="137"/>
        <v/>
      </c>
      <c r="AE1022">
        <f t="shared" si="138"/>
        <v>2</v>
      </c>
      <c r="AF1022" t="str">
        <f t="shared" si="139"/>
        <v/>
      </c>
      <c r="AG1022" t="str">
        <f t="shared" si="140"/>
        <v/>
      </c>
      <c r="AH1022">
        <f t="shared" si="141"/>
        <v>2</v>
      </c>
      <c r="AI1022" t="str">
        <f t="shared" si="142"/>
        <v/>
      </c>
      <c r="AJ1022" t="str">
        <f t="shared" si="143"/>
        <v/>
      </c>
    </row>
    <row r="1023" spans="1:36">
      <c r="A1023" s="5">
        <v>1110</v>
      </c>
      <c r="B1023" s="5" t="s">
        <v>1355</v>
      </c>
      <c r="C1023" s="5" t="s">
        <v>1332</v>
      </c>
      <c r="D1023" s="5" t="s">
        <v>1333</v>
      </c>
      <c r="E1023" s="5" t="s">
        <v>102</v>
      </c>
      <c r="F1023" s="5" t="str">
        <f t="shared" si="135"/>
        <v>Fundraising-Senior Manager</v>
      </c>
      <c r="G1023" s="5" t="s">
        <v>103</v>
      </c>
      <c r="H1023" s="9">
        <v>44671.953865740739</v>
      </c>
      <c r="I1023" s="9">
        <v>44675.953865740739</v>
      </c>
      <c r="J1023" s="9" t="e">
        <f>I1023+#REF!</f>
        <v>#REF!</v>
      </c>
      <c r="K1023" s="9" t="e">
        <f>J1023+#REF!</f>
        <v>#REF!</v>
      </c>
      <c r="L1023" s="10" t="s">
        <v>41</v>
      </c>
      <c r="M1023" s="11">
        <v>44684.953865740739</v>
      </c>
      <c r="N1023" s="5" t="s">
        <v>42</v>
      </c>
      <c r="O1023" s="5" t="s">
        <v>73</v>
      </c>
      <c r="P1023" s="9"/>
      <c r="Q1023" s="5"/>
      <c r="R1023" s="5"/>
      <c r="S1023" s="5"/>
      <c r="T1023" s="9">
        <v>44687.953865740739</v>
      </c>
      <c r="U1023" s="5"/>
      <c r="V1023" s="5">
        <v>0</v>
      </c>
      <c r="W1023" s="5"/>
      <c r="X1023" s="5"/>
      <c r="Y1023" s="5"/>
      <c r="Z1023" s="5"/>
      <c r="AA1023" s="5" t="s">
        <v>44</v>
      </c>
      <c r="AC1023">
        <f t="shared" si="136"/>
        <v>9</v>
      </c>
      <c r="AD1023" t="str">
        <f t="shared" si="137"/>
        <v/>
      </c>
      <c r="AE1023">
        <f t="shared" si="138"/>
        <v>3</v>
      </c>
      <c r="AF1023" t="str">
        <f t="shared" si="139"/>
        <v/>
      </c>
      <c r="AG1023" t="str">
        <f t="shared" si="140"/>
        <v/>
      </c>
      <c r="AH1023">
        <f t="shared" si="141"/>
        <v>4</v>
      </c>
      <c r="AI1023" t="str">
        <f t="shared" si="142"/>
        <v/>
      </c>
      <c r="AJ1023" t="str">
        <f t="shared" si="143"/>
        <v/>
      </c>
    </row>
    <row r="1024" spans="1:36">
      <c r="A1024" s="5">
        <v>1112</v>
      </c>
      <c r="B1024" s="5" t="s">
        <v>1569</v>
      </c>
      <c r="C1024" s="5" t="s">
        <v>1540</v>
      </c>
      <c r="D1024" s="5" t="s">
        <v>1541</v>
      </c>
      <c r="E1024" s="5" t="s">
        <v>102</v>
      </c>
      <c r="F1024" s="5" t="str">
        <f t="shared" si="135"/>
        <v>Finance-Senior Manager</v>
      </c>
      <c r="G1024" s="5" t="s">
        <v>103</v>
      </c>
      <c r="H1024" s="9">
        <v>45022.266469907408</v>
      </c>
      <c r="I1024" s="9">
        <v>45026.266469907408</v>
      </c>
      <c r="J1024" s="9" t="e">
        <f>I1024+#REF!</f>
        <v>#REF!</v>
      </c>
      <c r="K1024" s="9" t="e">
        <f>J1024+#REF!</f>
        <v>#REF!</v>
      </c>
      <c r="L1024" s="10" t="s">
        <v>41</v>
      </c>
      <c r="M1024" s="11">
        <v>45040.266469907408</v>
      </c>
      <c r="N1024" s="5" t="s">
        <v>42</v>
      </c>
      <c r="O1024" s="5" t="s">
        <v>98</v>
      </c>
      <c r="P1024" s="9"/>
      <c r="Q1024" s="5"/>
      <c r="R1024" s="5"/>
      <c r="S1024" s="5"/>
      <c r="T1024" s="9">
        <v>45043.266469907408</v>
      </c>
      <c r="U1024" s="5"/>
      <c r="V1024" s="5">
        <v>0</v>
      </c>
      <c r="W1024" s="5"/>
      <c r="X1024" s="5"/>
      <c r="Y1024" s="5"/>
      <c r="Z1024" s="5"/>
      <c r="AA1024" s="5" t="s">
        <v>44</v>
      </c>
      <c r="AC1024">
        <f t="shared" si="136"/>
        <v>14</v>
      </c>
      <c r="AD1024" t="str">
        <f t="shared" si="137"/>
        <v/>
      </c>
      <c r="AE1024">
        <f t="shared" si="138"/>
        <v>3</v>
      </c>
      <c r="AF1024" t="str">
        <f t="shared" si="139"/>
        <v/>
      </c>
      <c r="AG1024" t="str">
        <f t="shared" si="140"/>
        <v/>
      </c>
      <c r="AH1024">
        <f t="shared" si="141"/>
        <v>4</v>
      </c>
      <c r="AI1024" t="str">
        <f t="shared" si="142"/>
        <v/>
      </c>
      <c r="AJ1024" t="str">
        <f t="shared" si="143"/>
        <v/>
      </c>
    </row>
    <row r="1025" spans="1:36">
      <c r="A1025" s="5">
        <v>1113</v>
      </c>
      <c r="B1025" s="5" t="s">
        <v>1776</v>
      </c>
      <c r="C1025" s="5" t="s">
        <v>1540</v>
      </c>
      <c r="D1025" s="5" t="s">
        <v>1706</v>
      </c>
      <c r="E1025" s="5" t="s">
        <v>269</v>
      </c>
      <c r="F1025" s="5" t="str">
        <f t="shared" si="135"/>
        <v>Finance-Manager</v>
      </c>
      <c r="G1025" s="5" t="s">
        <v>270</v>
      </c>
      <c r="H1025" s="9">
        <v>45018.266469907408</v>
      </c>
      <c r="I1025" s="9">
        <v>45022.266469907408</v>
      </c>
      <c r="J1025" s="9" t="e">
        <f>I1025+#REF!</f>
        <v>#REF!</v>
      </c>
      <c r="K1025" s="9" t="e">
        <f>J1025+#REF!</f>
        <v>#REF!</v>
      </c>
      <c r="L1025" s="10" t="s">
        <v>41</v>
      </c>
      <c r="M1025" s="11">
        <v>45042.266469907408</v>
      </c>
      <c r="N1025" s="5" t="s">
        <v>64</v>
      </c>
      <c r="O1025" s="5"/>
      <c r="P1025" s="9">
        <v>45047.266469907408</v>
      </c>
      <c r="Q1025" s="5" t="s">
        <v>64</v>
      </c>
      <c r="R1025" s="9">
        <v>45044.266469907408</v>
      </c>
      <c r="S1025" s="9">
        <v>45048.266469907408</v>
      </c>
      <c r="T1025" s="9">
        <v>45045.266469907408</v>
      </c>
      <c r="U1025" s="9">
        <v>45055.266469907408</v>
      </c>
      <c r="V1025" s="12">
        <v>1</v>
      </c>
      <c r="W1025" s="9">
        <v>45058.266469907408</v>
      </c>
      <c r="X1025" s="9">
        <v>45060.266469907408</v>
      </c>
      <c r="Y1025" s="9">
        <v>45062.266469907408</v>
      </c>
      <c r="Z1025" s="5"/>
      <c r="AA1025" s="5"/>
      <c r="AB1025" s="13">
        <v>45075.266469907408</v>
      </c>
      <c r="AC1025">
        <f t="shared" si="136"/>
        <v>20</v>
      </c>
      <c r="AD1025">
        <f t="shared" si="137"/>
        <v>26</v>
      </c>
      <c r="AE1025">
        <f t="shared" si="138"/>
        <v>3</v>
      </c>
      <c r="AF1025">
        <f t="shared" si="139"/>
        <v>5</v>
      </c>
      <c r="AG1025">
        <f t="shared" si="140"/>
        <v>3</v>
      </c>
      <c r="AH1025">
        <f t="shared" si="141"/>
        <v>4</v>
      </c>
      <c r="AI1025" t="str">
        <f t="shared" si="142"/>
        <v/>
      </c>
      <c r="AJ1025" t="str">
        <f t="shared" si="143"/>
        <v/>
      </c>
    </row>
    <row r="1026" spans="1:36">
      <c r="A1026" s="5">
        <v>1114</v>
      </c>
      <c r="B1026" s="5" t="s">
        <v>2048</v>
      </c>
      <c r="C1026" s="5" t="s">
        <v>1540</v>
      </c>
      <c r="D1026" s="5" t="s">
        <v>1985</v>
      </c>
      <c r="E1026" s="5" t="s">
        <v>1862</v>
      </c>
      <c r="F1026" s="5" t="str">
        <f t="shared" ref="F1026:F1089" si="144">_xlfn.CONCAT(C1026,"-",E1026)</f>
        <v>Finance-Billing Officer</v>
      </c>
      <c r="G1026" s="5" t="s">
        <v>47</v>
      </c>
      <c r="H1026" s="9">
        <v>45021.266469907408</v>
      </c>
      <c r="I1026" s="9">
        <v>45022.266469907408</v>
      </c>
      <c r="J1026" s="9" t="e">
        <f>I1026+#REF!</f>
        <v>#REF!</v>
      </c>
      <c r="K1026" s="9" t="e">
        <f>J1026+#REF!</f>
        <v>#REF!</v>
      </c>
      <c r="L1026" s="10" t="s">
        <v>52</v>
      </c>
      <c r="M1026" s="11"/>
      <c r="N1026" s="5"/>
      <c r="O1026" s="5"/>
      <c r="P1026" s="9"/>
      <c r="Q1026" s="5"/>
      <c r="R1026" s="5"/>
      <c r="S1026" s="5"/>
      <c r="T1026" s="9"/>
      <c r="U1026" s="5"/>
      <c r="V1026" s="5">
        <v>0</v>
      </c>
      <c r="W1026" s="5"/>
      <c r="X1026" s="5"/>
      <c r="Y1026" s="5"/>
      <c r="Z1026" s="5"/>
      <c r="AA1026" s="5"/>
      <c r="AC1026" t="str">
        <f t="shared" ref="AC1026:AC1089" si="145">IF(AND(ISNUMBER(M1026), ISNUMBER(I1026)), M1026 - I1026, "")</f>
        <v/>
      </c>
      <c r="AD1026" t="str">
        <f t="shared" si="137"/>
        <v/>
      </c>
      <c r="AE1026" t="str">
        <f t="shared" si="138"/>
        <v/>
      </c>
      <c r="AF1026" t="str">
        <f t="shared" si="139"/>
        <v/>
      </c>
      <c r="AG1026" t="str">
        <f t="shared" si="140"/>
        <v/>
      </c>
      <c r="AH1026">
        <f t="shared" si="141"/>
        <v>1</v>
      </c>
      <c r="AI1026" t="str">
        <f t="shared" si="142"/>
        <v/>
      </c>
      <c r="AJ1026" t="str">
        <f t="shared" si="143"/>
        <v/>
      </c>
    </row>
    <row r="1027" spans="1:36">
      <c r="A1027" s="5">
        <v>1116</v>
      </c>
      <c r="B1027" s="5" t="s">
        <v>1660</v>
      </c>
      <c r="C1027" s="5" t="s">
        <v>1540</v>
      </c>
      <c r="D1027" s="5" t="s">
        <v>1588</v>
      </c>
      <c r="E1027" s="5" t="s">
        <v>1360</v>
      </c>
      <c r="F1027" s="5" t="str">
        <f t="shared" si="144"/>
        <v>Finance-Fund Administrator</v>
      </c>
      <c r="G1027" s="5" t="s">
        <v>147</v>
      </c>
      <c r="H1027" s="9">
        <v>45023.266469907408</v>
      </c>
      <c r="I1027" s="9">
        <v>45024.266469907408</v>
      </c>
      <c r="J1027" s="9" t="e">
        <f>I1027+#REF!</f>
        <v>#REF!</v>
      </c>
      <c r="K1027" s="9" t="e">
        <f>J1027+#REF!</f>
        <v>#REF!</v>
      </c>
      <c r="L1027" s="10" t="s">
        <v>41</v>
      </c>
      <c r="M1027" s="11">
        <v>45036.266469907408</v>
      </c>
      <c r="N1027" s="5" t="s">
        <v>42</v>
      </c>
      <c r="O1027" s="5" t="s">
        <v>73</v>
      </c>
      <c r="P1027" s="9"/>
      <c r="Q1027" s="5"/>
      <c r="R1027" s="5"/>
      <c r="S1027" s="5"/>
      <c r="T1027" s="9"/>
      <c r="U1027" s="5"/>
      <c r="V1027" s="5">
        <v>0</v>
      </c>
      <c r="W1027" s="5"/>
      <c r="X1027" s="5"/>
      <c r="Y1027" s="5"/>
      <c r="Z1027" s="5"/>
      <c r="AA1027" s="5" t="s">
        <v>62</v>
      </c>
      <c r="AC1027">
        <f t="shared" si="145"/>
        <v>12</v>
      </c>
      <c r="AD1027" t="str">
        <f t="shared" ref="AD1027:AD1090" si="146">IF(AND(ISNUMBER(S1027), ISNUMBER(I1027)), S1027 - I1027, "")</f>
        <v/>
      </c>
      <c r="AE1027" t="str">
        <f t="shared" ref="AE1027:AE1090" si="147">IF(AND(ISNUMBER(T1027), ISNUMBER(M1027)), T1027-M1027, "")</f>
        <v/>
      </c>
      <c r="AF1027" t="str">
        <f t="shared" ref="AF1027:AF1090" si="148">IF(AND(ISNUMBER(X1027), ISNUMBER(U1027)), X1027-U1027,"")</f>
        <v/>
      </c>
      <c r="AG1027" t="str">
        <f t="shared" ref="AG1027:AG1090" si="149">IF(AND(ISNUMBER(W1027), ISNUMBER(U1027)), W1027-U1027, "")</f>
        <v/>
      </c>
      <c r="AH1027">
        <f t="shared" ref="AH1027:AH1090" si="150">IF(AND(ISNUMBER(I1027), ISNUMBER(H1027)), I1027-H1027,"")</f>
        <v>1</v>
      </c>
      <c r="AI1027" t="str">
        <f t="shared" ref="AI1027:AI1090" si="151">IF(AND(ISNUMBER(J1027),ISNUMBER(K1027)),K1027-J1027,"")</f>
        <v/>
      </c>
      <c r="AJ1027" t="str">
        <f t="shared" ref="AJ1027:AJ1090" si="152">IF(AND(ISNUMBER(J1027),ISNUMBER(I1027)), J1027-I1027,"")</f>
        <v/>
      </c>
    </row>
    <row r="1028" spans="1:36">
      <c r="A1028" s="5">
        <v>1118</v>
      </c>
      <c r="B1028" s="5" t="s">
        <v>1775</v>
      </c>
      <c r="C1028" s="5" t="s">
        <v>1540</v>
      </c>
      <c r="D1028" s="5" t="s">
        <v>1706</v>
      </c>
      <c r="E1028" s="5" t="s">
        <v>269</v>
      </c>
      <c r="F1028" s="5" t="str">
        <f t="shared" si="144"/>
        <v>Finance-Manager</v>
      </c>
      <c r="G1028" s="5" t="s">
        <v>270</v>
      </c>
      <c r="H1028" s="9">
        <v>45020.266469907408</v>
      </c>
      <c r="I1028" s="9">
        <v>45023.266469907408</v>
      </c>
      <c r="J1028" s="9" t="e">
        <f>I1028+#REF!</f>
        <v>#REF!</v>
      </c>
      <c r="K1028" s="9" t="e">
        <f>J1028+#REF!</f>
        <v>#REF!</v>
      </c>
      <c r="L1028" s="10" t="s">
        <v>41</v>
      </c>
      <c r="M1028" s="11">
        <v>45032.266469907408</v>
      </c>
      <c r="N1028" s="5" t="s">
        <v>48</v>
      </c>
      <c r="O1028" s="5"/>
      <c r="P1028" s="9">
        <v>45037.266469907408</v>
      </c>
      <c r="Q1028" s="5" t="s">
        <v>48</v>
      </c>
      <c r="R1028" s="5"/>
      <c r="S1028" s="5"/>
      <c r="T1028" s="9">
        <v>45033.266469907408</v>
      </c>
      <c r="U1028" s="5"/>
      <c r="V1028" s="5">
        <v>0</v>
      </c>
      <c r="W1028" s="5"/>
      <c r="X1028" s="5"/>
      <c r="Y1028" s="5"/>
      <c r="Z1028" s="5"/>
      <c r="AA1028" s="5"/>
      <c r="AC1028">
        <f t="shared" si="145"/>
        <v>9</v>
      </c>
      <c r="AD1028" t="str">
        <f t="shared" si="146"/>
        <v/>
      </c>
      <c r="AE1028">
        <f t="shared" si="147"/>
        <v>1</v>
      </c>
      <c r="AF1028" t="str">
        <f t="shared" si="148"/>
        <v/>
      </c>
      <c r="AG1028" t="str">
        <f t="shared" si="149"/>
        <v/>
      </c>
      <c r="AH1028">
        <f t="shared" si="150"/>
        <v>3</v>
      </c>
      <c r="AI1028" t="str">
        <f t="shared" si="151"/>
        <v/>
      </c>
      <c r="AJ1028" t="str">
        <f t="shared" si="152"/>
        <v/>
      </c>
    </row>
    <row r="1029" spans="1:36">
      <c r="A1029" s="5">
        <v>1119</v>
      </c>
      <c r="B1029" s="5" t="s">
        <v>2047</v>
      </c>
      <c r="C1029" s="5" t="s">
        <v>1540</v>
      </c>
      <c r="D1029" s="5" t="s">
        <v>1985</v>
      </c>
      <c r="E1029" s="5" t="s">
        <v>1862</v>
      </c>
      <c r="F1029" s="5" t="str">
        <f t="shared" si="144"/>
        <v>Finance-Billing Officer</v>
      </c>
      <c r="G1029" s="5" t="s">
        <v>47</v>
      </c>
      <c r="H1029" s="9">
        <v>45019.266469907408</v>
      </c>
      <c r="I1029" s="9">
        <v>45022.266469907408</v>
      </c>
      <c r="J1029" s="9" t="e">
        <f>I1029+#REF!</f>
        <v>#REF!</v>
      </c>
      <c r="K1029" s="9" t="e">
        <f>J1029+#REF!</f>
        <v>#REF!</v>
      </c>
      <c r="L1029" s="10" t="s">
        <v>52</v>
      </c>
      <c r="M1029" s="11"/>
      <c r="N1029" s="5"/>
      <c r="O1029" s="5"/>
      <c r="P1029" s="9"/>
      <c r="Q1029" s="5"/>
      <c r="R1029" s="5"/>
      <c r="S1029" s="5"/>
      <c r="T1029" s="9"/>
      <c r="U1029" s="5"/>
      <c r="V1029" s="5">
        <v>0</v>
      </c>
      <c r="W1029" s="5"/>
      <c r="X1029" s="5"/>
      <c r="Y1029" s="5"/>
      <c r="Z1029" s="5"/>
      <c r="AA1029" s="5"/>
      <c r="AC1029" t="str">
        <f t="shared" si="145"/>
        <v/>
      </c>
      <c r="AD1029" t="str">
        <f t="shared" si="146"/>
        <v/>
      </c>
      <c r="AE1029" t="str">
        <f t="shared" si="147"/>
        <v/>
      </c>
      <c r="AF1029" t="str">
        <f t="shared" si="148"/>
        <v/>
      </c>
      <c r="AG1029" t="str">
        <f t="shared" si="149"/>
        <v/>
      </c>
      <c r="AH1029">
        <f t="shared" si="150"/>
        <v>3</v>
      </c>
      <c r="AI1029" t="str">
        <f t="shared" si="151"/>
        <v/>
      </c>
      <c r="AJ1029" t="str">
        <f t="shared" si="152"/>
        <v/>
      </c>
    </row>
    <row r="1030" spans="1:36">
      <c r="A1030" s="5">
        <v>1120</v>
      </c>
      <c r="B1030" s="5" t="s">
        <v>1568</v>
      </c>
      <c r="C1030" s="5" t="s">
        <v>1540</v>
      </c>
      <c r="D1030" s="5" t="s">
        <v>1541</v>
      </c>
      <c r="E1030" s="5" t="s">
        <v>102</v>
      </c>
      <c r="F1030" s="5" t="str">
        <f t="shared" si="144"/>
        <v>Finance-Senior Manager</v>
      </c>
      <c r="G1030" s="5" t="s">
        <v>103</v>
      </c>
      <c r="H1030" s="9">
        <v>45019.266469907408</v>
      </c>
      <c r="I1030" s="9">
        <v>45023.266469907408</v>
      </c>
      <c r="J1030" s="9" t="e">
        <f>I1030+#REF!</f>
        <v>#REF!</v>
      </c>
      <c r="K1030" s="9" t="e">
        <f>J1030+#REF!</f>
        <v>#REF!</v>
      </c>
      <c r="L1030" s="10" t="s">
        <v>41</v>
      </c>
      <c r="M1030" s="11">
        <v>45036.266469907408</v>
      </c>
      <c r="N1030" s="5" t="s">
        <v>42</v>
      </c>
      <c r="O1030" s="5" t="s">
        <v>113</v>
      </c>
      <c r="P1030" s="9"/>
      <c r="Q1030" s="5"/>
      <c r="R1030" s="5"/>
      <c r="S1030" s="5"/>
      <c r="T1030" s="9">
        <v>45037.266469907408</v>
      </c>
      <c r="U1030" s="5"/>
      <c r="V1030" s="5">
        <v>0</v>
      </c>
      <c r="W1030" s="5"/>
      <c r="X1030" s="5"/>
      <c r="Y1030" s="5"/>
      <c r="Z1030" s="5"/>
      <c r="AA1030" s="5" t="s">
        <v>44</v>
      </c>
      <c r="AC1030">
        <f t="shared" si="145"/>
        <v>13</v>
      </c>
      <c r="AD1030" t="str">
        <f t="shared" si="146"/>
        <v/>
      </c>
      <c r="AE1030">
        <f t="shared" si="147"/>
        <v>1</v>
      </c>
      <c r="AF1030" t="str">
        <f t="shared" si="148"/>
        <v/>
      </c>
      <c r="AG1030" t="str">
        <f t="shared" si="149"/>
        <v/>
      </c>
      <c r="AH1030">
        <f t="shared" si="150"/>
        <v>4</v>
      </c>
      <c r="AI1030" t="str">
        <f t="shared" si="151"/>
        <v/>
      </c>
      <c r="AJ1030" t="str">
        <f t="shared" si="152"/>
        <v/>
      </c>
    </row>
    <row r="1031" spans="1:36">
      <c r="A1031" s="5">
        <v>1121</v>
      </c>
      <c r="B1031" s="5" t="s">
        <v>1246</v>
      </c>
      <c r="C1031" s="10" t="s">
        <v>1215</v>
      </c>
      <c r="D1031" s="5" t="s">
        <v>1216</v>
      </c>
      <c r="E1031" s="5" t="s">
        <v>269</v>
      </c>
      <c r="F1031" s="5" t="str">
        <f t="shared" si="144"/>
        <v>HR-Manager</v>
      </c>
      <c r="G1031" s="5" t="s">
        <v>270</v>
      </c>
      <c r="H1031" s="9">
        <v>45098.561550925922</v>
      </c>
      <c r="I1031" s="9">
        <v>45100.561550925922</v>
      </c>
      <c r="J1031" s="9" t="e">
        <f>I1031+#REF!</f>
        <v>#REF!</v>
      </c>
      <c r="K1031" s="9" t="e">
        <f>J1031+#REF!</f>
        <v>#REF!</v>
      </c>
      <c r="L1031" s="10" t="s">
        <v>41</v>
      </c>
      <c r="M1031" s="11">
        <v>45108.561550925922</v>
      </c>
      <c r="N1031" s="5" t="s">
        <v>42</v>
      </c>
      <c r="O1031" s="5" t="s">
        <v>113</v>
      </c>
      <c r="P1031" s="9"/>
      <c r="Q1031" s="5"/>
      <c r="R1031" s="5"/>
      <c r="S1031" s="5"/>
      <c r="T1031" s="9"/>
      <c r="U1031" s="5"/>
      <c r="V1031" s="5">
        <v>0</v>
      </c>
      <c r="W1031" s="5"/>
      <c r="X1031" s="5"/>
      <c r="Y1031" s="5"/>
      <c r="Z1031" s="5"/>
      <c r="AA1031" s="5" t="s">
        <v>44</v>
      </c>
      <c r="AC1031">
        <f t="shared" si="145"/>
        <v>8</v>
      </c>
      <c r="AD1031" t="str">
        <f t="shared" si="146"/>
        <v/>
      </c>
      <c r="AE1031" t="str">
        <f t="shared" si="147"/>
        <v/>
      </c>
      <c r="AF1031" t="str">
        <f t="shared" si="148"/>
        <v/>
      </c>
      <c r="AG1031" t="str">
        <f t="shared" si="149"/>
        <v/>
      </c>
      <c r="AH1031">
        <f t="shared" si="150"/>
        <v>2</v>
      </c>
      <c r="AI1031" t="str">
        <f t="shared" si="151"/>
        <v/>
      </c>
      <c r="AJ1031" t="str">
        <f t="shared" si="152"/>
        <v/>
      </c>
    </row>
    <row r="1032" spans="1:36">
      <c r="A1032" s="5">
        <v>1123</v>
      </c>
      <c r="B1032" s="5" t="s">
        <v>715</v>
      </c>
      <c r="C1032" s="10" t="s">
        <v>671</v>
      </c>
      <c r="D1032" s="5" t="s">
        <v>708</v>
      </c>
      <c r="E1032" s="5" t="s">
        <v>709</v>
      </c>
      <c r="F1032" s="5" t="str">
        <f t="shared" si="144"/>
        <v>Operations-Lead</v>
      </c>
      <c r="G1032" s="5" t="s">
        <v>56</v>
      </c>
      <c r="H1032" s="9">
        <v>45094.561550925922</v>
      </c>
      <c r="I1032" s="9">
        <v>45096.561550925922</v>
      </c>
      <c r="J1032" s="9" t="e">
        <f>I1032+#REF!</f>
        <v>#REF!</v>
      </c>
      <c r="K1032" s="9" t="e">
        <f>J1032+#REF!</f>
        <v>#REF!</v>
      </c>
      <c r="L1032" s="10" t="s">
        <v>52</v>
      </c>
      <c r="M1032" s="11"/>
      <c r="N1032" s="5"/>
      <c r="O1032" s="5"/>
      <c r="P1032" s="9"/>
      <c r="Q1032" s="5"/>
      <c r="R1032" s="5"/>
      <c r="S1032" s="5"/>
      <c r="T1032" s="9"/>
      <c r="U1032" s="5"/>
      <c r="V1032" s="5">
        <v>0</v>
      </c>
      <c r="W1032" s="5"/>
      <c r="X1032" s="5"/>
      <c r="Y1032" s="5"/>
      <c r="Z1032" s="5"/>
      <c r="AA1032" s="5"/>
      <c r="AC1032" t="str">
        <f t="shared" si="145"/>
        <v/>
      </c>
      <c r="AD1032" t="str">
        <f t="shared" si="146"/>
        <v/>
      </c>
      <c r="AE1032" t="str">
        <f t="shared" si="147"/>
        <v/>
      </c>
      <c r="AF1032" t="str">
        <f t="shared" si="148"/>
        <v/>
      </c>
      <c r="AG1032" t="str">
        <f t="shared" si="149"/>
        <v/>
      </c>
      <c r="AH1032">
        <f t="shared" si="150"/>
        <v>2</v>
      </c>
      <c r="AI1032" t="str">
        <f t="shared" si="151"/>
        <v/>
      </c>
      <c r="AJ1032" t="str">
        <f t="shared" si="152"/>
        <v/>
      </c>
    </row>
    <row r="1033" spans="1:36">
      <c r="A1033" s="5">
        <v>1124</v>
      </c>
      <c r="B1033" s="5" t="s">
        <v>1280</v>
      </c>
      <c r="C1033" s="10" t="s">
        <v>1215</v>
      </c>
      <c r="D1033" s="5" t="s">
        <v>1249</v>
      </c>
      <c r="E1033" s="5" t="s">
        <v>39</v>
      </c>
      <c r="F1033" s="5" t="str">
        <f t="shared" si="144"/>
        <v>HR-Analyst</v>
      </c>
      <c r="G1033" s="5" t="s">
        <v>40</v>
      </c>
      <c r="H1033" s="9">
        <v>45096.561550925922</v>
      </c>
      <c r="I1033" s="9">
        <v>45099.561550925922</v>
      </c>
      <c r="J1033" s="9" t="e">
        <f>I1033+#REF!</f>
        <v>#REF!</v>
      </c>
      <c r="K1033" s="9" t="e">
        <f>J1033+#REF!</f>
        <v>#REF!</v>
      </c>
      <c r="L1033" s="10" t="s">
        <v>41</v>
      </c>
      <c r="M1033" s="11">
        <v>45105.561550925922</v>
      </c>
      <c r="N1033" s="5" t="s">
        <v>42</v>
      </c>
      <c r="O1033" s="5" t="s">
        <v>43</v>
      </c>
      <c r="P1033" s="9"/>
      <c r="Q1033" s="5"/>
      <c r="R1033" s="5"/>
      <c r="S1033" s="5"/>
      <c r="T1033" s="9"/>
      <c r="U1033" s="5"/>
      <c r="V1033" s="5">
        <v>0</v>
      </c>
      <c r="W1033" s="5"/>
      <c r="X1033" s="5"/>
      <c r="Y1033" s="5"/>
      <c r="Z1033" s="5"/>
      <c r="AA1033" s="5" t="s">
        <v>62</v>
      </c>
      <c r="AC1033">
        <f t="shared" si="145"/>
        <v>6</v>
      </c>
      <c r="AD1033" t="str">
        <f t="shared" si="146"/>
        <v/>
      </c>
      <c r="AE1033" t="str">
        <f t="shared" si="147"/>
        <v/>
      </c>
      <c r="AF1033" t="str">
        <f t="shared" si="148"/>
        <v/>
      </c>
      <c r="AG1033" t="str">
        <f t="shared" si="149"/>
        <v/>
      </c>
      <c r="AH1033">
        <f t="shared" si="150"/>
        <v>3</v>
      </c>
      <c r="AI1033" t="str">
        <f t="shared" si="151"/>
        <v/>
      </c>
      <c r="AJ1033" t="str">
        <f t="shared" si="152"/>
        <v/>
      </c>
    </row>
    <row r="1034" spans="1:36">
      <c r="A1034" s="5">
        <v>1125</v>
      </c>
      <c r="B1034" s="5" t="s">
        <v>1279</v>
      </c>
      <c r="C1034" s="10" t="s">
        <v>1215</v>
      </c>
      <c r="D1034" s="5" t="s">
        <v>1249</v>
      </c>
      <c r="E1034" s="5" t="s">
        <v>1250</v>
      </c>
      <c r="F1034" s="5" t="str">
        <f t="shared" si="144"/>
        <v>HR-Screening Associate</v>
      </c>
      <c r="G1034" s="5" t="s">
        <v>40</v>
      </c>
      <c r="H1034" s="9">
        <v>45097.561550925922</v>
      </c>
      <c r="I1034" s="9">
        <v>45099.561550925922</v>
      </c>
      <c r="J1034" s="9" t="e">
        <f>I1034+#REF!</f>
        <v>#REF!</v>
      </c>
      <c r="K1034" s="9" t="e">
        <f>J1034+#REF!</f>
        <v>#REF!</v>
      </c>
      <c r="L1034" s="10" t="s">
        <v>41</v>
      </c>
      <c r="M1034" s="11">
        <v>45109.561550925922</v>
      </c>
      <c r="N1034" s="5" t="s">
        <v>64</v>
      </c>
      <c r="O1034" s="5"/>
      <c r="P1034" s="9">
        <v>45115.561550925922</v>
      </c>
      <c r="Q1034" s="5" t="s">
        <v>64</v>
      </c>
      <c r="R1034" s="9">
        <v>45110.561550925922</v>
      </c>
      <c r="S1034" s="9">
        <v>45113.561550925922</v>
      </c>
      <c r="T1034" s="9">
        <v>45112.561550925922</v>
      </c>
      <c r="U1034" s="9">
        <v>45114.561550925922</v>
      </c>
      <c r="V1034" s="12">
        <v>1</v>
      </c>
      <c r="W1034" s="9">
        <v>45116.561550925922</v>
      </c>
      <c r="X1034" s="9">
        <v>45118.561550925922</v>
      </c>
      <c r="Y1034" s="9">
        <v>45119.561550925922</v>
      </c>
      <c r="Z1034" s="5"/>
      <c r="AA1034" s="5"/>
      <c r="AB1034" s="13">
        <v>45135.561550925922</v>
      </c>
      <c r="AC1034">
        <f t="shared" si="145"/>
        <v>10</v>
      </c>
      <c r="AD1034">
        <f t="shared" si="146"/>
        <v>14</v>
      </c>
      <c r="AE1034">
        <f t="shared" si="147"/>
        <v>3</v>
      </c>
      <c r="AF1034">
        <f t="shared" si="148"/>
        <v>4</v>
      </c>
      <c r="AG1034">
        <f t="shared" si="149"/>
        <v>2</v>
      </c>
      <c r="AH1034">
        <f t="shared" si="150"/>
        <v>2</v>
      </c>
      <c r="AI1034" t="str">
        <f t="shared" si="151"/>
        <v/>
      </c>
      <c r="AJ1034" t="str">
        <f t="shared" si="152"/>
        <v/>
      </c>
    </row>
    <row r="1035" spans="1:36">
      <c r="A1035" s="5">
        <v>1128</v>
      </c>
      <c r="B1035" s="5" t="s">
        <v>1184</v>
      </c>
      <c r="C1035" s="10" t="s">
        <v>1122</v>
      </c>
      <c r="D1035" s="5" t="s">
        <v>1145</v>
      </c>
      <c r="E1035" s="5" t="s">
        <v>39</v>
      </c>
      <c r="F1035" s="5" t="str">
        <f t="shared" si="144"/>
        <v>IT-Analyst</v>
      </c>
      <c r="G1035" s="5" t="s">
        <v>147</v>
      </c>
      <c r="H1035" s="9">
        <v>45093.561550925922</v>
      </c>
      <c r="I1035" s="9">
        <v>45096.561550925922</v>
      </c>
      <c r="J1035" s="9" t="e">
        <f>I1035+#REF!</f>
        <v>#REF!</v>
      </c>
      <c r="K1035" s="9" t="e">
        <f>J1035+#REF!</f>
        <v>#REF!</v>
      </c>
      <c r="L1035" s="10" t="s">
        <v>41</v>
      </c>
      <c r="M1035" s="11">
        <v>45108.561550925922</v>
      </c>
      <c r="N1035" s="5" t="s">
        <v>48</v>
      </c>
      <c r="O1035" s="5"/>
      <c r="P1035" s="9">
        <v>45110.561550925922</v>
      </c>
      <c r="Q1035" s="5" t="s">
        <v>48</v>
      </c>
      <c r="R1035" s="5"/>
      <c r="S1035" s="5"/>
      <c r="T1035" s="9">
        <v>45109.561550925922</v>
      </c>
      <c r="U1035" s="5"/>
      <c r="V1035" s="5">
        <v>0</v>
      </c>
      <c r="W1035" s="5"/>
      <c r="X1035" s="5"/>
      <c r="Y1035" s="5"/>
      <c r="Z1035" s="5"/>
      <c r="AA1035" s="5"/>
      <c r="AC1035">
        <f t="shared" si="145"/>
        <v>12</v>
      </c>
      <c r="AD1035" t="str">
        <f t="shared" si="146"/>
        <v/>
      </c>
      <c r="AE1035">
        <f t="shared" si="147"/>
        <v>1</v>
      </c>
      <c r="AF1035" t="str">
        <f t="shared" si="148"/>
        <v/>
      </c>
      <c r="AG1035" t="str">
        <f t="shared" si="149"/>
        <v/>
      </c>
      <c r="AH1035">
        <f t="shared" si="150"/>
        <v>3</v>
      </c>
      <c r="AI1035" t="str">
        <f t="shared" si="151"/>
        <v/>
      </c>
      <c r="AJ1035" t="str">
        <f t="shared" si="152"/>
        <v/>
      </c>
    </row>
    <row r="1036" spans="1:36">
      <c r="A1036" s="5">
        <v>1129</v>
      </c>
      <c r="B1036" s="5" t="s">
        <v>689</v>
      </c>
      <c r="C1036" s="10" t="s">
        <v>671</v>
      </c>
      <c r="D1036" s="5" t="s">
        <v>672</v>
      </c>
      <c r="E1036" s="5" t="s">
        <v>597</v>
      </c>
      <c r="F1036" s="5" t="str">
        <f t="shared" si="144"/>
        <v>Operations-Business Partner</v>
      </c>
      <c r="G1036" s="5" t="s">
        <v>40</v>
      </c>
      <c r="H1036" s="9">
        <v>45095.561550925922</v>
      </c>
      <c r="I1036" s="9">
        <v>45097.561550925922</v>
      </c>
      <c r="J1036" s="9" t="e">
        <f>I1036+#REF!</f>
        <v>#REF!</v>
      </c>
      <c r="K1036" s="9" t="e">
        <f>J1036+#REF!</f>
        <v>#REF!</v>
      </c>
      <c r="L1036" s="10" t="s">
        <v>52</v>
      </c>
      <c r="M1036" s="11"/>
      <c r="N1036" s="5"/>
      <c r="O1036" s="5"/>
      <c r="P1036" s="9"/>
      <c r="Q1036" s="5"/>
      <c r="R1036" s="5"/>
      <c r="S1036" s="5"/>
      <c r="T1036" s="9"/>
      <c r="U1036" s="5"/>
      <c r="V1036" s="5">
        <v>0</v>
      </c>
      <c r="W1036" s="5"/>
      <c r="X1036" s="5"/>
      <c r="Y1036" s="5"/>
      <c r="Z1036" s="5"/>
      <c r="AA1036" s="5"/>
      <c r="AC1036" t="str">
        <f t="shared" si="145"/>
        <v/>
      </c>
      <c r="AD1036" t="str">
        <f t="shared" si="146"/>
        <v/>
      </c>
      <c r="AE1036" t="str">
        <f t="shared" si="147"/>
        <v/>
      </c>
      <c r="AF1036" t="str">
        <f t="shared" si="148"/>
        <v/>
      </c>
      <c r="AG1036" t="str">
        <f t="shared" si="149"/>
        <v/>
      </c>
      <c r="AH1036">
        <f t="shared" si="150"/>
        <v>2</v>
      </c>
      <c r="AI1036" t="str">
        <f t="shared" si="151"/>
        <v/>
      </c>
      <c r="AJ1036" t="str">
        <f t="shared" si="152"/>
        <v/>
      </c>
    </row>
    <row r="1037" spans="1:36">
      <c r="A1037" s="5">
        <v>1130</v>
      </c>
      <c r="B1037" s="5" t="s">
        <v>714</v>
      </c>
      <c r="C1037" s="10" t="s">
        <v>671</v>
      </c>
      <c r="D1037" s="5" t="s">
        <v>708</v>
      </c>
      <c r="E1037" s="5" t="s">
        <v>709</v>
      </c>
      <c r="F1037" s="5" t="str">
        <f t="shared" si="144"/>
        <v>Operations-Lead</v>
      </c>
      <c r="G1037" s="5" t="s">
        <v>56</v>
      </c>
      <c r="H1037" s="9">
        <v>45094.561550925922</v>
      </c>
      <c r="I1037" s="9">
        <v>45098.561550925922</v>
      </c>
      <c r="J1037" s="9" t="e">
        <f>I1037+#REF!</f>
        <v>#REF!</v>
      </c>
      <c r="K1037" s="9" t="e">
        <f>J1037+#REF!</f>
        <v>#REF!</v>
      </c>
      <c r="L1037" s="10" t="s">
        <v>52</v>
      </c>
      <c r="M1037" s="11"/>
      <c r="N1037" s="5"/>
      <c r="O1037" s="5"/>
      <c r="P1037" s="9"/>
      <c r="Q1037" s="5"/>
      <c r="R1037" s="5"/>
      <c r="S1037" s="5"/>
      <c r="T1037" s="9"/>
      <c r="U1037" s="5"/>
      <c r="V1037" s="5">
        <v>0</v>
      </c>
      <c r="W1037" s="5"/>
      <c r="X1037" s="5"/>
      <c r="Y1037" s="5"/>
      <c r="Z1037" s="5"/>
      <c r="AA1037" s="5"/>
      <c r="AC1037" t="str">
        <f t="shared" si="145"/>
        <v/>
      </c>
      <c r="AD1037" t="str">
        <f t="shared" si="146"/>
        <v/>
      </c>
      <c r="AE1037" t="str">
        <f t="shared" si="147"/>
        <v/>
      </c>
      <c r="AF1037" t="str">
        <f t="shared" si="148"/>
        <v/>
      </c>
      <c r="AG1037" t="str">
        <f t="shared" si="149"/>
        <v/>
      </c>
      <c r="AH1037">
        <f t="shared" si="150"/>
        <v>4</v>
      </c>
      <c r="AI1037" t="str">
        <f t="shared" si="151"/>
        <v/>
      </c>
      <c r="AJ1037" t="str">
        <f t="shared" si="152"/>
        <v/>
      </c>
    </row>
    <row r="1038" spans="1:36">
      <c r="A1038" s="5">
        <v>1131</v>
      </c>
      <c r="B1038" s="5" t="s">
        <v>2131</v>
      </c>
      <c r="C1038" s="10" t="s">
        <v>2089</v>
      </c>
      <c r="D1038" s="5" t="s">
        <v>2114</v>
      </c>
      <c r="E1038" s="5" t="s">
        <v>388</v>
      </c>
      <c r="F1038" s="5" t="str">
        <f t="shared" si="144"/>
        <v>Communication and Advocacy-Extension Officer</v>
      </c>
      <c r="G1038" s="5" t="s">
        <v>147</v>
      </c>
      <c r="H1038" s="9">
        <v>44636.796018518522</v>
      </c>
      <c r="I1038" s="9">
        <v>44637.796018518522</v>
      </c>
      <c r="J1038" s="9" t="e">
        <f>I1038+#REF!</f>
        <v>#REF!</v>
      </c>
      <c r="K1038" s="9" t="e">
        <f>J1038+#REF!</f>
        <v>#REF!</v>
      </c>
      <c r="L1038" s="10" t="s">
        <v>52</v>
      </c>
      <c r="M1038" s="11"/>
      <c r="N1038" s="5"/>
      <c r="O1038" s="5"/>
      <c r="P1038" s="9"/>
      <c r="Q1038" s="5"/>
      <c r="R1038" s="5"/>
      <c r="S1038" s="5"/>
      <c r="T1038" s="9"/>
      <c r="U1038" s="5"/>
      <c r="V1038" s="5">
        <v>0</v>
      </c>
      <c r="W1038" s="5"/>
      <c r="X1038" s="5"/>
      <c r="Y1038" s="5"/>
      <c r="Z1038" s="5"/>
      <c r="AA1038" s="5"/>
      <c r="AC1038" t="str">
        <f t="shared" si="145"/>
        <v/>
      </c>
      <c r="AD1038" t="str">
        <f t="shared" si="146"/>
        <v/>
      </c>
      <c r="AE1038" t="str">
        <f t="shared" si="147"/>
        <v/>
      </c>
      <c r="AF1038" t="str">
        <f t="shared" si="148"/>
        <v/>
      </c>
      <c r="AG1038" t="str">
        <f t="shared" si="149"/>
        <v/>
      </c>
      <c r="AH1038">
        <f t="shared" si="150"/>
        <v>1</v>
      </c>
      <c r="AI1038" t="str">
        <f t="shared" si="151"/>
        <v/>
      </c>
      <c r="AJ1038" t="str">
        <f t="shared" si="152"/>
        <v/>
      </c>
    </row>
    <row r="1039" spans="1:36">
      <c r="A1039" s="5">
        <v>1132</v>
      </c>
      <c r="B1039" s="5" t="s">
        <v>1325</v>
      </c>
      <c r="C1039" s="10" t="s">
        <v>1215</v>
      </c>
      <c r="D1039" s="5" t="s">
        <v>1287</v>
      </c>
      <c r="E1039" s="5" t="s">
        <v>597</v>
      </c>
      <c r="F1039" s="5" t="str">
        <f t="shared" si="144"/>
        <v>HR-Business Partner</v>
      </c>
      <c r="G1039" s="5" t="s">
        <v>47</v>
      </c>
      <c r="H1039" s="9">
        <v>44635.796018518522</v>
      </c>
      <c r="I1039" s="9">
        <v>44637.796018518522</v>
      </c>
      <c r="J1039" s="9" t="e">
        <f>I1039+#REF!</f>
        <v>#REF!</v>
      </c>
      <c r="K1039" s="9" t="e">
        <f>J1039+#REF!</f>
        <v>#REF!</v>
      </c>
      <c r="L1039" s="10" t="s">
        <v>41</v>
      </c>
      <c r="M1039" s="11">
        <v>44656.796018518522</v>
      </c>
      <c r="N1039" s="5" t="s">
        <v>64</v>
      </c>
      <c r="O1039" s="5"/>
      <c r="P1039" s="9">
        <v>44660.796018518522</v>
      </c>
      <c r="Q1039" s="5" t="s">
        <v>64</v>
      </c>
      <c r="R1039" s="9">
        <v>44658.796018518522</v>
      </c>
      <c r="S1039" s="9">
        <v>44662.796018518522</v>
      </c>
      <c r="T1039" s="9">
        <v>44657.796018518522</v>
      </c>
      <c r="U1039" s="9">
        <v>44667.796018518522</v>
      </c>
      <c r="V1039" s="12">
        <v>1</v>
      </c>
      <c r="W1039" s="9">
        <v>44669.796018518522</v>
      </c>
      <c r="X1039" s="9">
        <v>44671.796018518522</v>
      </c>
      <c r="Y1039" s="9">
        <v>44674.796018518522</v>
      </c>
      <c r="Z1039" s="5"/>
      <c r="AA1039" s="5"/>
      <c r="AB1039" s="13">
        <v>44686.796018518522</v>
      </c>
      <c r="AC1039">
        <f t="shared" si="145"/>
        <v>19</v>
      </c>
      <c r="AD1039">
        <f t="shared" si="146"/>
        <v>25</v>
      </c>
      <c r="AE1039">
        <f t="shared" si="147"/>
        <v>1</v>
      </c>
      <c r="AF1039">
        <f t="shared" si="148"/>
        <v>4</v>
      </c>
      <c r="AG1039">
        <f t="shared" si="149"/>
        <v>2</v>
      </c>
      <c r="AH1039">
        <f t="shared" si="150"/>
        <v>2</v>
      </c>
      <c r="AI1039" t="str">
        <f t="shared" si="151"/>
        <v/>
      </c>
      <c r="AJ1039" t="str">
        <f t="shared" si="152"/>
        <v/>
      </c>
    </row>
    <row r="1040" spans="1:36">
      <c r="A1040" s="5">
        <v>1133</v>
      </c>
      <c r="B1040" s="5" t="s">
        <v>1278</v>
      </c>
      <c r="C1040" s="10" t="s">
        <v>1215</v>
      </c>
      <c r="D1040" s="5" t="s">
        <v>1249</v>
      </c>
      <c r="E1040" s="5" t="s">
        <v>1250</v>
      </c>
      <c r="F1040" s="5" t="str">
        <f t="shared" si="144"/>
        <v>HR-Screening Associate</v>
      </c>
      <c r="G1040" s="5" t="s">
        <v>40</v>
      </c>
      <c r="H1040" s="9">
        <v>44634.796018518522</v>
      </c>
      <c r="I1040" s="9">
        <v>44636.796018518522</v>
      </c>
      <c r="J1040" s="9" t="e">
        <f>I1040+#REF!</f>
        <v>#REF!</v>
      </c>
      <c r="K1040" s="9" t="e">
        <f>J1040+#REF!</f>
        <v>#REF!</v>
      </c>
      <c r="L1040" s="10" t="s">
        <v>41</v>
      </c>
      <c r="M1040" s="11">
        <v>44649.796018518522</v>
      </c>
      <c r="N1040" s="5" t="s">
        <v>48</v>
      </c>
      <c r="O1040" s="5"/>
      <c r="P1040" s="9">
        <v>44653.796018518522</v>
      </c>
      <c r="Q1040" s="5" t="s">
        <v>48</v>
      </c>
      <c r="R1040" s="5"/>
      <c r="S1040" s="5"/>
      <c r="T1040" s="9">
        <v>44652.796018518522</v>
      </c>
      <c r="U1040" s="5"/>
      <c r="V1040" s="5">
        <v>0</v>
      </c>
      <c r="W1040" s="5"/>
      <c r="X1040" s="5"/>
      <c r="Y1040" s="5"/>
      <c r="Z1040" s="5"/>
      <c r="AA1040" s="5"/>
      <c r="AC1040">
        <f t="shared" si="145"/>
        <v>13</v>
      </c>
      <c r="AD1040" t="str">
        <f t="shared" si="146"/>
        <v/>
      </c>
      <c r="AE1040">
        <f t="shared" si="147"/>
        <v>3</v>
      </c>
      <c r="AF1040" t="str">
        <f t="shared" si="148"/>
        <v/>
      </c>
      <c r="AG1040" t="str">
        <f t="shared" si="149"/>
        <v/>
      </c>
      <c r="AH1040">
        <f t="shared" si="150"/>
        <v>2</v>
      </c>
      <c r="AI1040" t="str">
        <f t="shared" si="151"/>
        <v/>
      </c>
      <c r="AJ1040" t="str">
        <f t="shared" si="152"/>
        <v/>
      </c>
    </row>
    <row r="1041" spans="1:36">
      <c r="A1041" s="5">
        <v>1135</v>
      </c>
      <c r="B1041" s="5" t="s">
        <v>1183</v>
      </c>
      <c r="C1041" s="10" t="s">
        <v>1122</v>
      </c>
      <c r="D1041" s="5" t="s">
        <v>1145</v>
      </c>
      <c r="E1041" s="5" t="s">
        <v>39</v>
      </c>
      <c r="F1041" s="5" t="str">
        <f t="shared" si="144"/>
        <v>IT-Analyst</v>
      </c>
      <c r="G1041" s="5" t="s">
        <v>147</v>
      </c>
      <c r="H1041" s="9">
        <v>44635.796018518522</v>
      </c>
      <c r="I1041" s="9">
        <v>44638.796018518522</v>
      </c>
      <c r="J1041" s="9" t="e">
        <f>I1041+#REF!</f>
        <v>#REF!</v>
      </c>
      <c r="K1041" s="9" t="e">
        <f>J1041+#REF!</f>
        <v>#REF!</v>
      </c>
      <c r="L1041" s="10" t="s">
        <v>41</v>
      </c>
      <c r="M1041" s="11">
        <v>44651.796018518522</v>
      </c>
      <c r="N1041" s="5" t="s">
        <v>48</v>
      </c>
      <c r="O1041" s="5"/>
      <c r="P1041" s="9">
        <v>44653.796018518522</v>
      </c>
      <c r="Q1041" s="5" t="s">
        <v>48</v>
      </c>
      <c r="R1041" s="5"/>
      <c r="S1041" s="5"/>
      <c r="T1041" s="9">
        <v>44652.796018518522</v>
      </c>
      <c r="U1041" s="5"/>
      <c r="V1041" s="5">
        <v>0</v>
      </c>
      <c r="W1041" s="5"/>
      <c r="X1041" s="5"/>
      <c r="Y1041" s="5"/>
      <c r="Z1041" s="5"/>
      <c r="AA1041" s="5"/>
      <c r="AC1041">
        <f t="shared" si="145"/>
        <v>13</v>
      </c>
      <c r="AD1041" t="str">
        <f t="shared" si="146"/>
        <v/>
      </c>
      <c r="AE1041">
        <f t="shared" si="147"/>
        <v>1</v>
      </c>
      <c r="AF1041" t="str">
        <f t="shared" si="148"/>
        <v/>
      </c>
      <c r="AG1041" t="str">
        <f t="shared" si="149"/>
        <v/>
      </c>
      <c r="AH1041">
        <f t="shared" si="150"/>
        <v>3</v>
      </c>
      <c r="AI1041" t="str">
        <f t="shared" si="151"/>
        <v/>
      </c>
      <c r="AJ1041" t="str">
        <f t="shared" si="152"/>
        <v/>
      </c>
    </row>
    <row r="1042" spans="1:36">
      <c r="A1042" s="5">
        <v>1137</v>
      </c>
      <c r="B1042" s="5" t="s">
        <v>1277</v>
      </c>
      <c r="C1042" s="10" t="s">
        <v>1215</v>
      </c>
      <c r="D1042" s="5" t="s">
        <v>1249</v>
      </c>
      <c r="E1042" s="5" t="s">
        <v>1250</v>
      </c>
      <c r="F1042" s="5" t="str">
        <f t="shared" si="144"/>
        <v>HR-Screening Associate</v>
      </c>
      <c r="G1042" s="5" t="s">
        <v>40</v>
      </c>
      <c r="H1042" s="9">
        <v>44635.796018518522</v>
      </c>
      <c r="I1042" s="9">
        <v>44637.796018518522</v>
      </c>
      <c r="J1042" s="9" t="e">
        <f>I1042+#REF!</f>
        <v>#REF!</v>
      </c>
      <c r="K1042" s="9" t="e">
        <f>J1042+#REF!</f>
        <v>#REF!</v>
      </c>
      <c r="L1042" s="10" t="s">
        <v>41</v>
      </c>
      <c r="M1042" s="11">
        <v>44647.796018518522</v>
      </c>
      <c r="N1042" s="5" t="s">
        <v>48</v>
      </c>
      <c r="O1042" s="5"/>
      <c r="P1042" s="9">
        <v>44650.796018518522</v>
      </c>
      <c r="Q1042" s="5" t="s">
        <v>48</v>
      </c>
      <c r="R1042" s="5"/>
      <c r="S1042" s="5"/>
      <c r="T1042" s="9">
        <v>44649.796018518522</v>
      </c>
      <c r="U1042" s="5"/>
      <c r="V1042" s="5">
        <v>0</v>
      </c>
      <c r="W1042" s="5"/>
      <c r="X1042" s="5"/>
      <c r="Y1042" s="5"/>
      <c r="Z1042" s="5"/>
      <c r="AA1042" s="5"/>
      <c r="AC1042">
        <f t="shared" si="145"/>
        <v>10</v>
      </c>
      <c r="AD1042" t="str">
        <f t="shared" si="146"/>
        <v/>
      </c>
      <c r="AE1042">
        <f t="shared" si="147"/>
        <v>2</v>
      </c>
      <c r="AF1042" t="str">
        <f t="shared" si="148"/>
        <v/>
      </c>
      <c r="AG1042" t="str">
        <f t="shared" si="149"/>
        <v/>
      </c>
      <c r="AH1042">
        <f t="shared" si="150"/>
        <v>2</v>
      </c>
      <c r="AI1042" t="str">
        <f t="shared" si="151"/>
        <v/>
      </c>
      <c r="AJ1042" t="str">
        <f t="shared" si="152"/>
        <v/>
      </c>
    </row>
    <row r="1043" spans="1:36">
      <c r="A1043" s="5">
        <v>1139</v>
      </c>
      <c r="B1043" s="5" t="s">
        <v>757</v>
      </c>
      <c r="C1043" s="10" t="s">
        <v>671</v>
      </c>
      <c r="D1043" s="5" t="s">
        <v>747</v>
      </c>
      <c r="E1043" s="5" t="s">
        <v>55</v>
      </c>
      <c r="F1043" s="5" t="str">
        <f t="shared" si="144"/>
        <v>Operations-Director</v>
      </c>
      <c r="G1043" s="5" t="s">
        <v>47</v>
      </c>
      <c r="H1043" s="9">
        <v>44634.796018518522</v>
      </c>
      <c r="I1043" s="9">
        <v>44636.796018518522</v>
      </c>
      <c r="J1043" s="9" t="e">
        <f>I1043+#REF!</f>
        <v>#REF!</v>
      </c>
      <c r="K1043" s="9" t="e">
        <f>J1043+#REF!</f>
        <v>#REF!</v>
      </c>
      <c r="L1043" s="10" t="s">
        <v>52</v>
      </c>
      <c r="M1043" s="11"/>
      <c r="N1043" s="5"/>
      <c r="O1043" s="5"/>
      <c r="P1043" s="9"/>
      <c r="Q1043" s="5"/>
      <c r="R1043" s="5"/>
      <c r="S1043" s="5"/>
      <c r="T1043" s="9"/>
      <c r="U1043" s="5"/>
      <c r="V1043" s="5">
        <v>0</v>
      </c>
      <c r="W1043" s="5"/>
      <c r="X1043" s="5"/>
      <c r="Y1043" s="5"/>
      <c r="Z1043" s="5"/>
      <c r="AA1043" s="5"/>
      <c r="AC1043" t="str">
        <f t="shared" si="145"/>
        <v/>
      </c>
      <c r="AD1043" t="str">
        <f t="shared" si="146"/>
        <v/>
      </c>
      <c r="AE1043" t="str">
        <f t="shared" si="147"/>
        <v/>
      </c>
      <c r="AF1043" t="str">
        <f t="shared" si="148"/>
        <v/>
      </c>
      <c r="AG1043" t="str">
        <f t="shared" si="149"/>
        <v/>
      </c>
      <c r="AH1043">
        <f t="shared" si="150"/>
        <v>2</v>
      </c>
      <c r="AI1043" t="str">
        <f t="shared" si="151"/>
        <v/>
      </c>
      <c r="AJ1043" t="str">
        <f t="shared" si="152"/>
        <v/>
      </c>
    </row>
    <row r="1044" spans="1:36">
      <c r="A1044" s="5">
        <v>1141</v>
      </c>
      <c r="B1044" s="5" t="s">
        <v>1659</v>
      </c>
      <c r="C1044" s="5" t="s">
        <v>1540</v>
      </c>
      <c r="D1044" s="5" t="s">
        <v>1588</v>
      </c>
      <c r="E1044" s="5" t="s">
        <v>1360</v>
      </c>
      <c r="F1044" s="5" t="str">
        <f t="shared" si="144"/>
        <v>Finance-Fund Administrator</v>
      </c>
      <c r="G1044" s="5" t="s">
        <v>147</v>
      </c>
      <c r="H1044" s="9">
        <v>45145.067280092589</v>
      </c>
      <c r="I1044" s="9">
        <v>45146.067280092589</v>
      </c>
      <c r="J1044" s="9" t="e">
        <f>I1044+#REF!</f>
        <v>#REF!</v>
      </c>
      <c r="K1044" s="9" t="e">
        <f>J1044+#REF!</f>
        <v>#REF!</v>
      </c>
      <c r="L1044" s="10" t="s">
        <v>52</v>
      </c>
      <c r="M1044" s="11"/>
      <c r="N1044" s="5"/>
      <c r="O1044" s="5"/>
      <c r="P1044" s="9"/>
      <c r="Q1044" s="5"/>
      <c r="R1044" s="5"/>
      <c r="S1044" s="5"/>
      <c r="T1044" s="9"/>
      <c r="U1044" s="5"/>
      <c r="V1044" s="5">
        <v>0</v>
      </c>
      <c r="W1044" s="5"/>
      <c r="X1044" s="5"/>
      <c r="Y1044" s="5"/>
      <c r="Z1044" s="5"/>
      <c r="AA1044" s="5"/>
      <c r="AC1044" t="str">
        <f t="shared" si="145"/>
        <v/>
      </c>
      <c r="AD1044" t="str">
        <f t="shared" si="146"/>
        <v/>
      </c>
      <c r="AE1044" t="str">
        <f t="shared" si="147"/>
        <v/>
      </c>
      <c r="AF1044" t="str">
        <f t="shared" si="148"/>
        <v/>
      </c>
      <c r="AG1044" t="str">
        <f t="shared" si="149"/>
        <v/>
      </c>
      <c r="AH1044">
        <f t="shared" si="150"/>
        <v>1</v>
      </c>
      <c r="AI1044" t="str">
        <f t="shared" si="151"/>
        <v/>
      </c>
      <c r="AJ1044" t="str">
        <f t="shared" si="152"/>
        <v/>
      </c>
    </row>
    <row r="1045" spans="1:36">
      <c r="A1045" s="5">
        <v>1142</v>
      </c>
      <c r="B1045" s="5" t="s">
        <v>1658</v>
      </c>
      <c r="C1045" s="5" t="s">
        <v>1540</v>
      </c>
      <c r="D1045" s="5" t="s">
        <v>1588</v>
      </c>
      <c r="E1045" s="5" t="s">
        <v>1360</v>
      </c>
      <c r="F1045" s="5" t="str">
        <f t="shared" si="144"/>
        <v>Finance-Fund Administrator</v>
      </c>
      <c r="G1045" s="5" t="s">
        <v>147</v>
      </c>
      <c r="H1045" s="9">
        <v>45141.067280092589</v>
      </c>
      <c r="I1045" s="9">
        <v>45145.067280092589</v>
      </c>
      <c r="J1045" s="9" t="e">
        <f>I1045+#REF!</f>
        <v>#REF!</v>
      </c>
      <c r="K1045" s="9" t="e">
        <f>J1045+#REF!</f>
        <v>#REF!</v>
      </c>
      <c r="L1045" s="10" t="s">
        <v>41</v>
      </c>
      <c r="M1045" s="11">
        <v>45155.067280092589</v>
      </c>
      <c r="N1045" s="5" t="s">
        <v>48</v>
      </c>
      <c r="O1045" s="5"/>
      <c r="P1045" s="9">
        <v>45162.067280092589</v>
      </c>
      <c r="Q1045" s="5" t="s">
        <v>48</v>
      </c>
      <c r="R1045" s="5"/>
      <c r="S1045" s="5"/>
      <c r="T1045" s="9">
        <v>45159.067280092589</v>
      </c>
      <c r="U1045" s="5"/>
      <c r="V1045" s="5">
        <v>0</v>
      </c>
      <c r="W1045" s="5"/>
      <c r="X1045" s="5"/>
      <c r="Y1045" s="5"/>
      <c r="Z1045" s="5"/>
      <c r="AA1045" s="5"/>
      <c r="AC1045">
        <f t="shared" si="145"/>
        <v>10</v>
      </c>
      <c r="AD1045" t="str">
        <f t="shared" si="146"/>
        <v/>
      </c>
      <c r="AE1045">
        <f t="shared" si="147"/>
        <v>4</v>
      </c>
      <c r="AF1045" t="str">
        <f t="shared" si="148"/>
        <v/>
      </c>
      <c r="AG1045" t="str">
        <f t="shared" si="149"/>
        <v/>
      </c>
      <c r="AH1045">
        <f t="shared" si="150"/>
        <v>4</v>
      </c>
      <c r="AI1045" t="str">
        <f t="shared" si="151"/>
        <v/>
      </c>
      <c r="AJ1045" t="str">
        <f t="shared" si="152"/>
        <v/>
      </c>
    </row>
    <row r="1046" spans="1:36">
      <c r="A1046" s="5">
        <v>1144</v>
      </c>
      <c r="B1046" s="5" t="s">
        <v>1657</v>
      </c>
      <c r="C1046" s="5" t="s">
        <v>1540</v>
      </c>
      <c r="D1046" s="5" t="s">
        <v>1588</v>
      </c>
      <c r="E1046" s="5" t="s">
        <v>1360</v>
      </c>
      <c r="F1046" s="5" t="str">
        <f t="shared" si="144"/>
        <v>Finance-Fund Administrator</v>
      </c>
      <c r="G1046" s="5" t="s">
        <v>147</v>
      </c>
      <c r="H1046" s="9">
        <v>45139.067280092589</v>
      </c>
      <c r="I1046" s="9">
        <v>45143.067280092589</v>
      </c>
      <c r="J1046" s="9" t="e">
        <f>I1046+#REF!</f>
        <v>#REF!</v>
      </c>
      <c r="K1046" s="9" t="e">
        <f>J1046+#REF!</f>
        <v>#REF!</v>
      </c>
      <c r="L1046" s="10" t="s">
        <v>41</v>
      </c>
      <c r="M1046" s="11">
        <v>45154.067280092589</v>
      </c>
      <c r="N1046" s="5" t="s">
        <v>42</v>
      </c>
      <c r="O1046" s="5" t="s">
        <v>98</v>
      </c>
      <c r="P1046" s="9"/>
      <c r="Q1046" s="5"/>
      <c r="R1046" s="5"/>
      <c r="S1046" s="5"/>
      <c r="T1046" s="9"/>
      <c r="U1046" s="5"/>
      <c r="V1046" s="5">
        <v>0</v>
      </c>
      <c r="W1046" s="5"/>
      <c r="X1046" s="5"/>
      <c r="Y1046" s="5"/>
      <c r="Z1046" s="5"/>
      <c r="AA1046" s="5" t="s">
        <v>44</v>
      </c>
      <c r="AC1046">
        <f t="shared" si="145"/>
        <v>11</v>
      </c>
      <c r="AD1046" t="str">
        <f t="shared" si="146"/>
        <v/>
      </c>
      <c r="AE1046" t="str">
        <f t="shared" si="147"/>
        <v/>
      </c>
      <c r="AF1046" t="str">
        <f t="shared" si="148"/>
        <v/>
      </c>
      <c r="AG1046" t="str">
        <f t="shared" si="149"/>
        <v/>
      </c>
      <c r="AH1046">
        <f t="shared" si="150"/>
        <v>4</v>
      </c>
      <c r="AI1046" t="str">
        <f t="shared" si="151"/>
        <v/>
      </c>
      <c r="AJ1046" t="str">
        <f t="shared" si="152"/>
        <v/>
      </c>
    </row>
    <row r="1047" spans="1:36">
      <c r="A1047" s="5">
        <v>1145</v>
      </c>
      <c r="B1047" s="5" t="s">
        <v>2046</v>
      </c>
      <c r="C1047" s="5" t="s">
        <v>1540</v>
      </c>
      <c r="D1047" s="5" t="s">
        <v>1985</v>
      </c>
      <c r="E1047" s="5" t="s">
        <v>1862</v>
      </c>
      <c r="F1047" s="5" t="str">
        <f t="shared" si="144"/>
        <v>Finance-Billing Officer</v>
      </c>
      <c r="G1047" s="5" t="s">
        <v>47</v>
      </c>
      <c r="H1047" s="9">
        <v>45144.067280092589</v>
      </c>
      <c r="I1047" s="9">
        <v>45145.067280092589</v>
      </c>
      <c r="J1047" s="9" t="e">
        <f>I1047+#REF!</f>
        <v>#REF!</v>
      </c>
      <c r="K1047" s="9" t="e">
        <f>J1047+#REF!</f>
        <v>#REF!</v>
      </c>
      <c r="L1047" s="10" t="s">
        <v>41</v>
      </c>
      <c r="M1047" s="11">
        <v>45151.067280092589</v>
      </c>
      <c r="N1047" s="5" t="s">
        <v>42</v>
      </c>
      <c r="O1047" s="5" t="s">
        <v>73</v>
      </c>
      <c r="P1047" s="9"/>
      <c r="Q1047" s="5"/>
      <c r="R1047" s="5"/>
      <c r="S1047" s="5"/>
      <c r="T1047" s="9">
        <v>45155.067280092589</v>
      </c>
      <c r="U1047" s="5"/>
      <c r="V1047" s="5">
        <v>0</v>
      </c>
      <c r="W1047" s="5"/>
      <c r="X1047" s="5"/>
      <c r="Y1047" s="5"/>
      <c r="Z1047" s="5"/>
      <c r="AA1047" s="5" t="s">
        <v>62</v>
      </c>
      <c r="AC1047">
        <f t="shared" si="145"/>
        <v>6</v>
      </c>
      <c r="AD1047" t="str">
        <f t="shared" si="146"/>
        <v/>
      </c>
      <c r="AE1047">
        <f t="shared" si="147"/>
        <v>4</v>
      </c>
      <c r="AF1047" t="str">
        <f t="shared" si="148"/>
        <v/>
      </c>
      <c r="AG1047" t="str">
        <f t="shared" si="149"/>
        <v/>
      </c>
      <c r="AH1047">
        <f t="shared" si="150"/>
        <v>1</v>
      </c>
      <c r="AI1047" t="str">
        <f t="shared" si="151"/>
        <v/>
      </c>
      <c r="AJ1047" t="str">
        <f t="shared" si="152"/>
        <v/>
      </c>
    </row>
    <row r="1048" spans="1:36">
      <c r="A1048" s="5">
        <v>1146</v>
      </c>
      <c r="B1048" s="5" t="s">
        <v>1774</v>
      </c>
      <c r="C1048" s="5" t="s">
        <v>1540</v>
      </c>
      <c r="D1048" s="5" t="s">
        <v>1706</v>
      </c>
      <c r="E1048" s="5" t="s">
        <v>269</v>
      </c>
      <c r="F1048" s="5" t="str">
        <f t="shared" si="144"/>
        <v>Finance-Manager</v>
      </c>
      <c r="G1048" s="5" t="s">
        <v>270</v>
      </c>
      <c r="H1048" s="9">
        <v>45141.067280092589</v>
      </c>
      <c r="I1048" s="9">
        <v>45145.067280092589</v>
      </c>
      <c r="J1048" s="9" t="e">
        <f>I1048+#REF!</f>
        <v>#REF!</v>
      </c>
      <c r="K1048" s="9" t="e">
        <f>J1048+#REF!</f>
        <v>#REF!</v>
      </c>
      <c r="L1048" s="10" t="s">
        <v>52</v>
      </c>
      <c r="M1048" s="11"/>
      <c r="N1048" s="5"/>
      <c r="O1048" s="5"/>
      <c r="P1048" s="9"/>
      <c r="Q1048" s="5"/>
      <c r="R1048" s="5"/>
      <c r="S1048" s="5"/>
      <c r="T1048" s="9"/>
      <c r="U1048" s="5"/>
      <c r="V1048" s="5">
        <v>0</v>
      </c>
      <c r="W1048" s="5"/>
      <c r="X1048" s="5"/>
      <c r="Y1048" s="5"/>
      <c r="Z1048" s="5"/>
      <c r="AA1048" s="5"/>
      <c r="AC1048" t="str">
        <f t="shared" si="145"/>
        <v/>
      </c>
      <c r="AD1048" t="str">
        <f t="shared" si="146"/>
        <v/>
      </c>
      <c r="AE1048" t="str">
        <f t="shared" si="147"/>
        <v/>
      </c>
      <c r="AF1048" t="str">
        <f t="shared" si="148"/>
        <v/>
      </c>
      <c r="AG1048" t="str">
        <f t="shared" si="149"/>
        <v/>
      </c>
      <c r="AH1048">
        <f t="shared" si="150"/>
        <v>4</v>
      </c>
      <c r="AI1048" t="str">
        <f t="shared" si="151"/>
        <v/>
      </c>
      <c r="AJ1048" t="str">
        <f t="shared" si="152"/>
        <v/>
      </c>
    </row>
    <row r="1049" spans="1:36">
      <c r="A1049" s="5">
        <v>1148</v>
      </c>
      <c r="B1049" s="5" t="s">
        <v>2045</v>
      </c>
      <c r="C1049" s="5" t="s">
        <v>1540</v>
      </c>
      <c r="D1049" s="5" t="s">
        <v>1985</v>
      </c>
      <c r="E1049" s="5" t="s">
        <v>1862</v>
      </c>
      <c r="F1049" s="5" t="str">
        <f t="shared" si="144"/>
        <v>Finance-Billing Officer</v>
      </c>
      <c r="G1049" s="5" t="s">
        <v>47</v>
      </c>
      <c r="H1049" s="9">
        <v>45141.067280092589</v>
      </c>
      <c r="I1049" s="9">
        <v>45144.067280092589</v>
      </c>
      <c r="J1049" s="9" t="e">
        <f>I1049+#REF!</f>
        <v>#REF!</v>
      </c>
      <c r="K1049" s="9" t="e">
        <f>J1049+#REF!</f>
        <v>#REF!</v>
      </c>
      <c r="L1049" s="10" t="s">
        <v>41</v>
      </c>
      <c r="M1049" s="11">
        <v>45155.067280092589</v>
      </c>
      <c r="N1049" s="5" t="s">
        <v>42</v>
      </c>
      <c r="O1049" s="5" t="s">
        <v>113</v>
      </c>
      <c r="P1049" s="9"/>
      <c r="Q1049" s="5"/>
      <c r="R1049" s="5"/>
      <c r="S1049" s="5"/>
      <c r="T1049" s="9"/>
      <c r="U1049" s="5"/>
      <c r="V1049" s="5">
        <v>0</v>
      </c>
      <c r="W1049" s="5"/>
      <c r="X1049" s="5"/>
      <c r="Y1049" s="5"/>
      <c r="Z1049" s="5"/>
      <c r="AA1049" s="5" t="s">
        <v>44</v>
      </c>
      <c r="AC1049">
        <f t="shared" si="145"/>
        <v>11</v>
      </c>
      <c r="AD1049" t="str">
        <f t="shared" si="146"/>
        <v/>
      </c>
      <c r="AE1049" t="str">
        <f t="shared" si="147"/>
        <v/>
      </c>
      <c r="AF1049" t="str">
        <f t="shared" si="148"/>
        <v/>
      </c>
      <c r="AG1049" t="str">
        <f t="shared" si="149"/>
        <v/>
      </c>
      <c r="AH1049">
        <f t="shared" si="150"/>
        <v>3</v>
      </c>
      <c r="AI1049" t="str">
        <f t="shared" si="151"/>
        <v/>
      </c>
      <c r="AJ1049" t="str">
        <f t="shared" si="152"/>
        <v/>
      </c>
    </row>
    <row r="1050" spans="1:36">
      <c r="A1050" s="5">
        <v>1149</v>
      </c>
      <c r="B1050" s="5" t="s">
        <v>1932</v>
      </c>
      <c r="C1050" s="5" t="s">
        <v>1540</v>
      </c>
      <c r="D1050" s="5" t="s">
        <v>1925</v>
      </c>
      <c r="E1050" s="5" t="s">
        <v>1039</v>
      </c>
      <c r="F1050" s="5" t="str">
        <f t="shared" si="144"/>
        <v>Finance-Associate Director</v>
      </c>
      <c r="G1050" s="5" t="s">
        <v>56</v>
      </c>
      <c r="H1050" s="9">
        <v>45140.067280092589</v>
      </c>
      <c r="I1050" s="9">
        <v>45143.067280092589</v>
      </c>
      <c r="J1050" s="9" t="e">
        <f>I1050+#REF!</f>
        <v>#REF!</v>
      </c>
      <c r="K1050" s="9" t="e">
        <f>J1050+#REF!</f>
        <v>#REF!</v>
      </c>
      <c r="L1050" s="10" t="s">
        <v>52</v>
      </c>
      <c r="M1050" s="11"/>
      <c r="N1050" s="5"/>
      <c r="O1050" s="5"/>
      <c r="P1050" s="9"/>
      <c r="Q1050" s="5"/>
      <c r="R1050" s="5"/>
      <c r="S1050" s="5"/>
      <c r="T1050" s="9"/>
      <c r="U1050" s="5"/>
      <c r="V1050" s="5">
        <v>0</v>
      </c>
      <c r="W1050" s="5"/>
      <c r="X1050" s="5"/>
      <c r="Y1050" s="5"/>
      <c r="Z1050" s="5"/>
      <c r="AA1050" s="5"/>
      <c r="AC1050" t="str">
        <f t="shared" si="145"/>
        <v/>
      </c>
      <c r="AD1050" t="str">
        <f t="shared" si="146"/>
        <v/>
      </c>
      <c r="AE1050" t="str">
        <f t="shared" si="147"/>
        <v/>
      </c>
      <c r="AF1050" t="str">
        <f t="shared" si="148"/>
        <v/>
      </c>
      <c r="AG1050" t="str">
        <f t="shared" si="149"/>
        <v/>
      </c>
      <c r="AH1050">
        <f t="shared" si="150"/>
        <v>3</v>
      </c>
      <c r="AI1050" t="str">
        <f t="shared" si="151"/>
        <v/>
      </c>
      <c r="AJ1050" t="str">
        <f t="shared" si="152"/>
        <v/>
      </c>
    </row>
    <row r="1051" spans="1:36">
      <c r="A1051" s="5">
        <v>1150</v>
      </c>
      <c r="B1051" s="5" t="s">
        <v>1567</v>
      </c>
      <c r="C1051" s="5" t="s">
        <v>1540</v>
      </c>
      <c r="D1051" s="5" t="s">
        <v>1541</v>
      </c>
      <c r="E1051" s="5" t="s">
        <v>102</v>
      </c>
      <c r="F1051" s="5" t="str">
        <f t="shared" si="144"/>
        <v>Finance-Senior Manager</v>
      </c>
      <c r="G1051" s="5" t="s">
        <v>103</v>
      </c>
      <c r="H1051" s="9">
        <v>45142.067280092589</v>
      </c>
      <c r="I1051" s="9">
        <v>45146.067280092589</v>
      </c>
      <c r="J1051" s="9" t="e">
        <f>I1051+#REF!</f>
        <v>#REF!</v>
      </c>
      <c r="K1051" s="9" t="e">
        <f>J1051+#REF!</f>
        <v>#REF!</v>
      </c>
      <c r="L1051" s="10" t="s">
        <v>41</v>
      </c>
      <c r="M1051" s="11">
        <v>45155.067280092589</v>
      </c>
      <c r="N1051" s="5" t="s">
        <v>42</v>
      </c>
      <c r="O1051" s="5" t="s">
        <v>113</v>
      </c>
      <c r="P1051" s="9"/>
      <c r="Q1051" s="5"/>
      <c r="R1051" s="5"/>
      <c r="S1051" s="5"/>
      <c r="T1051" s="9"/>
      <c r="U1051" s="5"/>
      <c r="V1051" s="5">
        <v>0</v>
      </c>
      <c r="W1051" s="5"/>
      <c r="X1051" s="5"/>
      <c r="Y1051" s="5"/>
      <c r="Z1051" s="5"/>
      <c r="AA1051" s="5" t="s">
        <v>62</v>
      </c>
      <c r="AC1051">
        <f t="shared" si="145"/>
        <v>9</v>
      </c>
      <c r="AD1051" t="str">
        <f t="shared" si="146"/>
        <v/>
      </c>
      <c r="AE1051" t="str">
        <f t="shared" si="147"/>
        <v/>
      </c>
      <c r="AF1051" t="str">
        <f t="shared" si="148"/>
        <v/>
      </c>
      <c r="AG1051" t="str">
        <f t="shared" si="149"/>
        <v/>
      </c>
      <c r="AH1051">
        <f t="shared" si="150"/>
        <v>4</v>
      </c>
      <c r="AI1051" t="str">
        <f t="shared" si="151"/>
        <v/>
      </c>
      <c r="AJ1051" t="str">
        <f t="shared" si="152"/>
        <v/>
      </c>
    </row>
    <row r="1052" spans="1:36">
      <c r="A1052" s="5">
        <v>1151</v>
      </c>
      <c r="B1052" s="5" t="s">
        <v>337</v>
      </c>
      <c r="C1052" s="5" t="s">
        <v>100</v>
      </c>
      <c r="D1052" s="5" t="s">
        <v>268</v>
      </c>
      <c r="E1052" s="5" t="s">
        <v>291</v>
      </c>
      <c r="F1052" s="5" t="str">
        <f t="shared" si="144"/>
        <v>Program Office-Cordination Manager</v>
      </c>
      <c r="G1052" s="5" t="s">
        <v>270</v>
      </c>
      <c r="H1052" s="9">
        <v>44637.808749999997</v>
      </c>
      <c r="I1052" s="9">
        <v>44641.808749999997</v>
      </c>
      <c r="J1052" s="9" t="e">
        <f>I1052+#REF!</f>
        <v>#REF!</v>
      </c>
      <c r="K1052" s="9" t="e">
        <f>J1052+#REF!</f>
        <v>#REF!</v>
      </c>
      <c r="L1052" s="10" t="s">
        <v>41</v>
      </c>
      <c r="M1052" s="11">
        <v>44659.808749999997</v>
      </c>
      <c r="N1052" s="5" t="s">
        <v>48</v>
      </c>
      <c r="O1052" s="5"/>
      <c r="P1052" s="9">
        <v>44664.808749999997</v>
      </c>
      <c r="Q1052" s="5" t="s">
        <v>48</v>
      </c>
      <c r="R1052" s="5"/>
      <c r="S1052" s="5"/>
      <c r="T1052" s="9">
        <v>44663.808749999997</v>
      </c>
      <c r="U1052" s="5"/>
      <c r="V1052" s="5">
        <v>0</v>
      </c>
      <c r="W1052" s="5"/>
      <c r="X1052" s="5"/>
      <c r="Y1052" s="5"/>
      <c r="Z1052" s="5"/>
      <c r="AA1052" s="5"/>
      <c r="AC1052">
        <f t="shared" si="145"/>
        <v>18</v>
      </c>
      <c r="AD1052" t="str">
        <f t="shared" si="146"/>
        <v/>
      </c>
      <c r="AE1052">
        <f t="shared" si="147"/>
        <v>4</v>
      </c>
      <c r="AF1052" t="str">
        <f t="shared" si="148"/>
        <v/>
      </c>
      <c r="AG1052" t="str">
        <f t="shared" si="149"/>
        <v/>
      </c>
      <c r="AH1052">
        <f t="shared" si="150"/>
        <v>4</v>
      </c>
      <c r="AI1052" t="str">
        <f t="shared" si="151"/>
        <v/>
      </c>
      <c r="AJ1052" t="str">
        <f t="shared" si="152"/>
        <v/>
      </c>
    </row>
    <row r="1053" spans="1:36">
      <c r="A1053" s="5">
        <v>1152</v>
      </c>
      <c r="B1053" s="5" t="s">
        <v>336</v>
      </c>
      <c r="C1053" s="5" t="s">
        <v>100</v>
      </c>
      <c r="D1053" s="5" t="s">
        <v>268</v>
      </c>
      <c r="E1053" s="5" t="s">
        <v>291</v>
      </c>
      <c r="F1053" s="5" t="str">
        <f t="shared" si="144"/>
        <v>Program Office-Cordination Manager</v>
      </c>
      <c r="G1053" s="5" t="s">
        <v>270</v>
      </c>
      <c r="H1053" s="9">
        <v>44635.808749999997</v>
      </c>
      <c r="I1053" s="9">
        <v>44638.808749999997</v>
      </c>
      <c r="J1053" s="9" t="e">
        <f>I1053+#REF!</f>
        <v>#REF!</v>
      </c>
      <c r="K1053" s="9" t="e">
        <f>J1053+#REF!</f>
        <v>#REF!</v>
      </c>
      <c r="L1053" s="10" t="s">
        <v>41</v>
      </c>
      <c r="M1053" s="11">
        <v>44658.808749999997</v>
      </c>
      <c r="N1053" s="5" t="s">
        <v>167</v>
      </c>
      <c r="O1053" s="5"/>
      <c r="P1053" s="9">
        <v>44665.808749999997</v>
      </c>
      <c r="Q1053" s="5" t="s">
        <v>167</v>
      </c>
      <c r="R1053" s="5"/>
      <c r="S1053" s="5"/>
      <c r="T1053" s="9">
        <v>44662.808749999997</v>
      </c>
      <c r="U1053" s="5"/>
      <c r="V1053" s="5">
        <v>0</v>
      </c>
      <c r="W1053" s="5"/>
      <c r="X1053" s="5"/>
      <c r="Y1053" s="5"/>
      <c r="Z1053" s="5"/>
      <c r="AA1053" s="5"/>
      <c r="AC1053">
        <f t="shared" si="145"/>
        <v>20</v>
      </c>
      <c r="AD1053" t="str">
        <f t="shared" si="146"/>
        <v/>
      </c>
      <c r="AE1053">
        <f t="shared" si="147"/>
        <v>4</v>
      </c>
      <c r="AF1053" t="str">
        <f t="shared" si="148"/>
        <v/>
      </c>
      <c r="AG1053" t="str">
        <f t="shared" si="149"/>
        <v/>
      </c>
      <c r="AH1053">
        <f t="shared" si="150"/>
        <v>3</v>
      </c>
      <c r="AI1053" t="str">
        <f t="shared" si="151"/>
        <v/>
      </c>
      <c r="AJ1053" t="str">
        <f t="shared" si="152"/>
        <v/>
      </c>
    </row>
    <row r="1054" spans="1:36">
      <c r="A1054" s="5">
        <v>1153</v>
      </c>
      <c r="B1054" s="5" t="s">
        <v>212</v>
      </c>
      <c r="C1054" s="5" t="s">
        <v>100</v>
      </c>
      <c r="D1054" s="5" t="s">
        <v>146</v>
      </c>
      <c r="E1054" s="5" t="s">
        <v>39</v>
      </c>
      <c r="F1054" s="5" t="str">
        <f t="shared" si="144"/>
        <v>Program Office-Analyst</v>
      </c>
      <c r="G1054" s="5" t="s">
        <v>147</v>
      </c>
      <c r="H1054" s="9">
        <v>44642.808749999997</v>
      </c>
      <c r="I1054" s="9">
        <v>44643.808749999997</v>
      </c>
      <c r="J1054" s="9" t="e">
        <f>I1054+#REF!</f>
        <v>#REF!</v>
      </c>
      <c r="K1054" s="9" t="e">
        <f>J1054+#REF!</f>
        <v>#REF!</v>
      </c>
      <c r="L1054" s="10" t="s">
        <v>41</v>
      </c>
      <c r="M1054" s="11">
        <v>44652.808749999997</v>
      </c>
      <c r="N1054" s="5" t="s">
        <v>42</v>
      </c>
      <c r="O1054" s="5" t="s">
        <v>113</v>
      </c>
      <c r="P1054" s="9"/>
      <c r="Q1054" s="5"/>
      <c r="R1054" s="5"/>
      <c r="S1054" s="5"/>
      <c r="T1054" s="9"/>
      <c r="U1054" s="5"/>
      <c r="V1054" s="5">
        <v>0</v>
      </c>
      <c r="W1054" s="5"/>
      <c r="X1054" s="5"/>
      <c r="Y1054" s="5"/>
      <c r="Z1054" s="5"/>
      <c r="AA1054" s="5" t="s">
        <v>62</v>
      </c>
      <c r="AC1054">
        <f t="shared" si="145"/>
        <v>9</v>
      </c>
      <c r="AD1054" t="str">
        <f t="shared" si="146"/>
        <v/>
      </c>
      <c r="AE1054" t="str">
        <f t="shared" si="147"/>
        <v/>
      </c>
      <c r="AF1054" t="str">
        <f t="shared" si="148"/>
        <v/>
      </c>
      <c r="AG1054" t="str">
        <f t="shared" si="149"/>
        <v/>
      </c>
      <c r="AH1054">
        <f t="shared" si="150"/>
        <v>1</v>
      </c>
      <c r="AI1054" t="str">
        <f t="shared" si="151"/>
        <v/>
      </c>
      <c r="AJ1054" t="str">
        <f t="shared" si="152"/>
        <v/>
      </c>
    </row>
    <row r="1055" spans="1:36">
      <c r="A1055" s="5">
        <v>1154</v>
      </c>
      <c r="B1055" s="5" t="s">
        <v>335</v>
      </c>
      <c r="C1055" s="5" t="s">
        <v>100</v>
      </c>
      <c r="D1055" s="5" t="s">
        <v>268</v>
      </c>
      <c r="E1055" s="5" t="s">
        <v>291</v>
      </c>
      <c r="F1055" s="5" t="str">
        <f t="shared" si="144"/>
        <v>Program Office-Cordination Manager</v>
      </c>
      <c r="G1055" s="5" t="s">
        <v>270</v>
      </c>
      <c r="H1055" s="9">
        <v>44638.808749999997</v>
      </c>
      <c r="I1055" s="9">
        <v>44640.808749999997</v>
      </c>
      <c r="J1055" s="9" t="e">
        <f>I1055+#REF!</f>
        <v>#REF!</v>
      </c>
      <c r="K1055" s="9" t="e">
        <f>J1055+#REF!</f>
        <v>#REF!</v>
      </c>
      <c r="L1055" s="10" t="s">
        <v>41</v>
      </c>
      <c r="M1055" s="11">
        <v>44653.808749999997</v>
      </c>
      <c r="N1055" s="5" t="s">
        <v>48</v>
      </c>
      <c r="O1055" s="5"/>
      <c r="P1055" s="9">
        <v>44661.808749999997</v>
      </c>
      <c r="Q1055" s="5" t="s">
        <v>48</v>
      </c>
      <c r="R1055" s="5"/>
      <c r="S1055" s="5"/>
      <c r="T1055" s="9">
        <v>44657.808749999997</v>
      </c>
      <c r="U1055" s="5"/>
      <c r="V1055" s="5">
        <v>0</v>
      </c>
      <c r="W1055" s="5"/>
      <c r="X1055" s="5"/>
      <c r="Y1055" s="5"/>
      <c r="Z1055" s="5"/>
      <c r="AA1055" s="5"/>
      <c r="AC1055">
        <f t="shared" si="145"/>
        <v>13</v>
      </c>
      <c r="AD1055" t="str">
        <f t="shared" si="146"/>
        <v/>
      </c>
      <c r="AE1055">
        <f t="shared" si="147"/>
        <v>4</v>
      </c>
      <c r="AF1055" t="str">
        <f t="shared" si="148"/>
        <v/>
      </c>
      <c r="AG1055" t="str">
        <f t="shared" si="149"/>
        <v/>
      </c>
      <c r="AH1055">
        <f t="shared" si="150"/>
        <v>2</v>
      </c>
      <c r="AI1055" t="str">
        <f t="shared" si="151"/>
        <v/>
      </c>
      <c r="AJ1055" t="str">
        <f t="shared" si="152"/>
        <v/>
      </c>
    </row>
    <row r="1056" spans="1:36">
      <c r="A1056" s="5">
        <v>1155</v>
      </c>
      <c r="B1056" s="5" t="s">
        <v>334</v>
      </c>
      <c r="C1056" s="5" t="s">
        <v>100</v>
      </c>
      <c r="D1056" s="5" t="s">
        <v>268</v>
      </c>
      <c r="E1056" s="5" t="s">
        <v>291</v>
      </c>
      <c r="F1056" s="5" t="str">
        <f t="shared" si="144"/>
        <v>Program Office-Cordination Manager</v>
      </c>
      <c r="G1056" s="5" t="s">
        <v>270</v>
      </c>
      <c r="H1056" s="9">
        <v>44638.808749999997</v>
      </c>
      <c r="I1056" s="9">
        <v>44641.808749999997</v>
      </c>
      <c r="J1056" s="9" t="e">
        <f>I1056+#REF!</f>
        <v>#REF!</v>
      </c>
      <c r="K1056" s="9" t="e">
        <f>J1056+#REF!</f>
        <v>#REF!</v>
      </c>
      <c r="L1056" s="10" t="s">
        <v>41</v>
      </c>
      <c r="M1056" s="11">
        <v>44649.808749999997</v>
      </c>
      <c r="N1056" s="5" t="s">
        <v>48</v>
      </c>
      <c r="O1056" s="5"/>
      <c r="P1056" s="9">
        <v>44655.808749999997</v>
      </c>
      <c r="Q1056" s="5" t="s">
        <v>48</v>
      </c>
      <c r="R1056" s="5"/>
      <c r="S1056" s="5"/>
      <c r="T1056" s="9">
        <v>44652.808749999997</v>
      </c>
      <c r="U1056" s="5"/>
      <c r="V1056" s="5">
        <v>0</v>
      </c>
      <c r="W1056" s="5"/>
      <c r="X1056" s="5"/>
      <c r="Y1056" s="5"/>
      <c r="Z1056" s="5"/>
      <c r="AA1056" s="5"/>
      <c r="AC1056">
        <f t="shared" si="145"/>
        <v>8</v>
      </c>
      <c r="AD1056" t="str">
        <f t="shared" si="146"/>
        <v/>
      </c>
      <c r="AE1056">
        <f t="shared" si="147"/>
        <v>3</v>
      </c>
      <c r="AF1056" t="str">
        <f t="shared" si="148"/>
        <v/>
      </c>
      <c r="AG1056" t="str">
        <f t="shared" si="149"/>
        <v/>
      </c>
      <c r="AH1056">
        <f t="shared" si="150"/>
        <v>3</v>
      </c>
      <c r="AI1056" t="str">
        <f t="shared" si="151"/>
        <v/>
      </c>
      <c r="AJ1056" t="str">
        <f t="shared" si="152"/>
        <v/>
      </c>
    </row>
    <row r="1057" spans="1:36">
      <c r="A1057" s="5">
        <v>1157</v>
      </c>
      <c r="B1057" s="5" t="s">
        <v>333</v>
      </c>
      <c r="C1057" s="5" t="s">
        <v>100</v>
      </c>
      <c r="D1057" s="5" t="s">
        <v>268</v>
      </c>
      <c r="E1057" s="5" t="s">
        <v>291</v>
      </c>
      <c r="F1057" s="5" t="str">
        <f t="shared" si="144"/>
        <v>Program Office-Cordination Manager</v>
      </c>
      <c r="G1057" s="5" t="s">
        <v>270</v>
      </c>
      <c r="H1057" s="9">
        <v>44638.808749999997</v>
      </c>
      <c r="I1057" s="9">
        <v>44642.808749999997</v>
      </c>
      <c r="J1057" s="9" t="e">
        <f>I1057+#REF!</f>
        <v>#REF!</v>
      </c>
      <c r="K1057" s="9" t="e">
        <f>J1057+#REF!</f>
        <v>#REF!</v>
      </c>
      <c r="L1057" s="10" t="s">
        <v>41</v>
      </c>
      <c r="M1057" s="11">
        <v>44656.808749999997</v>
      </c>
      <c r="N1057" s="5" t="s">
        <v>42</v>
      </c>
      <c r="O1057" s="5" t="s">
        <v>73</v>
      </c>
      <c r="P1057" s="9"/>
      <c r="Q1057" s="5"/>
      <c r="R1057" s="5"/>
      <c r="S1057" s="5"/>
      <c r="T1057" s="9">
        <v>44659.808749999997</v>
      </c>
      <c r="U1057" s="5"/>
      <c r="V1057" s="5">
        <v>0</v>
      </c>
      <c r="W1057" s="5"/>
      <c r="X1057" s="5"/>
      <c r="Y1057" s="5"/>
      <c r="Z1057" s="5"/>
      <c r="AA1057" s="5" t="s">
        <v>44</v>
      </c>
      <c r="AC1057">
        <f t="shared" si="145"/>
        <v>14</v>
      </c>
      <c r="AD1057" t="str">
        <f t="shared" si="146"/>
        <v/>
      </c>
      <c r="AE1057">
        <f t="shared" si="147"/>
        <v>3</v>
      </c>
      <c r="AF1057" t="str">
        <f t="shared" si="148"/>
        <v/>
      </c>
      <c r="AG1057" t="str">
        <f t="shared" si="149"/>
        <v/>
      </c>
      <c r="AH1057">
        <f t="shared" si="150"/>
        <v>4</v>
      </c>
      <c r="AI1057" t="str">
        <f t="shared" si="151"/>
        <v/>
      </c>
      <c r="AJ1057" t="str">
        <f t="shared" si="152"/>
        <v/>
      </c>
    </row>
    <row r="1058" spans="1:36">
      <c r="A1058" s="5">
        <v>1158</v>
      </c>
      <c r="B1058" s="5" t="s">
        <v>631</v>
      </c>
      <c r="C1058" s="5" t="s">
        <v>100</v>
      </c>
      <c r="D1058" s="5" t="s">
        <v>554</v>
      </c>
      <c r="E1058" s="5" t="s">
        <v>597</v>
      </c>
      <c r="F1058" s="5" t="str">
        <f t="shared" si="144"/>
        <v>Program Office-Business Partner</v>
      </c>
      <c r="G1058" s="5" t="s">
        <v>47</v>
      </c>
      <c r="H1058" s="9">
        <v>44636.808749999997</v>
      </c>
      <c r="I1058" s="9">
        <v>44639.808749999997</v>
      </c>
      <c r="J1058" s="9" t="e">
        <f>I1058+#REF!</f>
        <v>#REF!</v>
      </c>
      <c r="K1058" s="9" t="e">
        <f>J1058+#REF!</f>
        <v>#REF!</v>
      </c>
      <c r="L1058" s="10" t="s">
        <v>41</v>
      </c>
      <c r="M1058" s="11">
        <v>44650.808749999997</v>
      </c>
      <c r="N1058" s="5" t="s">
        <v>64</v>
      </c>
      <c r="O1058" s="5"/>
      <c r="P1058" s="9">
        <v>44654.808749999997</v>
      </c>
      <c r="Q1058" s="5" t="s">
        <v>64</v>
      </c>
      <c r="R1058" s="9">
        <v>44651.808749999997</v>
      </c>
      <c r="S1058" s="9">
        <v>44652.808749999997</v>
      </c>
      <c r="T1058" s="9">
        <v>44653.808749999997</v>
      </c>
      <c r="U1058" s="9">
        <v>44662.808749999997</v>
      </c>
      <c r="V1058" s="12">
        <v>1</v>
      </c>
      <c r="W1058" s="9">
        <v>44666.808749999997</v>
      </c>
      <c r="X1058" s="9">
        <v>44668.808749999997</v>
      </c>
      <c r="Y1058" s="9">
        <v>44671.808749999997</v>
      </c>
      <c r="Z1058" s="5"/>
      <c r="AA1058" s="5"/>
      <c r="AB1058" s="13">
        <v>44692.808749999997</v>
      </c>
      <c r="AC1058">
        <f t="shared" si="145"/>
        <v>11</v>
      </c>
      <c r="AD1058">
        <f t="shared" si="146"/>
        <v>13</v>
      </c>
      <c r="AE1058">
        <f t="shared" si="147"/>
        <v>3</v>
      </c>
      <c r="AF1058">
        <f t="shared" si="148"/>
        <v>6</v>
      </c>
      <c r="AG1058">
        <f t="shared" si="149"/>
        <v>4</v>
      </c>
      <c r="AH1058">
        <f t="shared" si="150"/>
        <v>3</v>
      </c>
      <c r="AI1058" t="str">
        <f t="shared" si="151"/>
        <v/>
      </c>
      <c r="AJ1058" t="str">
        <f t="shared" si="152"/>
        <v/>
      </c>
    </row>
    <row r="1059" spans="1:36">
      <c r="A1059" s="5">
        <v>1159</v>
      </c>
      <c r="B1059" s="5" t="s">
        <v>630</v>
      </c>
      <c r="C1059" s="5" t="s">
        <v>100</v>
      </c>
      <c r="D1059" s="5" t="s">
        <v>554</v>
      </c>
      <c r="E1059" s="5" t="s">
        <v>597</v>
      </c>
      <c r="F1059" s="5" t="str">
        <f t="shared" si="144"/>
        <v>Program Office-Business Partner</v>
      </c>
      <c r="G1059" s="5" t="s">
        <v>47</v>
      </c>
      <c r="H1059" s="9">
        <v>44638.808749999997</v>
      </c>
      <c r="I1059" s="9">
        <v>44639.808749999997</v>
      </c>
      <c r="J1059" s="9" t="e">
        <f>I1059+#REF!</f>
        <v>#REF!</v>
      </c>
      <c r="K1059" s="9" t="e">
        <f>J1059+#REF!</f>
        <v>#REF!</v>
      </c>
      <c r="L1059" s="10" t="s">
        <v>41</v>
      </c>
      <c r="M1059" s="11">
        <v>44648.808749999997</v>
      </c>
      <c r="N1059" s="5" t="s">
        <v>42</v>
      </c>
      <c r="O1059" s="5" t="s">
        <v>43</v>
      </c>
      <c r="P1059" s="9"/>
      <c r="Q1059" s="5"/>
      <c r="R1059" s="5"/>
      <c r="S1059" s="5"/>
      <c r="T1059" s="9"/>
      <c r="U1059" s="5"/>
      <c r="V1059" s="5">
        <v>0</v>
      </c>
      <c r="W1059" s="5"/>
      <c r="X1059" s="5"/>
      <c r="Y1059" s="5"/>
      <c r="Z1059" s="5"/>
      <c r="AA1059" s="5" t="s">
        <v>44</v>
      </c>
      <c r="AC1059">
        <f t="shared" si="145"/>
        <v>9</v>
      </c>
      <c r="AD1059" t="str">
        <f t="shared" si="146"/>
        <v/>
      </c>
      <c r="AE1059" t="str">
        <f t="shared" si="147"/>
        <v/>
      </c>
      <c r="AF1059" t="str">
        <f t="shared" si="148"/>
        <v/>
      </c>
      <c r="AG1059" t="str">
        <f t="shared" si="149"/>
        <v/>
      </c>
      <c r="AH1059">
        <f t="shared" si="150"/>
        <v>1</v>
      </c>
      <c r="AI1059" t="str">
        <f t="shared" si="151"/>
        <v/>
      </c>
      <c r="AJ1059" t="str">
        <f t="shared" si="152"/>
        <v/>
      </c>
    </row>
    <row r="1060" spans="1:36">
      <c r="A1060" s="5">
        <v>1162</v>
      </c>
      <c r="B1060" s="5" t="s">
        <v>1324</v>
      </c>
      <c r="C1060" s="10" t="s">
        <v>1215</v>
      </c>
      <c r="D1060" s="5" t="s">
        <v>1287</v>
      </c>
      <c r="E1060" s="5" t="s">
        <v>597</v>
      </c>
      <c r="F1060" s="5" t="str">
        <f t="shared" si="144"/>
        <v>HR-Business Partner</v>
      </c>
      <c r="G1060" s="5" t="s">
        <v>47</v>
      </c>
      <c r="H1060" s="9">
        <v>44967.866122685184</v>
      </c>
      <c r="I1060" s="9">
        <v>44968.866122685184</v>
      </c>
      <c r="J1060" s="9" t="e">
        <f>I1060+#REF!</f>
        <v>#REF!</v>
      </c>
      <c r="K1060" s="9" t="e">
        <f>J1060+#REF!</f>
        <v>#REF!</v>
      </c>
      <c r="L1060" s="10" t="s">
        <v>41</v>
      </c>
      <c r="M1060" s="11">
        <v>44976.866122685184</v>
      </c>
      <c r="N1060" s="5" t="s">
        <v>42</v>
      </c>
      <c r="O1060" s="5" t="s">
        <v>73</v>
      </c>
      <c r="P1060" s="9"/>
      <c r="Q1060" s="5"/>
      <c r="R1060" s="5"/>
      <c r="S1060" s="5"/>
      <c r="T1060" s="9"/>
      <c r="U1060" s="5"/>
      <c r="V1060" s="5">
        <v>0</v>
      </c>
      <c r="W1060" s="5"/>
      <c r="X1060" s="5"/>
      <c r="Y1060" s="5"/>
      <c r="Z1060" s="5"/>
      <c r="AA1060" s="5" t="s">
        <v>44</v>
      </c>
      <c r="AC1060">
        <f t="shared" si="145"/>
        <v>8</v>
      </c>
      <c r="AD1060" t="str">
        <f t="shared" si="146"/>
        <v/>
      </c>
      <c r="AE1060" t="str">
        <f t="shared" si="147"/>
        <v/>
      </c>
      <c r="AF1060" t="str">
        <f t="shared" si="148"/>
        <v/>
      </c>
      <c r="AG1060" t="str">
        <f t="shared" si="149"/>
        <v/>
      </c>
      <c r="AH1060">
        <f t="shared" si="150"/>
        <v>1</v>
      </c>
      <c r="AI1060" t="str">
        <f t="shared" si="151"/>
        <v/>
      </c>
      <c r="AJ1060" t="str">
        <f t="shared" si="152"/>
        <v/>
      </c>
    </row>
    <row r="1061" spans="1:36">
      <c r="A1061" s="5">
        <v>1163</v>
      </c>
      <c r="B1061" s="5" t="s">
        <v>1182</v>
      </c>
      <c r="C1061" s="10" t="s">
        <v>1122</v>
      </c>
      <c r="D1061" s="5" t="s">
        <v>1145</v>
      </c>
      <c r="E1061" s="5" t="s">
        <v>39</v>
      </c>
      <c r="F1061" s="5" t="str">
        <f t="shared" si="144"/>
        <v>IT-Analyst</v>
      </c>
      <c r="G1061" s="5" t="s">
        <v>147</v>
      </c>
      <c r="H1061" s="9">
        <v>44966.866122685184</v>
      </c>
      <c r="I1061" s="9">
        <v>44967.866122685184</v>
      </c>
      <c r="J1061" s="9" t="e">
        <f>I1061+#REF!</f>
        <v>#REF!</v>
      </c>
      <c r="K1061" s="9" t="e">
        <f>J1061+#REF!</f>
        <v>#REF!</v>
      </c>
      <c r="L1061" s="10" t="s">
        <v>41</v>
      </c>
      <c r="M1061" s="11">
        <v>44976.866122685184</v>
      </c>
      <c r="N1061" s="5" t="s">
        <v>42</v>
      </c>
      <c r="O1061" s="5" t="s">
        <v>98</v>
      </c>
      <c r="P1061" s="9"/>
      <c r="Q1061" s="5"/>
      <c r="R1061" s="5"/>
      <c r="S1061" s="5"/>
      <c r="T1061" s="9"/>
      <c r="U1061" s="5"/>
      <c r="V1061" s="5">
        <v>0</v>
      </c>
      <c r="W1061" s="5"/>
      <c r="X1061" s="5"/>
      <c r="Y1061" s="5"/>
      <c r="Z1061" s="5"/>
      <c r="AA1061" s="5" t="s">
        <v>62</v>
      </c>
      <c r="AC1061">
        <f t="shared" si="145"/>
        <v>9</v>
      </c>
      <c r="AD1061" t="str">
        <f t="shared" si="146"/>
        <v/>
      </c>
      <c r="AE1061" t="str">
        <f t="shared" si="147"/>
        <v/>
      </c>
      <c r="AF1061" t="str">
        <f t="shared" si="148"/>
        <v/>
      </c>
      <c r="AG1061" t="str">
        <f t="shared" si="149"/>
        <v/>
      </c>
      <c r="AH1061">
        <f t="shared" si="150"/>
        <v>1</v>
      </c>
      <c r="AI1061" t="str">
        <f t="shared" si="151"/>
        <v/>
      </c>
      <c r="AJ1061" t="str">
        <f t="shared" si="152"/>
        <v/>
      </c>
    </row>
    <row r="1062" spans="1:36">
      <c r="A1062" s="5">
        <v>1165</v>
      </c>
      <c r="B1062" s="5" t="s">
        <v>1140</v>
      </c>
      <c r="C1062" s="10" t="s">
        <v>1122</v>
      </c>
      <c r="D1062" s="5" t="s">
        <v>1123</v>
      </c>
      <c r="E1062" s="5" t="s">
        <v>102</v>
      </c>
      <c r="F1062" s="5" t="str">
        <f t="shared" si="144"/>
        <v>IT-Senior Manager</v>
      </c>
      <c r="G1062" s="5" t="s">
        <v>103</v>
      </c>
      <c r="H1062" s="9">
        <v>44966.866122685184</v>
      </c>
      <c r="I1062" s="9">
        <v>44970.866122685184</v>
      </c>
      <c r="J1062" s="9" t="e">
        <f>I1062+#REF!</f>
        <v>#REF!</v>
      </c>
      <c r="K1062" s="9" t="e">
        <f>J1062+#REF!</f>
        <v>#REF!</v>
      </c>
      <c r="L1062" s="10" t="s">
        <v>41</v>
      </c>
      <c r="M1062" s="11">
        <v>44977.866122685184</v>
      </c>
      <c r="N1062" s="5" t="s">
        <v>42</v>
      </c>
      <c r="O1062" s="5" t="s">
        <v>98</v>
      </c>
      <c r="P1062" s="9"/>
      <c r="Q1062" s="5"/>
      <c r="R1062" s="5"/>
      <c r="S1062" s="5"/>
      <c r="T1062" s="9"/>
      <c r="U1062" s="5"/>
      <c r="V1062" s="5">
        <v>0</v>
      </c>
      <c r="W1062" s="5"/>
      <c r="X1062" s="5"/>
      <c r="Y1062" s="5"/>
      <c r="Z1062" s="5"/>
      <c r="AA1062" s="5" t="s">
        <v>62</v>
      </c>
      <c r="AC1062">
        <f t="shared" si="145"/>
        <v>7</v>
      </c>
      <c r="AD1062" t="str">
        <f t="shared" si="146"/>
        <v/>
      </c>
      <c r="AE1062" t="str">
        <f t="shared" si="147"/>
        <v/>
      </c>
      <c r="AF1062" t="str">
        <f t="shared" si="148"/>
        <v/>
      </c>
      <c r="AG1062" t="str">
        <f t="shared" si="149"/>
        <v/>
      </c>
      <c r="AH1062">
        <f t="shared" si="150"/>
        <v>4</v>
      </c>
      <c r="AI1062" t="str">
        <f t="shared" si="151"/>
        <v/>
      </c>
      <c r="AJ1062" t="str">
        <f t="shared" si="152"/>
        <v/>
      </c>
    </row>
    <row r="1063" spans="1:36">
      <c r="A1063" s="5">
        <v>1166</v>
      </c>
      <c r="B1063" s="5" t="s">
        <v>1276</v>
      </c>
      <c r="C1063" s="10" t="s">
        <v>1215</v>
      </c>
      <c r="D1063" s="5" t="s">
        <v>1249</v>
      </c>
      <c r="E1063" s="5" t="s">
        <v>1250</v>
      </c>
      <c r="F1063" s="5" t="str">
        <f t="shared" si="144"/>
        <v>HR-Screening Associate</v>
      </c>
      <c r="G1063" s="5" t="s">
        <v>40</v>
      </c>
      <c r="H1063" s="9">
        <v>44964.866122685184</v>
      </c>
      <c r="I1063" s="9">
        <v>44968.866122685184</v>
      </c>
      <c r="J1063" s="9" t="e">
        <f>I1063+#REF!</f>
        <v>#REF!</v>
      </c>
      <c r="K1063" s="9" t="e">
        <f>J1063+#REF!</f>
        <v>#REF!</v>
      </c>
      <c r="L1063" s="10" t="s">
        <v>41</v>
      </c>
      <c r="M1063" s="11">
        <v>44981.866122685184</v>
      </c>
      <c r="N1063" s="5" t="s">
        <v>48</v>
      </c>
      <c r="O1063" s="5"/>
      <c r="P1063" s="9">
        <v>44986.866122685184</v>
      </c>
      <c r="Q1063" s="5" t="s">
        <v>48</v>
      </c>
      <c r="R1063" s="5"/>
      <c r="S1063" s="5"/>
      <c r="T1063" s="9">
        <v>44983.866122685184</v>
      </c>
      <c r="U1063" s="5"/>
      <c r="V1063" s="5">
        <v>0</v>
      </c>
      <c r="W1063" s="5"/>
      <c r="X1063" s="5"/>
      <c r="Y1063" s="5"/>
      <c r="Z1063" s="5"/>
      <c r="AA1063" s="5"/>
      <c r="AC1063">
        <f t="shared" si="145"/>
        <v>13</v>
      </c>
      <c r="AD1063" t="str">
        <f t="shared" si="146"/>
        <v/>
      </c>
      <c r="AE1063">
        <f t="shared" si="147"/>
        <v>2</v>
      </c>
      <c r="AF1063" t="str">
        <f t="shared" si="148"/>
        <v/>
      </c>
      <c r="AG1063" t="str">
        <f t="shared" si="149"/>
        <v/>
      </c>
      <c r="AH1063">
        <f t="shared" si="150"/>
        <v>4</v>
      </c>
      <c r="AI1063" t="str">
        <f t="shared" si="151"/>
        <v/>
      </c>
      <c r="AJ1063" t="str">
        <f t="shared" si="152"/>
        <v/>
      </c>
    </row>
    <row r="1064" spans="1:36">
      <c r="A1064" s="5">
        <v>1167</v>
      </c>
      <c r="B1064" s="5" t="s">
        <v>1323</v>
      </c>
      <c r="C1064" s="10" t="s">
        <v>1215</v>
      </c>
      <c r="D1064" s="5" t="s">
        <v>1287</v>
      </c>
      <c r="E1064" s="5" t="s">
        <v>597</v>
      </c>
      <c r="F1064" s="5" t="str">
        <f t="shared" si="144"/>
        <v>HR-Business Partner</v>
      </c>
      <c r="G1064" s="5" t="s">
        <v>47</v>
      </c>
      <c r="H1064" s="9">
        <v>44964.866122685184</v>
      </c>
      <c r="I1064" s="9">
        <v>44967.866122685184</v>
      </c>
      <c r="J1064" s="9" t="e">
        <f>I1064+#REF!</f>
        <v>#REF!</v>
      </c>
      <c r="K1064" s="9" t="e">
        <f>J1064+#REF!</f>
        <v>#REF!</v>
      </c>
      <c r="L1064" s="10" t="s">
        <v>41</v>
      </c>
      <c r="M1064" s="11">
        <v>44985.866122685184</v>
      </c>
      <c r="N1064" s="5" t="s">
        <v>42</v>
      </c>
      <c r="O1064" s="5" t="s">
        <v>113</v>
      </c>
      <c r="P1064" s="9"/>
      <c r="Q1064" s="5"/>
      <c r="R1064" s="5"/>
      <c r="S1064" s="5"/>
      <c r="T1064" s="9">
        <v>44986.866122685184</v>
      </c>
      <c r="U1064" s="5"/>
      <c r="V1064" s="5">
        <v>0</v>
      </c>
      <c r="W1064" s="5"/>
      <c r="X1064" s="5"/>
      <c r="Y1064" s="5"/>
      <c r="Z1064" s="5"/>
      <c r="AA1064" s="5" t="s">
        <v>62</v>
      </c>
      <c r="AC1064">
        <f t="shared" si="145"/>
        <v>18</v>
      </c>
      <c r="AD1064" t="str">
        <f t="shared" si="146"/>
        <v/>
      </c>
      <c r="AE1064">
        <f t="shared" si="147"/>
        <v>1</v>
      </c>
      <c r="AF1064" t="str">
        <f t="shared" si="148"/>
        <v/>
      </c>
      <c r="AG1064" t="str">
        <f t="shared" si="149"/>
        <v/>
      </c>
      <c r="AH1064">
        <f t="shared" si="150"/>
        <v>3</v>
      </c>
      <c r="AI1064" t="str">
        <f t="shared" si="151"/>
        <v/>
      </c>
      <c r="AJ1064" t="str">
        <f t="shared" si="152"/>
        <v/>
      </c>
    </row>
    <row r="1065" spans="1:36">
      <c r="A1065" s="5">
        <v>1168</v>
      </c>
      <c r="B1065" s="5" t="s">
        <v>1181</v>
      </c>
      <c r="C1065" s="10" t="s">
        <v>1122</v>
      </c>
      <c r="D1065" s="5" t="s">
        <v>1145</v>
      </c>
      <c r="E1065" s="5" t="s">
        <v>39</v>
      </c>
      <c r="F1065" s="5" t="str">
        <f t="shared" si="144"/>
        <v>IT-Analyst</v>
      </c>
      <c r="G1065" s="5" t="s">
        <v>147</v>
      </c>
      <c r="H1065" s="9">
        <v>44966.866122685184</v>
      </c>
      <c r="I1065" s="9">
        <v>44969.866122685184</v>
      </c>
      <c r="J1065" s="9" t="e">
        <f>I1065+#REF!</f>
        <v>#REF!</v>
      </c>
      <c r="K1065" s="9" t="e">
        <f>J1065+#REF!</f>
        <v>#REF!</v>
      </c>
      <c r="L1065" s="10" t="s">
        <v>41</v>
      </c>
      <c r="M1065" s="11">
        <v>44976.866122685184</v>
      </c>
      <c r="N1065" s="5" t="s">
        <v>42</v>
      </c>
      <c r="O1065" s="5" t="s">
        <v>113</v>
      </c>
      <c r="P1065" s="9"/>
      <c r="Q1065" s="5"/>
      <c r="R1065" s="5"/>
      <c r="S1065" s="5"/>
      <c r="T1065" s="9">
        <v>44979.866122685184</v>
      </c>
      <c r="U1065" s="5"/>
      <c r="V1065" s="5">
        <v>0</v>
      </c>
      <c r="W1065" s="5"/>
      <c r="X1065" s="5"/>
      <c r="Y1065" s="5"/>
      <c r="Z1065" s="5"/>
      <c r="AA1065" s="5" t="s">
        <v>44</v>
      </c>
      <c r="AC1065">
        <f t="shared" si="145"/>
        <v>7</v>
      </c>
      <c r="AD1065" t="str">
        <f t="shared" si="146"/>
        <v/>
      </c>
      <c r="AE1065">
        <f t="shared" si="147"/>
        <v>3</v>
      </c>
      <c r="AF1065" t="str">
        <f t="shared" si="148"/>
        <v/>
      </c>
      <c r="AG1065" t="str">
        <f t="shared" si="149"/>
        <v/>
      </c>
      <c r="AH1065">
        <f t="shared" si="150"/>
        <v>3</v>
      </c>
      <c r="AI1065" t="str">
        <f t="shared" si="151"/>
        <v/>
      </c>
      <c r="AJ1065" t="str">
        <f t="shared" si="152"/>
        <v/>
      </c>
    </row>
    <row r="1066" spans="1:36">
      <c r="A1066" s="5">
        <v>1169</v>
      </c>
      <c r="B1066" s="5" t="s">
        <v>1275</v>
      </c>
      <c r="C1066" s="10" t="s">
        <v>1215</v>
      </c>
      <c r="D1066" s="5" t="s">
        <v>1249</v>
      </c>
      <c r="E1066" s="5" t="s">
        <v>1250</v>
      </c>
      <c r="F1066" s="5" t="str">
        <f t="shared" si="144"/>
        <v>HR-Screening Associate</v>
      </c>
      <c r="G1066" s="5" t="s">
        <v>40</v>
      </c>
      <c r="H1066" s="9">
        <v>44968.866122685184</v>
      </c>
      <c r="I1066" s="9">
        <v>44972.866122685184</v>
      </c>
      <c r="J1066" s="9" t="e">
        <f>I1066+#REF!</f>
        <v>#REF!</v>
      </c>
      <c r="K1066" s="9" t="e">
        <f>J1066+#REF!</f>
        <v>#REF!</v>
      </c>
      <c r="L1066" s="10" t="s">
        <v>41</v>
      </c>
      <c r="M1066" s="11">
        <v>44985.866122685184</v>
      </c>
      <c r="N1066" s="5" t="s">
        <v>42</v>
      </c>
      <c r="O1066" s="5" t="s">
        <v>73</v>
      </c>
      <c r="P1066" s="9"/>
      <c r="Q1066" s="5"/>
      <c r="R1066" s="5"/>
      <c r="S1066" s="5"/>
      <c r="T1066" s="9"/>
      <c r="U1066" s="5"/>
      <c r="V1066" s="5">
        <v>0</v>
      </c>
      <c r="W1066" s="5"/>
      <c r="X1066" s="5"/>
      <c r="Y1066" s="5"/>
      <c r="Z1066" s="5"/>
      <c r="AA1066" s="5" t="s">
        <v>44</v>
      </c>
      <c r="AC1066">
        <f t="shared" si="145"/>
        <v>13</v>
      </c>
      <c r="AD1066" t="str">
        <f t="shared" si="146"/>
        <v/>
      </c>
      <c r="AE1066" t="str">
        <f t="shared" si="147"/>
        <v/>
      </c>
      <c r="AF1066" t="str">
        <f t="shared" si="148"/>
        <v/>
      </c>
      <c r="AG1066" t="str">
        <f t="shared" si="149"/>
        <v/>
      </c>
      <c r="AH1066">
        <f t="shared" si="150"/>
        <v>4</v>
      </c>
      <c r="AI1066" t="str">
        <f t="shared" si="151"/>
        <v/>
      </c>
      <c r="AJ1066" t="str">
        <f t="shared" si="152"/>
        <v/>
      </c>
    </row>
    <row r="1067" spans="1:36">
      <c r="A1067" s="5">
        <v>1171</v>
      </c>
      <c r="B1067" s="5" t="s">
        <v>1498</v>
      </c>
      <c r="C1067" s="5" t="s">
        <v>1332</v>
      </c>
      <c r="D1067" s="5" t="s">
        <v>1448</v>
      </c>
      <c r="E1067" s="5" t="s">
        <v>1484</v>
      </c>
      <c r="F1067" s="5" t="str">
        <f t="shared" si="144"/>
        <v>Fundraising-Review Associate</v>
      </c>
      <c r="G1067" s="5" t="s">
        <v>40</v>
      </c>
      <c r="H1067" s="9">
        <v>45059.041770833333</v>
      </c>
      <c r="I1067" s="9">
        <v>45062.041770833333</v>
      </c>
      <c r="J1067" s="9" t="e">
        <f>I1067+#REF!</f>
        <v>#REF!</v>
      </c>
      <c r="K1067" s="9" t="e">
        <f>J1067+#REF!</f>
        <v>#REF!</v>
      </c>
      <c r="L1067" s="10" t="s">
        <v>41</v>
      </c>
      <c r="M1067" s="11">
        <v>45073.041770833333</v>
      </c>
      <c r="N1067" s="5" t="s">
        <v>42</v>
      </c>
      <c r="O1067" s="5" t="s">
        <v>73</v>
      </c>
      <c r="P1067" s="9"/>
      <c r="Q1067" s="5"/>
      <c r="R1067" s="5"/>
      <c r="S1067" s="5"/>
      <c r="T1067" s="9">
        <v>45077.041770833333</v>
      </c>
      <c r="U1067" s="5"/>
      <c r="V1067" s="5">
        <v>0</v>
      </c>
      <c r="W1067" s="5"/>
      <c r="X1067" s="5"/>
      <c r="Y1067" s="5"/>
      <c r="Z1067" s="5"/>
      <c r="AA1067" s="5" t="s">
        <v>44</v>
      </c>
      <c r="AC1067">
        <f t="shared" si="145"/>
        <v>11</v>
      </c>
      <c r="AD1067" t="str">
        <f t="shared" si="146"/>
        <v/>
      </c>
      <c r="AE1067">
        <f t="shared" si="147"/>
        <v>4</v>
      </c>
      <c r="AF1067" t="str">
        <f t="shared" si="148"/>
        <v/>
      </c>
      <c r="AG1067" t="str">
        <f t="shared" si="149"/>
        <v/>
      </c>
      <c r="AH1067">
        <f t="shared" si="150"/>
        <v>3</v>
      </c>
      <c r="AI1067" t="str">
        <f t="shared" si="151"/>
        <v/>
      </c>
      <c r="AJ1067" t="str">
        <f t="shared" si="152"/>
        <v/>
      </c>
    </row>
    <row r="1068" spans="1:36">
      <c r="A1068" s="5">
        <v>1172</v>
      </c>
      <c r="B1068" s="5" t="s">
        <v>2468</v>
      </c>
      <c r="C1068" s="5" t="s">
        <v>2229</v>
      </c>
      <c r="D1068" s="5" t="s">
        <v>2445</v>
      </c>
      <c r="E1068" s="5" t="s">
        <v>388</v>
      </c>
      <c r="F1068" s="5" t="str">
        <f t="shared" si="144"/>
        <v>Capacity Building-Extension Officer</v>
      </c>
      <c r="G1068" s="5" t="s">
        <v>47</v>
      </c>
      <c r="H1068" s="9">
        <v>45060.041770833333</v>
      </c>
      <c r="I1068" s="9">
        <v>45062.041770833333</v>
      </c>
      <c r="J1068" s="9" t="e">
        <f>I1068+#REF!</f>
        <v>#REF!</v>
      </c>
      <c r="K1068" s="9" t="e">
        <f>J1068+#REF!</f>
        <v>#REF!</v>
      </c>
      <c r="L1068" s="10" t="s">
        <v>52</v>
      </c>
      <c r="M1068" s="11"/>
      <c r="N1068" s="5"/>
      <c r="O1068" s="5"/>
      <c r="P1068" s="9"/>
      <c r="Q1068" s="5"/>
      <c r="R1068" s="5"/>
      <c r="S1068" s="5"/>
      <c r="T1068" s="9"/>
      <c r="U1068" s="5"/>
      <c r="V1068" s="5">
        <v>0</v>
      </c>
      <c r="W1068" s="5"/>
      <c r="X1068" s="5"/>
      <c r="Y1068" s="5"/>
      <c r="Z1068" s="5"/>
      <c r="AA1068" s="5"/>
      <c r="AC1068" t="str">
        <f t="shared" si="145"/>
        <v/>
      </c>
      <c r="AD1068" t="str">
        <f t="shared" si="146"/>
        <v/>
      </c>
      <c r="AE1068" t="str">
        <f t="shared" si="147"/>
        <v/>
      </c>
      <c r="AF1068" t="str">
        <f t="shared" si="148"/>
        <v/>
      </c>
      <c r="AG1068" t="str">
        <f t="shared" si="149"/>
        <v/>
      </c>
      <c r="AH1068">
        <f t="shared" si="150"/>
        <v>2</v>
      </c>
      <c r="AI1068" t="str">
        <f t="shared" si="151"/>
        <v/>
      </c>
      <c r="AJ1068" t="str">
        <f t="shared" si="152"/>
        <v/>
      </c>
    </row>
    <row r="1069" spans="1:36">
      <c r="A1069" s="5">
        <v>1173</v>
      </c>
      <c r="B1069" s="5" t="s">
        <v>1535</v>
      </c>
      <c r="C1069" s="5" t="s">
        <v>1332</v>
      </c>
      <c r="D1069" s="5" t="s">
        <v>1500</v>
      </c>
      <c r="E1069" s="5" t="s">
        <v>815</v>
      </c>
      <c r="F1069" s="5" t="str">
        <f t="shared" si="144"/>
        <v>Fundraising-Auditor</v>
      </c>
      <c r="G1069" s="5" t="s">
        <v>47</v>
      </c>
      <c r="H1069" s="9">
        <v>45057.041770833333</v>
      </c>
      <c r="I1069" s="9">
        <v>45060.041770833333</v>
      </c>
      <c r="J1069" s="9" t="e">
        <f>I1069+#REF!</f>
        <v>#REF!</v>
      </c>
      <c r="K1069" s="9" t="e">
        <f>J1069+#REF!</f>
        <v>#REF!</v>
      </c>
      <c r="L1069" s="10" t="s">
        <v>41</v>
      </c>
      <c r="M1069" s="11">
        <v>45083.041770833333</v>
      </c>
      <c r="N1069" s="5" t="s">
        <v>48</v>
      </c>
      <c r="O1069" s="5"/>
      <c r="P1069" s="9">
        <v>45086.041770833333</v>
      </c>
      <c r="Q1069" s="5" t="s">
        <v>48</v>
      </c>
      <c r="R1069" s="5"/>
      <c r="S1069" s="5"/>
      <c r="T1069" s="9">
        <v>45085.041770833333</v>
      </c>
      <c r="U1069" s="5"/>
      <c r="V1069" s="5">
        <v>0</v>
      </c>
      <c r="W1069" s="5"/>
      <c r="X1069" s="5"/>
      <c r="Y1069" s="5"/>
      <c r="Z1069" s="5"/>
      <c r="AA1069" s="5"/>
      <c r="AC1069">
        <f t="shared" si="145"/>
        <v>23</v>
      </c>
      <c r="AD1069" t="str">
        <f t="shared" si="146"/>
        <v/>
      </c>
      <c r="AE1069">
        <f t="shared" si="147"/>
        <v>2</v>
      </c>
      <c r="AF1069" t="str">
        <f t="shared" si="148"/>
        <v/>
      </c>
      <c r="AG1069" t="str">
        <f t="shared" si="149"/>
        <v/>
      </c>
      <c r="AH1069">
        <f t="shared" si="150"/>
        <v>3</v>
      </c>
      <c r="AI1069" t="str">
        <f t="shared" si="151"/>
        <v/>
      </c>
      <c r="AJ1069" t="str">
        <f t="shared" si="152"/>
        <v/>
      </c>
    </row>
    <row r="1070" spans="1:36">
      <c r="A1070" s="5">
        <v>1174</v>
      </c>
      <c r="B1070" s="5" t="s">
        <v>2372</v>
      </c>
      <c r="C1070" s="5" t="s">
        <v>2229</v>
      </c>
      <c r="D1070" s="5" t="s">
        <v>2350</v>
      </c>
      <c r="E1070" s="5" t="s">
        <v>2351</v>
      </c>
      <c r="F1070" s="5" t="str">
        <f t="shared" si="144"/>
        <v>Capacity Building-Training Associate</v>
      </c>
      <c r="G1070" s="5" t="s">
        <v>40</v>
      </c>
      <c r="H1070" s="9">
        <v>45058.041770833333</v>
      </c>
      <c r="I1070" s="9">
        <v>45061.041770833333</v>
      </c>
      <c r="J1070" s="9" t="e">
        <f>I1070+#REF!</f>
        <v>#REF!</v>
      </c>
      <c r="K1070" s="9" t="e">
        <f>J1070+#REF!</f>
        <v>#REF!</v>
      </c>
      <c r="L1070" s="10" t="s">
        <v>41</v>
      </c>
      <c r="M1070" s="11">
        <v>45083.041770833333</v>
      </c>
      <c r="N1070" s="5" t="s">
        <v>64</v>
      </c>
      <c r="O1070" s="5"/>
      <c r="P1070" s="9">
        <v>45088.041770833333</v>
      </c>
      <c r="Q1070" s="5" t="s">
        <v>64</v>
      </c>
      <c r="R1070" s="9">
        <v>45085.041770833333</v>
      </c>
      <c r="S1070" s="9">
        <v>45089.041770833333</v>
      </c>
      <c r="T1070" s="9">
        <v>45085.041770833333</v>
      </c>
      <c r="U1070" s="9">
        <v>45090.041770833333</v>
      </c>
      <c r="V1070" s="12">
        <v>1</v>
      </c>
      <c r="W1070" s="9">
        <v>45092.041770833333</v>
      </c>
      <c r="X1070" s="9">
        <v>45094.041770833333</v>
      </c>
      <c r="Y1070" s="9">
        <v>45096.041770833333</v>
      </c>
      <c r="Z1070" s="5"/>
      <c r="AA1070" s="5"/>
      <c r="AB1070" s="13">
        <v>45117.041770833333</v>
      </c>
      <c r="AC1070">
        <f t="shared" si="145"/>
        <v>22</v>
      </c>
      <c r="AD1070">
        <f t="shared" si="146"/>
        <v>28</v>
      </c>
      <c r="AE1070">
        <f t="shared" si="147"/>
        <v>2</v>
      </c>
      <c r="AF1070">
        <f t="shared" si="148"/>
        <v>4</v>
      </c>
      <c r="AG1070">
        <f t="shared" si="149"/>
        <v>2</v>
      </c>
      <c r="AH1070">
        <f t="shared" si="150"/>
        <v>3</v>
      </c>
      <c r="AI1070" t="str">
        <f t="shared" si="151"/>
        <v/>
      </c>
      <c r="AJ1070" t="str">
        <f t="shared" si="152"/>
        <v/>
      </c>
    </row>
    <row r="1071" spans="1:36">
      <c r="A1071" s="5">
        <v>1175</v>
      </c>
      <c r="B1071" s="5" t="s">
        <v>2467</v>
      </c>
      <c r="C1071" s="5" t="s">
        <v>2229</v>
      </c>
      <c r="D1071" s="5" t="s">
        <v>2445</v>
      </c>
      <c r="E1071" s="5" t="s">
        <v>388</v>
      </c>
      <c r="F1071" s="5" t="str">
        <f t="shared" si="144"/>
        <v>Capacity Building-Extension Officer</v>
      </c>
      <c r="G1071" s="5" t="s">
        <v>47</v>
      </c>
      <c r="H1071" s="9">
        <v>45061.041770833333</v>
      </c>
      <c r="I1071" s="9">
        <v>45064.041770833333</v>
      </c>
      <c r="J1071" s="9" t="e">
        <f>I1071+#REF!</f>
        <v>#REF!</v>
      </c>
      <c r="K1071" s="9" t="e">
        <f>J1071+#REF!</f>
        <v>#REF!</v>
      </c>
      <c r="L1071" s="10" t="s">
        <v>41</v>
      </c>
      <c r="M1071" s="11">
        <v>45072.041770833333</v>
      </c>
      <c r="N1071" s="5" t="s">
        <v>64</v>
      </c>
      <c r="O1071" s="5"/>
      <c r="P1071" s="9">
        <v>45078.041770833333</v>
      </c>
      <c r="Q1071" s="5" t="s">
        <v>64</v>
      </c>
      <c r="R1071" s="9">
        <v>45074.041770833333</v>
      </c>
      <c r="S1071" s="9">
        <v>45077.041770833333</v>
      </c>
      <c r="T1071" s="9">
        <v>45074.041770833333</v>
      </c>
      <c r="U1071" s="9">
        <v>45080.041770833333</v>
      </c>
      <c r="V1071" s="12">
        <v>1</v>
      </c>
      <c r="W1071" s="9">
        <v>45082.041770833333</v>
      </c>
      <c r="X1071" s="9">
        <v>45084.041770833333</v>
      </c>
      <c r="Y1071" s="9">
        <v>45087.041770833333</v>
      </c>
      <c r="Z1071" s="5"/>
      <c r="AA1071" s="5"/>
      <c r="AB1071" s="13">
        <v>45094.041770833333</v>
      </c>
      <c r="AC1071">
        <f t="shared" si="145"/>
        <v>8</v>
      </c>
      <c r="AD1071">
        <f t="shared" si="146"/>
        <v>13</v>
      </c>
      <c r="AE1071">
        <f t="shared" si="147"/>
        <v>2</v>
      </c>
      <c r="AF1071">
        <f t="shared" si="148"/>
        <v>4</v>
      </c>
      <c r="AG1071">
        <f t="shared" si="149"/>
        <v>2</v>
      </c>
      <c r="AH1071">
        <f t="shared" si="150"/>
        <v>3</v>
      </c>
      <c r="AI1071" t="str">
        <f t="shared" si="151"/>
        <v/>
      </c>
      <c r="AJ1071" t="str">
        <f t="shared" si="152"/>
        <v/>
      </c>
    </row>
    <row r="1072" spans="1:36">
      <c r="A1072" s="5">
        <v>1177</v>
      </c>
      <c r="B1072" s="5" t="s">
        <v>1354</v>
      </c>
      <c r="C1072" s="5" t="s">
        <v>1332</v>
      </c>
      <c r="D1072" s="5" t="s">
        <v>1333</v>
      </c>
      <c r="E1072" s="5" t="s">
        <v>102</v>
      </c>
      <c r="F1072" s="5" t="str">
        <f t="shared" si="144"/>
        <v>Fundraising-Senior Manager</v>
      </c>
      <c r="G1072" s="5" t="s">
        <v>103</v>
      </c>
      <c r="H1072" s="9">
        <v>45060.041770833333</v>
      </c>
      <c r="I1072" s="9">
        <v>45061.041770833333</v>
      </c>
      <c r="J1072" s="9" t="e">
        <f>I1072+#REF!</f>
        <v>#REF!</v>
      </c>
      <c r="K1072" s="9" t="e">
        <f>J1072+#REF!</f>
        <v>#REF!</v>
      </c>
      <c r="L1072" s="10" t="s">
        <v>41</v>
      </c>
      <c r="M1072" s="11">
        <v>45077.041770833333</v>
      </c>
      <c r="N1072" s="5" t="s">
        <v>42</v>
      </c>
      <c r="O1072" s="5" t="s">
        <v>98</v>
      </c>
      <c r="P1072" s="9"/>
      <c r="Q1072" s="5"/>
      <c r="R1072" s="5"/>
      <c r="S1072" s="5"/>
      <c r="T1072" s="9"/>
      <c r="U1072" s="5"/>
      <c r="V1072" s="5">
        <v>0</v>
      </c>
      <c r="W1072" s="5"/>
      <c r="X1072" s="5"/>
      <c r="Y1072" s="5"/>
      <c r="Z1072" s="5"/>
      <c r="AA1072" s="5" t="s">
        <v>62</v>
      </c>
      <c r="AC1072">
        <f t="shared" si="145"/>
        <v>16</v>
      </c>
      <c r="AD1072" t="str">
        <f t="shared" si="146"/>
        <v/>
      </c>
      <c r="AE1072" t="str">
        <f t="shared" si="147"/>
        <v/>
      </c>
      <c r="AF1072" t="str">
        <f t="shared" si="148"/>
        <v/>
      </c>
      <c r="AG1072" t="str">
        <f t="shared" si="149"/>
        <v/>
      </c>
      <c r="AH1072">
        <f t="shared" si="150"/>
        <v>1</v>
      </c>
      <c r="AI1072" t="str">
        <f t="shared" si="151"/>
        <v/>
      </c>
      <c r="AJ1072" t="str">
        <f t="shared" si="152"/>
        <v/>
      </c>
    </row>
    <row r="1073" spans="1:36">
      <c r="A1073" s="5">
        <v>1178</v>
      </c>
      <c r="B1073" s="5" t="s">
        <v>2264</v>
      </c>
      <c r="C1073" s="5" t="s">
        <v>2229</v>
      </c>
      <c r="D1073" s="5" t="s">
        <v>2250</v>
      </c>
      <c r="E1073" s="5" t="s">
        <v>388</v>
      </c>
      <c r="F1073" s="5" t="str">
        <f t="shared" si="144"/>
        <v>Capacity Building-Extension Officer</v>
      </c>
      <c r="G1073" s="5" t="s">
        <v>147</v>
      </c>
      <c r="H1073" s="9">
        <v>45063.041770833333</v>
      </c>
      <c r="I1073" s="9">
        <v>45065.041770833333</v>
      </c>
      <c r="J1073" s="9" t="e">
        <f>I1073+#REF!</f>
        <v>#REF!</v>
      </c>
      <c r="K1073" s="9" t="e">
        <f>J1073+#REF!</f>
        <v>#REF!</v>
      </c>
      <c r="L1073" s="10" t="s">
        <v>41</v>
      </c>
      <c r="M1073" s="11">
        <v>45079.041770833333</v>
      </c>
      <c r="N1073" s="5" t="s">
        <v>64</v>
      </c>
      <c r="O1073" s="5"/>
      <c r="P1073" s="9">
        <v>45086.041770833333</v>
      </c>
      <c r="Q1073" s="5" t="s">
        <v>64</v>
      </c>
      <c r="R1073" s="9">
        <v>45080.041770833333</v>
      </c>
      <c r="S1073" s="9">
        <v>45081.041770833333</v>
      </c>
      <c r="T1073" s="9">
        <v>45082.041770833333</v>
      </c>
      <c r="U1073" s="9">
        <v>45086.041770833333</v>
      </c>
      <c r="V1073" s="12">
        <v>1</v>
      </c>
      <c r="W1073" s="9">
        <v>45087.041770833333</v>
      </c>
      <c r="X1073" s="9">
        <v>45089.041770833333</v>
      </c>
      <c r="Y1073" s="9">
        <v>45090.041770833333</v>
      </c>
      <c r="Z1073" s="5"/>
      <c r="AA1073" s="5"/>
      <c r="AB1073" s="13">
        <v>45099.041770833333</v>
      </c>
      <c r="AC1073">
        <f t="shared" si="145"/>
        <v>14</v>
      </c>
      <c r="AD1073">
        <f t="shared" si="146"/>
        <v>16</v>
      </c>
      <c r="AE1073">
        <f t="shared" si="147"/>
        <v>3</v>
      </c>
      <c r="AF1073">
        <f t="shared" si="148"/>
        <v>3</v>
      </c>
      <c r="AG1073">
        <f t="shared" si="149"/>
        <v>1</v>
      </c>
      <c r="AH1073">
        <f t="shared" si="150"/>
        <v>2</v>
      </c>
      <c r="AI1073" t="str">
        <f t="shared" si="151"/>
        <v/>
      </c>
      <c r="AJ1073" t="str">
        <f t="shared" si="152"/>
        <v/>
      </c>
    </row>
    <row r="1074" spans="1:36">
      <c r="A1074" s="5">
        <v>1179</v>
      </c>
      <c r="B1074" s="5" t="s">
        <v>1409</v>
      </c>
      <c r="C1074" s="5" t="s">
        <v>1332</v>
      </c>
      <c r="D1074" s="5" t="s">
        <v>1359</v>
      </c>
      <c r="E1074" s="5" t="s">
        <v>1360</v>
      </c>
      <c r="F1074" s="5" t="str">
        <f t="shared" si="144"/>
        <v>Fundraising-Fund Administrator</v>
      </c>
      <c r="G1074" s="5" t="s">
        <v>147</v>
      </c>
      <c r="H1074" s="9">
        <v>45061.041770833333</v>
      </c>
      <c r="I1074" s="9">
        <v>45065.041770833333</v>
      </c>
      <c r="J1074" s="9" t="e">
        <f>I1074+#REF!</f>
        <v>#REF!</v>
      </c>
      <c r="K1074" s="9" t="e">
        <f>J1074+#REF!</f>
        <v>#REF!</v>
      </c>
      <c r="L1074" s="10" t="s">
        <v>41</v>
      </c>
      <c r="M1074" s="11">
        <v>45084.041770833333</v>
      </c>
      <c r="N1074" s="5" t="s">
        <v>42</v>
      </c>
      <c r="O1074" s="5" t="s">
        <v>43</v>
      </c>
      <c r="P1074" s="9"/>
      <c r="Q1074" s="5"/>
      <c r="R1074" s="5"/>
      <c r="S1074" s="5"/>
      <c r="T1074" s="9">
        <v>45085.041770833333</v>
      </c>
      <c r="U1074" s="5"/>
      <c r="V1074" s="5">
        <v>0</v>
      </c>
      <c r="W1074" s="5"/>
      <c r="X1074" s="5"/>
      <c r="Y1074" s="5"/>
      <c r="Z1074" s="5"/>
      <c r="AA1074" s="5" t="s">
        <v>44</v>
      </c>
      <c r="AC1074">
        <f t="shared" si="145"/>
        <v>19</v>
      </c>
      <c r="AD1074" t="str">
        <f t="shared" si="146"/>
        <v/>
      </c>
      <c r="AE1074">
        <f t="shared" si="147"/>
        <v>1</v>
      </c>
      <c r="AF1074" t="str">
        <f t="shared" si="148"/>
        <v/>
      </c>
      <c r="AG1074" t="str">
        <f t="shared" si="149"/>
        <v/>
      </c>
      <c r="AH1074">
        <f t="shared" si="150"/>
        <v>4</v>
      </c>
      <c r="AI1074" t="str">
        <f t="shared" si="151"/>
        <v/>
      </c>
      <c r="AJ1074" t="str">
        <f t="shared" si="152"/>
        <v/>
      </c>
    </row>
    <row r="1075" spans="1:36">
      <c r="A1075" s="5">
        <v>1180</v>
      </c>
      <c r="B1075" s="5" t="s">
        <v>1534</v>
      </c>
      <c r="C1075" s="5" t="s">
        <v>1332</v>
      </c>
      <c r="D1075" s="5" t="s">
        <v>1500</v>
      </c>
      <c r="E1075" s="5" t="s">
        <v>815</v>
      </c>
      <c r="F1075" s="5" t="str">
        <f t="shared" si="144"/>
        <v>Fundraising-Auditor</v>
      </c>
      <c r="G1075" s="5" t="s">
        <v>47</v>
      </c>
      <c r="H1075" s="9">
        <v>45062.041770833333</v>
      </c>
      <c r="I1075" s="9">
        <v>45064.041770833333</v>
      </c>
      <c r="J1075" s="9" t="e">
        <f>I1075+#REF!</f>
        <v>#REF!</v>
      </c>
      <c r="K1075" s="9" t="e">
        <f>J1075+#REF!</f>
        <v>#REF!</v>
      </c>
      <c r="L1075" s="10" t="s">
        <v>41</v>
      </c>
      <c r="M1075" s="11">
        <v>45076.041770833333</v>
      </c>
      <c r="N1075" s="5" t="s">
        <v>167</v>
      </c>
      <c r="O1075" s="5"/>
      <c r="P1075" s="9">
        <v>45078.041770833333</v>
      </c>
      <c r="Q1075" s="5" t="s">
        <v>167</v>
      </c>
      <c r="R1075" s="5"/>
      <c r="S1075" s="5"/>
      <c r="T1075" s="9">
        <v>45077.041770833333</v>
      </c>
      <c r="U1075" s="5"/>
      <c r="V1075" s="5">
        <v>0</v>
      </c>
      <c r="W1075" s="5"/>
      <c r="X1075" s="5"/>
      <c r="Y1075" s="5"/>
      <c r="Z1075" s="5"/>
      <c r="AA1075" s="5"/>
      <c r="AC1075">
        <f t="shared" si="145"/>
        <v>12</v>
      </c>
      <c r="AD1075" t="str">
        <f t="shared" si="146"/>
        <v/>
      </c>
      <c r="AE1075">
        <f t="shared" si="147"/>
        <v>1</v>
      </c>
      <c r="AF1075" t="str">
        <f t="shared" si="148"/>
        <v/>
      </c>
      <c r="AG1075" t="str">
        <f t="shared" si="149"/>
        <v/>
      </c>
      <c r="AH1075">
        <f t="shared" si="150"/>
        <v>2</v>
      </c>
      <c r="AI1075" t="str">
        <f t="shared" si="151"/>
        <v/>
      </c>
      <c r="AJ1075" t="str">
        <f t="shared" si="152"/>
        <v/>
      </c>
    </row>
    <row r="1076" spans="1:36">
      <c r="A1076" s="5">
        <v>1181</v>
      </c>
      <c r="B1076" s="5" t="s">
        <v>1322</v>
      </c>
      <c r="C1076" s="10" t="s">
        <v>1215</v>
      </c>
      <c r="D1076" s="5" t="s">
        <v>1287</v>
      </c>
      <c r="E1076" s="5" t="s">
        <v>597</v>
      </c>
      <c r="F1076" s="5" t="str">
        <f t="shared" si="144"/>
        <v>HR-Business Partner</v>
      </c>
      <c r="G1076" s="5" t="s">
        <v>47</v>
      </c>
      <c r="H1076" s="9">
        <v>45076.784872685188</v>
      </c>
      <c r="I1076" s="9">
        <v>45079.784872685188</v>
      </c>
      <c r="J1076" s="9" t="e">
        <f>I1076+#REF!</f>
        <v>#REF!</v>
      </c>
      <c r="K1076" s="9" t="e">
        <f>J1076+#REF!</f>
        <v>#REF!</v>
      </c>
      <c r="L1076" s="10" t="s">
        <v>41</v>
      </c>
      <c r="M1076" s="11">
        <v>45083.784872685188</v>
      </c>
      <c r="N1076" s="5" t="s">
        <v>48</v>
      </c>
      <c r="O1076" s="5"/>
      <c r="P1076" s="9">
        <v>45087.784872685188</v>
      </c>
      <c r="Q1076" s="5" t="s">
        <v>48</v>
      </c>
      <c r="R1076" s="5"/>
      <c r="S1076" s="5"/>
      <c r="T1076" s="9">
        <v>45084.784872685188</v>
      </c>
      <c r="U1076" s="5"/>
      <c r="V1076" s="5">
        <v>0</v>
      </c>
      <c r="W1076" s="5"/>
      <c r="X1076" s="5"/>
      <c r="Y1076" s="5"/>
      <c r="Z1076" s="5"/>
      <c r="AA1076" s="5"/>
      <c r="AC1076">
        <f t="shared" si="145"/>
        <v>4</v>
      </c>
      <c r="AD1076" t="str">
        <f t="shared" si="146"/>
        <v/>
      </c>
      <c r="AE1076">
        <f t="shared" si="147"/>
        <v>1</v>
      </c>
      <c r="AF1076" t="str">
        <f t="shared" si="148"/>
        <v/>
      </c>
      <c r="AG1076" t="str">
        <f t="shared" si="149"/>
        <v/>
      </c>
      <c r="AH1076">
        <f t="shared" si="150"/>
        <v>3</v>
      </c>
      <c r="AI1076" t="str">
        <f t="shared" si="151"/>
        <v/>
      </c>
      <c r="AJ1076" t="str">
        <f t="shared" si="152"/>
        <v/>
      </c>
    </row>
    <row r="1077" spans="1:36">
      <c r="A1077" s="5">
        <v>1183</v>
      </c>
      <c r="B1077" s="5" t="s">
        <v>1321</v>
      </c>
      <c r="C1077" s="10" t="s">
        <v>1215</v>
      </c>
      <c r="D1077" s="5" t="s">
        <v>1287</v>
      </c>
      <c r="E1077" s="5" t="s">
        <v>597</v>
      </c>
      <c r="F1077" s="5" t="str">
        <f t="shared" si="144"/>
        <v>HR-Business Partner</v>
      </c>
      <c r="G1077" s="5" t="s">
        <v>47</v>
      </c>
      <c r="H1077" s="9">
        <v>45071.784872685188</v>
      </c>
      <c r="I1077" s="9">
        <v>45074.784872685188</v>
      </c>
      <c r="J1077" s="9" t="e">
        <f>I1077+#REF!</f>
        <v>#REF!</v>
      </c>
      <c r="K1077" s="9" t="e">
        <f>J1077+#REF!</f>
        <v>#REF!</v>
      </c>
      <c r="L1077" s="10" t="s">
        <v>41</v>
      </c>
      <c r="M1077" s="11">
        <v>45081.784872685188</v>
      </c>
      <c r="N1077" s="5" t="s">
        <v>42</v>
      </c>
      <c r="O1077" s="5" t="s">
        <v>113</v>
      </c>
      <c r="P1077" s="9"/>
      <c r="Q1077" s="5"/>
      <c r="R1077" s="5"/>
      <c r="S1077" s="5"/>
      <c r="T1077" s="9">
        <v>45085.784872685188</v>
      </c>
      <c r="U1077" s="5"/>
      <c r="V1077" s="5">
        <v>0</v>
      </c>
      <c r="W1077" s="5"/>
      <c r="X1077" s="5"/>
      <c r="Y1077" s="5"/>
      <c r="Z1077" s="5"/>
      <c r="AA1077" s="5" t="s">
        <v>62</v>
      </c>
      <c r="AC1077">
        <f t="shared" si="145"/>
        <v>7</v>
      </c>
      <c r="AD1077" t="str">
        <f t="shared" si="146"/>
        <v/>
      </c>
      <c r="AE1077">
        <f t="shared" si="147"/>
        <v>4</v>
      </c>
      <c r="AF1077" t="str">
        <f t="shared" si="148"/>
        <v/>
      </c>
      <c r="AG1077" t="str">
        <f t="shared" si="149"/>
        <v/>
      </c>
      <c r="AH1077">
        <f t="shared" si="150"/>
        <v>3</v>
      </c>
      <c r="AI1077" t="str">
        <f t="shared" si="151"/>
        <v/>
      </c>
      <c r="AJ1077" t="str">
        <f t="shared" si="152"/>
        <v/>
      </c>
    </row>
    <row r="1078" spans="1:36">
      <c r="A1078" s="5">
        <v>1184</v>
      </c>
      <c r="B1078" s="5" t="s">
        <v>1320</v>
      </c>
      <c r="C1078" s="10" t="s">
        <v>1215</v>
      </c>
      <c r="D1078" s="5" t="s">
        <v>1287</v>
      </c>
      <c r="E1078" s="5" t="s">
        <v>1146</v>
      </c>
      <c r="F1078" s="5" t="str">
        <f t="shared" si="144"/>
        <v>HR-Quality Assurance</v>
      </c>
      <c r="G1078" s="5" t="s">
        <v>47</v>
      </c>
      <c r="H1078" s="9">
        <v>45071.784872685188</v>
      </c>
      <c r="I1078" s="9">
        <v>45074.784872685188</v>
      </c>
      <c r="J1078" s="9" t="e">
        <f>I1078+#REF!</f>
        <v>#REF!</v>
      </c>
      <c r="K1078" s="9" t="e">
        <f>J1078+#REF!</f>
        <v>#REF!</v>
      </c>
      <c r="L1078" s="10" t="s">
        <v>41</v>
      </c>
      <c r="M1078" s="11">
        <v>45089.784872685188</v>
      </c>
      <c r="N1078" s="5" t="s">
        <v>42</v>
      </c>
      <c r="O1078" s="5" t="s">
        <v>58</v>
      </c>
      <c r="P1078" s="9"/>
      <c r="Q1078" s="5"/>
      <c r="R1078" s="5"/>
      <c r="S1078" s="5"/>
      <c r="T1078" s="9">
        <v>45091.784872685188</v>
      </c>
      <c r="U1078" s="5"/>
      <c r="V1078" s="5">
        <v>0</v>
      </c>
      <c r="W1078" s="5"/>
      <c r="X1078" s="5"/>
      <c r="Y1078" s="5"/>
      <c r="Z1078" s="5"/>
      <c r="AA1078" s="5" t="s">
        <v>62</v>
      </c>
      <c r="AC1078">
        <f t="shared" si="145"/>
        <v>15</v>
      </c>
      <c r="AD1078" t="str">
        <f t="shared" si="146"/>
        <v/>
      </c>
      <c r="AE1078">
        <f t="shared" si="147"/>
        <v>2</v>
      </c>
      <c r="AF1078" t="str">
        <f t="shared" si="148"/>
        <v/>
      </c>
      <c r="AG1078" t="str">
        <f t="shared" si="149"/>
        <v/>
      </c>
      <c r="AH1078">
        <f t="shared" si="150"/>
        <v>3</v>
      </c>
      <c r="AI1078" t="str">
        <f t="shared" si="151"/>
        <v/>
      </c>
      <c r="AJ1078" t="str">
        <f t="shared" si="152"/>
        <v/>
      </c>
    </row>
    <row r="1079" spans="1:36">
      <c r="A1079" s="5">
        <v>1186</v>
      </c>
      <c r="B1079" s="5" t="s">
        <v>688</v>
      </c>
      <c r="C1079" s="10" t="s">
        <v>671</v>
      </c>
      <c r="D1079" s="5" t="s">
        <v>672</v>
      </c>
      <c r="E1079" s="5" t="s">
        <v>597</v>
      </c>
      <c r="F1079" s="5" t="str">
        <f t="shared" si="144"/>
        <v>Operations-Business Partner</v>
      </c>
      <c r="G1079" s="5" t="s">
        <v>40</v>
      </c>
      <c r="H1079" s="9">
        <v>45072.784872685188</v>
      </c>
      <c r="I1079" s="9">
        <v>45076.784872685188</v>
      </c>
      <c r="J1079" s="9" t="e">
        <f>I1079+#REF!</f>
        <v>#REF!</v>
      </c>
      <c r="K1079" s="9" t="e">
        <f>J1079+#REF!</f>
        <v>#REF!</v>
      </c>
      <c r="L1079" s="10" t="s">
        <v>52</v>
      </c>
      <c r="M1079" s="11"/>
      <c r="N1079" s="5"/>
      <c r="O1079" s="5"/>
      <c r="P1079" s="9"/>
      <c r="Q1079" s="5"/>
      <c r="R1079" s="5"/>
      <c r="S1079" s="5"/>
      <c r="T1079" s="9"/>
      <c r="U1079" s="5"/>
      <c r="V1079" s="5">
        <v>0</v>
      </c>
      <c r="W1079" s="5"/>
      <c r="X1079" s="5"/>
      <c r="Y1079" s="5"/>
      <c r="Z1079" s="5"/>
      <c r="AA1079" s="5"/>
      <c r="AC1079" t="str">
        <f t="shared" si="145"/>
        <v/>
      </c>
      <c r="AD1079" t="str">
        <f t="shared" si="146"/>
        <v/>
      </c>
      <c r="AE1079" t="str">
        <f t="shared" si="147"/>
        <v/>
      </c>
      <c r="AF1079" t="str">
        <f t="shared" si="148"/>
        <v/>
      </c>
      <c r="AG1079" t="str">
        <f t="shared" si="149"/>
        <v/>
      </c>
      <c r="AH1079">
        <f t="shared" si="150"/>
        <v>4</v>
      </c>
      <c r="AI1079" t="str">
        <f t="shared" si="151"/>
        <v/>
      </c>
      <c r="AJ1079" t="str">
        <f t="shared" si="152"/>
        <v/>
      </c>
    </row>
    <row r="1080" spans="1:36">
      <c r="A1080" s="5">
        <v>1187</v>
      </c>
      <c r="B1080" s="5" t="s">
        <v>1245</v>
      </c>
      <c r="C1080" s="10" t="s">
        <v>1215</v>
      </c>
      <c r="D1080" s="5" t="s">
        <v>1216</v>
      </c>
      <c r="E1080" s="5" t="s">
        <v>269</v>
      </c>
      <c r="F1080" s="5" t="str">
        <f t="shared" si="144"/>
        <v>HR-Manager</v>
      </c>
      <c r="G1080" s="5" t="s">
        <v>270</v>
      </c>
      <c r="H1080" s="9">
        <v>45077.784872685188</v>
      </c>
      <c r="I1080" s="9">
        <v>45078.784872685188</v>
      </c>
      <c r="J1080" s="9" t="e">
        <f>I1080+#REF!</f>
        <v>#REF!</v>
      </c>
      <c r="K1080" s="9" t="e">
        <f>J1080+#REF!</f>
        <v>#REF!</v>
      </c>
      <c r="L1080" s="10" t="s">
        <v>41</v>
      </c>
      <c r="M1080" s="11">
        <v>45087.784872685188</v>
      </c>
      <c r="N1080" s="5" t="s">
        <v>42</v>
      </c>
      <c r="O1080" s="5" t="s">
        <v>58</v>
      </c>
      <c r="P1080" s="9"/>
      <c r="Q1080" s="5"/>
      <c r="R1080" s="5"/>
      <c r="S1080" s="5"/>
      <c r="T1080" s="9">
        <v>45091.784872685188</v>
      </c>
      <c r="U1080" s="5"/>
      <c r="V1080" s="5">
        <v>0</v>
      </c>
      <c r="W1080" s="5"/>
      <c r="X1080" s="5"/>
      <c r="Y1080" s="5"/>
      <c r="Z1080" s="5"/>
      <c r="AA1080" s="5" t="s">
        <v>62</v>
      </c>
      <c r="AC1080">
        <f t="shared" si="145"/>
        <v>9</v>
      </c>
      <c r="AD1080" t="str">
        <f t="shared" si="146"/>
        <v/>
      </c>
      <c r="AE1080">
        <f t="shared" si="147"/>
        <v>4</v>
      </c>
      <c r="AF1080" t="str">
        <f t="shared" si="148"/>
        <v/>
      </c>
      <c r="AG1080" t="str">
        <f t="shared" si="149"/>
        <v/>
      </c>
      <c r="AH1080">
        <f t="shared" si="150"/>
        <v>1</v>
      </c>
      <c r="AI1080" t="str">
        <f t="shared" si="151"/>
        <v/>
      </c>
      <c r="AJ1080" t="str">
        <f t="shared" si="152"/>
        <v/>
      </c>
    </row>
    <row r="1081" spans="1:36">
      <c r="A1081" s="5">
        <v>1188</v>
      </c>
      <c r="B1081" s="5" t="s">
        <v>1180</v>
      </c>
      <c r="C1081" s="10" t="s">
        <v>1122</v>
      </c>
      <c r="D1081" s="5" t="s">
        <v>1145</v>
      </c>
      <c r="E1081" s="5" t="s">
        <v>39</v>
      </c>
      <c r="F1081" s="5" t="str">
        <f t="shared" si="144"/>
        <v>IT-Analyst</v>
      </c>
      <c r="G1081" s="5" t="s">
        <v>147</v>
      </c>
      <c r="H1081" s="9">
        <v>45072.784872685188</v>
      </c>
      <c r="I1081" s="9">
        <v>45074.784872685188</v>
      </c>
      <c r="J1081" s="9" t="e">
        <f>I1081+#REF!</f>
        <v>#REF!</v>
      </c>
      <c r="K1081" s="9" t="e">
        <f>J1081+#REF!</f>
        <v>#REF!</v>
      </c>
      <c r="L1081" s="10" t="s">
        <v>41</v>
      </c>
      <c r="M1081" s="11">
        <v>45091.784872685188</v>
      </c>
      <c r="N1081" s="5" t="s">
        <v>48</v>
      </c>
      <c r="O1081" s="5"/>
      <c r="P1081" s="9">
        <v>45096.784872685188</v>
      </c>
      <c r="Q1081" s="5" t="s">
        <v>48</v>
      </c>
      <c r="R1081" s="5"/>
      <c r="S1081" s="5"/>
      <c r="T1081" s="9">
        <v>45092.784872685188</v>
      </c>
      <c r="U1081" s="5"/>
      <c r="V1081" s="5">
        <v>0</v>
      </c>
      <c r="W1081" s="5"/>
      <c r="X1081" s="5"/>
      <c r="Y1081" s="5"/>
      <c r="Z1081" s="5"/>
      <c r="AA1081" s="5"/>
      <c r="AC1081">
        <f t="shared" si="145"/>
        <v>17</v>
      </c>
      <c r="AD1081" t="str">
        <f t="shared" si="146"/>
        <v/>
      </c>
      <c r="AE1081">
        <f t="shared" si="147"/>
        <v>1</v>
      </c>
      <c r="AF1081" t="str">
        <f t="shared" si="148"/>
        <v/>
      </c>
      <c r="AG1081" t="str">
        <f t="shared" si="149"/>
        <v/>
      </c>
      <c r="AH1081">
        <f t="shared" si="150"/>
        <v>2</v>
      </c>
      <c r="AI1081" t="str">
        <f t="shared" si="151"/>
        <v/>
      </c>
      <c r="AJ1081" t="str">
        <f t="shared" si="152"/>
        <v/>
      </c>
    </row>
    <row r="1082" spans="1:36">
      <c r="A1082" s="5">
        <v>1190</v>
      </c>
      <c r="B1082" s="5" t="s">
        <v>1244</v>
      </c>
      <c r="C1082" s="10" t="s">
        <v>1215</v>
      </c>
      <c r="D1082" s="5" t="s">
        <v>1216</v>
      </c>
      <c r="E1082" s="5" t="s">
        <v>269</v>
      </c>
      <c r="F1082" s="5" t="str">
        <f t="shared" si="144"/>
        <v>HR-Manager</v>
      </c>
      <c r="G1082" s="5" t="s">
        <v>270</v>
      </c>
      <c r="H1082" s="9">
        <v>45072.784872685188</v>
      </c>
      <c r="I1082" s="9">
        <v>45074.784872685188</v>
      </c>
      <c r="J1082" s="9" t="e">
        <f>I1082+#REF!</f>
        <v>#REF!</v>
      </c>
      <c r="K1082" s="9" t="e">
        <f>J1082+#REF!</f>
        <v>#REF!</v>
      </c>
      <c r="L1082" s="10" t="s">
        <v>41</v>
      </c>
      <c r="M1082" s="11">
        <v>45086.784872685188</v>
      </c>
      <c r="N1082" s="5" t="s">
        <v>42</v>
      </c>
      <c r="O1082" s="5" t="s">
        <v>43</v>
      </c>
      <c r="P1082" s="9"/>
      <c r="Q1082" s="5"/>
      <c r="R1082" s="5"/>
      <c r="S1082" s="5"/>
      <c r="T1082" s="9">
        <v>45087.784872685188</v>
      </c>
      <c r="U1082" s="5"/>
      <c r="V1082" s="5">
        <v>0</v>
      </c>
      <c r="W1082" s="5"/>
      <c r="X1082" s="5"/>
      <c r="Y1082" s="5"/>
      <c r="Z1082" s="5"/>
      <c r="AA1082" s="5" t="s">
        <v>44</v>
      </c>
      <c r="AC1082">
        <f t="shared" si="145"/>
        <v>12</v>
      </c>
      <c r="AD1082" t="str">
        <f t="shared" si="146"/>
        <v/>
      </c>
      <c r="AE1082">
        <f t="shared" si="147"/>
        <v>1</v>
      </c>
      <c r="AF1082" t="str">
        <f t="shared" si="148"/>
        <v/>
      </c>
      <c r="AG1082" t="str">
        <f t="shared" si="149"/>
        <v/>
      </c>
      <c r="AH1082">
        <f t="shared" si="150"/>
        <v>2</v>
      </c>
      <c r="AI1082" t="str">
        <f t="shared" si="151"/>
        <v/>
      </c>
      <c r="AJ1082" t="str">
        <f t="shared" si="152"/>
        <v/>
      </c>
    </row>
    <row r="1083" spans="1:36">
      <c r="A1083" s="5">
        <v>1191</v>
      </c>
      <c r="B1083" s="5" t="s">
        <v>1408</v>
      </c>
      <c r="C1083" s="5" t="s">
        <v>1332</v>
      </c>
      <c r="D1083" s="5" t="s">
        <v>1359</v>
      </c>
      <c r="E1083" s="5" t="s">
        <v>1360</v>
      </c>
      <c r="F1083" s="5" t="str">
        <f t="shared" si="144"/>
        <v>Fundraising-Fund Administrator</v>
      </c>
      <c r="G1083" s="5" t="s">
        <v>147</v>
      </c>
      <c r="H1083" s="9">
        <v>44767.966006944444</v>
      </c>
      <c r="I1083" s="9">
        <v>44768.966006944444</v>
      </c>
      <c r="J1083" s="9" t="e">
        <f>I1083+#REF!</f>
        <v>#REF!</v>
      </c>
      <c r="K1083" s="9" t="e">
        <f>J1083+#REF!</f>
        <v>#REF!</v>
      </c>
      <c r="L1083" s="10" t="s">
        <v>41</v>
      </c>
      <c r="M1083" s="11">
        <v>44780.966006944444</v>
      </c>
      <c r="N1083" s="5" t="s">
        <v>42</v>
      </c>
      <c r="O1083" s="5" t="s">
        <v>98</v>
      </c>
      <c r="P1083" s="9"/>
      <c r="Q1083" s="5"/>
      <c r="R1083" s="5"/>
      <c r="S1083" s="5"/>
      <c r="T1083" s="9">
        <v>44781.966006944444</v>
      </c>
      <c r="U1083" s="5"/>
      <c r="V1083" s="5">
        <v>0</v>
      </c>
      <c r="W1083" s="5"/>
      <c r="X1083" s="5"/>
      <c r="Y1083" s="5"/>
      <c r="Z1083" s="5"/>
      <c r="AA1083" s="5" t="s">
        <v>44</v>
      </c>
      <c r="AC1083">
        <f t="shared" si="145"/>
        <v>12</v>
      </c>
      <c r="AD1083" t="str">
        <f t="shared" si="146"/>
        <v/>
      </c>
      <c r="AE1083">
        <f t="shared" si="147"/>
        <v>1</v>
      </c>
      <c r="AF1083" t="str">
        <f t="shared" si="148"/>
        <v/>
      </c>
      <c r="AG1083" t="str">
        <f t="shared" si="149"/>
        <v/>
      </c>
      <c r="AH1083">
        <f t="shared" si="150"/>
        <v>1</v>
      </c>
      <c r="AI1083" t="str">
        <f t="shared" si="151"/>
        <v/>
      </c>
      <c r="AJ1083" t="str">
        <f t="shared" si="152"/>
        <v/>
      </c>
    </row>
    <row r="1084" spans="1:36">
      <c r="A1084" s="5">
        <v>1192</v>
      </c>
      <c r="B1084" s="5" t="s">
        <v>2410</v>
      </c>
      <c r="C1084" s="5" t="s">
        <v>2229</v>
      </c>
      <c r="D1084" s="5" t="s">
        <v>2403</v>
      </c>
      <c r="E1084" s="5" t="s">
        <v>1039</v>
      </c>
      <c r="F1084" s="5" t="str">
        <f t="shared" si="144"/>
        <v>Capacity Building-Associate Director</v>
      </c>
      <c r="G1084" s="5" t="s">
        <v>56</v>
      </c>
      <c r="H1084" s="9">
        <v>44765.966006944444</v>
      </c>
      <c r="I1084" s="9">
        <v>44769.966006944444</v>
      </c>
      <c r="J1084" s="9" t="e">
        <f>I1084+#REF!</f>
        <v>#REF!</v>
      </c>
      <c r="K1084" s="9" t="e">
        <f>J1084+#REF!</f>
        <v>#REF!</v>
      </c>
      <c r="L1084" s="10" t="s">
        <v>52</v>
      </c>
      <c r="M1084" s="11"/>
      <c r="N1084" s="5"/>
      <c r="O1084" s="5"/>
      <c r="P1084" s="9"/>
      <c r="Q1084" s="5"/>
      <c r="R1084" s="5"/>
      <c r="S1084" s="5"/>
      <c r="T1084" s="9"/>
      <c r="U1084" s="5"/>
      <c r="V1084" s="5">
        <v>0</v>
      </c>
      <c r="W1084" s="5"/>
      <c r="X1084" s="5"/>
      <c r="Y1084" s="5"/>
      <c r="Z1084" s="5"/>
      <c r="AA1084" s="5"/>
      <c r="AC1084" t="str">
        <f t="shared" si="145"/>
        <v/>
      </c>
      <c r="AD1084" t="str">
        <f t="shared" si="146"/>
        <v/>
      </c>
      <c r="AE1084" t="str">
        <f t="shared" si="147"/>
        <v/>
      </c>
      <c r="AF1084" t="str">
        <f t="shared" si="148"/>
        <v/>
      </c>
      <c r="AG1084" t="str">
        <f t="shared" si="149"/>
        <v/>
      </c>
      <c r="AH1084">
        <f t="shared" si="150"/>
        <v>4</v>
      </c>
      <c r="AI1084" t="str">
        <f t="shared" si="151"/>
        <v/>
      </c>
      <c r="AJ1084" t="str">
        <f t="shared" si="152"/>
        <v/>
      </c>
    </row>
    <row r="1085" spans="1:36">
      <c r="A1085" s="5">
        <v>1193</v>
      </c>
      <c r="B1085" s="5" t="s">
        <v>2466</v>
      </c>
      <c r="C1085" s="5" t="s">
        <v>2229</v>
      </c>
      <c r="D1085" s="5" t="s">
        <v>2445</v>
      </c>
      <c r="E1085" s="5" t="s">
        <v>388</v>
      </c>
      <c r="F1085" s="5" t="str">
        <f t="shared" si="144"/>
        <v>Capacity Building-Extension Officer</v>
      </c>
      <c r="G1085" s="5" t="s">
        <v>47</v>
      </c>
      <c r="H1085" s="9">
        <v>44768.966006944444</v>
      </c>
      <c r="I1085" s="9">
        <v>44769.966006944444</v>
      </c>
      <c r="J1085" s="9" t="e">
        <f>I1085+#REF!</f>
        <v>#REF!</v>
      </c>
      <c r="K1085" s="9" t="e">
        <f>J1085+#REF!</f>
        <v>#REF!</v>
      </c>
      <c r="L1085" s="10" t="s">
        <v>41</v>
      </c>
      <c r="M1085" s="11">
        <v>44779.966006944444</v>
      </c>
      <c r="N1085" s="5" t="s">
        <v>64</v>
      </c>
      <c r="O1085" s="5"/>
      <c r="P1085" s="9">
        <v>44785.966006944444</v>
      </c>
      <c r="Q1085" s="5" t="s">
        <v>64</v>
      </c>
      <c r="R1085" s="9">
        <v>44780.966006944444</v>
      </c>
      <c r="S1085" s="9">
        <v>44782.966006944444</v>
      </c>
      <c r="T1085" s="9">
        <v>44783.966006944444</v>
      </c>
      <c r="U1085" s="9">
        <v>44790.966006944444</v>
      </c>
      <c r="V1085" s="12">
        <v>1</v>
      </c>
      <c r="W1085" s="9">
        <v>44794.966006944444</v>
      </c>
      <c r="X1085" s="9">
        <v>44796.966006944444</v>
      </c>
      <c r="Y1085" s="9">
        <v>44799.966006944444</v>
      </c>
      <c r="Z1085" s="5"/>
      <c r="AA1085" s="5"/>
      <c r="AB1085" s="13">
        <v>44814.966006944444</v>
      </c>
      <c r="AC1085">
        <f t="shared" si="145"/>
        <v>10</v>
      </c>
      <c r="AD1085">
        <f t="shared" si="146"/>
        <v>13</v>
      </c>
      <c r="AE1085">
        <f t="shared" si="147"/>
        <v>4</v>
      </c>
      <c r="AF1085">
        <f t="shared" si="148"/>
        <v>6</v>
      </c>
      <c r="AG1085">
        <f t="shared" si="149"/>
        <v>4</v>
      </c>
      <c r="AH1085">
        <f t="shared" si="150"/>
        <v>1</v>
      </c>
      <c r="AI1085" t="str">
        <f t="shared" si="151"/>
        <v/>
      </c>
      <c r="AJ1085" t="str">
        <f t="shared" si="152"/>
        <v/>
      </c>
    </row>
    <row r="1086" spans="1:36">
      <c r="A1086" s="5">
        <v>1194</v>
      </c>
      <c r="B1086" s="5" t="s">
        <v>1497</v>
      </c>
      <c r="C1086" s="5" t="s">
        <v>1332</v>
      </c>
      <c r="D1086" s="5" t="s">
        <v>1448</v>
      </c>
      <c r="E1086" s="5" t="s">
        <v>1484</v>
      </c>
      <c r="F1086" s="5" t="str">
        <f t="shared" si="144"/>
        <v>Fundraising-Review Associate</v>
      </c>
      <c r="G1086" s="5" t="s">
        <v>40</v>
      </c>
      <c r="H1086" s="9">
        <v>44763.966006944444</v>
      </c>
      <c r="I1086" s="9">
        <v>44766.966006944444</v>
      </c>
      <c r="J1086" s="9" t="e">
        <f>I1086+#REF!</f>
        <v>#REF!</v>
      </c>
      <c r="K1086" s="9" t="e">
        <f>J1086+#REF!</f>
        <v>#REF!</v>
      </c>
      <c r="L1086" s="10" t="s">
        <v>41</v>
      </c>
      <c r="M1086" s="11">
        <v>44787.966006944444</v>
      </c>
      <c r="N1086" s="5" t="s">
        <v>42</v>
      </c>
      <c r="O1086" s="5" t="s">
        <v>73</v>
      </c>
      <c r="P1086" s="9"/>
      <c r="Q1086" s="5"/>
      <c r="R1086" s="5"/>
      <c r="S1086" s="5"/>
      <c r="T1086" s="9"/>
      <c r="U1086" s="5"/>
      <c r="V1086" s="5">
        <v>0</v>
      </c>
      <c r="W1086" s="5"/>
      <c r="X1086" s="5"/>
      <c r="Y1086" s="5"/>
      <c r="Z1086" s="5"/>
      <c r="AA1086" s="5" t="s">
        <v>44</v>
      </c>
      <c r="AC1086">
        <f t="shared" si="145"/>
        <v>21</v>
      </c>
      <c r="AD1086" t="str">
        <f t="shared" si="146"/>
        <v/>
      </c>
      <c r="AE1086" t="str">
        <f t="shared" si="147"/>
        <v/>
      </c>
      <c r="AF1086" t="str">
        <f t="shared" si="148"/>
        <v/>
      </c>
      <c r="AG1086" t="str">
        <f t="shared" si="149"/>
        <v/>
      </c>
      <c r="AH1086">
        <f t="shared" si="150"/>
        <v>3</v>
      </c>
      <c r="AI1086" t="str">
        <f t="shared" si="151"/>
        <v/>
      </c>
      <c r="AJ1086" t="str">
        <f t="shared" si="152"/>
        <v/>
      </c>
    </row>
    <row r="1087" spans="1:36">
      <c r="A1087" s="5">
        <v>1195</v>
      </c>
      <c r="B1087" s="5" t="s">
        <v>1533</v>
      </c>
      <c r="C1087" s="5" t="s">
        <v>1332</v>
      </c>
      <c r="D1087" s="5" t="s">
        <v>1500</v>
      </c>
      <c r="E1087" s="5" t="s">
        <v>815</v>
      </c>
      <c r="F1087" s="5" t="str">
        <f t="shared" si="144"/>
        <v>Fundraising-Auditor</v>
      </c>
      <c r="G1087" s="5" t="s">
        <v>47</v>
      </c>
      <c r="H1087" s="9">
        <v>44764.966006944444</v>
      </c>
      <c r="I1087" s="9">
        <v>44768.966006944444</v>
      </c>
      <c r="J1087" s="9" t="e">
        <f>I1087+#REF!</f>
        <v>#REF!</v>
      </c>
      <c r="K1087" s="9" t="e">
        <f>J1087+#REF!</f>
        <v>#REF!</v>
      </c>
      <c r="L1087" s="10" t="s">
        <v>41</v>
      </c>
      <c r="M1087" s="11">
        <v>44780.966006944444</v>
      </c>
      <c r="N1087" s="5" t="s">
        <v>42</v>
      </c>
      <c r="O1087" s="5" t="s">
        <v>58</v>
      </c>
      <c r="P1087" s="9"/>
      <c r="Q1087" s="5"/>
      <c r="R1087" s="5"/>
      <c r="S1087" s="5"/>
      <c r="T1087" s="9">
        <v>44783.966006944444</v>
      </c>
      <c r="U1087" s="5"/>
      <c r="V1087" s="5">
        <v>0</v>
      </c>
      <c r="W1087" s="5"/>
      <c r="X1087" s="5"/>
      <c r="Y1087" s="5"/>
      <c r="Z1087" s="5"/>
      <c r="AA1087" s="5" t="s">
        <v>62</v>
      </c>
      <c r="AC1087">
        <f t="shared" si="145"/>
        <v>12</v>
      </c>
      <c r="AD1087" t="str">
        <f t="shared" si="146"/>
        <v/>
      </c>
      <c r="AE1087">
        <f t="shared" si="147"/>
        <v>3</v>
      </c>
      <c r="AF1087" t="str">
        <f t="shared" si="148"/>
        <v/>
      </c>
      <c r="AG1087" t="str">
        <f t="shared" si="149"/>
        <v/>
      </c>
      <c r="AH1087">
        <f t="shared" si="150"/>
        <v>4</v>
      </c>
      <c r="AI1087" t="str">
        <f t="shared" si="151"/>
        <v/>
      </c>
      <c r="AJ1087" t="str">
        <f t="shared" si="152"/>
        <v/>
      </c>
    </row>
    <row r="1088" spans="1:36">
      <c r="A1088" s="5">
        <v>1196</v>
      </c>
      <c r="B1088" s="5" t="s">
        <v>1443</v>
      </c>
      <c r="C1088" s="5" t="s">
        <v>1332</v>
      </c>
      <c r="D1088" s="5" t="s">
        <v>1413</v>
      </c>
      <c r="E1088" s="5" t="s">
        <v>269</v>
      </c>
      <c r="F1088" s="5" t="str">
        <f t="shared" si="144"/>
        <v>Fundraising-Manager</v>
      </c>
      <c r="G1088" s="5" t="s">
        <v>270</v>
      </c>
      <c r="H1088" s="9">
        <v>44765.966006944444</v>
      </c>
      <c r="I1088" s="9">
        <v>44767.966006944444</v>
      </c>
      <c r="J1088" s="9" t="e">
        <f>I1088+#REF!</f>
        <v>#REF!</v>
      </c>
      <c r="K1088" s="9" t="e">
        <f>J1088+#REF!</f>
        <v>#REF!</v>
      </c>
      <c r="L1088" s="10" t="s">
        <v>41</v>
      </c>
      <c r="M1088" s="11">
        <v>44781.966006944444</v>
      </c>
      <c r="N1088" s="5" t="s">
        <v>42</v>
      </c>
      <c r="O1088" s="5" t="s">
        <v>73</v>
      </c>
      <c r="P1088" s="9"/>
      <c r="Q1088" s="5"/>
      <c r="R1088" s="5"/>
      <c r="S1088" s="5"/>
      <c r="T1088" s="9"/>
      <c r="U1088" s="5"/>
      <c r="V1088" s="5">
        <v>0</v>
      </c>
      <c r="W1088" s="5"/>
      <c r="X1088" s="5"/>
      <c r="Y1088" s="5"/>
      <c r="Z1088" s="5"/>
      <c r="AA1088" s="5" t="s">
        <v>62</v>
      </c>
      <c r="AC1088">
        <f t="shared" si="145"/>
        <v>14</v>
      </c>
      <c r="AD1088" t="str">
        <f t="shared" si="146"/>
        <v/>
      </c>
      <c r="AE1088" t="str">
        <f t="shared" si="147"/>
        <v/>
      </c>
      <c r="AF1088" t="str">
        <f t="shared" si="148"/>
        <v/>
      </c>
      <c r="AG1088" t="str">
        <f t="shared" si="149"/>
        <v/>
      </c>
      <c r="AH1088">
        <f t="shared" si="150"/>
        <v>2</v>
      </c>
      <c r="AI1088" t="str">
        <f t="shared" si="151"/>
        <v/>
      </c>
      <c r="AJ1088" t="str">
        <f t="shared" si="152"/>
        <v/>
      </c>
    </row>
    <row r="1089" spans="1:36">
      <c r="A1089" s="5">
        <v>1197</v>
      </c>
      <c r="B1089" s="5" t="s">
        <v>1442</v>
      </c>
      <c r="C1089" s="5" t="s">
        <v>1332</v>
      </c>
      <c r="D1089" s="5" t="s">
        <v>1413</v>
      </c>
      <c r="E1089" s="5" t="s">
        <v>269</v>
      </c>
      <c r="F1089" s="5" t="str">
        <f t="shared" si="144"/>
        <v>Fundraising-Manager</v>
      </c>
      <c r="G1089" s="5" t="s">
        <v>270</v>
      </c>
      <c r="H1089" s="9">
        <v>44767.966006944444</v>
      </c>
      <c r="I1089" s="9">
        <v>44768.966006944444</v>
      </c>
      <c r="J1089" s="9" t="e">
        <f>I1089+#REF!</f>
        <v>#REF!</v>
      </c>
      <c r="K1089" s="9" t="e">
        <f>J1089+#REF!</f>
        <v>#REF!</v>
      </c>
      <c r="L1089" s="10" t="s">
        <v>41</v>
      </c>
      <c r="M1089" s="11">
        <v>44776.966006944444</v>
      </c>
      <c r="N1089" s="5" t="s">
        <v>167</v>
      </c>
      <c r="O1089" s="5"/>
      <c r="P1089" s="9">
        <v>44782.966006944444</v>
      </c>
      <c r="Q1089" s="5" t="s">
        <v>167</v>
      </c>
      <c r="R1089" s="5"/>
      <c r="S1089" s="5"/>
      <c r="T1089" s="9">
        <v>44779.966006944444</v>
      </c>
      <c r="U1089" s="5"/>
      <c r="V1089" s="5">
        <v>0</v>
      </c>
      <c r="W1089" s="5"/>
      <c r="X1089" s="5"/>
      <c r="Y1089" s="5"/>
      <c r="Z1089" s="5"/>
      <c r="AA1089" s="5"/>
      <c r="AC1089">
        <f t="shared" si="145"/>
        <v>8</v>
      </c>
      <c r="AD1089" t="str">
        <f t="shared" si="146"/>
        <v/>
      </c>
      <c r="AE1089">
        <f t="shared" si="147"/>
        <v>3</v>
      </c>
      <c r="AF1089" t="str">
        <f t="shared" si="148"/>
        <v/>
      </c>
      <c r="AG1089" t="str">
        <f t="shared" si="149"/>
        <v/>
      </c>
      <c r="AH1089">
        <f t="shared" si="150"/>
        <v>1</v>
      </c>
      <c r="AI1089" t="str">
        <f t="shared" si="151"/>
        <v/>
      </c>
      <c r="AJ1089" t="str">
        <f t="shared" si="152"/>
        <v/>
      </c>
    </row>
    <row r="1090" spans="1:36">
      <c r="A1090" s="5">
        <v>1198</v>
      </c>
      <c r="B1090" s="5" t="s">
        <v>1353</v>
      </c>
      <c r="C1090" s="5" t="s">
        <v>1332</v>
      </c>
      <c r="D1090" s="5" t="s">
        <v>1333</v>
      </c>
      <c r="E1090" s="5" t="s">
        <v>102</v>
      </c>
      <c r="F1090" s="5" t="str">
        <f t="shared" ref="F1090:F1153" si="153">_xlfn.CONCAT(C1090,"-",E1090)</f>
        <v>Fundraising-Senior Manager</v>
      </c>
      <c r="G1090" s="5" t="s">
        <v>103</v>
      </c>
      <c r="H1090" s="9">
        <v>44764.966006944444</v>
      </c>
      <c r="I1090" s="9">
        <v>44766.966006944444</v>
      </c>
      <c r="J1090" s="9" t="e">
        <f>I1090+#REF!</f>
        <v>#REF!</v>
      </c>
      <c r="K1090" s="9" t="e">
        <f>J1090+#REF!</f>
        <v>#REF!</v>
      </c>
      <c r="L1090" s="10" t="s">
        <v>41</v>
      </c>
      <c r="M1090" s="11">
        <v>44785.966006944444</v>
      </c>
      <c r="N1090" s="5" t="s">
        <v>42</v>
      </c>
      <c r="O1090" s="5" t="s">
        <v>113</v>
      </c>
      <c r="P1090" s="9"/>
      <c r="Q1090" s="5"/>
      <c r="R1090" s="5"/>
      <c r="S1090" s="5"/>
      <c r="T1090" s="9"/>
      <c r="U1090" s="5"/>
      <c r="V1090" s="5">
        <v>0</v>
      </c>
      <c r="W1090" s="5"/>
      <c r="X1090" s="5"/>
      <c r="Y1090" s="5"/>
      <c r="Z1090" s="5"/>
      <c r="AA1090" s="5" t="s">
        <v>44</v>
      </c>
      <c r="AC1090">
        <f t="shared" ref="AC1090:AC1153" si="154">IF(AND(ISNUMBER(M1090), ISNUMBER(I1090)), M1090 - I1090, "")</f>
        <v>19</v>
      </c>
      <c r="AD1090" t="str">
        <f t="shared" si="146"/>
        <v/>
      </c>
      <c r="AE1090" t="str">
        <f t="shared" si="147"/>
        <v/>
      </c>
      <c r="AF1090" t="str">
        <f t="shared" si="148"/>
        <v/>
      </c>
      <c r="AG1090" t="str">
        <f t="shared" si="149"/>
        <v/>
      </c>
      <c r="AH1090">
        <f t="shared" si="150"/>
        <v>2</v>
      </c>
      <c r="AI1090" t="str">
        <f t="shared" si="151"/>
        <v/>
      </c>
      <c r="AJ1090" t="str">
        <f t="shared" si="152"/>
        <v/>
      </c>
    </row>
    <row r="1091" spans="1:36">
      <c r="A1091" s="5">
        <v>1200</v>
      </c>
      <c r="B1091" s="5" t="s">
        <v>2263</v>
      </c>
      <c r="C1091" s="5" t="s">
        <v>2229</v>
      </c>
      <c r="D1091" s="5" t="s">
        <v>2250</v>
      </c>
      <c r="E1091" s="5" t="s">
        <v>388</v>
      </c>
      <c r="F1091" s="5" t="str">
        <f t="shared" si="153"/>
        <v>Capacity Building-Extension Officer</v>
      </c>
      <c r="G1091" s="5" t="s">
        <v>147</v>
      </c>
      <c r="H1091" s="9">
        <v>44766.966006944444</v>
      </c>
      <c r="I1091" s="9">
        <v>44770.966006944444</v>
      </c>
      <c r="J1091" s="9" t="e">
        <f>I1091+#REF!</f>
        <v>#REF!</v>
      </c>
      <c r="K1091" s="9" t="e">
        <f>J1091+#REF!</f>
        <v>#REF!</v>
      </c>
      <c r="L1091" s="10" t="s">
        <v>52</v>
      </c>
      <c r="M1091" s="11"/>
      <c r="N1091" s="5"/>
      <c r="O1091" s="5"/>
      <c r="P1091" s="9"/>
      <c r="Q1091" s="5"/>
      <c r="R1091" s="5"/>
      <c r="S1091" s="5"/>
      <c r="T1091" s="9"/>
      <c r="U1091" s="5"/>
      <c r="V1091" s="5">
        <v>0</v>
      </c>
      <c r="W1091" s="5"/>
      <c r="X1091" s="5"/>
      <c r="Y1091" s="5"/>
      <c r="Z1091" s="5"/>
      <c r="AA1091" s="5"/>
      <c r="AC1091" t="str">
        <f t="shared" si="154"/>
        <v/>
      </c>
      <c r="AD1091" t="str">
        <f t="shared" ref="AD1091:AD1154" si="155">IF(AND(ISNUMBER(S1091), ISNUMBER(I1091)), S1091 - I1091, "")</f>
        <v/>
      </c>
      <c r="AE1091" t="str">
        <f t="shared" ref="AE1091:AE1154" si="156">IF(AND(ISNUMBER(T1091), ISNUMBER(M1091)), T1091-M1091, "")</f>
        <v/>
      </c>
      <c r="AF1091" t="str">
        <f t="shared" ref="AF1091:AF1154" si="157">IF(AND(ISNUMBER(X1091), ISNUMBER(U1091)), X1091-U1091,"")</f>
        <v/>
      </c>
      <c r="AG1091" t="str">
        <f t="shared" ref="AG1091:AG1154" si="158">IF(AND(ISNUMBER(W1091), ISNUMBER(U1091)), W1091-U1091, "")</f>
        <v/>
      </c>
      <c r="AH1091">
        <f t="shared" ref="AH1091:AH1154" si="159">IF(AND(ISNUMBER(I1091), ISNUMBER(H1091)), I1091-H1091,"")</f>
        <v>4</v>
      </c>
      <c r="AI1091" t="str">
        <f t="shared" ref="AI1091:AI1154" si="160">IF(AND(ISNUMBER(J1091),ISNUMBER(K1091)),K1091-J1091,"")</f>
        <v/>
      </c>
      <c r="AJ1091" t="str">
        <f t="shared" ref="AJ1091:AJ1154" si="161">IF(AND(ISNUMBER(J1091),ISNUMBER(I1091)), J1091-I1091,"")</f>
        <v/>
      </c>
    </row>
    <row r="1092" spans="1:36">
      <c r="A1092" s="5">
        <v>1201</v>
      </c>
      <c r="B1092" s="5" t="s">
        <v>1496</v>
      </c>
      <c r="C1092" s="5" t="s">
        <v>1332</v>
      </c>
      <c r="D1092" s="5" t="s">
        <v>1448</v>
      </c>
      <c r="E1092" s="5" t="s">
        <v>1484</v>
      </c>
      <c r="F1092" s="5" t="str">
        <f t="shared" si="153"/>
        <v>Fundraising-Review Associate</v>
      </c>
      <c r="G1092" s="5" t="s">
        <v>40</v>
      </c>
      <c r="H1092" s="9">
        <v>44762.205266203702</v>
      </c>
      <c r="I1092" s="9">
        <v>44764.205266203702</v>
      </c>
      <c r="J1092" s="9" t="e">
        <f>I1092+#REF!</f>
        <v>#REF!</v>
      </c>
      <c r="K1092" s="9" t="e">
        <f>J1092+#REF!</f>
        <v>#REF!</v>
      </c>
      <c r="L1092" s="10" t="s">
        <v>41</v>
      </c>
      <c r="M1092" s="11">
        <v>44782.205266203702</v>
      </c>
      <c r="N1092" s="5" t="s">
        <v>42</v>
      </c>
      <c r="O1092" s="5" t="s">
        <v>43</v>
      </c>
      <c r="P1092" s="9"/>
      <c r="Q1092" s="5"/>
      <c r="R1092" s="5"/>
      <c r="S1092" s="5"/>
      <c r="T1092" s="9">
        <v>44784.205266203702</v>
      </c>
      <c r="U1092" s="5"/>
      <c r="V1092" s="5">
        <v>0</v>
      </c>
      <c r="W1092" s="5"/>
      <c r="X1092" s="5"/>
      <c r="Y1092" s="5"/>
      <c r="Z1092" s="5"/>
      <c r="AA1092" s="5" t="s">
        <v>44</v>
      </c>
      <c r="AC1092">
        <f t="shared" si="154"/>
        <v>18</v>
      </c>
      <c r="AD1092" t="str">
        <f t="shared" si="155"/>
        <v/>
      </c>
      <c r="AE1092">
        <f t="shared" si="156"/>
        <v>2</v>
      </c>
      <c r="AF1092" t="str">
        <f t="shared" si="157"/>
        <v/>
      </c>
      <c r="AG1092" t="str">
        <f t="shared" si="158"/>
        <v/>
      </c>
      <c r="AH1092">
        <f t="shared" si="159"/>
        <v>2</v>
      </c>
      <c r="AI1092" t="str">
        <f t="shared" si="160"/>
        <v/>
      </c>
      <c r="AJ1092" t="str">
        <f t="shared" si="161"/>
        <v/>
      </c>
    </row>
    <row r="1093" spans="1:36">
      <c r="A1093" s="5">
        <v>1202</v>
      </c>
      <c r="B1093" s="5" t="s">
        <v>1441</v>
      </c>
      <c r="C1093" s="5" t="s">
        <v>1332</v>
      </c>
      <c r="D1093" s="5" t="s">
        <v>1413</v>
      </c>
      <c r="E1093" s="5" t="s">
        <v>269</v>
      </c>
      <c r="F1093" s="5" t="str">
        <f t="shared" si="153"/>
        <v>Fundraising-Manager</v>
      </c>
      <c r="G1093" s="5" t="s">
        <v>270</v>
      </c>
      <c r="H1093" s="9">
        <v>44765.205266203702</v>
      </c>
      <c r="I1093" s="9">
        <v>44768.205266203702</v>
      </c>
      <c r="J1093" s="9" t="e">
        <f>I1093+#REF!</f>
        <v>#REF!</v>
      </c>
      <c r="K1093" s="9" t="e">
        <f>J1093+#REF!</f>
        <v>#REF!</v>
      </c>
      <c r="L1093" s="10" t="s">
        <v>41</v>
      </c>
      <c r="M1093" s="11">
        <v>44771.205266203702</v>
      </c>
      <c r="N1093" s="5" t="s">
        <v>42</v>
      </c>
      <c r="O1093" s="5" t="s">
        <v>73</v>
      </c>
      <c r="P1093" s="9"/>
      <c r="Q1093" s="5"/>
      <c r="R1093" s="5"/>
      <c r="S1093" s="5"/>
      <c r="T1093" s="9">
        <v>44773.205266203702</v>
      </c>
      <c r="U1093" s="5"/>
      <c r="V1093" s="5">
        <v>0</v>
      </c>
      <c r="W1093" s="5"/>
      <c r="X1093" s="5"/>
      <c r="Y1093" s="5"/>
      <c r="Z1093" s="5"/>
      <c r="AA1093" s="5" t="s">
        <v>62</v>
      </c>
      <c r="AC1093">
        <f t="shared" si="154"/>
        <v>3</v>
      </c>
      <c r="AD1093" t="str">
        <f t="shared" si="155"/>
        <v/>
      </c>
      <c r="AE1093">
        <f t="shared" si="156"/>
        <v>2</v>
      </c>
      <c r="AF1093" t="str">
        <f t="shared" si="157"/>
        <v/>
      </c>
      <c r="AG1093" t="str">
        <f t="shared" si="158"/>
        <v/>
      </c>
      <c r="AH1093">
        <f t="shared" si="159"/>
        <v>3</v>
      </c>
      <c r="AI1093" t="str">
        <f t="shared" si="160"/>
        <v/>
      </c>
      <c r="AJ1093" t="str">
        <f t="shared" si="161"/>
        <v/>
      </c>
    </row>
    <row r="1094" spans="1:36">
      <c r="A1094" s="5">
        <v>1204</v>
      </c>
      <c r="B1094" s="5" t="s">
        <v>1532</v>
      </c>
      <c r="C1094" s="5" t="s">
        <v>1332</v>
      </c>
      <c r="D1094" s="5" t="s">
        <v>1500</v>
      </c>
      <c r="E1094" s="5" t="s">
        <v>815</v>
      </c>
      <c r="F1094" s="5" t="str">
        <f t="shared" si="153"/>
        <v>Fundraising-Auditor</v>
      </c>
      <c r="G1094" s="5" t="s">
        <v>47</v>
      </c>
      <c r="H1094" s="9">
        <v>44768.205266203702</v>
      </c>
      <c r="I1094" s="9">
        <v>44769.205266203702</v>
      </c>
      <c r="J1094" s="9" t="e">
        <f>I1094+#REF!</f>
        <v>#REF!</v>
      </c>
      <c r="K1094" s="9" t="e">
        <f>J1094+#REF!</f>
        <v>#REF!</v>
      </c>
      <c r="L1094" s="10" t="s">
        <v>41</v>
      </c>
      <c r="M1094" s="11">
        <v>44784.205266203702</v>
      </c>
      <c r="N1094" s="5" t="s">
        <v>42</v>
      </c>
      <c r="O1094" s="5" t="s">
        <v>43</v>
      </c>
      <c r="P1094" s="9"/>
      <c r="Q1094" s="5"/>
      <c r="R1094" s="5"/>
      <c r="S1094" s="5"/>
      <c r="T1094" s="9"/>
      <c r="U1094" s="5"/>
      <c r="V1094" s="5">
        <v>0</v>
      </c>
      <c r="W1094" s="5"/>
      <c r="X1094" s="5"/>
      <c r="Y1094" s="5"/>
      <c r="Z1094" s="5"/>
      <c r="AA1094" s="5" t="s">
        <v>44</v>
      </c>
      <c r="AC1094">
        <f t="shared" si="154"/>
        <v>15</v>
      </c>
      <c r="AD1094" t="str">
        <f t="shared" si="155"/>
        <v/>
      </c>
      <c r="AE1094" t="str">
        <f t="shared" si="156"/>
        <v/>
      </c>
      <c r="AF1094" t="str">
        <f t="shared" si="157"/>
        <v/>
      </c>
      <c r="AG1094" t="str">
        <f t="shared" si="158"/>
        <v/>
      </c>
      <c r="AH1094">
        <f t="shared" si="159"/>
        <v>1</v>
      </c>
      <c r="AI1094" t="str">
        <f t="shared" si="160"/>
        <v/>
      </c>
      <c r="AJ1094" t="str">
        <f t="shared" si="161"/>
        <v/>
      </c>
    </row>
    <row r="1095" spans="1:36">
      <c r="A1095" s="5">
        <v>1205</v>
      </c>
      <c r="B1095" s="5" t="s">
        <v>1352</v>
      </c>
      <c r="C1095" s="5" t="s">
        <v>1332</v>
      </c>
      <c r="D1095" s="5" t="s">
        <v>1333</v>
      </c>
      <c r="E1095" s="5" t="s">
        <v>102</v>
      </c>
      <c r="F1095" s="5" t="str">
        <f t="shared" si="153"/>
        <v>Fundraising-Senior Manager</v>
      </c>
      <c r="G1095" s="5" t="s">
        <v>103</v>
      </c>
      <c r="H1095" s="9">
        <v>44764.205266203702</v>
      </c>
      <c r="I1095" s="9">
        <v>44767.205266203702</v>
      </c>
      <c r="J1095" s="9" t="e">
        <f>I1095+#REF!</f>
        <v>#REF!</v>
      </c>
      <c r="K1095" s="9" t="e">
        <f>J1095+#REF!</f>
        <v>#REF!</v>
      </c>
      <c r="L1095" s="10" t="s">
        <v>41</v>
      </c>
      <c r="M1095" s="11">
        <v>44774.205266203702</v>
      </c>
      <c r="N1095" s="5" t="s">
        <v>42</v>
      </c>
      <c r="O1095" s="5" t="s">
        <v>73</v>
      </c>
      <c r="P1095" s="9"/>
      <c r="Q1095" s="5"/>
      <c r="R1095" s="5"/>
      <c r="S1095" s="5"/>
      <c r="T1095" s="9">
        <v>44777.205266203702</v>
      </c>
      <c r="U1095" s="5"/>
      <c r="V1095" s="5">
        <v>0</v>
      </c>
      <c r="W1095" s="5"/>
      <c r="X1095" s="5"/>
      <c r="Y1095" s="5"/>
      <c r="Z1095" s="5"/>
      <c r="AA1095" s="5" t="s">
        <v>44</v>
      </c>
      <c r="AC1095">
        <f t="shared" si="154"/>
        <v>7</v>
      </c>
      <c r="AD1095" t="str">
        <f t="shared" si="155"/>
        <v/>
      </c>
      <c r="AE1095">
        <f t="shared" si="156"/>
        <v>3</v>
      </c>
      <c r="AF1095" t="str">
        <f t="shared" si="157"/>
        <v/>
      </c>
      <c r="AG1095" t="str">
        <f t="shared" si="158"/>
        <v/>
      </c>
      <c r="AH1095">
        <f t="shared" si="159"/>
        <v>3</v>
      </c>
      <c r="AI1095" t="str">
        <f t="shared" si="160"/>
        <v/>
      </c>
      <c r="AJ1095" t="str">
        <f t="shared" si="161"/>
        <v/>
      </c>
    </row>
    <row r="1096" spans="1:36">
      <c r="A1096" s="5">
        <v>1206</v>
      </c>
      <c r="B1096" s="5" t="s">
        <v>2465</v>
      </c>
      <c r="C1096" s="5" t="s">
        <v>2229</v>
      </c>
      <c r="D1096" s="5" t="s">
        <v>2445</v>
      </c>
      <c r="E1096" s="5" t="s">
        <v>388</v>
      </c>
      <c r="F1096" s="5" t="str">
        <f t="shared" si="153"/>
        <v>Capacity Building-Extension Officer</v>
      </c>
      <c r="G1096" s="5" t="s">
        <v>47</v>
      </c>
      <c r="H1096" s="9">
        <v>44763.205266203702</v>
      </c>
      <c r="I1096" s="9">
        <v>44764.205266203702</v>
      </c>
      <c r="J1096" s="9" t="e">
        <f>I1096+#REF!</f>
        <v>#REF!</v>
      </c>
      <c r="K1096" s="9" t="e">
        <f>J1096+#REF!</f>
        <v>#REF!</v>
      </c>
      <c r="L1096" s="10" t="s">
        <v>41</v>
      </c>
      <c r="M1096" s="11">
        <v>44786.205266203702</v>
      </c>
      <c r="N1096" s="5" t="s">
        <v>64</v>
      </c>
      <c r="O1096" s="5"/>
      <c r="P1096" s="9">
        <v>44791.205266203702</v>
      </c>
      <c r="Q1096" s="5" t="s">
        <v>64</v>
      </c>
      <c r="R1096" s="9">
        <v>44787.205266203702</v>
      </c>
      <c r="S1096" s="9">
        <v>44790.205266203702</v>
      </c>
      <c r="T1096" s="9">
        <v>44790.205266203702</v>
      </c>
      <c r="U1096" s="9">
        <v>44793.205266203702</v>
      </c>
      <c r="V1096" s="12">
        <v>1</v>
      </c>
      <c r="W1096" s="9">
        <v>44795.205266203702</v>
      </c>
      <c r="X1096" s="9">
        <v>44797.205266203702</v>
      </c>
      <c r="Y1096" s="9">
        <v>44799.205266203702</v>
      </c>
      <c r="Z1096" s="5"/>
      <c r="AA1096" s="5"/>
      <c r="AB1096" s="13">
        <v>44808.205266203702</v>
      </c>
      <c r="AC1096">
        <f t="shared" si="154"/>
        <v>22</v>
      </c>
      <c r="AD1096">
        <f t="shared" si="155"/>
        <v>26</v>
      </c>
      <c r="AE1096">
        <f t="shared" si="156"/>
        <v>4</v>
      </c>
      <c r="AF1096">
        <f t="shared" si="157"/>
        <v>4</v>
      </c>
      <c r="AG1096">
        <f t="shared" si="158"/>
        <v>2</v>
      </c>
      <c r="AH1096">
        <f t="shared" si="159"/>
        <v>1</v>
      </c>
      <c r="AI1096" t="str">
        <f t="shared" si="160"/>
        <v/>
      </c>
      <c r="AJ1096" t="str">
        <f t="shared" si="161"/>
        <v/>
      </c>
    </row>
    <row r="1097" spans="1:36">
      <c r="A1097" s="5">
        <v>1208</v>
      </c>
      <c r="B1097" s="5" t="s">
        <v>1407</v>
      </c>
      <c r="C1097" s="5" t="s">
        <v>1332</v>
      </c>
      <c r="D1097" s="5" t="s">
        <v>1359</v>
      </c>
      <c r="E1097" s="5" t="s">
        <v>1360</v>
      </c>
      <c r="F1097" s="5" t="str">
        <f t="shared" si="153"/>
        <v>Fundraising-Fund Administrator</v>
      </c>
      <c r="G1097" s="5" t="s">
        <v>147</v>
      </c>
      <c r="H1097" s="9">
        <v>44763.205266203702</v>
      </c>
      <c r="I1097" s="9">
        <v>44764.205266203702</v>
      </c>
      <c r="J1097" s="9" t="e">
        <f>I1097+#REF!</f>
        <v>#REF!</v>
      </c>
      <c r="K1097" s="9" t="e">
        <f>J1097+#REF!</f>
        <v>#REF!</v>
      </c>
      <c r="L1097" s="10" t="s">
        <v>41</v>
      </c>
      <c r="M1097" s="11">
        <v>44785.205266203702</v>
      </c>
      <c r="N1097" s="5" t="s">
        <v>42</v>
      </c>
      <c r="O1097" s="5" t="s">
        <v>113</v>
      </c>
      <c r="P1097" s="9"/>
      <c r="Q1097" s="5"/>
      <c r="R1097" s="5"/>
      <c r="S1097" s="5"/>
      <c r="T1097" s="9"/>
      <c r="U1097" s="5"/>
      <c r="V1097" s="5">
        <v>0</v>
      </c>
      <c r="W1097" s="5"/>
      <c r="X1097" s="5"/>
      <c r="Y1097" s="5"/>
      <c r="Z1097" s="5"/>
      <c r="AA1097" s="5" t="s">
        <v>62</v>
      </c>
      <c r="AC1097">
        <f t="shared" si="154"/>
        <v>21</v>
      </c>
      <c r="AD1097" t="str">
        <f t="shared" si="155"/>
        <v/>
      </c>
      <c r="AE1097" t="str">
        <f t="shared" si="156"/>
        <v/>
      </c>
      <c r="AF1097" t="str">
        <f t="shared" si="157"/>
        <v/>
      </c>
      <c r="AG1097" t="str">
        <f t="shared" si="158"/>
        <v/>
      </c>
      <c r="AH1097">
        <f t="shared" si="159"/>
        <v>1</v>
      </c>
      <c r="AI1097" t="str">
        <f t="shared" si="160"/>
        <v/>
      </c>
      <c r="AJ1097" t="str">
        <f t="shared" si="161"/>
        <v/>
      </c>
    </row>
    <row r="1098" spans="1:36">
      <c r="A1098" s="5">
        <v>1209</v>
      </c>
      <c r="B1098" s="5" t="s">
        <v>1351</v>
      </c>
      <c r="C1098" s="5" t="s">
        <v>1332</v>
      </c>
      <c r="D1098" s="5" t="s">
        <v>1333</v>
      </c>
      <c r="E1098" s="5" t="s">
        <v>102</v>
      </c>
      <c r="F1098" s="5" t="str">
        <f t="shared" si="153"/>
        <v>Fundraising-Senior Manager</v>
      </c>
      <c r="G1098" s="5" t="s">
        <v>103</v>
      </c>
      <c r="H1098" s="9">
        <v>44768.205266203702</v>
      </c>
      <c r="I1098" s="9">
        <v>44769.205266203702</v>
      </c>
      <c r="J1098" s="9" t="e">
        <f>I1098+#REF!</f>
        <v>#REF!</v>
      </c>
      <c r="K1098" s="9" t="e">
        <f>J1098+#REF!</f>
        <v>#REF!</v>
      </c>
      <c r="L1098" s="10" t="s">
        <v>41</v>
      </c>
      <c r="M1098" s="11">
        <v>44776.205266203702</v>
      </c>
      <c r="N1098" s="5" t="s">
        <v>42</v>
      </c>
      <c r="O1098" s="5" t="s">
        <v>98</v>
      </c>
      <c r="P1098" s="9"/>
      <c r="Q1098" s="5"/>
      <c r="R1098" s="5"/>
      <c r="S1098" s="5"/>
      <c r="T1098" s="9">
        <v>44779.205266203702</v>
      </c>
      <c r="U1098" s="5"/>
      <c r="V1098" s="5">
        <v>0</v>
      </c>
      <c r="W1098" s="5"/>
      <c r="X1098" s="5"/>
      <c r="Y1098" s="5"/>
      <c r="Z1098" s="5"/>
      <c r="AA1098" s="5" t="s">
        <v>62</v>
      </c>
      <c r="AC1098">
        <f t="shared" si="154"/>
        <v>7</v>
      </c>
      <c r="AD1098" t="str">
        <f t="shared" si="155"/>
        <v/>
      </c>
      <c r="AE1098">
        <f t="shared" si="156"/>
        <v>3</v>
      </c>
      <c r="AF1098" t="str">
        <f t="shared" si="157"/>
        <v/>
      </c>
      <c r="AG1098" t="str">
        <f t="shared" si="158"/>
        <v/>
      </c>
      <c r="AH1098">
        <f t="shared" si="159"/>
        <v>1</v>
      </c>
      <c r="AI1098" t="str">
        <f t="shared" si="160"/>
        <v/>
      </c>
      <c r="AJ1098" t="str">
        <f t="shared" si="161"/>
        <v/>
      </c>
    </row>
    <row r="1099" spans="1:36">
      <c r="A1099" s="5">
        <v>1210</v>
      </c>
      <c r="B1099" s="5" t="s">
        <v>1495</v>
      </c>
      <c r="C1099" s="5" t="s">
        <v>1332</v>
      </c>
      <c r="D1099" s="5" t="s">
        <v>1448</v>
      </c>
      <c r="E1099" s="5" t="s">
        <v>1484</v>
      </c>
      <c r="F1099" s="5" t="str">
        <f t="shared" si="153"/>
        <v>Fundraising-Review Associate</v>
      </c>
      <c r="G1099" s="5" t="s">
        <v>40</v>
      </c>
      <c r="H1099" s="9">
        <v>44766.205266203702</v>
      </c>
      <c r="I1099" s="9">
        <v>44768.205266203702</v>
      </c>
      <c r="J1099" s="9" t="e">
        <f>I1099+#REF!</f>
        <v>#REF!</v>
      </c>
      <c r="K1099" s="9" t="e">
        <f>J1099+#REF!</f>
        <v>#REF!</v>
      </c>
      <c r="L1099" s="10" t="s">
        <v>41</v>
      </c>
      <c r="M1099" s="11">
        <v>44782.205266203702</v>
      </c>
      <c r="N1099" s="5" t="s">
        <v>48</v>
      </c>
      <c r="O1099" s="5"/>
      <c r="P1099" s="9">
        <v>44787.205266203702</v>
      </c>
      <c r="Q1099" s="5" t="s">
        <v>48</v>
      </c>
      <c r="R1099" s="5"/>
      <c r="S1099" s="5"/>
      <c r="T1099" s="9">
        <v>44783.205266203702</v>
      </c>
      <c r="U1099" s="5"/>
      <c r="V1099" s="5">
        <v>0</v>
      </c>
      <c r="W1099" s="5"/>
      <c r="X1099" s="5"/>
      <c r="Y1099" s="5"/>
      <c r="Z1099" s="5"/>
      <c r="AA1099" s="5"/>
      <c r="AC1099">
        <f t="shared" si="154"/>
        <v>14</v>
      </c>
      <c r="AD1099" t="str">
        <f t="shared" si="155"/>
        <v/>
      </c>
      <c r="AE1099">
        <f t="shared" si="156"/>
        <v>1</v>
      </c>
      <c r="AF1099" t="str">
        <f t="shared" si="157"/>
        <v/>
      </c>
      <c r="AG1099" t="str">
        <f t="shared" si="158"/>
        <v/>
      </c>
      <c r="AH1099">
        <f t="shared" si="159"/>
        <v>2</v>
      </c>
      <c r="AI1099" t="str">
        <f t="shared" si="160"/>
        <v/>
      </c>
      <c r="AJ1099" t="str">
        <f t="shared" si="161"/>
        <v/>
      </c>
    </row>
    <row r="1100" spans="1:36">
      <c r="A1100" s="5">
        <v>1211</v>
      </c>
      <c r="B1100" s="5" t="s">
        <v>756</v>
      </c>
      <c r="C1100" s="10" t="s">
        <v>671</v>
      </c>
      <c r="D1100" s="5" t="s">
        <v>747</v>
      </c>
      <c r="E1100" s="5" t="s">
        <v>55</v>
      </c>
      <c r="F1100" s="5" t="str">
        <f t="shared" si="153"/>
        <v>Operations-Director</v>
      </c>
      <c r="G1100" s="5" t="s">
        <v>47</v>
      </c>
      <c r="H1100" s="9">
        <v>45130.004317129627</v>
      </c>
      <c r="I1100" s="9">
        <v>45134.004317129627</v>
      </c>
      <c r="J1100" s="9" t="e">
        <f>I1100+#REF!</f>
        <v>#REF!</v>
      </c>
      <c r="K1100" s="9" t="e">
        <f>J1100+#REF!</f>
        <v>#REF!</v>
      </c>
      <c r="L1100" s="10" t="s">
        <v>41</v>
      </c>
      <c r="M1100" s="11">
        <v>45144.004317129627</v>
      </c>
      <c r="N1100" s="5" t="s">
        <v>64</v>
      </c>
      <c r="O1100" s="5"/>
      <c r="P1100" s="9">
        <v>45149.004317129627</v>
      </c>
      <c r="Q1100" s="5" t="s">
        <v>64</v>
      </c>
      <c r="R1100" s="9">
        <v>45145.004317129627</v>
      </c>
      <c r="S1100" s="9">
        <v>45148.004317129627</v>
      </c>
      <c r="T1100" s="9">
        <v>45145.004317129627</v>
      </c>
      <c r="U1100" s="9">
        <v>45152.004317129627</v>
      </c>
      <c r="V1100" s="12">
        <v>1</v>
      </c>
      <c r="W1100" s="9">
        <v>45155.004317129627</v>
      </c>
      <c r="X1100" s="9">
        <v>45158.004317129627</v>
      </c>
      <c r="Y1100" s="9">
        <v>45159.004317129627</v>
      </c>
      <c r="Z1100" s="5"/>
      <c r="AA1100" s="5"/>
      <c r="AB1100" s="13">
        <v>45176.004317129627</v>
      </c>
      <c r="AC1100">
        <f t="shared" si="154"/>
        <v>10</v>
      </c>
      <c r="AD1100">
        <f t="shared" si="155"/>
        <v>14</v>
      </c>
      <c r="AE1100">
        <f t="shared" si="156"/>
        <v>1</v>
      </c>
      <c r="AF1100">
        <f t="shared" si="157"/>
        <v>6</v>
      </c>
      <c r="AG1100">
        <f t="shared" si="158"/>
        <v>3</v>
      </c>
      <c r="AH1100">
        <f t="shared" si="159"/>
        <v>4</v>
      </c>
      <c r="AI1100" t="str">
        <f t="shared" si="160"/>
        <v/>
      </c>
      <c r="AJ1100" t="str">
        <f t="shared" si="161"/>
        <v/>
      </c>
    </row>
    <row r="1101" spans="1:36">
      <c r="A1101" s="5">
        <v>1213</v>
      </c>
      <c r="B1101" s="5" t="s">
        <v>2130</v>
      </c>
      <c r="C1101" s="10" t="s">
        <v>2089</v>
      </c>
      <c r="D1101" s="5" t="s">
        <v>2114</v>
      </c>
      <c r="E1101" s="5" t="s">
        <v>388</v>
      </c>
      <c r="F1101" s="5" t="str">
        <f t="shared" si="153"/>
        <v>Communication and Advocacy-Extension Officer</v>
      </c>
      <c r="G1101" s="5" t="s">
        <v>147</v>
      </c>
      <c r="H1101" s="9">
        <v>45130.004317129627</v>
      </c>
      <c r="I1101" s="9">
        <v>45132.004317129627</v>
      </c>
      <c r="J1101" s="9" t="e">
        <f>I1101+#REF!</f>
        <v>#REF!</v>
      </c>
      <c r="K1101" s="9" t="e">
        <f>J1101+#REF!</f>
        <v>#REF!</v>
      </c>
      <c r="L1101" s="10" t="s">
        <v>52</v>
      </c>
      <c r="M1101" s="11"/>
      <c r="N1101" s="5"/>
      <c r="O1101" s="5"/>
      <c r="P1101" s="9"/>
      <c r="Q1101" s="5"/>
      <c r="R1101" s="5"/>
      <c r="S1101" s="5"/>
      <c r="T1101" s="9"/>
      <c r="U1101" s="5"/>
      <c r="V1101" s="5">
        <v>0</v>
      </c>
      <c r="W1101" s="5"/>
      <c r="X1101" s="5"/>
      <c r="Y1101" s="5"/>
      <c r="Z1101" s="5"/>
      <c r="AA1101" s="5"/>
      <c r="AC1101" t="str">
        <f t="shared" si="154"/>
        <v/>
      </c>
      <c r="AD1101" t="str">
        <f t="shared" si="155"/>
        <v/>
      </c>
      <c r="AE1101" t="str">
        <f t="shared" si="156"/>
        <v/>
      </c>
      <c r="AF1101" t="str">
        <f t="shared" si="157"/>
        <v/>
      </c>
      <c r="AG1101" t="str">
        <f t="shared" si="158"/>
        <v/>
      </c>
      <c r="AH1101">
        <f t="shared" si="159"/>
        <v>2</v>
      </c>
      <c r="AI1101" t="str">
        <f t="shared" si="160"/>
        <v/>
      </c>
      <c r="AJ1101" t="str">
        <f t="shared" si="161"/>
        <v/>
      </c>
    </row>
    <row r="1102" spans="1:36">
      <c r="A1102" s="5">
        <v>1214</v>
      </c>
      <c r="B1102" s="5" t="s">
        <v>1179</v>
      </c>
      <c r="C1102" s="10" t="s">
        <v>1122</v>
      </c>
      <c r="D1102" s="5" t="s">
        <v>1145</v>
      </c>
      <c r="E1102" s="5" t="s">
        <v>39</v>
      </c>
      <c r="F1102" s="5" t="str">
        <f t="shared" si="153"/>
        <v>IT-Analyst</v>
      </c>
      <c r="G1102" s="5" t="s">
        <v>147</v>
      </c>
      <c r="H1102" s="9">
        <v>45133.004317129627</v>
      </c>
      <c r="I1102" s="9">
        <v>45135.004317129627</v>
      </c>
      <c r="J1102" s="9" t="e">
        <f>I1102+#REF!</f>
        <v>#REF!</v>
      </c>
      <c r="K1102" s="9" t="e">
        <f>J1102+#REF!</f>
        <v>#REF!</v>
      </c>
      <c r="L1102" s="10" t="s">
        <v>41</v>
      </c>
      <c r="M1102" s="11">
        <v>45141.004317129627</v>
      </c>
      <c r="N1102" s="5" t="s">
        <v>48</v>
      </c>
      <c r="O1102" s="5"/>
      <c r="P1102" s="9">
        <v>45148.004317129627</v>
      </c>
      <c r="Q1102" s="5" t="s">
        <v>48</v>
      </c>
      <c r="R1102" s="5"/>
      <c r="S1102" s="5"/>
      <c r="T1102" s="9">
        <v>45145.004317129627</v>
      </c>
      <c r="U1102" s="5"/>
      <c r="V1102" s="5">
        <v>0</v>
      </c>
      <c r="W1102" s="5"/>
      <c r="X1102" s="5"/>
      <c r="Y1102" s="5"/>
      <c r="Z1102" s="5"/>
      <c r="AA1102" s="5"/>
      <c r="AC1102">
        <f t="shared" si="154"/>
        <v>6</v>
      </c>
      <c r="AD1102" t="str">
        <f t="shared" si="155"/>
        <v/>
      </c>
      <c r="AE1102">
        <f t="shared" si="156"/>
        <v>4</v>
      </c>
      <c r="AF1102" t="str">
        <f t="shared" si="157"/>
        <v/>
      </c>
      <c r="AG1102" t="str">
        <f t="shared" si="158"/>
        <v/>
      </c>
      <c r="AH1102">
        <f t="shared" si="159"/>
        <v>2</v>
      </c>
      <c r="AI1102" t="str">
        <f t="shared" si="160"/>
        <v/>
      </c>
      <c r="AJ1102" t="str">
        <f t="shared" si="161"/>
        <v/>
      </c>
    </row>
    <row r="1103" spans="1:36">
      <c r="A1103" s="5">
        <v>1216</v>
      </c>
      <c r="B1103" s="5" t="s">
        <v>687</v>
      </c>
      <c r="C1103" s="10" t="s">
        <v>671</v>
      </c>
      <c r="D1103" s="5" t="s">
        <v>672</v>
      </c>
      <c r="E1103" s="5" t="s">
        <v>673</v>
      </c>
      <c r="F1103" s="5" t="str">
        <f t="shared" si="153"/>
        <v>Operations-Controller</v>
      </c>
      <c r="G1103" s="5" t="s">
        <v>40</v>
      </c>
      <c r="H1103" s="9">
        <v>45129.004317129627</v>
      </c>
      <c r="I1103" s="9">
        <v>45132.004317129627</v>
      </c>
      <c r="J1103" s="9" t="e">
        <f>I1103+#REF!</f>
        <v>#REF!</v>
      </c>
      <c r="K1103" s="9" t="e">
        <f>J1103+#REF!</f>
        <v>#REF!</v>
      </c>
      <c r="L1103" s="10" t="s">
        <v>52</v>
      </c>
      <c r="M1103" s="11"/>
      <c r="N1103" s="5"/>
      <c r="O1103" s="5"/>
      <c r="P1103" s="9"/>
      <c r="Q1103" s="5"/>
      <c r="R1103" s="5"/>
      <c r="S1103" s="5"/>
      <c r="T1103" s="9"/>
      <c r="U1103" s="5"/>
      <c r="V1103" s="5">
        <v>0</v>
      </c>
      <c r="W1103" s="5"/>
      <c r="X1103" s="5"/>
      <c r="Y1103" s="5"/>
      <c r="Z1103" s="5"/>
      <c r="AA1103" s="5"/>
      <c r="AC1103" t="str">
        <f t="shared" si="154"/>
        <v/>
      </c>
      <c r="AD1103" t="str">
        <f t="shared" si="155"/>
        <v/>
      </c>
      <c r="AE1103" t="str">
        <f t="shared" si="156"/>
        <v/>
      </c>
      <c r="AF1103" t="str">
        <f t="shared" si="157"/>
        <v/>
      </c>
      <c r="AG1103" t="str">
        <f t="shared" si="158"/>
        <v/>
      </c>
      <c r="AH1103">
        <f t="shared" si="159"/>
        <v>3</v>
      </c>
      <c r="AI1103" t="str">
        <f t="shared" si="160"/>
        <v/>
      </c>
      <c r="AJ1103" t="str">
        <f t="shared" si="161"/>
        <v/>
      </c>
    </row>
    <row r="1104" spans="1:36">
      <c r="A1104" s="5">
        <v>1217</v>
      </c>
      <c r="B1104" s="5" t="s">
        <v>1319</v>
      </c>
      <c r="C1104" s="10" t="s">
        <v>1215</v>
      </c>
      <c r="D1104" s="5" t="s">
        <v>1287</v>
      </c>
      <c r="E1104" s="5" t="s">
        <v>1146</v>
      </c>
      <c r="F1104" s="5" t="str">
        <f t="shared" si="153"/>
        <v>HR-Quality Assurance</v>
      </c>
      <c r="G1104" s="5" t="s">
        <v>47</v>
      </c>
      <c r="H1104" s="9">
        <v>45132.004317129627</v>
      </c>
      <c r="I1104" s="9">
        <v>45133.004317129627</v>
      </c>
      <c r="J1104" s="9" t="e">
        <f>I1104+#REF!</f>
        <v>#REF!</v>
      </c>
      <c r="K1104" s="9" t="e">
        <f>J1104+#REF!</f>
        <v>#REF!</v>
      </c>
      <c r="L1104" s="10" t="s">
        <v>41</v>
      </c>
      <c r="M1104" s="11">
        <v>45143.004317129627</v>
      </c>
      <c r="N1104" s="5" t="s">
        <v>64</v>
      </c>
      <c r="O1104" s="5"/>
      <c r="P1104" s="9">
        <v>45147.004317129627</v>
      </c>
      <c r="Q1104" s="5" t="s">
        <v>64</v>
      </c>
      <c r="R1104" s="9">
        <v>45144.004317129627</v>
      </c>
      <c r="S1104" s="9">
        <v>45147.004317129627</v>
      </c>
      <c r="T1104" s="9">
        <v>45144.004317129627</v>
      </c>
      <c r="U1104" s="9">
        <v>45149.004317129627</v>
      </c>
      <c r="V1104" s="12">
        <v>1</v>
      </c>
      <c r="W1104" s="9">
        <v>45152.004317129627</v>
      </c>
      <c r="X1104" s="9">
        <v>45155.004317129627</v>
      </c>
      <c r="Y1104" s="9">
        <v>45156.004317129627</v>
      </c>
      <c r="Z1104" s="5"/>
      <c r="AA1104" s="5"/>
      <c r="AB1104" s="13">
        <v>45172.004317129627</v>
      </c>
      <c r="AC1104">
        <f t="shared" si="154"/>
        <v>10</v>
      </c>
      <c r="AD1104">
        <f t="shared" si="155"/>
        <v>14</v>
      </c>
      <c r="AE1104">
        <f t="shared" si="156"/>
        <v>1</v>
      </c>
      <c r="AF1104">
        <f t="shared" si="157"/>
        <v>6</v>
      </c>
      <c r="AG1104">
        <f t="shared" si="158"/>
        <v>3</v>
      </c>
      <c r="AH1104">
        <f t="shared" si="159"/>
        <v>1</v>
      </c>
      <c r="AI1104" t="str">
        <f t="shared" si="160"/>
        <v/>
      </c>
      <c r="AJ1104" t="str">
        <f t="shared" si="161"/>
        <v/>
      </c>
    </row>
    <row r="1105" spans="1:36">
      <c r="A1105" s="5">
        <v>1218</v>
      </c>
      <c r="B1105" s="5" t="s">
        <v>1243</v>
      </c>
      <c r="C1105" s="10" t="s">
        <v>1215</v>
      </c>
      <c r="D1105" s="5" t="s">
        <v>1216</v>
      </c>
      <c r="E1105" s="5" t="s">
        <v>269</v>
      </c>
      <c r="F1105" s="5" t="str">
        <f t="shared" si="153"/>
        <v>HR-Manager</v>
      </c>
      <c r="G1105" s="5" t="s">
        <v>270</v>
      </c>
      <c r="H1105" s="9">
        <v>45135.004317129627</v>
      </c>
      <c r="I1105" s="9">
        <v>45137.004317129627</v>
      </c>
      <c r="J1105" s="9" t="e">
        <f>I1105+#REF!</f>
        <v>#REF!</v>
      </c>
      <c r="K1105" s="9" t="e">
        <f>J1105+#REF!</f>
        <v>#REF!</v>
      </c>
      <c r="L1105" s="10" t="s">
        <v>41</v>
      </c>
      <c r="M1105" s="11">
        <v>45154.004317129627</v>
      </c>
      <c r="N1105" s="5" t="s">
        <v>42</v>
      </c>
      <c r="O1105" s="5" t="s">
        <v>98</v>
      </c>
      <c r="P1105" s="9"/>
      <c r="Q1105" s="5"/>
      <c r="R1105" s="5"/>
      <c r="S1105" s="5"/>
      <c r="T1105" s="9">
        <v>45156.004317129627</v>
      </c>
      <c r="U1105" s="5"/>
      <c r="V1105" s="5">
        <v>0</v>
      </c>
      <c r="W1105" s="5"/>
      <c r="X1105" s="5"/>
      <c r="Y1105" s="5"/>
      <c r="Z1105" s="5"/>
      <c r="AA1105" s="5" t="s">
        <v>44</v>
      </c>
      <c r="AC1105">
        <f t="shared" si="154"/>
        <v>17</v>
      </c>
      <c r="AD1105" t="str">
        <f t="shared" si="155"/>
        <v/>
      </c>
      <c r="AE1105">
        <f t="shared" si="156"/>
        <v>2</v>
      </c>
      <c r="AF1105" t="str">
        <f t="shared" si="157"/>
        <v/>
      </c>
      <c r="AG1105" t="str">
        <f t="shared" si="158"/>
        <v/>
      </c>
      <c r="AH1105">
        <f t="shared" si="159"/>
        <v>2</v>
      </c>
      <c r="AI1105" t="str">
        <f t="shared" si="160"/>
        <v/>
      </c>
      <c r="AJ1105" t="str">
        <f t="shared" si="161"/>
        <v/>
      </c>
    </row>
    <row r="1106" spans="1:36">
      <c r="A1106" s="5">
        <v>1220</v>
      </c>
      <c r="B1106" s="5" t="s">
        <v>1139</v>
      </c>
      <c r="C1106" s="10" t="s">
        <v>1122</v>
      </c>
      <c r="D1106" s="5" t="s">
        <v>1123</v>
      </c>
      <c r="E1106" s="5" t="s">
        <v>102</v>
      </c>
      <c r="F1106" s="5" t="str">
        <f t="shared" si="153"/>
        <v>IT-Senior Manager</v>
      </c>
      <c r="G1106" s="5" t="s">
        <v>103</v>
      </c>
      <c r="H1106" s="9">
        <v>45132.004317129627</v>
      </c>
      <c r="I1106" s="9">
        <v>45135.004317129627</v>
      </c>
      <c r="J1106" s="9" t="e">
        <f>I1106+#REF!</f>
        <v>#REF!</v>
      </c>
      <c r="K1106" s="9" t="e">
        <f>J1106+#REF!</f>
        <v>#REF!</v>
      </c>
      <c r="L1106" s="10" t="s">
        <v>41</v>
      </c>
      <c r="M1106" s="11">
        <v>45156.004317129627</v>
      </c>
      <c r="N1106" s="5" t="s">
        <v>42</v>
      </c>
      <c r="O1106" s="5" t="s">
        <v>98</v>
      </c>
      <c r="P1106" s="9"/>
      <c r="Q1106" s="5"/>
      <c r="R1106" s="5"/>
      <c r="S1106" s="5"/>
      <c r="T1106" s="9"/>
      <c r="U1106" s="5"/>
      <c r="V1106" s="5">
        <v>0</v>
      </c>
      <c r="W1106" s="5"/>
      <c r="X1106" s="5"/>
      <c r="Y1106" s="5"/>
      <c r="Z1106" s="5"/>
      <c r="AA1106" s="5" t="s">
        <v>44</v>
      </c>
      <c r="AC1106">
        <f t="shared" si="154"/>
        <v>21</v>
      </c>
      <c r="AD1106" t="str">
        <f t="shared" si="155"/>
        <v/>
      </c>
      <c r="AE1106" t="str">
        <f t="shared" si="156"/>
        <v/>
      </c>
      <c r="AF1106" t="str">
        <f t="shared" si="157"/>
        <v/>
      </c>
      <c r="AG1106" t="str">
        <f t="shared" si="158"/>
        <v/>
      </c>
      <c r="AH1106">
        <f t="shared" si="159"/>
        <v>3</v>
      </c>
      <c r="AI1106" t="str">
        <f t="shared" si="160"/>
        <v/>
      </c>
      <c r="AJ1106" t="str">
        <f t="shared" si="161"/>
        <v/>
      </c>
    </row>
    <row r="1107" spans="1:36">
      <c r="A1107" s="5">
        <v>1221</v>
      </c>
      <c r="B1107" s="5" t="s">
        <v>1531</v>
      </c>
      <c r="C1107" s="5" t="s">
        <v>1332</v>
      </c>
      <c r="D1107" s="5" t="s">
        <v>1500</v>
      </c>
      <c r="E1107" s="5" t="s">
        <v>815</v>
      </c>
      <c r="F1107" s="5" t="str">
        <f t="shared" si="153"/>
        <v>Fundraising-Auditor</v>
      </c>
      <c r="G1107" s="5" t="s">
        <v>47</v>
      </c>
      <c r="H1107" s="9">
        <v>44735.14203703704</v>
      </c>
      <c r="I1107" s="9">
        <v>44739.14203703704</v>
      </c>
      <c r="J1107" s="9" t="e">
        <f>I1107+#REF!</f>
        <v>#REF!</v>
      </c>
      <c r="K1107" s="9" t="e">
        <f>J1107+#REF!</f>
        <v>#REF!</v>
      </c>
      <c r="L1107" s="10" t="s">
        <v>41</v>
      </c>
      <c r="M1107" s="11">
        <v>44753.14203703704</v>
      </c>
      <c r="N1107" s="5" t="s">
        <v>42</v>
      </c>
      <c r="O1107" s="5" t="s">
        <v>73</v>
      </c>
      <c r="P1107" s="9"/>
      <c r="Q1107" s="5"/>
      <c r="R1107" s="5"/>
      <c r="S1107" s="5"/>
      <c r="T1107" s="9">
        <v>44755.14203703704</v>
      </c>
      <c r="U1107" s="5"/>
      <c r="V1107" s="5">
        <v>0</v>
      </c>
      <c r="W1107" s="5"/>
      <c r="X1107" s="5"/>
      <c r="Y1107" s="5"/>
      <c r="Z1107" s="5"/>
      <c r="AA1107" s="5" t="s">
        <v>62</v>
      </c>
      <c r="AC1107">
        <f t="shared" si="154"/>
        <v>14</v>
      </c>
      <c r="AD1107" t="str">
        <f t="shared" si="155"/>
        <v/>
      </c>
      <c r="AE1107">
        <f t="shared" si="156"/>
        <v>2</v>
      </c>
      <c r="AF1107" t="str">
        <f t="shared" si="157"/>
        <v/>
      </c>
      <c r="AG1107" t="str">
        <f t="shared" si="158"/>
        <v/>
      </c>
      <c r="AH1107">
        <f t="shared" si="159"/>
        <v>4</v>
      </c>
      <c r="AI1107" t="str">
        <f t="shared" si="160"/>
        <v/>
      </c>
      <c r="AJ1107" t="str">
        <f t="shared" si="161"/>
        <v/>
      </c>
    </row>
    <row r="1108" spans="1:36">
      <c r="A1108" s="5">
        <v>1222</v>
      </c>
      <c r="B1108" s="5" t="s">
        <v>1406</v>
      </c>
      <c r="C1108" s="5" t="s">
        <v>1332</v>
      </c>
      <c r="D1108" s="5" t="s">
        <v>1359</v>
      </c>
      <c r="E1108" s="5" t="s">
        <v>1360</v>
      </c>
      <c r="F1108" s="5" t="str">
        <f t="shared" si="153"/>
        <v>Fundraising-Fund Administrator</v>
      </c>
      <c r="G1108" s="5" t="s">
        <v>147</v>
      </c>
      <c r="H1108" s="9">
        <v>44733.14203703704</v>
      </c>
      <c r="I1108" s="9">
        <v>44735.14203703704</v>
      </c>
      <c r="J1108" s="9" t="e">
        <f>I1108+#REF!</f>
        <v>#REF!</v>
      </c>
      <c r="K1108" s="9" t="e">
        <f>J1108+#REF!</f>
        <v>#REF!</v>
      </c>
      <c r="L1108" s="10" t="s">
        <v>41</v>
      </c>
      <c r="M1108" s="11">
        <v>44753.14203703704</v>
      </c>
      <c r="N1108" s="5" t="s">
        <v>48</v>
      </c>
      <c r="O1108" s="5"/>
      <c r="P1108" s="9">
        <v>44757.14203703704</v>
      </c>
      <c r="Q1108" s="5" t="s">
        <v>48</v>
      </c>
      <c r="R1108" s="5"/>
      <c r="S1108" s="5"/>
      <c r="T1108" s="9">
        <v>44754.14203703704</v>
      </c>
      <c r="U1108" s="5"/>
      <c r="V1108" s="5">
        <v>0</v>
      </c>
      <c r="W1108" s="5"/>
      <c r="X1108" s="5"/>
      <c r="Y1108" s="5"/>
      <c r="Z1108" s="5"/>
      <c r="AA1108" s="5"/>
      <c r="AC1108">
        <f t="shared" si="154"/>
        <v>18</v>
      </c>
      <c r="AD1108" t="str">
        <f t="shared" si="155"/>
        <v/>
      </c>
      <c r="AE1108">
        <f t="shared" si="156"/>
        <v>1</v>
      </c>
      <c r="AF1108" t="str">
        <f t="shared" si="157"/>
        <v/>
      </c>
      <c r="AG1108" t="str">
        <f t="shared" si="158"/>
        <v/>
      </c>
      <c r="AH1108">
        <f t="shared" si="159"/>
        <v>2</v>
      </c>
      <c r="AI1108" t="str">
        <f t="shared" si="160"/>
        <v/>
      </c>
      <c r="AJ1108" t="str">
        <f t="shared" si="161"/>
        <v/>
      </c>
    </row>
    <row r="1109" spans="1:36">
      <c r="A1109" s="5">
        <v>1223</v>
      </c>
      <c r="B1109" s="5" t="s">
        <v>1405</v>
      </c>
      <c r="C1109" s="5" t="s">
        <v>1332</v>
      </c>
      <c r="D1109" s="5" t="s">
        <v>1359</v>
      </c>
      <c r="E1109" s="5" t="s">
        <v>1360</v>
      </c>
      <c r="F1109" s="5" t="str">
        <f t="shared" si="153"/>
        <v>Fundraising-Fund Administrator</v>
      </c>
      <c r="G1109" s="5" t="s">
        <v>147</v>
      </c>
      <c r="H1109" s="9">
        <v>44736.14203703704</v>
      </c>
      <c r="I1109" s="9">
        <v>44739.14203703704</v>
      </c>
      <c r="J1109" s="9" t="e">
        <f>I1109+#REF!</f>
        <v>#REF!</v>
      </c>
      <c r="K1109" s="9" t="e">
        <f>J1109+#REF!</f>
        <v>#REF!</v>
      </c>
      <c r="L1109" s="10" t="s">
        <v>41</v>
      </c>
      <c r="M1109" s="11">
        <v>44757.14203703704</v>
      </c>
      <c r="N1109" s="5" t="s">
        <v>42</v>
      </c>
      <c r="O1109" s="5" t="s">
        <v>58</v>
      </c>
      <c r="P1109" s="9"/>
      <c r="Q1109" s="5"/>
      <c r="R1109" s="5"/>
      <c r="S1109" s="5"/>
      <c r="T1109" s="9">
        <v>44759.14203703704</v>
      </c>
      <c r="U1109" s="5"/>
      <c r="V1109" s="5">
        <v>0</v>
      </c>
      <c r="W1109" s="5"/>
      <c r="X1109" s="5"/>
      <c r="Y1109" s="5"/>
      <c r="Z1109" s="5"/>
      <c r="AA1109" s="5" t="s">
        <v>44</v>
      </c>
      <c r="AC1109">
        <f t="shared" si="154"/>
        <v>18</v>
      </c>
      <c r="AD1109" t="str">
        <f t="shared" si="155"/>
        <v/>
      </c>
      <c r="AE1109">
        <f t="shared" si="156"/>
        <v>2</v>
      </c>
      <c r="AF1109" t="str">
        <f t="shared" si="157"/>
        <v/>
      </c>
      <c r="AG1109" t="str">
        <f t="shared" si="158"/>
        <v/>
      </c>
      <c r="AH1109">
        <f t="shared" si="159"/>
        <v>3</v>
      </c>
      <c r="AI1109" t="str">
        <f t="shared" si="160"/>
        <v/>
      </c>
      <c r="AJ1109" t="str">
        <f t="shared" si="161"/>
        <v/>
      </c>
    </row>
    <row r="1110" spans="1:36">
      <c r="A1110" s="5">
        <v>1224</v>
      </c>
      <c r="B1110" s="5" t="s">
        <v>1494</v>
      </c>
      <c r="C1110" s="5" t="s">
        <v>1332</v>
      </c>
      <c r="D1110" s="5" t="s">
        <v>1448</v>
      </c>
      <c r="E1110" s="5" t="s">
        <v>1484</v>
      </c>
      <c r="F1110" s="5" t="str">
        <f t="shared" si="153"/>
        <v>Fundraising-Review Associate</v>
      </c>
      <c r="G1110" s="5" t="s">
        <v>40</v>
      </c>
      <c r="H1110" s="9">
        <v>44735.14203703704</v>
      </c>
      <c r="I1110" s="9">
        <v>44737.14203703704</v>
      </c>
      <c r="J1110" s="9" t="e">
        <f>I1110+#REF!</f>
        <v>#REF!</v>
      </c>
      <c r="K1110" s="9" t="e">
        <f>J1110+#REF!</f>
        <v>#REF!</v>
      </c>
      <c r="L1110" s="10" t="s">
        <v>41</v>
      </c>
      <c r="M1110" s="11">
        <v>44754.14203703704</v>
      </c>
      <c r="N1110" s="5" t="s">
        <v>48</v>
      </c>
      <c r="O1110" s="5"/>
      <c r="P1110" s="9">
        <v>44761.14203703704</v>
      </c>
      <c r="Q1110" s="5" t="s">
        <v>48</v>
      </c>
      <c r="R1110" s="5"/>
      <c r="S1110" s="5"/>
      <c r="T1110" s="9">
        <v>44758.14203703704</v>
      </c>
      <c r="U1110" s="5"/>
      <c r="V1110" s="5">
        <v>0</v>
      </c>
      <c r="W1110" s="5"/>
      <c r="X1110" s="5"/>
      <c r="Y1110" s="5"/>
      <c r="Z1110" s="5"/>
      <c r="AA1110" s="5"/>
      <c r="AC1110">
        <f t="shared" si="154"/>
        <v>17</v>
      </c>
      <c r="AD1110" t="str">
        <f t="shared" si="155"/>
        <v/>
      </c>
      <c r="AE1110">
        <f t="shared" si="156"/>
        <v>4</v>
      </c>
      <c r="AF1110" t="str">
        <f t="shared" si="157"/>
        <v/>
      </c>
      <c r="AG1110" t="str">
        <f t="shared" si="158"/>
        <v/>
      </c>
      <c r="AH1110">
        <f t="shared" si="159"/>
        <v>2</v>
      </c>
      <c r="AI1110" t="str">
        <f t="shared" si="160"/>
        <v/>
      </c>
      <c r="AJ1110" t="str">
        <f t="shared" si="161"/>
        <v/>
      </c>
    </row>
    <row r="1111" spans="1:36">
      <c r="A1111" s="5">
        <v>1226</v>
      </c>
      <c r="B1111" s="5" t="s">
        <v>2371</v>
      </c>
      <c r="C1111" s="5" t="s">
        <v>2229</v>
      </c>
      <c r="D1111" s="5" t="s">
        <v>2350</v>
      </c>
      <c r="E1111" s="5" t="s">
        <v>2351</v>
      </c>
      <c r="F1111" s="5" t="str">
        <f t="shared" si="153"/>
        <v>Capacity Building-Training Associate</v>
      </c>
      <c r="G1111" s="5" t="s">
        <v>40</v>
      </c>
      <c r="H1111" s="9">
        <v>44737.14203703704</v>
      </c>
      <c r="I1111" s="9">
        <v>44739.14203703704</v>
      </c>
      <c r="J1111" s="9" t="e">
        <f>I1111+#REF!</f>
        <v>#REF!</v>
      </c>
      <c r="K1111" s="9" t="e">
        <f>J1111+#REF!</f>
        <v>#REF!</v>
      </c>
      <c r="L1111" s="10" t="s">
        <v>41</v>
      </c>
      <c r="M1111" s="11">
        <v>44753.14203703704</v>
      </c>
      <c r="N1111" s="5" t="s">
        <v>64</v>
      </c>
      <c r="O1111" s="5"/>
      <c r="P1111" s="9">
        <v>44758.14203703704</v>
      </c>
      <c r="Q1111" s="5" t="s">
        <v>64</v>
      </c>
      <c r="R1111" s="9">
        <v>44754.14203703704</v>
      </c>
      <c r="S1111" s="9">
        <v>44758.14203703704</v>
      </c>
      <c r="T1111" s="9">
        <v>44755.14203703704</v>
      </c>
      <c r="U1111" s="9">
        <v>44765.14203703704</v>
      </c>
      <c r="V1111" s="12">
        <v>1</v>
      </c>
      <c r="W1111" s="9">
        <v>44768.14203703704</v>
      </c>
      <c r="X1111" s="9">
        <v>44769.14203703704</v>
      </c>
      <c r="Y1111" s="9">
        <v>44772.14203703704</v>
      </c>
      <c r="Z1111" s="5"/>
      <c r="AA1111" s="5"/>
      <c r="AB1111" s="13">
        <v>44792.14203703704</v>
      </c>
      <c r="AC1111">
        <f t="shared" si="154"/>
        <v>14</v>
      </c>
      <c r="AD1111">
        <f t="shared" si="155"/>
        <v>19</v>
      </c>
      <c r="AE1111">
        <f t="shared" si="156"/>
        <v>2</v>
      </c>
      <c r="AF1111">
        <f t="shared" si="157"/>
        <v>4</v>
      </c>
      <c r="AG1111">
        <f t="shared" si="158"/>
        <v>3</v>
      </c>
      <c r="AH1111">
        <f t="shared" si="159"/>
        <v>2</v>
      </c>
      <c r="AI1111" t="str">
        <f t="shared" si="160"/>
        <v/>
      </c>
      <c r="AJ1111" t="str">
        <f t="shared" si="161"/>
        <v/>
      </c>
    </row>
    <row r="1112" spans="1:36">
      <c r="A1112" s="5">
        <v>1228</v>
      </c>
      <c r="B1112" s="5" t="s">
        <v>1440</v>
      </c>
      <c r="C1112" s="5" t="s">
        <v>1332</v>
      </c>
      <c r="D1112" s="5" t="s">
        <v>1413</v>
      </c>
      <c r="E1112" s="5" t="s">
        <v>269</v>
      </c>
      <c r="F1112" s="5" t="str">
        <f t="shared" si="153"/>
        <v>Fundraising-Manager</v>
      </c>
      <c r="G1112" s="5" t="s">
        <v>270</v>
      </c>
      <c r="H1112" s="9">
        <v>44734.14203703704</v>
      </c>
      <c r="I1112" s="9">
        <v>44736.14203703704</v>
      </c>
      <c r="J1112" s="9" t="e">
        <f>I1112+#REF!</f>
        <v>#REF!</v>
      </c>
      <c r="K1112" s="9" t="e">
        <f>J1112+#REF!</f>
        <v>#REF!</v>
      </c>
      <c r="L1112" s="10" t="s">
        <v>41</v>
      </c>
      <c r="M1112" s="11">
        <v>44750.14203703704</v>
      </c>
      <c r="N1112" s="5" t="s">
        <v>42</v>
      </c>
      <c r="O1112" s="5" t="s">
        <v>43</v>
      </c>
      <c r="P1112" s="9"/>
      <c r="Q1112" s="5"/>
      <c r="R1112" s="5"/>
      <c r="S1112" s="5"/>
      <c r="T1112" s="9"/>
      <c r="U1112" s="5"/>
      <c r="V1112" s="5">
        <v>0</v>
      </c>
      <c r="W1112" s="5"/>
      <c r="X1112" s="5"/>
      <c r="Y1112" s="5"/>
      <c r="Z1112" s="5"/>
      <c r="AA1112" s="5" t="s">
        <v>62</v>
      </c>
      <c r="AC1112">
        <f t="shared" si="154"/>
        <v>14</v>
      </c>
      <c r="AD1112" t="str">
        <f t="shared" si="155"/>
        <v/>
      </c>
      <c r="AE1112" t="str">
        <f t="shared" si="156"/>
        <v/>
      </c>
      <c r="AF1112" t="str">
        <f t="shared" si="157"/>
        <v/>
      </c>
      <c r="AG1112" t="str">
        <f t="shared" si="158"/>
        <v/>
      </c>
      <c r="AH1112">
        <f t="shared" si="159"/>
        <v>2</v>
      </c>
      <c r="AI1112" t="str">
        <f t="shared" si="160"/>
        <v/>
      </c>
      <c r="AJ1112" t="str">
        <f t="shared" si="161"/>
        <v/>
      </c>
    </row>
    <row r="1113" spans="1:36">
      <c r="A1113" s="5">
        <v>1229</v>
      </c>
      <c r="B1113" s="5" t="s">
        <v>1404</v>
      </c>
      <c r="C1113" s="5" t="s">
        <v>1332</v>
      </c>
      <c r="D1113" s="5" t="s">
        <v>1359</v>
      </c>
      <c r="E1113" s="5" t="s">
        <v>1360</v>
      </c>
      <c r="F1113" s="5" t="str">
        <f t="shared" si="153"/>
        <v>Fundraising-Fund Administrator</v>
      </c>
      <c r="G1113" s="5" t="s">
        <v>147</v>
      </c>
      <c r="H1113" s="9">
        <v>44734.14203703704</v>
      </c>
      <c r="I1113" s="9">
        <v>44738.14203703704</v>
      </c>
      <c r="J1113" s="9" t="e">
        <f>I1113+#REF!</f>
        <v>#REF!</v>
      </c>
      <c r="K1113" s="9" t="e">
        <f>J1113+#REF!</f>
        <v>#REF!</v>
      </c>
      <c r="L1113" s="10" t="s">
        <v>41</v>
      </c>
      <c r="M1113" s="11">
        <v>44748.14203703704</v>
      </c>
      <c r="N1113" s="5" t="s">
        <v>48</v>
      </c>
      <c r="O1113" s="5"/>
      <c r="P1113" s="9">
        <v>44755.14203703704</v>
      </c>
      <c r="Q1113" s="5" t="s">
        <v>48</v>
      </c>
      <c r="R1113" s="5"/>
      <c r="S1113" s="5"/>
      <c r="T1113" s="9">
        <v>44751.14203703704</v>
      </c>
      <c r="U1113" s="5"/>
      <c r="V1113" s="5">
        <v>0</v>
      </c>
      <c r="W1113" s="5"/>
      <c r="X1113" s="5"/>
      <c r="Y1113" s="5"/>
      <c r="Z1113" s="5"/>
      <c r="AA1113" s="5"/>
      <c r="AC1113">
        <f t="shared" si="154"/>
        <v>10</v>
      </c>
      <c r="AD1113" t="str">
        <f t="shared" si="155"/>
        <v/>
      </c>
      <c r="AE1113">
        <f t="shared" si="156"/>
        <v>3</v>
      </c>
      <c r="AF1113" t="str">
        <f t="shared" si="157"/>
        <v/>
      </c>
      <c r="AG1113" t="str">
        <f t="shared" si="158"/>
        <v/>
      </c>
      <c r="AH1113">
        <f t="shared" si="159"/>
        <v>4</v>
      </c>
      <c r="AI1113" t="str">
        <f t="shared" si="160"/>
        <v/>
      </c>
      <c r="AJ1113" t="str">
        <f t="shared" si="161"/>
        <v/>
      </c>
    </row>
    <row r="1114" spans="1:36">
      <c r="A1114" s="5">
        <v>1230</v>
      </c>
      <c r="B1114" s="5" t="s">
        <v>2464</v>
      </c>
      <c r="C1114" s="5" t="s">
        <v>2229</v>
      </c>
      <c r="D1114" s="5" t="s">
        <v>2445</v>
      </c>
      <c r="E1114" s="5" t="s">
        <v>388</v>
      </c>
      <c r="F1114" s="5" t="str">
        <f t="shared" si="153"/>
        <v>Capacity Building-Extension Officer</v>
      </c>
      <c r="G1114" s="5" t="s">
        <v>47</v>
      </c>
      <c r="H1114" s="9">
        <v>44732.14203703704</v>
      </c>
      <c r="I1114" s="9">
        <v>44735.14203703704</v>
      </c>
      <c r="J1114" s="9" t="e">
        <f>I1114+#REF!</f>
        <v>#REF!</v>
      </c>
      <c r="K1114" s="9" t="e">
        <f>J1114+#REF!</f>
        <v>#REF!</v>
      </c>
      <c r="L1114" s="10" t="s">
        <v>41</v>
      </c>
      <c r="M1114" s="11">
        <v>44746.14203703704</v>
      </c>
      <c r="N1114" s="5" t="s">
        <v>64</v>
      </c>
      <c r="O1114" s="5"/>
      <c r="P1114" s="9">
        <v>44753.14203703704</v>
      </c>
      <c r="Q1114" s="5" t="s">
        <v>64</v>
      </c>
      <c r="R1114" s="9">
        <v>44747.14203703704</v>
      </c>
      <c r="S1114" s="9">
        <v>44748.14203703704</v>
      </c>
      <c r="T1114" s="9">
        <v>44749.14203703704</v>
      </c>
      <c r="U1114" s="9">
        <v>44755.14203703704</v>
      </c>
      <c r="V1114" s="12">
        <v>1</v>
      </c>
      <c r="W1114" s="9">
        <v>44756.14203703704</v>
      </c>
      <c r="X1114" s="9">
        <v>44759.14203703704</v>
      </c>
      <c r="Y1114" s="9">
        <v>44762.14203703704</v>
      </c>
      <c r="Z1114" s="5"/>
      <c r="AA1114" s="5"/>
      <c r="AB1114" s="13">
        <v>44782.14203703704</v>
      </c>
      <c r="AC1114">
        <f t="shared" si="154"/>
        <v>11</v>
      </c>
      <c r="AD1114">
        <f t="shared" si="155"/>
        <v>13</v>
      </c>
      <c r="AE1114">
        <f t="shared" si="156"/>
        <v>3</v>
      </c>
      <c r="AF1114">
        <f t="shared" si="157"/>
        <v>4</v>
      </c>
      <c r="AG1114">
        <f t="shared" si="158"/>
        <v>1</v>
      </c>
      <c r="AH1114">
        <f t="shared" si="159"/>
        <v>3</v>
      </c>
      <c r="AI1114" t="str">
        <f t="shared" si="160"/>
        <v/>
      </c>
      <c r="AJ1114" t="str">
        <f t="shared" si="161"/>
        <v/>
      </c>
    </row>
    <row r="1115" spans="1:36">
      <c r="A1115" s="5">
        <v>1232</v>
      </c>
      <c r="B1115" s="5" t="s">
        <v>1439</v>
      </c>
      <c r="C1115" s="5" t="s">
        <v>1332</v>
      </c>
      <c r="D1115" s="5" t="s">
        <v>1413</v>
      </c>
      <c r="E1115" s="5" t="s">
        <v>269</v>
      </c>
      <c r="F1115" s="5" t="str">
        <f t="shared" si="153"/>
        <v>Fundraising-Manager</v>
      </c>
      <c r="G1115" s="5" t="s">
        <v>270</v>
      </c>
      <c r="H1115" s="9">
        <v>44981.728877314818</v>
      </c>
      <c r="I1115" s="9">
        <v>44985.728877314818</v>
      </c>
      <c r="J1115" s="9" t="e">
        <f>I1115+#REF!</f>
        <v>#REF!</v>
      </c>
      <c r="K1115" s="9" t="e">
        <f>J1115+#REF!</f>
        <v>#REF!</v>
      </c>
      <c r="L1115" s="10" t="s">
        <v>41</v>
      </c>
      <c r="M1115" s="11">
        <v>44998.728877314818</v>
      </c>
      <c r="N1115" s="5" t="s">
        <v>42</v>
      </c>
      <c r="O1115" s="5" t="s">
        <v>98</v>
      </c>
      <c r="P1115" s="9"/>
      <c r="Q1115" s="5"/>
      <c r="R1115" s="5"/>
      <c r="S1115" s="5"/>
      <c r="T1115" s="9"/>
      <c r="U1115" s="5"/>
      <c r="V1115" s="5">
        <v>0</v>
      </c>
      <c r="W1115" s="5"/>
      <c r="X1115" s="5"/>
      <c r="Y1115" s="5"/>
      <c r="Z1115" s="5"/>
      <c r="AA1115" s="5" t="s">
        <v>62</v>
      </c>
      <c r="AC1115">
        <f t="shared" si="154"/>
        <v>13</v>
      </c>
      <c r="AD1115" t="str">
        <f t="shared" si="155"/>
        <v/>
      </c>
      <c r="AE1115" t="str">
        <f t="shared" si="156"/>
        <v/>
      </c>
      <c r="AF1115" t="str">
        <f t="shared" si="157"/>
        <v/>
      </c>
      <c r="AG1115" t="str">
        <f t="shared" si="158"/>
        <v/>
      </c>
      <c r="AH1115">
        <f t="shared" si="159"/>
        <v>4</v>
      </c>
      <c r="AI1115" t="str">
        <f t="shared" si="160"/>
        <v/>
      </c>
      <c r="AJ1115" t="str">
        <f t="shared" si="161"/>
        <v/>
      </c>
    </row>
    <row r="1116" spans="1:36">
      <c r="A1116" s="5">
        <v>1233</v>
      </c>
      <c r="B1116" s="5" t="s">
        <v>2463</v>
      </c>
      <c r="C1116" s="5" t="s">
        <v>2229</v>
      </c>
      <c r="D1116" s="5" t="s">
        <v>2445</v>
      </c>
      <c r="E1116" s="5" t="s">
        <v>388</v>
      </c>
      <c r="F1116" s="5" t="str">
        <f t="shared" si="153"/>
        <v>Capacity Building-Extension Officer</v>
      </c>
      <c r="G1116" s="5" t="s">
        <v>47</v>
      </c>
      <c r="H1116" s="9">
        <v>44979.728877314818</v>
      </c>
      <c r="I1116" s="9">
        <v>44982.728877314818</v>
      </c>
      <c r="J1116" s="9" t="e">
        <f>I1116+#REF!</f>
        <v>#REF!</v>
      </c>
      <c r="K1116" s="9" t="e">
        <f>J1116+#REF!</f>
        <v>#REF!</v>
      </c>
      <c r="L1116" s="10" t="s">
        <v>52</v>
      </c>
      <c r="M1116" s="11"/>
      <c r="N1116" s="5"/>
      <c r="O1116" s="5"/>
      <c r="P1116" s="9"/>
      <c r="Q1116" s="5"/>
      <c r="R1116" s="5"/>
      <c r="S1116" s="5"/>
      <c r="T1116" s="9"/>
      <c r="U1116" s="5"/>
      <c r="V1116" s="5">
        <v>0</v>
      </c>
      <c r="W1116" s="5"/>
      <c r="X1116" s="5"/>
      <c r="Y1116" s="5"/>
      <c r="Z1116" s="5"/>
      <c r="AA1116" s="5"/>
      <c r="AC1116" t="str">
        <f t="shared" si="154"/>
        <v/>
      </c>
      <c r="AD1116" t="str">
        <f t="shared" si="155"/>
        <v/>
      </c>
      <c r="AE1116" t="str">
        <f t="shared" si="156"/>
        <v/>
      </c>
      <c r="AF1116" t="str">
        <f t="shared" si="157"/>
        <v/>
      </c>
      <c r="AG1116" t="str">
        <f t="shared" si="158"/>
        <v/>
      </c>
      <c r="AH1116">
        <f t="shared" si="159"/>
        <v>3</v>
      </c>
      <c r="AI1116" t="str">
        <f t="shared" si="160"/>
        <v/>
      </c>
      <c r="AJ1116" t="str">
        <f t="shared" si="161"/>
        <v/>
      </c>
    </row>
    <row r="1117" spans="1:36">
      <c r="A1117" s="5">
        <v>1234</v>
      </c>
      <c r="B1117" s="5" t="s">
        <v>1403</v>
      </c>
      <c r="C1117" s="5" t="s">
        <v>1332</v>
      </c>
      <c r="D1117" s="5" t="s">
        <v>1359</v>
      </c>
      <c r="E1117" s="5" t="s">
        <v>1360</v>
      </c>
      <c r="F1117" s="5" t="str">
        <f t="shared" si="153"/>
        <v>Fundraising-Fund Administrator</v>
      </c>
      <c r="G1117" s="5" t="s">
        <v>147</v>
      </c>
      <c r="H1117" s="9">
        <v>44979.728877314818</v>
      </c>
      <c r="I1117" s="9">
        <v>44982.728877314818</v>
      </c>
      <c r="J1117" s="9" t="e">
        <f>I1117+#REF!</f>
        <v>#REF!</v>
      </c>
      <c r="K1117" s="9" t="e">
        <f>J1117+#REF!</f>
        <v>#REF!</v>
      </c>
      <c r="L1117" s="10" t="s">
        <v>41</v>
      </c>
      <c r="M1117" s="11">
        <v>44991.728877314818</v>
      </c>
      <c r="N1117" s="5" t="s">
        <v>42</v>
      </c>
      <c r="O1117" s="5" t="s">
        <v>58</v>
      </c>
      <c r="P1117" s="9"/>
      <c r="Q1117" s="5"/>
      <c r="R1117" s="5"/>
      <c r="S1117" s="5"/>
      <c r="T1117" s="9">
        <v>44992.728877314818</v>
      </c>
      <c r="U1117" s="5"/>
      <c r="V1117" s="5">
        <v>0</v>
      </c>
      <c r="W1117" s="5"/>
      <c r="X1117" s="5"/>
      <c r="Y1117" s="5"/>
      <c r="Z1117" s="5"/>
      <c r="AA1117" s="5" t="s">
        <v>44</v>
      </c>
      <c r="AC1117">
        <f t="shared" si="154"/>
        <v>9</v>
      </c>
      <c r="AD1117" t="str">
        <f t="shared" si="155"/>
        <v/>
      </c>
      <c r="AE1117">
        <f t="shared" si="156"/>
        <v>1</v>
      </c>
      <c r="AF1117" t="str">
        <f t="shared" si="157"/>
        <v/>
      </c>
      <c r="AG1117" t="str">
        <f t="shared" si="158"/>
        <v/>
      </c>
      <c r="AH1117">
        <f t="shared" si="159"/>
        <v>3</v>
      </c>
      <c r="AI1117" t="str">
        <f t="shared" si="160"/>
        <v/>
      </c>
      <c r="AJ1117" t="str">
        <f t="shared" si="161"/>
        <v/>
      </c>
    </row>
    <row r="1118" spans="1:36">
      <c r="A1118" s="5">
        <v>1235</v>
      </c>
      <c r="B1118" s="5" t="s">
        <v>1438</v>
      </c>
      <c r="C1118" s="5" t="s">
        <v>1332</v>
      </c>
      <c r="D1118" s="5" t="s">
        <v>1413</v>
      </c>
      <c r="E1118" s="5" t="s">
        <v>269</v>
      </c>
      <c r="F1118" s="5" t="str">
        <f t="shared" si="153"/>
        <v>Fundraising-Manager</v>
      </c>
      <c r="G1118" s="5" t="s">
        <v>270</v>
      </c>
      <c r="H1118" s="9">
        <v>44979.728877314818</v>
      </c>
      <c r="I1118" s="9">
        <v>44982.728877314818</v>
      </c>
      <c r="J1118" s="9" t="e">
        <f>I1118+#REF!</f>
        <v>#REF!</v>
      </c>
      <c r="K1118" s="9" t="e">
        <f>J1118+#REF!</f>
        <v>#REF!</v>
      </c>
      <c r="L1118" s="10" t="s">
        <v>41</v>
      </c>
      <c r="M1118" s="11">
        <v>44997.728877314818</v>
      </c>
      <c r="N1118" s="5" t="s">
        <v>48</v>
      </c>
      <c r="O1118" s="5"/>
      <c r="P1118" s="9">
        <v>45004.728877314818</v>
      </c>
      <c r="Q1118" s="5" t="s">
        <v>48</v>
      </c>
      <c r="R1118" s="5"/>
      <c r="S1118" s="5"/>
      <c r="T1118" s="9">
        <v>45000.728877314818</v>
      </c>
      <c r="U1118" s="5"/>
      <c r="V1118" s="5">
        <v>0</v>
      </c>
      <c r="W1118" s="5"/>
      <c r="X1118" s="5"/>
      <c r="Y1118" s="5"/>
      <c r="Z1118" s="5"/>
      <c r="AA1118" s="5"/>
      <c r="AC1118">
        <f t="shared" si="154"/>
        <v>15</v>
      </c>
      <c r="AD1118" t="str">
        <f t="shared" si="155"/>
        <v/>
      </c>
      <c r="AE1118">
        <f t="shared" si="156"/>
        <v>3</v>
      </c>
      <c r="AF1118" t="str">
        <f t="shared" si="157"/>
        <v/>
      </c>
      <c r="AG1118" t="str">
        <f t="shared" si="158"/>
        <v/>
      </c>
      <c r="AH1118">
        <f t="shared" si="159"/>
        <v>3</v>
      </c>
      <c r="AI1118" t="str">
        <f t="shared" si="160"/>
        <v/>
      </c>
      <c r="AJ1118" t="str">
        <f t="shared" si="161"/>
        <v/>
      </c>
    </row>
    <row r="1119" spans="1:36">
      <c r="A1119" s="5">
        <v>1236</v>
      </c>
      <c r="B1119" s="5" t="s">
        <v>1402</v>
      </c>
      <c r="C1119" s="5" t="s">
        <v>1332</v>
      </c>
      <c r="D1119" s="5" t="s">
        <v>1359</v>
      </c>
      <c r="E1119" s="5" t="s">
        <v>1360</v>
      </c>
      <c r="F1119" s="5" t="str">
        <f t="shared" si="153"/>
        <v>Fundraising-Fund Administrator</v>
      </c>
      <c r="G1119" s="5" t="s">
        <v>147</v>
      </c>
      <c r="H1119" s="9">
        <v>44982.728877314818</v>
      </c>
      <c r="I1119" s="9">
        <v>44983.728877314818</v>
      </c>
      <c r="J1119" s="9" t="e">
        <f>I1119+#REF!</f>
        <v>#REF!</v>
      </c>
      <c r="K1119" s="9" t="e">
        <f>J1119+#REF!</f>
        <v>#REF!</v>
      </c>
      <c r="L1119" s="10" t="s">
        <v>41</v>
      </c>
      <c r="M1119" s="11">
        <v>44990.728877314818</v>
      </c>
      <c r="N1119" s="5" t="s">
        <v>42</v>
      </c>
      <c r="O1119" s="5" t="s">
        <v>73</v>
      </c>
      <c r="P1119" s="9"/>
      <c r="Q1119" s="5"/>
      <c r="R1119" s="5"/>
      <c r="S1119" s="5"/>
      <c r="T1119" s="9"/>
      <c r="U1119" s="5"/>
      <c r="V1119" s="5">
        <v>0</v>
      </c>
      <c r="W1119" s="5"/>
      <c r="X1119" s="5"/>
      <c r="Y1119" s="5"/>
      <c r="Z1119" s="5"/>
      <c r="AA1119" s="5" t="s">
        <v>44</v>
      </c>
      <c r="AC1119">
        <f t="shared" si="154"/>
        <v>7</v>
      </c>
      <c r="AD1119" t="str">
        <f t="shared" si="155"/>
        <v/>
      </c>
      <c r="AE1119" t="str">
        <f t="shared" si="156"/>
        <v/>
      </c>
      <c r="AF1119" t="str">
        <f t="shared" si="157"/>
        <v/>
      </c>
      <c r="AG1119" t="str">
        <f t="shared" si="158"/>
        <v/>
      </c>
      <c r="AH1119">
        <f t="shared" si="159"/>
        <v>1</v>
      </c>
      <c r="AI1119" t="str">
        <f t="shared" si="160"/>
        <v/>
      </c>
      <c r="AJ1119" t="str">
        <f t="shared" si="161"/>
        <v/>
      </c>
    </row>
    <row r="1120" spans="1:36">
      <c r="A1120" s="5">
        <v>1238</v>
      </c>
      <c r="B1120" s="5" t="s">
        <v>2370</v>
      </c>
      <c r="C1120" s="5" t="s">
        <v>2229</v>
      </c>
      <c r="D1120" s="5" t="s">
        <v>2350</v>
      </c>
      <c r="E1120" s="5" t="s">
        <v>2351</v>
      </c>
      <c r="F1120" s="5" t="str">
        <f t="shared" si="153"/>
        <v>Capacity Building-Training Associate</v>
      </c>
      <c r="G1120" s="5" t="s">
        <v>40</v>
      </c>
      <c r="H1120" s="9">
        <v>44983.728877314818</v>
      </c>
      <c r="I1120" s="9">
        <v>44984.728877314818</v>
      </c>
      <c r="J1120" s="9" t="e">
        <f>I1120+#REF!</f>
        <v>#REF!</v>
      </c>
      <c r="K1120" s="9" t="e">
        <f>J1120+#REF!</f>
        <v>#REF!</v>
      </c>
      <c r="L1120" s="10" t="s">
        <v>41</v>
      </c>
      <c r="M1120" s="11">
        <v>44998.728877314818</v>
      </c>
      <c r="N1120" s="5" t="s">
        <v>64</v>
      </c>
      <c r="O1120" s="5"/>
      <c r="P1120" s="9">
        <v>45002.728877314818</v>
      </c>
      <c r="Q1120" s="5" t="s">
        <v>64</v>
      </c>
      <c r="R1120" s="9">
        <v>45000.728877314818</v>
      </c>
      <c r="S1120" s="9">
        <v>45001.728877314818</v>
      </c>
      <c r="T1120" s="9">
        <v>44999.728877314818</v>
      </c>
      <c r="U1120" s="9">
        <v>45002.728877314818</v>
      </c>
      <c r="V1120" s="12">
        <v>1</v>
      </c>
      <c r="W1120" s="9">
        <v>45006.728877314818</v>
      </c>
      <c r="X1120" s="9">
        <v>45009.728877314818</v>
      </c>
      <c r="Y1120" s="9">
        <v>45012.728877314818</v>
      </c>
      <c r="Z1120" s="5"/>
      <c r="AA1120" s="5"/>
      <c r="AB1120" s="13">
        <v>45025.728877314818</v>
      </c>
      <c r="AC1120">
        <f t="shared" si="154"/>
        <v>14</v>
      </c>
      <c r="AD1120">
        <f t="shared" si="155"/>
        <v>17</v>
      </c>
      <c r="AE1120">
        <f t="shared" si="156"/>
        <v>1</v>
      </c>
      <c r="AF1120">
        <f t="shared" si="157"/>
        <v>7</v>
      </c>
      <c r="AG1120">
        <f t="shared" si="158"/>
        <v>4</v>
      </c>
      <c r="AH1120">
        <f t="shared" si="159"/>
        <v>1</v>
      </c>
      <c r="AI1120" t="str">
        <f t="shared" si="160"/>
        <v/>
      </c>
      <c r="AJ1120" t="str">
        <f t="shared" si="161"/>
        <v/>
      </c>
    </row>
    <row r="1121" spans="1:36">
      <c r="A1121" s="5">
        <v>1239</v>
      </c>
      <c r="B1121" s="5" t="s">
        <v>1493</v>
      </c>
      <c r="C1121" s="5" t="s">
        <v>1332</v>
      </c>
      <c r="D1121" s="5" t="s">
        <v>1448</v>
      </c>
      <c r="E1121" s="5" t="s">
        <v>1484</v>
      </c>
      <c r="F1121" s="5" t="str">
        <f t="shared" si="153"/>
        <v>Fundraising-Review Associate</v>
      </c>
      <c r="G1121" s="5" t="s">
        <v>40</v>
      </c>
      <c r="H1121" s="9">
        <v>44982.728877314818</v>
      </c>
      <c r="I1121" s="9">
        <v>44985.728877314818</v>
      </c>
      <c r="J1121" s="9" t="e">
        <f>I1121+#REF!</f>
        <v>#REF!</v>
      </c>
      <c r="K1121" s="9" t="e">
        <f>J1121+#REF!</f>
        <v>#REF!</v>
      </c>
      <c r="L1121" s="10" t="s">
        <v>41</v>
      </c>
      <c r="M1121" s="11">
        <v>44998.728877314818</v>
      </c>
      <c r="N1121" s="5" t="s">
        <v>42</v>
      </c>
      <c r="O1121" s="5" t="s">
        <v>58</v>
      </c>
      <c r="P1121" s="9"/>
      <c r="Q1121" s="5"/>
      <c r="R1121" s="5"/>
      <c r="S1121" s="5"/>
      <c r="T1121" s="9">
        <v>45002.728877314818</v>
      </c>
      <c r="U1121" s="5"/>
      <c r="V1121" s="5">
        <v>0</v>
      </c>
      <c r="W1121" s="5"/>
      <c r="X1121" s="5"/>
      <c r="Y1121" s="5"/>
      <c r="Z1121" s="5"/>
      <c r="AA1121" s="5" t="s">
        <v>44</v>
      </c>
      <c r="AC1121">
        <f t="shared" si="154"/>
        <v>13</v>
      </c>
      <c r="AD1121" t="str">
        <f t="shared" si="155"/>
        <v/>
      </c>
      <c r="AE1121">
        <f t="shared" si="156"/>
        <v>4</v>
      </c>
      <c r="AF1121" t="str">
        <f t="shared" si="157"/>
        <v/>
      </c>
      <c r="AG1121" t="str">
        <f t="shared" si="158"/>
        <v/>
      </c>
      <c r="AH1121">
        <f t="shared" si="159"/>
        <v>3</v>
      </c>
      <c r="AI1121" t="str">
        <f t="shared" si="160"/>
        <v/>
      </c>
      <c r="AJ1121" t="str">
        <f t="shared" si="161"/>
        <v/>
      </c>
    </row>
    <row r="1122" spans="1:36">
      <c r="A1122" s="5">
        <v>1241</v>
      </c>
      <c r="B1122" s="5" t="s">
        <v>2320</v>
      </c>
      <c r="C1122" s="5" t="s">
        <v>2229</v>
      </c>
      <c r="D1122" s="5" t="s">
        <v>2302</v>
      </c>
      <c r="E1122" s="5" t="s">
        <v>269</v>
      </c>
      <c r="F1122" s="5" t="str">
        <f t="shared" si="153"/>
        <v>Capacity Building-Manager</v>
      </c>
      <c r="G1122" s="5" t="s">
        <v>270</v>
      </c>
      <c r="H1122" s="9">
        <v>44734.839942129627</v>
      </c>
      <c r="I1122" s="9">
        <v>44737.839942129627</v>
      </c>
      <c r="J1122" s="9" t="e">
        <f>I1122+#REF!</f>
        <v>#REF!</v>
      </c>
      <c r="K1122" s="9" t="e">
        <f>J1122+#REF!</f>
        <v>#REF!</v>
      </c>
      <c r="L1122" s="10" t="s">
        <v>52</v>
      </c>
      <c r="M1122" s="11"/>
      <c r="N1122" s="5"/>
      <c r="O1122" s="5"/>
      <c r="P1122" s="9"/>
      <c r="Q1122" s="5"/>
      <c r="R1122" s="5"/>
      <c r="S1122" s="5"/>
      <c r="T1122" s="9"/>
      <c r="U1122" s="5"/>
      <c r="V1122" s="5">
        <v>0</v>
      </c>
      <c r="W1122" s="5"/>
      <c r="X1122" s="5"/>
      <c r="Y1122" s="5"/>
      <c r="Z1122" s="5"/>
      <c r="AA1122" s="5"/>
      <c r="AC1122" t="str">
        <f t="shared" si="154"/>
        <v/>
      </c>
      <c r="AD1122" t="str">
        <f t="shared" si="155"/>
        <v/>
      </c>
      <c r="AE1122" t="str">
        <f t="shared" si="156"/>
        <v/>
      </c>
      <c r="AF1122" t="str">
        <f t="shared" si="157"/>
        <v/>
      </c>
      <c r="AG1122" t="str">
        <f t="shared" si="158"/>
        <v/>
      </c>
      <c r="AH1122">
        <f t="shared" si="159"/>
        <v>3</v>
      </c>
      <c r="AI1122" t="str">
        <f t="shared" si="160"/>
        <v/>
      </c>
      <c r="AJ1122" t="str">
        <f t="shared" si="161"/>
        <v/>
      </c>
    </row>
    <row r="1123" spans="1:36">
      <c r="A1123" s="5">
        <v>1242</v>
      </c>
      <c r="B1123" s="5" t="s">
        <v>1401</v>
      </c>
      <c r="C1123" s="5" t="s">
        <v>1332</v>
      </c>
      <c r="D1123" s="5" t="s">
        <v>1359</v>
      </c>
      <c r="E1123" s="5" t="s">
        <v>1360</v>
      </c>
      <c r="F1123" s="5" t="str">
        <f t="shared" si="153"/>
        <v>Fundraising-Fund Administrator</v>
      </c>
      <c r="G1123" s="5" t="s">
        <v>147</v>
      </c>
      <c r="H1123" s="9">
        <v>44736.839942129627</v>
      </c>
      <c r="I1123" s="9">
        <v>44740.839942129627</v>
      </c>
      <c r="J1123" s="9" t="e">
        <f>I1123+#REF!</f>
        <v>#REF!</v>
      </c>
      <c r="K1123" s="9" t="e">
        <f>J1123+#REF!</f>
        <v>#REF!</v>
      </c>
      <c r="L1123" s="10" t="s">
        <v>41</v>
      </c>
      <c r="M1123" s="11">
        <v>44758.839942129627</v>
      </c>
      <c r="N1123" s="5" t="s">
        <v>42</v>
      </c>
      <c r="O1123" s="5" t="s">
        <v>73</v>
      </c>
      <c r="P1123" s="9"/>
      <c r="Q1123" s="5"/>
      <c r="R1123" s="5"/>
      <c r="S1123" s="5"/>
      <c r="T1123" s="9">
        <v>44762.839942129627</v>
      </c>
      <c r="U1123" s="5"/>
      <c r="V1123" s="5">
        <v>0</v>
      </c>
      <c r="W1123" s="5"/>
      <c r="X1123" s="5"/>
      <c r="Y1123" s="5"/>
      <c r="Z1123" s="5"/>
      <c r="AA1123" s="5" t="s">
        <v>44</v>
      </c>
      <c r="AC1123">
        <f t="shared" si="154"/>
        <v>18</v>
      </c>
      <c r="AD1123" t="str">
        <f t="shared" si="155"/>
        <v/>
      </c>
      <c r="AE1123">
        <f t="shared" si="156"/>
        <v>4</v>
      </c>
      <c r="AF1123" t="str">
        <f t="shared" si="157"/>
        <v/>
      </c>
      <c r="AG1123" t="str">
        <f t="shared" si="158"/>
        <v/>
      </c>
      <c r="AH1123">
        <f t="shared" si="159"/>
        <v>4</v>
      </c>
      <c r="AI1123" t="str">
        <f t="shared" si="160"/>
        <v/>
      </c>
      <c r="AJ1123" t="str">
        <f t="shared" si="161"/>
        <v/>
      </c>
    </row>
    <row r="1124" spans="1:36">
      <c r="A1124" s="5">
        <v>1243</v>
      </c>
      <c r="B1124" s="5" t="s">
        <v>1350</v>
      </c>
      <c r="C1124" s="5" t="s">
        <v>1332</v>
      </c>
      <c r="D1124" s="5" t="s">
        <v>1333</v>
      </c>
      <c r="E1124" s="5" t="s">
        <v>102</v>
      </c>
      <c r="F1124" s="5" t="str">
        <f t="shared" si="153"/>
        <v>Fundraising-Senior Manager</v>
      </c>
      <c r="G1124" s="5" t="s">
        <v>103</v>
      </c>
      <c r="H1124" s="9">
        <v>44734.839942129627</v>
      </c>
      <c r="I1124" s="9">
        <v>44738.839942129627</v>
      </c>
      <c r="J1124" s="9" t="e">
        <f>I1124+#REF!</f>
        <v>#REF!</v>
      </c>
      <c r="K1124" s="9" t="e">
        <f>J1124+#REF!</f>
        <v>#REF!</v>
      </c>
      <c r="L1124" s="10" t="s">
        <v>41</v>
      </c>
      <c r="M1124" s="11">
        <v>44756.839942129627</v>
      </c>
      <c r="N1124" s="5" t="s">
        <v>42</v>
      </c>
      <c r="O1124" s="5" t="s">
        <v>43</v>
      </c>
      <c r="P1124" s="9"/>
      <c r="Q1124" s="5"/>
      <c r="R1124" s="5"/>
      <c r="S1124" s="5"/>
      <c r="T1124" s="9">
        <v>44760.839942129627</v>
      </c>
      <c r="U1124" s="5"/>
      <c r="V1124" s="5">
        <v>0</v>
      </c>
      <c r="W1124" s="5"/>
      <c r="X1124" s="5"/>
      <c r="Y1124" s="5"/>
      <c r="Z1124" s="5"/>
      <c r="AA1124" s="5" t="s">
        <v>62</v>
      </c>
      <c r="AC1124">
        <f t="shared" si="154"/>
        <v>18</v>
      </c>
      <c r="AD1124" t="str">
        <f t="shared" si="155"/>
        <v/>
      </c>
      <c r="AE1124">
        <f t="shared" si="156"/>
        <v>4</v>
      </c>
      <c r="AF1124" t="str">
        <f t="shared" si="157"/>
        <v/>
      </c>
      <c r="AG1124" t="str">
        <f t="shared" si="158"/>
        <v/>
      </c>
      <c r="AH1124">
        <f t="shared" si="159"/>
        <v>4</v>
      </c>
      <c r="AI1124" t="str">
        <f t="shared" si="160"/>
        <v/>
      </c>
      <c r="AJ1124" t="str">
        <f t="shared" si="161"/>
        <v/>
      </c>
    </row>
    <row r="1125" spans="1:36">
      <c r="A1125" s="5">
        <v>1244</v>
      </c>
      <c r="B1125" s="5" t="s">
        <v>2369</v>
      </c>
      <c r="C1125" s="5" t="s">
        <v>2229</v>
      </c>
      <c r="D1125" s="5" t="s">
        <v>2350</v>
      </c>
      <c r="E1125" s="5" t="s">
        <v>2351</v>
      </c>
      <c r="F1125" s="5" t="str">
        <f t="shared" si="153"/>
        <v>Capacity Building-Training Associate</v>
      </c>
      <c r="G1125" s="5" t="s">
        <v>40</v>
      </c>
      <c r="H1125" s="9">
        <v>44737.839942129627</v>
      </c>
      <c r="I1125" s="9">
        <v>44740.839942129627</v>
      </c>
      <c r="J1125" s="9" t="e">
        <f>I1125+#REF!</f>
        <v>#REF!</v>
      </c>
      <c r="K1125" s="9" t="e">
        <f>J1125+#REF!</f>
        <v>#REF!</v>
      </c>
      <c r="L1125" s="10" t="s">
        <v>52</v>
      </c>
      <c r="M1125" s="11"/>
      <c r="N1125" s="5"/>
      <c r="O1125" s="5"/>
      <c r="P1125" s="9"/>
      <c r="Q1125" s="5"/>
      <c r="R1125" s="5"/>
      <c r="S1125" s="5"/>
      <c r="T1125" s="9"/>
      <c r="U1125" s="5"/>
      <c r="V1125" s="5">
        <v>0</v>
      </c>
      <c r="W1125" s="5"/>
      <c r="X1125" s="5"/>
      <c r="Y1125" s="5"/>
      <c r="Z1125" s="5"/>
      <c r="AA1125" s="5"/>
      <c r="AC1125" t="str">
        <f t="shared" si="154"/>
        <v/>
      </c>
      <c r="AD1125" t="str">
        <f t="shared" si="155"/>
        <v/>
      </c>
      <c r="AE1125" t="str">
        <f t="shared" si="156"/>
        <v/>
      </c>
      <c r="AF1125" t="str">
        <f t="shared" si="157"/>
        <v/>
      </c>
      <c r="AG1125" t="str">
        <f t="shared" si="158"/>
        <v/>
      </c>
      <c r="AH1125">
        <f t="shared" si="159"/>
        <v>3</v>
      </c>
      <c r="AI1125" t="str">
        <f t="shared" si="160"/>
        <v/>
      </c>
      <c r="AJ1125" t="str">
        <f t="shared" si="161"/>
        <v/>
      </c>
    </row>
    <row r="1126" spans="1:36">
      <c r="A1126" s="5">
        <v>1245</v>
      </c>
      <c r="B1126" s="5" t="s">
        <v>1400</v>
      </c>
      <c r="C1126" s="5" t="s">
        <v>1332</v>
      </c>
      <c r="D1126" s="5" t="s">
        <v>1359</v>
      </c>
      <c r="E1126" s="5" t="s">
        <v>1360</v>
      </c>
      <c r="F1126" s="5" t="str">
        <f t="shared" si="153"/>
        <v>Fundraising-Fund Administrator</v>
      </c>
      <c r="G1126" s="5" t="s">
        <v>147</v>
      </c>
      <c r="H1126" s="9">
        <v>44736.839942129627</v>
      </c>
      <c r="I1126" s="9">
        <v>44740.839942129627</v>
      </c>
      <c r="J1126" s="9" t="e">
        <f>I1126+#REF!</f>
        <v>#REF!</v>
      </c>
      <c r="K1126" s="9" t="e">
        <f>J1126+#REF!</f>
        <v>#REF!</v>
      </c>
      <c r="L1126" s="10" t="s">
        <v>41</v>
      </c>
      <c r="M1126" s="11">
        <v>44750.839942129627</v>
      </c>
      <c r="N1126" s="5" t="s">
        <v>42</v>
      </c>
      <c r="O1126" s="5" t="s">
        <v>58</v>
      </c>
      <c r="P1126" s="9"/>
      <c r="Q1126" s="5"/>
      <c r="R1126" s="5"/>
      <c r="S1126" s="5"/>
      <c r="T1126" s="9"/>
      <c r="U1126" s="5"/>
      <c r="V1126" s="5">
        <v>0</v>
      </c>
      <c r="W1126" s="5"/>
      <c r="X1126" s="5"/>
      <c r="Y1126" s="5"/>
      <c r="Z1126" s="5"/>
      <c r="AA1126" s="5" t="s">
        <v>44</v>
      </c>
      <c r="AC1126">
        <f t="shared" si="154"/>
        <v>10</v>
      </c>
      <c r="AD1126" t="str">
        <f t="shared" si="155"/>
        <v/>
      </c>
      <c r="AE1126" t="str">
        <f t="shared" si="156"/>
        <v/>
      </c>
      <c r="AF1126" t="str">
        <f t="shared" si="157"/>
        <v/>
      </c>
      <c r="AG1126" t="str">
        <f t="shared" si="158"/>
        <v/>
      </c>
      <c r="AH1126">
        <f t="shared" si="159"/>
        <v>4</v>
      </c>
      <c r="AI1126" t="str">
        <f t="shared" si="160"/>
        <v/>
      </c>
      <c r="AJ1126" t="str">
        <f t="shared" si="161"/>
        <v/>
      </c>
    </row>
    <row r="1127" spans="1:36">
      <c r="A1127" s="5">
        <v>1246</v>
      </c>
      <c r="B1127" s="5" t="s">
        <v>2319</v>
      </c>
      <c r="C1127" s="5" t="s">
        <v>2229</v>
      </c>
      <c r="D1127" s="5" t="s">
        <v>2302</v>
      </c>
      <c r="E1127" s="5" t="s">
        <v>269</v>
      </c>
      <c r="F1127" s="5" t="str">
        <f t="shared" si="153"/>
        <v>Capacity Building-Manager</v>
      </c>
      <c r="G1127" s="5" t="s">
        <v>270</v>
      </c>
      <c r="H1127" s="9">
        <v>44736.839942129627</v>
      </c>
      <c r="I1127" s="9">
        <v>44738.839942129627</v>
      </c>
      <c r="J1127" s="9" t="e">
        <f>I1127+#REF!</f>
        <v>#REF!</v>
      </c>
      <c r="K1127" s="9" t="e">
        <f>J1127+#REF!</f>
        <v>#REF!</v>
      </c>
      <c r="L1127" s="10" t="s">
        <v>41</v>
      </c>
      <c r="M1127" s="11">
        <v>44746.839942129627</v>
      </c>
      <c r="N1127" s="5" t="s">
        <v>64</v>
      </c>
      <c r="O1127" s="5"/>
      <c r="P1127" s="9">
        <v>44750.839942129627</v>
      </c>
      <c r="Q1127" s="5" t="s">
        <v>64</v>
      </c>
      <c r="R1127" s="9">
        <v>44748.839942129627</v>
      </c>
      <c r="S1127" s="9">
        <v>44752.839942129627</v>
      </c>
      <c r="T1127" s="9">
        <v>44748.839942129627</v>
      </c>
      <c r="U1127" s="9">
        <v>44749.839942129627</v>
      </c>
      <c r="V1127" s="12">
        <v>1</v>
      </c>
      <c r="W1127" s="9">
        <v>44751.839942129627</v>
      </c>
      <c r="X1127" s="9">
        <v>44754.839942129627</v>
      </c>
      <c r="Y1127" s="9">
        <v>44757.839942129627</v>
      </c>
      <c r="Z1127" s="5"/>
      <c r="AA1127" s="5"/>
      <c r="AB1127" s="13">
        <v>44770.839942129627</v>
      </c>
      <c r="AC1127">
        <f t="shared" si="154"/>
        <v>8</v>
      </c>
      <c r="AD1127">
        <f t="shared" si="155"/>
        <v>14</v>
      </c>
      <c r="AE1127">
        <f t="shared" si="156"/>
        <v>2</v>
      </c>
      <c r="AF1127">
        <f t="shared" si="157"/>
        <v>5</v>
      </c>
      <c r="AG1127">
        <f t="shared" si="158"/>
        <v>2</v>
      </c>
      <c r="AH1127">
        <f t="shared" si="159"/>
        <v>2</v>
      </c>
      <c r="AI1127" t="str">
        <f t="shared" si="160"/>
        <v/>
      </c>
      <c r="AJ1127" t="str">
        <f t="shared" si="161"/>
        <v/>
      </c>
    </row>
    <row r="1128" spans="1:36">
      <c r="A1128" s="5">
        <v>1247</v>
      </c>
      <c r="B1128" s="5" t="s">
        <v>2368</v>
      </c>
      <c r="C1128" s="5" t="s">
        <v>2229</v>
      </c>
      <c r="D1128" s="5" t="s">
        <v>2350</v>
      </c>
      <c r="E1128" s="5" t="s">
        <v>2351</v>
      </c>
      <c r="F1128" s="5" t="str">
        <f t="shared" si="153"/>
        <v>Capacity Building-Training Associate</v>
      </c>
      <c r="G1128" s="5" t="s">
        <v>40</v>
      </c>
      <c r="H1128" s="9">
        <v>44735.839942129627</v>
      </c>
      <c r="I1128" s="9">
        <v>44739.839942129627</v>
      </c>
      <c r="J1128" s="9" t="e">
        <f>I1128+#REF!</f>
        <v>#REF!</v>
      </c>
      <c r="K1128" s="9" t="e">
        <f>J1128+#REF!</f>
        <v>#REF!</v>
      </c>
      <c r="L1128" s="10" t="s">
        <v>52</v>
      </c>
      <c r="M1128" s="11"/>
      <c r="N1128" s="5"/>
      <c r="O1128" s="5"/>
      <c r="P1128" s="9"/>
      <c r="Q1128" s="5"/>
      <c r="R1128" s="5"/>
      <c r="S1128" s="5"/>
      <c r="T1128" s="9"/>
      <c r="U1128" s="5"/>
      <c r="V1128" s="5">
        <v>0</v>
      </c>
      <c r="W1128" s="5"/>
      <c r="X1128" s="5"/>
      <c r="Y1128" s="5"/>
      <c r="Z1128" s="5"/>
      <c r="AA1128" s="5"/>
      <c r="AC1128" t="str">
        <f t="shared" si="154"/>
        <v/>
      </c>
      <c r="AD1128" t="str">
        <f t="shared" si="155"/>
        <v/>
      </c>
      <c r="AE1128" t="str">
        <f t="shared" si="156"/>
        <v/>
      </c>
      <c r="AF1128" t="str">
        <f t="shared" si="157"/>
        <v/>
      </c>
      <c r="AG1128" t="str">
        <f t="shared" si="158"/>
        <v/>
      </c>
      <c r="AH1128">
        <f t="shared" si="159"/>
        <v>4</v>
      </c>
      <c r="AI1128" t="str">
        <f t="shared" si="160"/>
        <v/>
      </c>
      <c r="AJ1128" t="str">
        <f t="shared" si="161"/>
        <v/>
      </c>
    </row>
    <row r="1129" spans="1:36">
      <c r="A1129" s="5">
        <v>1248</v>
      </c>
      <c r="B1129" s="5" t="s">
        <v>1530</v>
      </c>
      <c r="C1129" s="5" t="s">
        <v>1332</v>
      </c>
      <c r="D1129" s="5" t="s">
        <v>1500</v>
      </c>
      <c r="E1129" s="5" t="s">
        <v>815</v>
      </c>
      <c r="F1129" s="5" t="str">
        <f t="shared" si="153"/>
        <v>Fundraising-Auditor</v>
      </c>
      <c r="G1129" s="5" t="s">
        <v>47</v>
      </c>
      <c r="H1129" s="9">
        <v>44738.839942129627</v>
      </c>
      <c r="I1129" s="9">
        <v>44740.839942129627</v>
      </c>
      <c r="J1129" s="9" t="e">
        <f>I1129+#REF!</f>
        <v>#REF!</v>
      </c>
      <c r="K1129" s="9" t="e">
        <f>J1129+#REF!</f>
        <v>#REF!</v>
      </c>
      <c r="L1129" s="10" t="s">
        <v>41</v>
      </c>
      <c r="M1129" s="11">
        <v>44757.839942129627</v>
      </c>
      <c r="N1129" s="5" t="s">
        <v>48</v>
      </c>
      <c r="O1129" s="5"/>
      <c r="P1129" s="9">
        <v>44762.839942129627</v>
      </c>
      <c r="Q1129" s="5" t="s">
        <v>48</v>
      </c>
      <c r="R1129" s="5"/>
      <c r="S1129" s="5"/>
      <c r="T1129" s="9">
        <v>44758.839942129627</v>
      </c>
      <c r="U1129" s="5"/>
      <c r="V1129" s="5">
        <v>0</v>
      </c>
      <c r="W1129" s="5"/>
      <c r="X1129" s="5"/>
      <c r="Y1129" s="5"/>
      <c r="Z1129" s="5"/>
      <c r="AA1129" s="5"/>
      <c r="AC1129">
        <f t="shared" si="154"/>
        <v>17</v>
      </c>
      <c r="AD1129" t="str">
        <f t="shared" si="155"/>
        <v/>
      </c>
      <c r="AE1129">
        <f t="shared" si="156"/>
        <v>1</v>
      </c>
      <c r="AF1129" t="str">
        <f t="shared" si="157"/>
        <v/>
      </c>
      <c r="AG1129" t="str">
        <f t="shared" si="158"/>
        <v/>
      </c>
      <c r="AH1129">
        <f t="shared" si="159"/>
        <v>2</v>
      </c>
      <c r="AI1129" t="str">
        <f t="shared" si="160"/>
        <v/>
      </c>
      <c r="AJ1129" t="str">
        <f t="shared" si="161"/>
        <v/>
      </c>
    </row>
    <row r="1130" spans="1:36">
      <c r="A1130" s="5">
        <v>1249</v>
      </c>
      <c r="B1130" s="5" t="s">
        <v>1529</v>
      </c>
      <c r="C1130" s="5" t="s">
        <v>1332</v>
      </c>
      <c r="D1130" s="5" t="s">
        <v>1500</v>
      </c>
      <c r="E1130" s="5" t="s">
        <v>815</v>
      </c>
      <c r="F1130" s="5" t="str">
        <f t="shared" si="153"/>
        <v>Fundraising-Auditor</v>
      </c>
      <c r="G1130" s="5" t="s">
        <v>47</v>
      </c>
      <c r="H1130" s="9">
        <v>44735.839942129627</v>
      </c>
      <c r="I1130" s="9">
        <v>44737.839942129627</v>
      </c>
      <c r="J1130" s="9" t="e">
        <f>I1130+#REF!</f>
        <v>#REF!</v>
      </c>
      <c r="K1130" s="9" t="e">
        <f>J1130+#REF!</f>
        <v>#REF!</v>
      </c>
      <c r="L1130" s="10" t="s">
        <v>41</v>
      </c>
      <c r="M1130" s="11">
        <v>44758.839942129627</v>
      </c>
      <c r="N1130" s="5" t="s">
        <v>42</v>
      </c>
      <c r="O1130" s="5" t="s">
        <v>98</v>
      </c>
      <c r="P1130" s="9"/>
      <c r="Q1130" s="5"/>
      <c r="R1130" s="5"/>
      <c r="S1130" s="5"/>
      <c r="T1130" s="9">
        <v>44762.839942129627</v>
      </c>
      <c r="U1130" s="5"/>
      <c r="V1130" s="5">
        <v>0</v>
      </c>
      <c r="W1130" s="5"/>
      <c r="X1130" s="5"/>
      <c r="Y1130" s="5"/>
      <c r="Z1130" s="5"/>
      <c r="AA1130" s="5" t="s">
        <v>44</v>
      </c>
      <c r="AC1130">
        <f t="shared" si="154"/>
        <v>21</v>
      </c>
      <c r="AD1130" t="str">
        <f t="shared" si="155"/>
        <v/>
      </c>
      <c r="AE1130">
        <f t="shared" si="156"/>
        <v>4</v>
      </c>
      <c r="AF1130" t="str">
        <f t="shared" si="157"/>
        <v/>
      </c>
      <c r="AG1130" t="str">
        <f t="shared" si="158"/>
        <v/>
      </c>
      <c r="AH1130">
        <f t="shared" si="159"/>
        <v>2</v>
      </c>
      <c r="AI1130" t="str">
        <f t="shared" si="160"/>
        <v/>
      </c>
      <c r="AJ1130" t="str">
        <f t="shared" si="161"/>
        <v/>
      </c>
    </row>
    <row r="1131" spans="1:36">
      <c r="A1131" s="5">
        <v>1250</v>
      </c>
      <c r="B1131" s="5" t="s">
        <v>1492</v>
      </c>
      <c r="C1131" s="5" t="s">
        <v>1332</v>
      </c>
      <c r="D1131" s="5" t="s">
        <v>1448</v>
      </c>
      <c r="E1131" s="5" t="s">
        <v>1484</v>
      </c>
      <c r="F1131" s="5" t="str">
        <f t="shared" si="153"/>
        <v>Fundraising-Review Associate</v>
      </c>
      <c r="G1131" s="5" t="s">
        <v>40</v>
      </c>
      <c r="H1131" s="9">
        <v>44735.839942129627</v>
      </c>
      <c r="I1131" s="9">
        <v>44736.839942129627</v>
      </c>
      <c r="J1131" s="9" t="e">
        <f>I1131+#REF!</f>
        <v>#REF!</v>
      </c>
      <c r="K1131" s="9" t="e">
        <f>J1131+#REF!</f>
        <v>#REF!</v>
      </c>
      <c r="L1131" s="10" t="s">
        <v>41</v>
      </c>
      <c r="M1131" s="11">
        <v>44756.839942129627</v>
      </c>
      <c r="N1131" s="5" t="s">
        <v>64</v>
      </c>
      <c r="O1131" s="5"/>
      <c r="P1131" s="9">
        <v>44759.839942129627</v>
      </c>
      <c r="Q1131" s="5" t="s">
        <v>64</v>
      </c>
      <c r="R1131" s="9">
        <v>44758.839942129627</v>
      </c>
      <c r="S1131" s="9">
        <v>44762.839942129627</v>
      </c>
      <c r="T1131" s="9">
        <v>44757.839942129627</v>
      </c>
      <c r="U1131" s="9">
        <v>44760.839942129627</v>
      </c>
      <c r="V1131" s="12">
        <v>1</v>
      </c>
      <c r="W1131" s="9">
        <v>44762.839942129627</v>
      </c>
      <c r="X1131" s="9">
        <v>44763.839942129627</v>
      </c>
      <c r="Y1131" s="9">
        <v>44766.839942129627</v>
      </c>
      <c r="Z1131" s="5"/>
      <c r="AA1131" s="5"/>
      <c r="AB1131" s="13">
        <v>44774.839942129627</v>
      </c>
      <c r="AC1131">
        <f t="shared" si="154"/>
        <v>20</v>
      </c>
      <c r="AD1131">
        <f t="shared" si="155"/>
        <v>26</v>
      </c>
      <c r="AE1131">
        <f t="shared" si="156"/>
        <v>1</v>
      </c>
      <c r="AF1131">
        <f t="shared" si="157"/>
        <v>3</v>
      </c>
      <c r="AG1131">
        <f t="shared" si="158"/>
        <v>2</v>
      </c>
      <c r="AH1131">
        <f t="shared" si="159"/>
        <v>1</v>
      </c>
      <c r="AI1131" t="str">
        <f t="shared" si="160"/>
        <v/>
      </c>
      <c r="AJ1131" t="str">
        <f t="shared" si="161"/>
        <v/>
      </c>
    </row>
    <row r="1132" spans="1:36">
      <c r="A1132" s="5">
        <v>1251</v>
      </c>
      <c r="B1132" s="5" t="s">
        <v>1656</v>
      </c>
      <c r="C1132" s="5" t="s">
        <v>1540</v>
      </c>
      <c r="D1132" s="5" t="s">
        <v>1588</v>
      </c>
      <c r="E1132" s="5" t="s">
        <v>1360</v>
      </c>
      <c r="F1132" s="5" t="str">
        <f t="shared" si="153"/>
        <v>Finance-Fund Administrator</v>
      </c>
      <c r="G1132" s="5" t="s">
        <v>147</v>
      </c>
      <c r="H1132" s="9">
        <v>44733.170439814814</v>
      </c>
      <c r="I1132" s="9">
        <v>44737.170439814814</v>
      </c>
      <c r="J1132" s="9" t="e">
        <f>I1132+#REF!</f>
        <v>#REF!</v>
      </c>
      <c r="K1132" s="9" t="e">
        <f>J1132+#REF!</f>
        <v>#REF!</v>
      </c>
      <c r="L1132" s="10" t="s">
        <v>41</v>
      </c>
      <c r="M1132" s="11">
        <v>44758.170439814814</v>
      </c>
      <c r="N1132" s="5" t="s">
        <v>42</v>
      </c>
      <c r="O1132" s="5" t="s">
        <v>73</v>
      </c>
      <c r="P1132" s="9"/>
      <c r="Q1132" s="5"/>
      <c r="R1132" s="5"/>
      <c r="S1132" s="5"/>
      <c r="T1132" s="9"/>
      <c r="U1132" s="5"/>
      <c r="V1132" s="5">
        <v>0</v>
      </c>
      <c r="W1132" s="5"/>
      <c r="X1132" s="5"/>
      <c r="Y1132" s="5"/>
      <c r="Z1132" s="5"/>
      <c r="AA1132" s="5" t="s">
        <v>44</v>
      </c>
      <c r="AC1132">
        <f t="shared" si="154"/>
        <v>21</v>
      </c>
      <c r="AD1132" t="str">
        <f t="shared" si="155"/>
        <v/>
      </c>
      <c r="AE1132" t="str">
        <f t="shared" si="156"/>
        <v/>
      </c>
      <c r="AF1132" t="str">
        <f t="shared" si="157"/>
        <v/>
      </c>
      <c r="AG1132" t="str">
        <f t="shared" si="158"/>
        <v/>
      </c>
      <c r="AH1132">
        <f t="shared" si="159"/>
        <v>4</v>
      </c>
      <c r="AI1132" t="str">
        <f t="shared" si="160"/>
        <v/>
      </c>
      <c r="AJ1132" t="str">
        <f t="shared" si="161"/>
        <v/>
      </c>
    </row>
    <row r="1133" spans="1:36">
      <c r="A1133" s="5">
        <v>1252</v>
      </c>
      <c r="B1133" s="5" t="s">
        <v>1890</v>
      </c>
      <c r="C1133" s="5" t="s">
        <v>1540</v>
      </c>
      <c r="D1133" s="5" t="s">
        <v>1820</v>
      </c>
      <c r="E1133" s="5" t="s">
        <v>1862</v>
      </c>
      <c r="F1133" s="5" t="str">
        <f t="shared" si="153"/>
        <v>Finance-Billing Officer</v>
      </c>
      <c r="G1133" s="5" t="s">
        <v>40</v>
      </c>
      <c r="H1133" s="9">
        <v>44733.170439814814</v>
      </c>
      <c r="I1133" s="9">
        <v>44737.170439814814</v>
      </c>
      <c r="J1133" s="9" t="e">
        <f>I1133+#REF!</f>
        <v>#REF!</v>
      </c>
      <c r="K1133" s="9" t="e">
        <f>J1133+#REF!</f>
        <v>#REF!</v>
      </c>
      <c r="L1133" s="10" t="s">
        <v>41</v>
      </c>
      <c r="M1133" s="11">
        <v>44756.170439814814</v>
      </c>
      <c r="N1133" s="5" t="s">
        <v>42</v>
      </c>
      <c r="O1133" s="5" t="s">
        <v>73</v>
      </c>
      <c r="P1133" s="9"/>
      <c r="Q1133" s="5"/>
      <c r="R1133" s="5"/>
      <c r="S1133" s="5"/>
      <c r="T1133" s="9">
        <v>44760.170439814814</v>
      </c>
      <c r="U1133" s="5"/>
      <c r="V1133" s="5">
        <v>0</v>
      </c>
      <c r="W1133" s="5"/>
      <c r="X1133" s="5"/>
      <c r="Y1133" s="5"/>
      <c r="Z1133" s="5"/>
      <c r="AA1133" s="5" t="s">
        <v>44</v>
      </c>
      <c r="AC1133">
        <f t="shared" si="154"/>
        <v>19</v>
      </c>
      <c r="AD1133" t="str">
        <f t="shared" si="155"/>
        <v/>
      </c>
      <c r="AE1133">
        <f t="shared" si="156"/>
        <v>4</v>
      </c>
      <c r="AF1133" t="str">
        <f t="shared" si="157"/>
        <v/>
      </c>
      <c r="AG1133" t="str">
        <f t="shared" si="158"/>
        <v/>
      </c>
      <c r="AH1133">
        <f t="shared" si="159"/>
        <v>4</v>
      </c>
      <c r="AI1133" t="str">
        <f t="shared" si="160"/>
        <v/>
      </c>
      <c r="AJ1133" t="str">
        <f t="shared" si="161"/>
        <v/>
      </c>
    </row>
    <row r="1134" spans="1:36">
      <c r="A1134" s="5">
        <v>1253</v>
      </c>
      <c r="B1134" s="5" t="s">
        <v>2044</v>
      </c>
      <c r="C1134" s="5" t="s">
        <v>1540</v>
      </c>
      <c r="D1134" s="5" t="s">
        <v>1985</v>
      </c>
      <c r="E1134" s="5" t="s">
        <v>1862</v>
      </c>
      <c r="F1134" s="5" t="str">
        <f t="shared" si="153"/>
        <v>Finance-Billing Officer</v>
      </c>
      <c r="G1134" s="5" t="s">
        <v>47</v>
      </c>
      <c r="H1134" s="9">
        <v>44736.170439814814</v>
      </c>
      <c r="I1134" s="9">
        <v>44739.170439814814</v>
      </c>
      <c r="J1134" s="9" t="e">
        <f>I1134+#REF!</f>
        <v>#REF!</v>
      </c>
      <c r="K1134" s="9" t="e">
        <f>J1134+#REF!</f>
        <v>#REF!</v>
      </c>
      <c r="L1134" s="10" t="s">
        <v>41</v>
      </c>
      <c r="M1134" s="11">
        <v>44761.170439814814</v>
      </c>
      <c r="N1134" s="5" t="s">
        <v>64</v>
      </c>
      <c r="O1134" s="5"/>
      <c r="P1134" s="9">
        <v>44768.170439814814</v>
      </c>
      <c r="Q1134" s="5" t="s">
        <v>64</v>
      </c>
      <c r="R1134" s="9">
        <v>44763.170439814814</v>
      </c>
      <c r="S1134" s="9">
        <v>44764.170439814814</v>
      </c>
      <c r="T1134" s="9">
        <v>44764.170439814814</v>
      </c>
      <c r="U1134" s="9">
        <v>44771.170439814814</v>
      </c>
      <c r="V1134" s="12">
        <v>1</v>
      </c>
      <c r="W1134" s="9">
        <v>44773.170439814814</v>
      </c>
      <c r="X1134" s="9">
        <v>44776.170439814814</v>
      </c>
      <c r="Y1134" s="9">
        <v>44778.170439814814</v>
      </c>
      <c r="Z1134" s="5"/>
      <c r="AA1134" s="5"/>
      <c r="AB1134" s="13">
        <v>44788.170439814814</v>
      </c>
      <c r="AC1134">
        <f t="shared" si="154"/>
        <v>22</v>
      </c>
      <c r="AD1134">
        <f t="shared" si="155"/>
        <v>25</v>
      </c>
      <c r="AE1134">
        <f t="shared" si="156"/>
        <v>3</v>
      </c>
      <c r="AF1134">
        <f t="shared" si="157"/>
        <v>5</v>
      </c>
      <c r="AG1134">
        <f t="shared" si="158"/>
        <v>2</v>
      </c>
      <c r="AH1134">
        <f t="shared" si="159"/>
        <v>3</v>
      </c>
      <c r="AI1134" t="str">
        <f t="shared" si="160"/>
        <v/>
      </c>
      <c r="AJ1134" t="str">
        <f t="shared" si="161"/>
        <v/>
      </c>
    </row>
    <row r="1135" spans="1:36">
      <c r="A1135" s="5">
        <v>1254</v>
      </c>
      <c r="B1135" s="5" t="s">
        <v>1655</v>
      </c>
      <c r="C1135" s="5" t="s">
        <v>1540</v>
      </c>
      <c r="D1135" s="5" t="s">
        <v>1588</v>
      </c>
      <c r="E1135" s="5" t="s">
        <v>1360</v>
      </c>
      <c r="F1135" s="5" t="str">
        <f t="shared" si="153"/>
        <v>Finance-Fund Administrator</v>
      </c>
      <c r="G1135" s="5" t="s">
        <v>147</v>
      </c>
      <c r="H1135" s="9">
        <v>44739.170439814814</v>
      </c>
      <c r="I1135" s="9">
        <v>44740.170439814814</v>
      </c>
      <c r="J1135" s="9" t="e">
        <f>I1135+#REF!</f>
        <v>#REF!</v>
      </c>
      <c r="K1135" s="9" t="e">
        <f>J1135+#REF!</f>
        <v>#REF!</v>
      </c>
      <c r="L1135" s="10" t="s">
        <v>41</v>
      </c>
      <c r="M1135" s="11">
        <v>44751.170439814814</v>
      </c>
      <c r="N1135" s="5" t="s">
        <v>42</v>
      </c>
      <c r="O1135" s="5" t="s">
        <v>43</v>
      </c>
      <c r="P1135" s="9"/>
      <c r="Q1135" s="5"/>
      <c r="R1135" s="5"/>
      <c r="S1135" s="5"/>
      <c r="T1135" s="9">
        <v>44754.170439814814</v>
      </c>
      <c r="U1135" s="5"/>
      <c r="V1135" s="5">
        <v>0</v>
      </c>
      <c r="W1135" s="5"/>
      <c r="X1135" s="5"/>
      <c r="Y1135" s="5"/>
      <c r="Z1135" s="5"/>
      <c r="AA1135" s="5" t="s">
        <v>62</v>
      </c>
      <c r="AC1135">
        <f t="shared" si="154"/>
        <v>11</v>
      </c>
      <c r="AD1135" t="str">
        <f t="shared" si="155"/>
        <v/>
      </c>
      <c r="AE1135">
        <f t="shared" si="156"/>
        <v>3</v>
      </c>
      <c r="AF1135" t="str">
        <f t="shared" si="157"/>
        <v/>
      </c>
      <c r="AG1135" t="str">
        <f t="shared" si="158"/>
        <v/>
      </c>
      <c r="AH1135">
        <f t="shared" si="159"/>
        <v>1</v>
      </c>
      <c r="AI1135" t="str">
        <f t="shared" si="160"/>
        <v/>
      </c>
      <c r="AJ1135" t="str">
        <f t="shared" si="161"/>
        <v/>
      </c>
    </row>
    <row r="1136" spans="1:36">
      <c r="A1136" s="5">
        <v>1255</v>
      </c>
      <c r="B1136" s="5" t="s">
        <v>2043</v>
      </c>
      <c r="C1136" s="5" t="s">
        <v>1540</v>
      </c>
      <c r="D1136" s="5" t="s">
        <v>1985</v>
      </c>
      <c r="E1136" s="5" t="s">
        <v>1862</v>
      </c>
      <c r="F1136" s="5" t="str">
        <f t="shared" si="153"/>
        <v>Finance-Billing Officer</v>
      </c>
      <c r="G1136" s="5" t="s">
        <v>47</v>
      </c>
      <c r="H1136" s="9">
        <v>44738.170439814814</v>
      </c>
      <c r="I1136" s="9">
        <v>44740.170439814814</v>
      </c>
      <c r="J1136" s="9" t="e">
        <f>I1136+#REF!</f>
        <v>#REF!</v>
      </c>
      <c r="K1136" s="9" t="e">
        <f>J1136+#REF!</f>
        <v>#REF!</v>
      </c>
      <c r="L1136" s="10" t="s">
        <v>41</v>
      </c>
      <c r="M1136" s="11">
        <v>44744.170439814814</v>
      </c>
      <c r="N1136" s="5" t="s">
        <v>42</v>
      </c>
      <c r="O1136" s="5" t="s">
        <v>73</v>
      </c>
      <c r="P1136" s="9"/>
      <c r="Q1136" s="5"/>
      <c r="R1136" s="5"/>
      <c r="S1136" s="5"/>
      <c r="T1136" s="9">
        <v>44748.170439814814</v>
      </c>
      <c r="U1136" s="5"/>
      <c r="V1136" s="5">
        <v>0</v>
      </c>
      <c r="W1136" s="5"/>
      <c r="X1136" s="5"/>
      <c r="Y1136" s="5"/>
      <c r="Z1136" s="5"/>
      <c r="AA1136" s="5" t="s">
        <v>44</v>
      </c>
      <c r="AC1136">
        <f t="shared" si="154"/>
        <v>4</v>
      </c>
      <c r="AD1136" t="str">
        <f t="shared" si="155"/>
        <v/>
      </c>
      <c r="AE1136">
        <f t="shared" si="156"/>
        <v>4</v>
      </c>
      <c r="AF1136" t="str">
        <f t="shared" si="157"/>
        <v/>
      </c>
      <c r="AG1136" t="str">
        <f t="shared" si="158"/>
        <v/>
      </c>
      <c r="AH1136">
        <f t="shared" si="159"/>
        <v>2</v>
      </c>
      <c r="AI1136" t="str">
        <f t="shared" si="160"/>
        <v/>
      </c>
      <c r="AJ1136" t="str">
        <f t="shared" si="161"/>
        <v/>
      </c>
    </row>
    <row r="1137" spans="1:36">
      <c r="A1137" s="5">
        <v>1256</v>
      </c>
      <c r="B1137" s="5" t="s">
        <v>1566</v>
      </c>
      <c r="C1137" s="5" t="s">
        <v>1540</v>
      </c>
      <c r="D1137" s="5" t="s">
        <v>1541</v>
      </c>
      <c r="E1137" s="5" t="s">
        <v>102</v>
      </c>
      <c r="F1137" s="5" t="str">
        <f t="shared" si="153"/>
        <v>Finance-Senior Manager</v>
      </c>
      <c r="G1137" s="5" t="s">
        <v>103</v>
      </c>
      <c r="H1137" s="9">
        <v>44738.170439814814</v>
      </c>
      <c r="I1137" s="9">
        <v>44741.170439814814</v>
      </c>
      <c r="J1137" s="9" t="e">
        <f>I1137+#REF!</f>
        <v>#REF!</v>
      </c>
      <c r="K1137" s="9" t="e">
        <f>J1137+#REF!</f>
        <v>#REF!</v>
      </c>
      <c r="L1137" s="10" t="s">
        <v>41</v>
      </c>
      <c r="M1137" s="11">
        <v>44751.170439814814</v>
      </c>
      <c r="N1137" s="5" t="s">
        <v>42</v>
      </c>
      <c r="O1137" s="5" t="s">
        <v>73</v>
      </c>
      <c r="P1137" s="9"/>
      <c r="Q1137" s="5"/>
      <c r="R1137" s="5"/>
      <c r="S1137" s="5"/>
      <c r="T1137" s="9">
        <v>44755.170439814814</v>
      </c>
      <c r="U1137" s="5"/>
      <c r="V1137" s="5">
        <v>0</v>
      </c>
      <c r="W1137" s="5"/>
      <c r="X1137" s="5"/>
      <c r="Y1137" s="5"/>
      <c r="Z1137" s="5"/>
      <c r="AA1137" s="5" t="s">
        <v>44</v>
      </c>
      <c r="AC1137">
        <f t="shared" si="154"/>
        <v>10</v>
      </c>
      <c r="AD1137" t="str">
        <f t="shared" si="155"/>
        <v/>
      </c>
      <c r="AE1137">
        <f t="shared" si="156"/>
        <v>4</v>
      </c>
      <c r="AF1137" t="str">
        <f t="shared" si="157"/>
        <v/>
      </c>
      <c r="AG1137" t="str">
        <f t="shared" si="158"/>
        <v/>
      </c>
      <c r="AH1137">
        <f t="shared" si="159"/>
        <v>3</v>
      </c>
      <c r="AI1137" t="str">
        <f t="shared" si="160"/>
        <v/>
      </c>
      <c r="AJ1137" t="str">
        <f t="shared" si="161"/>
        <v/>
      </c>
    </row>
    <row r="1138" spans="1:36">
      <c r="A1138" s="5">
        <v>1257</v>
      </c>
      <c r="B1138" s="5" t="s">
        <v>2042</v>
      </c>
      <c r="C1138" s="5" t="s">
        <v>1540</v>
      </c>
      <c r="D1138" s="5" t="s">
        <v>1985</v>
      </c>
      <c r="E1138" s="5" t="s">
        <v>1862</v>
      </c>
      <c r="F1138" s="5" t="str">
        <f t="shared" si="153"/>
        <v>Finance-Billing Officer</v>
      </c>
      <c r="G1138" s="5" t="s">
        <v>47</v>
      </c>
      <c r="H1138" s="9">
        <v>44739.170439814814</v>
      </c>
      <c r="I1138" s="9">
        <v>44740.170439814814</v>
      </c>
      <c r="J1138" s="9" t="e">
        <f>I1138+#REF!</f>
        <v>#REF!</v>
      </c>
      <c r="K1138" s="9" t="e">
        <f>J1138+#REF!</f>
        <v>#REF!</v>
      </c>
      <c r="L1138" s="10" t="s">
        <v>41</v>
      </c>
      <c r="M1138" s="11">
        <v>44749.170439814814</v>
      </c>
      <c r="N1138" s="5" t="s">
        <v>167</v>
      </c>
      <c r="O1138" s="5"/>
      <c r="P1138" s="9">
        <v>44754.170439814814</v>
      </c>
      <c r="Q1138" s="5" t="s">
        <v>167</v>
      </c>
      <c r="R1138" s="5"/>
      <c r="S1138" s="5"/>
      <c r="T1138" s="9">
        <v>44752.170439814814</v>
      </c>
      <c r="U1138" s="5"/>
      <c r="V1138" s="5">
        <v>0</v>
      </c>
      <c r="W1138" s="5"/>
      <c r="X1138" s="5"/>
      <c r="Y1138" s="5"/>
      <c r="Z1138" s="5"/>
      <c r="AA1138" s="5"/>
      <c r="AC1138">
        <f t="shared" si="154"/>
        <v>9</v>
      </c>
      <c r="AD1138" t="str">
        <f t="shared" si="155"/>
        <v/>
      </c>
      <c r="AE1138">
        <f t="shared" si="156"/>
        <v>3</v>
      </c>
      <c r="AF1138" t="str">
        <f t="shared" si="157"/>
        <v/>
      </c>
      <c r="AG1138" t="str">
        <f t="shared" si="158"/>
        <v/>
      </c>
      <c r="AH1138">
        <f t="shared" si="159"/>
        <v>1</v>
      </c>
      <c r="AI1138" t="str">
        <f t="shared" si="160"/>
        <v/>
      </c>
      <c r="AJ1138" t="str">
        <f t="shared" si="161"/>
        <v/>
      </c>
    </row>
    <row r="1139" spans="1:36">
      <c r="A1139" s="5">
        <v>1259</v>
      </c>
      <c r="B1139" s="5" t="s">
        <v>1654</v>
      </c>
      <c r="C1139" s="5" t="s">
        <v>1540</v>
      </c>
      <c r="D1139" s="5" t="s">
        <v>1588</v>
      </c>
      <c r="E1139" s="5" t="s">
        <v>1360</v>
      </c>
      <c r="F1139" s="5" t="str">
        <f t="shared" si="153"/>
        <v>Finance-Fund Administrator</v>
      </c>
      <c r="G1139" s="5" t="s">
        <v>147</v>
      </c>
      <c r="H1139" s="9">
        <v>44735.170439814814</v>
      </c>
      <c r="I1139" s="9">
        <v>44738.170439814814</v>
      </c>
      <c r="J1139" s="9" t="e">
        <f>I1139+#REF!</f>
        <v>#REF!</v>
      </c>
      <c r="K1139" s="9" t="e">
        <f>J1139+#REF!</f>
        <v>#REF!</v>
      </c>
      <c r="L1139" s="10" t="s">
        <v>52</v>
      </c>
      <c r="M1139" s="11"/>
      <c r="N1139" s="5"/>
      <c r="O1139" s="5"/>
      <c r="P1139" s="9"/>
      <c r="Q1139" s="5"/>
      <c r="R1139" s="5"/>
      <c r="S1139" s="5"/>
      <c r="T1139" s="9"/>
      <c r="U1139" s="5"/>
      <c r="V1139" s="5">
        <v>0</v>
      </c>
      <c r="W1139" s="5"/>
      <c r="X1139" s="5"/>
      <c r="Y1139" s="5"/>
      <c r="Z1139" s="5"/>
      <c r="AA1139" s="5"/>
      <c r="AC1139" t="str">
        <f t="shared" si="154"/>
        <v/>
      </c>
      <c r="AD1139" t="str">
        <f t="shared" si="155"/>
        <v/>
      </c>
      <c r="AE1139" t="str">
        <f t="shared" si="156"/>
        <v/>
      </c>
      <c r="AF1139" t="str">
        <f t="shared" si="157"/>
        <v/>
      </c>
      <c r="AG1139" t="str">
        <f t="shared" si="158"/>
        <v/>
      </c>
      <c r="AH1139">
        <f t="shared" si="159"/>
        <v>3</v>
      </c>
      <c r="AI1139" t="str">
        <f t="shared" si="160"/>
        <v/>
      </c>
      <c r="AJ1139" t="str">
        <f t="shared" si="161"/>
        <v/>
      </c>
    </row>
    <row r="1140" spans="1:36">
      <c r="A1140" s="5">
        <v>1261</v>
      </c>
      <c r="B1140" s="5" t="s">
        <v>1773</v>
      </c>
      <c r="C1140" s="5" t="s">
        <v>1540</v>
      </c>
      <c r="D1140" s="5" t="s">
        <v>1706</v>
      </c>
      <c r="E1140" s="5" t="s">
        <v>269</v>
      </c>
      <c r="F1140" s="5" t="str">
        <f t="shared" si="153"/>
        <v>Finance-Manager</v>
      </c>
      <c r="G1140" s="5" t="s">
        <v>270</v>
      </c>
      <c r="H1140" s="9">
        <v>44999.913287037038</v>
      </c>
      <c r="I1140" s="9">
        <v>45001.913287037038</v>
      </c>
      <c r="J1140" s="9" t="e">
        <f>I1140+#REF!</f>
        <v>#REF!</v>
      </c>
      <c r="K1140" s="9" t="e">
        <f>J1140+#REF!</f>
        <v>#REF!</v>
      </c>
      <c r="L1140" s="10" t="s">
        <v>41</v>
      </c>
      <c r="M1140" s="11">
        <v>45022.913287037038</v>
      </c>
      <c r="N1140" s="5" t="s">
        <v>48</v>
      </c>
      <c r="O1140" s="5"/>
      <c r="P1140" s="9">
        <v>45025.913287037038</v>
      </c>
      <c r="Q1140" s="5" t="s">
        <v>48</v>
      </c>
      <c r="R1140" s="5"/>
      <c r="S1140" s="5"/>
      <c r="T1140" s="9">
        <v>45024.913287037038</v>
      </c>
      <c r="U1140" s="5"/>
      <c r="V1140" s="5">
        <v>0</v>
      </c>
      <c r="W1140" s="5"/>
      <c r="X1140" s="5"/>
      <c r="Y1140" s="5"/>
      <c r="Z1140" s="5"/>
      <c r="AA1140" s="5"/>
      <c r="AC1140">
        <f t="shared" si="154"/>
        <v>21</v>
      </c>
      <c r="AD1140" t="str">
        <f t="shared" si="155"/>
        <v/>
      </c>
      <c r="AE1140">
        <f t="shared" si="156"/>
        <v>2</v>
      </c>
      <c r="AF1140" t="str">
        <f t="shared" si="157"/>
        <v/>
      </c>
      <c r="AG1140" t="str">
        <f t="shared" si="158"/>
        <v/>
      </c>
      <c r="AH1140">
        <f t="shared" si="159"/>
        <v>2</v>
      </c>
      <c r="AI1140" t="str">
        <f t="shared" si="160"/>
        <v/>
      </c>
      <c r="AJ1140" t="str">
        <f t="shared" si="161"/>
        <v/>
      </c>
    </row>
    <row r="1141" spans="1:36">
      <c r="A1141" s="5">
        <v>1262</v>
      </c>
      <c r="B1141" s="5" t="s">
        <v>1565</v>
      </c>
      <c r="C1141" s="5" t="s">
        <v>1540</v>
      </c>
      <c r="D1141" s="5" t="s">
        <v>1541</v>
      </c>
      <c r="E1141" s="5" t="s">
        <v>102</v>
      </c>
      <c r="F1141" s="5" t="str">
        <f t="shared" si="153"/>
        <v>Finance-Senior Manager</v>
      </c>
      <c r="G1141" s="5" t="s">
        <v>103</v>
      </c>
      <c r="H1141" s="9">
        <v>44998.913287037038</v>
      </c>
      <c r="I1141" s="9">
        <v>45002.913287037038</v>
      </c>
      <c r="J1141" s="9" t="e">
        <f>I1141+#REF!</f>
        <v>#REF!</v>
      </c>
      <c r="K1141" s="9" t="e">
        <f>J1141+#REF!</f>
        <v>#REF!</v>
      </c>
      <c r="L1141" s="10" t="s">
        <v>41</v>
      </c>
      <c r="M1141" s="11">
        <v>45014.913287037038</v>
      </c>
      <c r="N1141" s="5" t="s">
        <v>42</v>
      </c>
      <c r="O1141" s="5" t="s">
        <v>98</v>
      </c>
      <c r="P1141" s="9"/>
      <c r="Q1141" s="5"/>
      <c r="R1141" s="5"/>
      <c r="S1141" s="5"/>
      <c r="T1141" s="9">
        <v>45017.913287037038</v>
      </c>
      <c r="U1141" s="5"/>
      <c r="V1141" s="5">
        <v>0</v>
      </c>
      <c r="W1141" s="5"/>
      <c r="X1141" s="5"/>
      <c r="Y1141" s="5"/>
      <c r="Z1141" s="5"/>
      <c r="AA1141" s="5" t="s">
        <v>44</v>
      </c>
      <c r="AC1141">
        <f t="shared" si="154"/>
        <v>12</v>
      </c>
      <c r="AD1141" t="str">
        <f t="shared" si="155"/>
        <v/>
      </c>
      <c r="AE1141">
        <f t="shared" si="156"/>
        <v>3</v>
      </c>
      <c r="AF1141" t="str">
        <f t="shared" si="157"/>
        <v/>
      </c>
      <c r="AG1141" t="str">
        <f t="shared" si="158"/>
        <v/>
      </c>
      <c r="AH1141">
        <f t="shared" si="159"/>
        <v>4</v>
      </c>
      <c r="AI1141" t="str">
        <f t="shared" si="160"/>
        <v/>
      </c>
      <c r="AJ1141" t="str">
        <f t="shared" si="161"/>
        <v/>
      </c>
    </row>
    <row r="1142" spans="1:36">
      <c r="A1142" s="5">
        <v>1264</v>
      </c>
      <c r="B1142" s="5" t="s">
        <v>1653</v>
      </c>
      <c r="C1142" s="5" t="s">
        <v>1540</v>
      </c>
      <c r="D1142" s="5" t="s">
        <v>1588</v>
      </c>
      <c r="E1142" s="5" t="s">
        <v>1360</v>
      </c>
      <c r="F1142" s="5" t="str">
        <f t="shared" si="153"/>
        <v>Finance-Fund Administrator</v>
      </c>
      <c r="G1142" s="5" t="s">
        <v>147</v>
      </c>
      <c r="H1142" s="9">
        <v>44995.913287037038</v>
      </c>
      <c r="I1142" s="9">
        <v>44999.913287037038</v>
      </c>
      <c r="J1142" s="9" t="e">
        <f>I1142+#REF!</f>
        <v>#REF!</v>
      </c>
      <c r="K1142" s="9" t="e">
        <f>J1142+#REF!</f>
        <v>#REF!</v>
      </c>
      <c r="L1142" s="10" t="s">
        <v>41</v>
      </c>
      <c r="M1142" s="11">
        <v>45012.913287037038</v>
      </c>
      <c r="N1142" s="5" t="s">
        <v>48</v>
      </c>
      <c r="O1142" s="5"/>
      <c r="P1142" s="9">
        <v>45018.913287037038</v>
      </c>
      <c r="Q1142" s="5" t="s">
        <v>48</v>
      </c>
      <c r="R1142" s="5"/>
      <c r="S1142" s="5"/>
      <c r="T1142" s="9">
        <v>45016.913287037038</v>
      </c>
      <c r="U1142" s="5"/>
      <c r="V1142" s="5">
        <v>0</v>
      </c>
      <c r="W1142" s="5"/>
      <c r="X1142" s="5"/>
      <c r="Y1142" s="5"/>
      <c r="Z1142" s="5"/>
      <c r="AA1142" s="5"/>
      <c r="AC1142">
        <f t="shared" si="154"/>
        <v>13</v>
      </c>
      <c r="AD1142" t="str">
        <f t="shared" si="155"/>
        <v/>
      </c>
      <c r="AE1142">
        <f t="shared" si="156"/>
        <v>4</v>
      </c>
      <c r="AF1142" t="str">
        <f t="shared" si="157"/>
        <v/>
      </c>
      <c r="AG1142" t="str">
        <f t="shared" si="158"/>
        <v/>
      </c>
      <c r="AH1142">
        <f t="shared" si="159"/>
        <v>4</v>
      </c>
      <c r="AI1142" t="str">
        <f t="shared" si="160"/>
        <v/>
      </c>
      <c r="AJ1142" t="str">
        <f t="shared" si="161"/>
        <v/>
      </c>
    </row>
    <row r="1143" spans="1:36">
      <c r="A1143" s="5">
        <v>1265</v>
      </c>
      <c r="B1143" s="5" t="s">
        <v>1889</v>
      </c>
      <c r="C1143" s="5" t="s">
        <v>1540</v>
      </c>
      <c r="D1143" s="5" t="s">
        <v>1820</v>
      </c>
      <c r="E1143" s="5" t="s">
        <v>1862</v>
      </c>
      <c r="F1143" s="5" t="str">
        <f t="shared" si="153"/>
        <v>Finance-Billing Officer</v>
      </c>
      <c r="G1143" s="5" t="s">
        <v>40</v>
      </c>
      <c r="H1143" s="9">
        <v>45000.913287037038</v>
      </c>
      <c r="I1143" s="9">
        <v>45002.913287037038</v>
      </c>
      <c r="J1143" s="9" t="e">
        <f>I1143+#REF!</f>
        <v>#REF!</v>
      </c>
      <c r="K1143" s="9" t="e">
        <f>J1143+#REF!</f>
        <v>#REF!</v>
      </c>
      <c r="L1143" s="10" t="s">
        <v>41</v>
      </c>
      <c r="M1143" s="11">
        <v>45007.913287037038</v>
      </c>
      <c r="N1143" s="5" t="s">
        <v>42</v>
      </c>
      <c r="O1143" s="5" t="s">
        <v>43</v>
      </c>
      <c r="P1143" s="9"/>
      <c r="Q1143" s="5"/>
      <c r="R1143" s="5"/>
      <c r="S1143" s="5"/>
      <c r="T1143" s="9">
        <v>45010.913287037038</v>
      </c>
      <c r="U1143" s="5"/>
      <c r="V1143" s="5">
        <v>0</v>
      </c>
      <c r="W1143" s="5"/>
      <c r="X1143" s="5"/>
      <c r="Y1143" s="5"/>
      <c r="Z1143" s="5"/>
      <c r="AA1143" s="5" t="s">
        <v>44</v>
      </c>
      <c r="AC1143">
        <f t="shared" si="154"/>
        <v>5</v>
      </c>
      <c r="AD1143" t="str">
        <f t="shared" si="155"/>
        <v/>
      </c>
      <c r="AE1143">
        <f t="shared" si="156"/>
        <v>3</v>
      </c>
      <c r="AF1143" t="str">
        <f t="shared" si="157"/>
        <v/>
      </c>
      <c r="AG1143" t="str">
        <f t="shared" si="158"/>
        <v/>
      </c>
      <c r="AH1143">
        <f t="shared" si="159"/>
        <v>2</v>
      </c>
      <c r="AI1143" t="str">
        <f t="shared" si="160"/>
        <v/>
      </c>
      <c r="AJ1143" t="str">
        <f t="shared" si="161"/>
        <v/>
      </c>
    </row>
    <row r="1144" spans="1:36">
      <c r="A1144" s="5">
        <v>1266</v>
      </c>
      <c r="B1144" s="5" t="s">
        <v>1888</v>
      </c>
      <c r="C1144" s="5" t="s">
        <v>1540</v>
      </c>
      <c r="D1144" s="5" t="s">
        <v>1820</v>
      </c>
      <c r="E1144" s="5" t="s">
        <v>1862</v>
      </c>
      <c r="F1144" s="5" t="str">
        <f t="shared" si="153"/>
        <v>Finance-Billing Officer</v>
      </c>
      <c r="G1144" s="5" t="s">
        <v>40</v>
      </c>
      <c r="H1144" s="9">
        <v>44998.913287037038</v>
      </c>
      <c r="I1144" s="9">
        <v>44999.913287037038</v>
      </c>
      <c r="J1144" s="9" t="e">
        <f>I1144+#REF!</f>
        <v>#REF!</v>
      </c>
      <c r="K1144" s="9" t="e">
        <f>J1144+#REF!</f>
        <v>#REF!</v>
      </c>
      <c r="L1144" s="10" t="s">
        <v>41</v>
      </c>
      <c r="M1144" s="11">
        <v>45010.913287037038</v>
      </c>
      <c r="N1144" s="5" t="s">
        <v>42</v>
      </c>
      <c r="O1144" s="5" t="s">
        <v>73</v>
      </c>
      <c r="P1144" s="9"/>
      <c r="Q1144" s="5"/>
      <c r="R1144" s="5"/>
      <c r="S1144" s="5"/>
      <c r="T1144" s="9"/>
      <c r="U1144" s="5"/>
      <c r="V1144" s="5">
        <v>0</v>
      </c>
      <c r="W1144" s="5"/>
      <c r="X1144" s="5"/>
      <c r="Y1144" s="5"/>
      <c r="Z1144" s="5"/>
      <c r="AA1144" s="5" t="s">
        <v>62</v>
      </c>
      <c r="AC1144">
        <f t="shared" si="154"/>
        <v>11</v>
      </c>
      <c r="AD1144" t="str">
        <f t="shared" si="155"/>
        <v/>
      </c>
      <c r="AE1144" t="str">
        <f t="shared" si="156"/>
        <v/>
      </c>
      <c r="AF1144" t="str">
        <f t="shared" si="157"/>
        <v/>
      </c>
      <c r="AG1144" t="str">
        <f t="shared" si="158"/>
        <v/>
      </c>
      <c r="AH1144">
        <f t="shared" si="159"/>
        <v>1</v>
      </c>
      <c r="AI1144" t="str">
        <f t="shared" si="160"/>
        <v/>
      </c>
      <c r="AJ1144" t="str">
        <f t="shared" si="161"/>
        <v/>
      </c>
    </row>
    <row r="1145" spans="1:36">
      <c r="A1145" s="5">
        <v>1267</v>
      </c>
      <c r="B1145" s="5" t="s">
        <v>1772</v>
      </c>
      <c r="C1145" s="5" t="s">
        <v>1540</v>
      </c>
      <c r="D1145" s="5" t="s">
        <v>1706</v>
      </c>
      <c r="E1145" s="5" t="s">
        <v>269</v>
      </c>
      <c r="F1145" s="5" t="str">
        <f t="shared" si="153"/>
        <v>Finance-Manager</v>
      </c>
      <c r="G1145" s="5" t="s">
        <v>270</v>
      </c>
      <c r="H1145" s="9">
        <v>44997.913287037038</v>
      </c>
      <c r="I1145" s="9">
        <v>45001.913287037038</v>
      </c>
      <c r="J1145" s="9" t="e">
        <f>I1145+#REF!</f>
        <v>#REF!</v>
      </c>
      <c r="K1145" s="9" t="e">
        <f>J1145+#REF!</f>
        <v>#REF!</v>
      </c>
      <c r="L1145" s="10" t="s">
        <v>41</v>
      </c>
      <c r="M1145" s="11">
        <v>45018.913287037038</v>
      </c>
      <c r="N1145" s="5" t="s">
        <v>64</v>
      </c>
      <c r="O1145" s="5"/>
      <c r="P1145" s="9">
        <v>45024.913287037038</v>
      </c>
      <c r="Q1145" s="5" t="s">
        <v>64</v>
      </c>
      <c r="R1145" s="9">
        <v>45019.913287037038</v>
      </c>
      <c r="S1145" s="9">
        <v>45023.913287037038</v>
      </c>
      <c r="T1145" s="9">
        <v>45021.913287037038</v>
      </c>
      <c r="U1145" s="9">
        <v>45030.913287037038</v>
      </c>
      <c r="V1145" s="12">
        <v>1</v>
      </c>
      <c r="W1145" s="9">
        <v>45032.913287037038</v>
      </c>
      <c r="X1145" s="9">
        <v>45035.913287037038</v>
      </c>
      <c r="Y1145" s="9">
        <v>45037.913287037038</v>
      </c>
      <c r="Z1145" s="5"/>
      <c r="AA1145" s="5"/>
      <c r="AB1145" s="13">
        <v>45048.913287037038</v>
      </c>
      <c r="AC1145">
        <f t="shared" si="154"/>
        <v>17</v>
      </c>
      <c r="AD1145">
        <f t="shared" si="155"/>
        <v>22</v>
      </c>
      <c r="AE1145">
        <f t="shared" si="156"/>
        <v>3</v>
      </c>
      <c r="AF1145">
        <f t="shared" si="157"/>
        <v>5</v>
      </c>
      <c r="AG1145">
        <f t="shared" si="158"/>
        <v>2</v>
      </c>
      <c r="AH1145">
        <f t="shared" si="159"/>
        <v>4</v>
      </c>
      <c r="AI1145" t="str">
        <f t="shared" si="160"/>
        <v/>
      </c>
      <c r="AJ1145" t="str">
        <f t="shared" si="161"/>
        <v/>
      </c>
    </row>
    <row r="1146" spans="1:36">
      <c r="A1146" s="5">
        <v>1268</v>
      </c>
      <c r="B1146" s="5" t="s">
        <v>1652</v>
      </c>
      <c r="C1146" s="5" t="s">
        <v>1540</v>
      </c>
      <c r="D1146" s="5" t="s">
        <v>1588</v>
      </c>
      <c r="E1146" s="5" t="s">
        <v>1360</v>
      </c>
      <c r="F1146" s="5" t="str">
        <f t="shared" si="153"/>
        <v>Finance-Fund Administrator</v>
      </c>
      <c r="G1146" s="5" t="s">
        <v>147</v>
      </c>
      <c r="H1146" s="9">
        <v>44999.913287037038</v>
      </c>
      <c r="I1146" s="9">
        <v>45001.913287037038</v>
      </c>
      <c r="J1146" s="9" t="e">
        <f>I1146+#REF!</f>
        <v>#REF!</v>
      </c>
      <c r="K1146" s="9" t="e">
        <f>J1146+#REF!</f>
        <v>#REF!</v>
      </c>
      <c r="L1146" s="10" t="s">
        <v>41</v>
      </c>
      <c r="M1146" s="11">
        <v>45019.913287037038</v>
      </c>
      <c r="N1146" s="5" t="s">
        <v>48</v>
      </c>
      <c r="O1146" s="5"/>
      <c r="P1146" s="9">
        <v>45024.913287037038</v>
      </c>
      <c r="Q1146" s="5" t="s">
        <v>48</v>
      </c>
      <c r="R1146" s="5"/>
      <c r="S1146" s="5"/>
      <c r="T1146" s="9">
        <v>45020.913287037038</v>
      </c>
      <c r="U1146" s="5"/>
      <c r="V1146" s="5">
        <v>0</v>
      </c>
      <c r="W1146" s="5"/>
      <c r="X1146" s="5"/>
      <c r="Y1146" s="5"/>
      <c r="Z1146" s="5"/>
      <c r="AA1146" s="5"/>
      <c r="AC1146">
        <f t="shared" si="154"/>
        <v>18</v>
      </c>
      <c r="AD1146" t="str">
        <f t="shared" si="155"/>
        <v/>
      </c>
      <c r="AE1146">
        <f t="shared" si="156"/>
        <v>1</v>
      </c>
      <c r="AF1146" t="str">
        <f t="shared" si="157"/>
        <v/>
      </c>
      <c r="AG1146" t="str">
        <f t="shared" si="158"/>
        <v/>
      </c>
      <c r="AH1146">
        <f t="shared" si="159"/>
        <v>2</v>
      </c>
      <c r="AI1146" t="str">
        <f t="shared" si="160"/>
        <v/>
      </c>
      <c r="AJ1146" t="str">
        <f t="shared" si="161"/>
        <v/>
      </c>
    </row>
    <row r="1147" spans="1:36">
      <c r="A1147" s="5">
        <v>1269</v>
      </c>
      <c r="B1147" s="5" t="s">
        <v>1651</v>
      </c>
      <c r="C1147" s="5" t="s">
        <v>1540</v>
      </c>
      <c r="D1147" s="5" t="s">
        <v>1588</v>
      </c>
      <c r="E1147" s="5" t="s">
        <v>1360</v>
      </c>
      <c r="F1147" s="5" t="str">
        <f t="shared" si="153"/>
        <v>Finance-Fund Administrator</v>
      </c>
      <c r="G1147" s="5" t="s">
        <v>147</v>
      </c>
      <c r="H1147" s="9">
        <v>44997.913287037038</v>
      </c>
      <c r="I1147" s="9">
        <v>45001.913287037038</v>
      </c>
      <c r="J1147" s="9" t="e">
        <f>I1147+#REF!</f>
        <v>#REF!</v>
      </c>
      <c r="K1147" s="9" t="e">
        <f>J1147+#REF!</f>
        <v>#REF!</v>
      </c>
      <c r="L1147" s="10" t="s">
        <v>41</v>
      </c>
      <c r="M1147" s="11">
        <v>45020.913287037038</v>
      </c>
      <c r="N1147" s="5" t="s">
        <v>167</v>
      </c>
      <c r="O1147" s="5"/>
      <c r="P1147" s="9">
        <v>45024.913287037038</v>
      </c>
      <c r="Q1147" s="5" t="s">
        <v>167</v>
      </c>
      <c r="R1147" s="5"/>
      <c r="S1147" s="5"/>
      <c r="T1147" s="9">
        <v>45021.913287037038</v>
      </c>
      <c r="U1147" s="5"/>
      <c r="V1147" s="5">
        <v>0</v>
      </c>
      <c r="W1147" s="5"/>
      <c r="X1147" s="5"/>
      <c r="Y1147" s="5"/>
      <c r="Z1147" s="5"/>
      <c r="AA1147" s="5"/>
      <c r="AC1147">
        <f t="shared" si="154"/>
        <v>19</v>
      </c>
      <c r="AD1147" t="str">
        <f t="shared" si="155"/>
        <v/>
      </c>
      <c r="AE1147">
        <f t="shared" si="156"/>
        <v>1</v>
      </c>
      <c r="AF1147" t="str">
        <f t="shared" si="157"/>
        <v/>
      </c>
      <c r="AG1147" t="str">
        <f t="shared" si="158"/>
        <v/>
      </c>
      <c r="AH1147">
        <f t="shared" si="159"/>
        <v>4</v>
      </c>
      <c r="AI1147" t="str">
        <f t="shared" si="160"/>
        <v/>
      </c>
      <c r="AJ1147" t="str">
        <f t="shared" si="161"/>
        <v/>
      </c>
    </row>
    <row r="1148" spans="1:36">
      <c r="A1148" s="5">
        <v>1270</v>
      </c>
      <c r="B1148" s="5" t="s">
        <v>1650</v>
      </c>
      <c r="C1148" s="5" t="s">
        <v>1540</v>
      </c>
      <c r="D1148" s="5" t="s">
        <v>1588</v>
      </c>
      <c r="E1148" s="5" t="s">
        <v>1360</v>
      </c>
      <c r="F1148" s="5" t="str">
        <f t="shared" si="153"/>
        <v>Finance-Fund Administrator</v>
      </c>
      <c r="G1148" s="5" t="s">
        <v>147</v>
      </c>
      <c r="H1148" s="9">
        <v>44999.913287037038</v>
      </c>
      <c r="I1148" s="9">
        <v>45000.913287037038</v>
      </c>
      <c r="J1148" s="9" t="e">
        <f>I1148+#REF!</f>
        <v>#REF!</v>
      </c>
      <c r="K1148" s="9" t="e">
        <f>J1148+#REF!</f>
        <v>#REF!</v>
      </c>
      <c r="L1148" s="10" t="s">
        <v>41</v>
      </c>
      <c r="M1148" s="11">
        <v>45012.913287037038</v>
      </c>
      <c r="N1148" s="5" t="s">
        <v>64</v>
      </c>
      <c r="O1148" s="5"/>
      <c r="P1148" s="9">
        <v>45018.913287037038</v>
      </c>
      <c r="Q1148" s="5" t="s">
        <v>64</v>
      </c>
      <c r="R1148" s="9">
        <v>45014.913287037038</v>
      </c>
      <c r="S1148" s="9">
        <v>45017.913287037038</v>
      </c>
      <c r="T1148" s="9">
        <v>45016.913287037038</v>
      </c>
      <c r="U1148" s="9">
        <v>45022.913287037038</v>
      </c>
      <c r="V1148" s="12">
        <v>1</v>
      </c>
      <c r="W1148" s="9">
        <v>45024.913287037038</v>
      </c>
      <c r="X1148" s="9">
        <v>45027.913287037038</v>
      </c>
      <c r="Y1148" s="9">
        <v>45029.913287037038</v>
      </c>
      <c r="Z1148" s="5"/>
      <c r="AA1148" s="5"/>
      <c r="AB1148" s="13">
        <v>45038.913287037038</v>
      </c>
      <c r="AC1148">
        <f t="shared" si="154"/>
        <v>12</v>
      </c>
      <c r="AD1148">
        <f t="shared" si="155"/>
        <v>17</v>
      </c>
      <c r="AE1148">
        <f t="shared" si="156"/>
        <v>4</v>
      </c>
      <c r="AF1148">
        <f t="shared" si="157"/>
        <v>5</v>
      </c>
      <c r="AG1148">
        <f t="shared" si="158"/>
        <v>2</v>
      </c>
      <c r="AH1148">
        <f t="shared" si="159"/>
        <v>1</v>
      </c>
      <c r="AI1148" t="str">
        <f t="shared" si="160"/>
        <v/>
      </c>
      <c r="AJ1148" t="str">
        <f t="shared" si="161"/>
        <v/>
      </c>
    </row>
    <row r="1149" spans="1:36">
      <c r="A1149" s="5">
        <v>1271</v>
      </c>
      <c r="B1149" s="5" t="s">
        <v>1318</v>
      </c>
      <c r="C1149" s="10" t="s">
        <v>1215</v>
      </c>
      <c r="D1149" s="5" t="s">
        <v>1287</v>
      </c>
      <c r="E1149" s="5" t="s">
        <v>1146</v>
      </c>
      <c r="F1149" s="5" t="str">
        <f t="shared" si="153"/>
        <v>HR-Quality Assurance</v>
      </c>
      <c r="G1149" s="5" t="s">
        <v>47</v>
      </c>
      <c r="H1149" s="9">
        <v>44714.107928240737</v>
      </c>
      <c r="I1149" s="9">
        <v>44716.107928240737</v>
      </c>
      <c r="J1149" s="9" t="e">
        <f>I1149+#REF!</f>
        <v>#REF!</v>
      </c>
      <c r="K1149" s="9" t="e">
        <f>J1149+#REF!</f>
        <v>#REF!</v>
      </c>
      <c r="L1149" s="10" t="s">
        <v>41</v>
      </c>
      <c r="M1149" s="11">
        <v>44732.107928240737</v>
      </c>
      <c r="N1149" s="5" t="s">
        <v>42</v>
      </c>
      <c r="O1149" s="5" t="s">
        <v>43</v>
      </c>
      <c r="P1149" s="9"/>
      <c r="Q1149" s="5"/>
      <c r="R1149" s="5"/>
      <c r="S1149" s="5"/>
      <c r="T1149" s="9">
        <v>44734.107928240737</v>
      </c>
      <c r="U1149" s="5"/>
      <c r="V1149" s="5">
        <v>0</v>
      </c>
      <c r="W1149" s="5"/>
      <c r="X1149" s="5"/>
      <c r="Y1149" s="5"/>
      <c r="Z1149" s="5"/>
      <c r="AA1149" s="5" t="s">
        <v>62</v>
      </c>
      <c r="AC1149">
        <f t="shared" si="154"/>
        <v>16</v>
      </c>
      <c r="AD1149" t="str">
        <f t="shared" si="155"/>
        <v/>
      </c>
      <c r="AE1149">
        <f t="shared" si="156"/>
        <v>2</v>
      </c>
      <c r="AF1149" t="str">
        <f t="shared" si="157"/>
        <v/>
      </c>
      <c r="AG1149" t="str">
        <f t="shared" si="158"/>
        <v/>
      </c>
      <c r="AH1149">
        <f t="shared" si="159"/>
        <v>2</v>
      </c>
      <c r="AI1149" t="str">
        <f t="shared" si="160"/>
        <v/>
      </c>
      <c r="AJ1149" t="str">
        <f t="shared" si="161"/>
        <v/>
      </c>
    </row>
    <row r="1150" spans="1:36">
      <c r="A1150" s="5">
        <v>1272</v>
      </c>
      <c r="B1150" s="5" t="s">
        <v>686</v>
      </c>
      <c r="C1150" s="10" t="s">
        <v>671</v>
      </c>
      <c r="D1150" s="5" t="s">
        <v>672</v>
      </c>
      <c r="E1150" s="5" t="s">
        <v>673</v>
      </c>
      <c r="F1150" s="5" t="str">
        <f t="shared" si="153"/>
        <v>Operations-Controller</v>
      </c>
      <c r="G1150" s="5" t="s">
        <v>40</v>
      </c>
      <c r="H1150" s="9">
        <v>44712.107928240737</v>
      </c>
      <c r="I1150" s="9">
        <v>44716.107928240737</v>
      </c>
      <c r="J1150" s="9" t="e">
        <f>I1150+#REF!</f>
        <v>#REF!</v>
      </c>
      <c r="K1150" s="9" t="e">
        <f>J1150+#REF!</f>
        <v>#REF!</v>
      </c>
      <c r="L1150" s="10" t="s">
        <v>41</v>
      </c>
      <c r="M1150" s="11">
        <v>44719.107928240737</v>
      </c>
      <c r="N1150" s="5" t="s">
        <v>64</v>
      </c>
      <c r="O1150" s="5"/>
      <c r="P1150" s="9">
        <v>44724.107928240737</v>
      </c>
      <c r="Q1150" s="5" t="s">
        <v>64</v>
      </c>
      <c r="R1150" s="9">
        <v>44720.107928240737</v>
      </c>
      <c r="S1150" s="9">
        <v>44722.107928240737</v>
      </c>
      <c r="T1150" s="9">
        <v>44721.107928240737</v>
      </c>
      <c r="U1150" s="9">
        <v>44728.107928240737</v>
      </c>
      <c r="V1150" s="12">
        <v>1</v>
      </c>
      <c r="W1150" s="9">
        <v>44729.107928240737</v>
      </c>
      <c r="X1150" s="9">
        <v>44731.107928240737</v>
      </c>
      <c r="Y1150" s="9">
        <v>44733.107928240737</v>
      </c>
      <c r="Z1150" s="5"/>
      <c r="AA1150" s="5"/>
      <c r="AB1150" s="13">
        <v>44750.107928240737</v>
      </c>
      <c r="AC1150">
        <f t="shared" si="154"/>
        <v>3</v>
      </c>
      <c r="AD1150">
        <f t="shared" si="155"/>
        <v>6</v>
      </c>
      <c r="AE1150">
        <f t="shared" si="156"/>
        <v>2</v>
      </c>
      <c r="AF1150">
        <f t="shared" si="157"/>
        <v>3</v>
      </c>
      <c r="AG1150">
        <f t="shared" si="158"/>
        <v>1</v>
      </c>
      <c r="AH1150">
        <f t="shared" si="159"/>
        <v>4</v>
      </c>
      <c r="AI1150" t="str">
        <f t="shared" si="160"/>
        <v/>
      </c>
      <c r="AJ1150" t="str">
        <f t="shared" si="161"/>
        <v/>
      </c>
    </row>
    <row r="1151" spans="1:36">
      <c r="A1151" s="5">
        <v>1273</v>
      </c>
      <c r="B1151" s="5" t="s">
        <v>1138</v>
      </c>
      <c r="C1151" s="10" t="s">
        <v>1122</v>
      </c>
      <c r="D1151" s="5" t="s">
        <v>1123</v>
      </c>
      <c r="E1151" s="5" t="s">
        <v>102</v>
      </c>
      <c r="F1151" s="5" t="str">
        <f t="shared" si="153"/>
        <v>IT-Senior Manager</v>
      </c>
      <c r="G1151" s="5" t="s">
        <v>103</v>
      </c>
      <c r="H1151" s="9">
        <v>44710.107928240737</v>
      </c>
      <c r="I1151" s="9">
        <v>44713.107928240737</v>
      </c>
      <c r="J1151" s="9" t="e">
        <f>I1151+#REF!</f>
        <v>#REF!</v>
      </c>
      <c r="K1151" s="9" t="e">
        <f>J1151+#REF!</f>
        <v>#REF!</v>
      </c>
      <c r="L1151" s="10" t="s">
        <v>41</v>
      </c>
      <c r="M1151" s="11">
        <v>44722.107928240737</v>
      </c>
      <c r="N1151" s="5" t="s">
        <v>42</v>
      </c>
      <c r="O1151" s="5" t="s">
        <v>98</v>
      </c>
      <c r="P1151" s="9"/>
      <c r="Q1151" s="5"/>
      <c r="R1151" s="5"/>
      <c r="S1151" s="5"/>
      <c r="T1151" s="9"/>
      <c r="U1151" s="5"/>
      <c r="V1151" s="5">
        <v>0</v>
      </c>
      <c r="W1151" s="5"/>
      <c r="X1151" s="5"/>
      <c r="Y1151" s="5"/>
      <c r="Z1151" s="5"/>
      <c r="AA1151" s="5" t="s">
        <v>44</v>
      </c>
      <c r="AC1151">
        <f t="shared" si="154"/>
        <v>9</v>
      </c>
      <c r="AD1151" t="str">
        <f t="shared" si="155"/>
        <v/>
      </c>
      <c r="AE1151" t="str">
        <f t="shared" si="156"/>
        <v/>
      </c>
      <c r="AF1151" t="str">
        <f t="shared" si="157"/>
        <v/>
      </c>
      <c r="AG1151" t="str">
        <f t="shared" si="158"/>
        <v/>
      </c>
      <c r="AH1151">
        <f t="shared" si="159"/>
        <v>3</v>
      </c>
      <c r="AI1151" t="str">
        <f t="shared" si="160"/>
        <v/>
      </c>
      <c r="AJ1151" t="str">
        <f t="shared" si="161"/>
        <v/>
      </c>
    </row>
    <row r="1152" spans="1:36">
      <c r="A1152" s="5">
        <v>1275</v>
      </c>
      <c r="B1152" s="5" t="s">
        <v>1211</v>
      </c>
      <c r="C1152" s="10" t="s">
        <v>1122</v>
      </c>
      <c r="D1152" s="5" t="s">
        <v>1191</v>
      </c>
      <c r="E1152" s="5" t="s">
        <v>1146</v>
      </c>
      <c r="F1152" s="5" t="str">
        <f t="shared" si="153"/>
        <v>IT-Quality Assurance</v>
      </c>
      <c r="G1152" s="5" t="s">
        <v>270</v>
      </c>
      <c r="H1152" s="9">
        <v>44711.107928240737</v>
      </c>
      <c r="I1152" s="9">
        <v>44712.107928240737</v>
      </c>
      <c r="J1152" s="9" t="e">
        <f>I1152+#REF!</f>
        <v>#REF!</v>
      </c>
      <c r="K1152" s="9" t="e">
        <f>J1152+#REF!</f>
        <v>#REF!</v>
      </c>
      <c r="L1152" s="10" t="s">
        <v>41</v>
      </c>
      <c r="M1152" s="11">
        <v>44723.107928240737</v>
      </c>
      <c r="N1152" s="5" t="s">
        <v>42</v>
      </c>
      <c r="O1152" s="5" t="s">
        <v>43</v>
      </c>
      <c r="P1152" s="9"/>
      <c r="Q1152" s="5"/>
      <c r="R1152" s="5"/>
      <c r="S1152" s="5"/>
      <c r="T1152" s="9">
        <v>44725.107928240737</v>
      </c>
      <c r="U1152" s="5"/>
      <c r="V1152" s="5">
        <v>0</v>
      </c>
      <c r="W1152" s="5"/>
      <c r="X1152" s="5"/>
      <c r="Y1152" s="5"/>
      <c r="Z1152" s="5"/>
      <c r="AA1152" s="5" t="s">
        <v>62</v>
      </c>
      <c r="AC1152">
        <f t="shared" si="154"/>
        <v>11</v>
      </c>
      <c r="AD1152" t="str">
        <f t="shared" si="155"/>
        <v/>
      </c>
      <c r="AE1152">
        <f t="shared" si="156"/>
        <v>2</v>
      </c>
      <c r="AF1152" t="str">
        <f t="shared" si="157"/>
        <v/>
      </c>
      <c r="AG1152" t="str">
        <f t="shared" si="158"/>
        <v/>
      </c>
      <c r="AH1152">
        <f t="shared" si="159"/>
        <v>1</v>
      </c>
      <c r="AI1152" t="str">
        <f t="shared" si="160"/>
        <v/>
      </c>
      <c r="AJ1152" t="str">
        <f t="shared" si="161"/>
        <v/>
      </c>
    </row>
    <row r="1153" spans="1:36">
      <c r="A1153" s="5">
        <v>1276</v>
      </c>
      <c r="B1153" s="5" t="s">
        <v>1178</v>
      </c>
      <c r="C1153" s="10" t="s">
        <v>1122</v>
      </c>
      <c r="D1153" s="5" t="s">
        <v>1145</v>
      </c>
      <c r="E1153" s="5" t="s">
        <v>39</v>
      </c>
      <c r="F1153" s="5" t="str">
        <f t="shared" si="153"/>
        <v>IT-Analyst</v>
      </c>
      <c r="G1153" s="5" t="s">
        <v>147</v>
      </c>
      <c r="H1153" s="9">
        <v>44711.107928240737</v>
      </c>
      <c r="I1153" s="9">
        <v>44714.107928240737</v>
      </c>
      <c r="J1153" s="9" t="e">
        <f>I1153+#REF!</f>
        <v>#REF!</v>
      </c>
      <c r="K1153" s="9" t="e">
        <f>J1153+#REF!</f>
        <v>#REF!</v>
      </c>
      <c r="L1153" s="10" t="s">
        <v>41</v>
      </c>
      <c r="M1153" s="11">
        <v>44728.107928240737</v>
      </c>
      <c r="N1153" s="5" t="s">
        <v>42</v>
      </c>
      <c r="O1153" s="5" t="s">
        <v>98</v>
      </c>
      <c r="P1153" s="9"/>
      <c r="Q1153" s="5"/>
      <c r="R1153" s="5"/>
      <c r="S1153" s="5"/>
      <c r="T1153" s="9"/>
      <c r="U1153" s="5"/>
      <c r="V1153" s="5">
        <v>0</v>
      </c>
      <c r="W1153" s="5"/>
      <c r="X1153" s="5"/>
      <c r="Y1153" s="5"/>
      <c r="Z1153" s="5"/>
      <c r="AA1153" s="5" t="s">
        <v>62</v>
      </c>
      <c r="AC1153">
        <f t="shared" si="154"/>
        <v>14</v>
      </c>
      <c r="AD1153" t="str">
        <f t="shared" si="155"/>
        <v/>
      </c>
      <c r="AE1153" t="str">
        <f t="shared" si="156"/>
        <v/>
      </c>
      <c r="AF1153" t="str">
        <f t="shared" si="157"/>
        <v/>
      </c>
      <c r="AG1153" t="str">
        <f t="shared" si="158"/>
        <v/>
      </c>
      <c r="AH1153">
        <f t="shared" si="159"/>
        <v>3</v>
      </c>
      <c r="AI1153" t="str">
        <f t="shared" si="160"/>
        <v/>
      </c>
      <c r="AJ1153" t="str">
        <f t="shared" si="161"/>
        <v/>
      </c>
    </row>
    <row r="1154" spans="1:36">
      <c r="A1154" s="5">
        <v>1277</v>
      </c>
      <c r="B1154" s="5" t="s">
        <v>1317</v>
      </c>
      <c r="C1154" s="10" t="s">
        <v>1215</v>
      </c>
      <c r="D1154" s="5" t="s">
        <v>1287</v>
      </c>
      <c r="E1154" s="5" t="s">
        <v>1146</v>
      </c>
      <c r="F1154" s="5" t="str">
        <f t="shared" ref="F1154:F1217" si="162">_xlfn.CONCAT(C1154,"-",E1154)</f>
        <v>HR-Quality Assurance</v>
      </c>
      <c r="G1154" s="5" t="s">
        <v>47</v>
      </c>
      <c r="H1154" s="9">
        <v>44713.107928240737</v>
      </c>
      <c r="I1154" s="9">
        <v>44716.107928240737</v>
      </c>
      <c r="J1154" s="9" t="e">
        <f>I1154+#REF!</f>
        <v>#REF!</v>
      </c>
      <c r="K1154" s="9" t="e">
        <f>J1154+#REF!</f>
        <v>#REF!</v>
      </c>
      <c r="L1154" s="10" t="s">
        <v>41</v>
      </c>
      <c r="M1154" s="11">
        <v>44734.107928240737</v>
      </c>
      <c r="N1154" s="5" t="s">
        <v>42</v>
      </c>
      <c r="O1154" s="5" t="s">
        <v>43</v>
      </c>
      <c r="P1154" s="9"/>
      <c r="Q1154" s="5"/>
      <c r="R1154" s="5"/>
      <c r="S1154" s="5"/>
      <c r="T1154" s="9">
        <v>44738.107928240737</v>
      </c>
      <c r="U1154" s="5"/>
      <c r="V1154" s="5">
        <v>0</v>
      </c>
      <c r="W1154" s="5"/>
      <c r="X1154" s="5"/>
      <c r="Y1154" s="5"/>
      <c r="Z1154" s="5"/>
      <c r="AA1154" s="5" t="s">
        <v>44</v>
      </c>
      <c r="AC1154">
        <f t="shared" ref="AC1154:AC1217" si="163">IF(AND(ISNUMBER(M1154), ISNUMBER(I1154)), M1154 - I1154, "")</f>
        <v>18</v>
      </c>
      <c r="AD1154" t="str">
        <f t="shared" si="155"/>
        <v/>
      </c>
      <c r="AE1154">
        <f t="shared" si="156"/>
        <v>4</v>
      </c>
      <c r="AF1154" t="str">
        <f t="shared" si="157"/>
        <v/>
      </c>
      <c r="AG1154" t="str">
        <f t="shared" si="158"/>
        <v/>
      </c>
      <c r="AH1154">
        <f t="shared" si="159"/>
        <v>3</v>
      </c>
      <c r="AI1154" t="str">
        <f t="shared" si="160"/>
        <v/>
      </c>
      <c r="AJ1154" t="str">
        <f t="shared" si="161"/>
        <v/>
      </c>
    </row>
    <row r="1155" spans="1:36">
      <c r="A1155" s="5">
        <v>1279</v>
      </c>
      <c r="B1155" s="5" t="s">
        <v>1274</v>
      </c>
      <c r="C1155" s="10" t="s">
        <v>1215</v>
      </c>
      <c r="D1155" s="5" t="s">
        <v>1249</v>
      </c>
      <c r="E1155" s="5" t="s">
        <v>1250</v>
      </c>
      <c r="F1155" s="5" t="str">
        <f t="shared" si="162"/>
        <v>HR-Screening Associate</v>
      </c>
      <c r="G1155" s="5" t="s">
        <v>40</v>
      </c>
      <c r="H1155" s="9">
        <v>44712.107928240737</v>
      </c>
      <c r="I1155" s="9">
        <v>44715.107928240737</v>
      </c>
      <c r="J1155" s="9" t="e">
        <f>I1155+#REF!</f>
        <v>#REF!</v>
      </c>
      <c r="K1155" s="9" t="e">
        <f>J1155+#REF!</f>
        <v>#REF!</v>
      </c>
      <c r="L1155" s="10" t="s">
        <v>41</v>
      </c>
      <c r="M1155" s="11">
        <v>44723.107928240737</v>
      </c>
      <c r="N1155" s="5" t="s">
        <v>42</v>
      </c>
      <c r="O1155" s="5" t="s">
        <v>43</v>
      </c>
      <c r="P1155" s="9"/>
      <c r="Q1155" s="5"/>
      <c r="R1155" s="5"/>
      <c r="S1155" s="5"/>
      <c r="T1155" s="9">
        <v>44725.107928240737</v>
      </c>
      <c r="U1155" s="5"/>
      <c r="V1155" s="5">
        <v>0</v>
      </c>
      <c r="W1155" s="5"/>
      <c r="X1155" s="5"/>
      <c r="Y1155" s="5"/>
      <c r="Z1155" s="5"/>
      <c r="AA1155" s="5" t="s">
        <v>62</v>
      </c>
      <c r="AC1155">
        <f t="shared" si="163"/>
        <v>8</v>
      </c>
      <c r="AD1155" t="str">
        <f t="shared" ref="AD1155:AD1218" si="164">IF(AND(ISNUMBER(S1155), ISNUMBER(I1155)), S1155 - I1155, "")</f>
        <v/>
      </c>
      <c r="AE1155">
        <f t="shared" ref="AE1155:AE1218" si="165">IF(AND(ISNUMBER(T1155), ISNUMBER(M1155)), T1155-M1155, "")</f>
        <v>2</v>
      </c>
      <c r="AF1155" t="str">
        <f t="shared" ref="AF1155:AF1218" si="166">IF(AND(ISNUMBER(X1155), ISNUMBER(U1155)), X1155-U1155,"")</f>
        <v/>
      </c>
      <c r="AG1155" t="str">
        <f t="shared" ref="AG1155:AG1218" si="167">IF(AND(ISNUMBER(W1155), ISNUMBER(U1155)), W1155-U1155, "")</f>
        <v/>
      </c>
      <c r="AH1155">
        <f t="shared" ref="AH1155:AH1218" si="168">IF(AND(ISNUMBER(I1155), ISNUMBER(H1155)), I1155-H1155,"")</f>
        <v>3</v>
      </c>
      <c r="AI1155" t="str">
        <f t="shared" ref="AI1155:AI1218" si="169">IF(AND(ISNUMBER(J1155),ISNUMBER(K1155)),K1155-J1155,"")</f>
        <v/>
      </c>
      <c r="AJ1155" t="str">
        <f t="shared" ref="AJ1155:AJ1218" si="170">IF(AND(ISNUMBER(J1155),ISNUMBER(I1155)), J1155-I1155,"")</f>
        <v/>
      </c>
    </row>
    <row r="1156" spans="1:36">
      <c r="A1156" s="5">
        <v>1280</v>
      </c>
      <c r="B1156" s="5" t="s">
        <v>1177</v>
      </c>
      <c r="C1156" s="10" t="s">
        <v>1122</v>
      </c>
      <c r="D1156" s="5" t="s">
        <v>1145</v>
      </c>
      <c r="E1156" s="5" t="s">
        <v>39</v>
      </c>
      <c r="F1156" s="5" t="str">
        <f t="shared" si="162"/>
        <v>IT-Analyst</v>
      </c>
      <c r="G1156" s="5" t="s">
        <v>147</v>
      </c>
      <c r="H1156" s="9">
        <v>44712.107928240737</v>
      </c>
      <c r="I1156" s="9">
        <v>44713.107928240737</v>
      </c>
      <c r="J1156" s="9" t="e">
        <f>I1156+#REF!</f>
        <v>#REF!</v>
      </c>
      <c r="K1156" s="9" t="e">
        <f>J1156+#REF!</f>
        <v>#REF!</v>
      </c>
      <c r="L1156" s="10" t="s">
        <v>41</v>
      </c>
      <c r="M1156" s="11">
        <v>44727.107928240737</v>
      </c>
      <c r="N1156" s="5" t="s">
        <v>167</v>
      </c>
      <c r="O1156" s="5"/>
      <c r="P1156" s="9">
        <v>44730.107928240737</v>
      </c>
      <c r="Q1156" s="5" t="s">
        <v>167</v>
      </c>
      <c r="R1156" s="5"/>
      <c r="S1156" s="5"/>
      <c r="T1156" s="9">
        <v>44728.107928240737</v>
      </c>
      <c r="U1156" s="5"/>
      <c r="V1156" s="5">
        <v>0</v>
      </c>
      <c r="W1156" s="5"/>
      <c r="X1156" s="5"/>
      <c r="Y1156" s="5"/>
      <c r="Z1156" s="5"/>
      <c r="AA1156" s="5"/>
      <c r="AC1156">
        <f t="shared" si="163"/>
        <v>14</v>
      </c>
      <c r="AD1156" t="str">
        <f t="shared" si="164"/>
        <v/>
      </c>
      <c r="AE1156">
        <f t="shared" si="165"/>
        <v>1</v>
      </c>
      <c r="AF1156" t="str">
        <f t="shared" si="166"/>
        <v/>
      </c>
      <c r="AG1156" t="str">
        <f t="shared" si="167"/>
        <v/>
      </c>
      <c r="AH1156">
        <f t="shared" si="168"/>
        <v>1</v>
      </c>
      <c r="AI1156" t="str">
        <f t="shared" si="169"/>
        <v/>
      </c>
      <c r="AJ1156" t="str">
        <f t="shared" si="170"/>
        <v/>
      </c>
    </row>
    <row r="1157" spans="1:36">
      <c r="A1157" s="5">
        <v>1281</v>
      </c>
      <c r="B1157" s="5" t="s">
        <v>1771</v>
      </c>
      <c r="C1157" s="5" t="s">
        <v>1540</v>
      </c>
      <c r="D1157" s="5" t="s">
        <v>1706</v>
      </c>
      <c r="E1157" s="5" t="s">
        <v>269</v>
      </c>
      <c r="F1157" s="5" t="str">
        <f t="shared" si="162"/>
        <v>Finance-Manager</v>
      </c>
      <c r="G1157" s="5" t="s">
        <v>270</v>
      </c>
      <c r="H1157" s="9">
        <v>44646.736006944448</v>
      </c>
      <c r="I1157" s="9">
        <v>44647.736006944448</v>
      </c>
      <c r="J1157" s="9" t="e">
        <f>I1157+#REF!</f>
        <v>#REF!</v>
      </c>
      <c r="K1157" s="9" t="e">
        <f>J1157+#REF!</f>
        <v>#REF!</v>
      </c>
      <c r="L1157" s="10" t="s">
        <v>41</v>
      </c>
      <c r="M1157" s="11">
        <v>44653.736006944448</v>
      </c>
      <c r="N1157" s="5" t="s">
        <v>64</v>
      </c>
      <c r="O1157" s="5"/>
      <c r="P1157" s="9">
        <v>44658.736006944448</v>
      </c>
      <c r="Q1157" s="5" t="s">
        <v>64</v>
      </c>
      <c r="R1157" s="9">
        <v>44654.736006944448</v>
      </c>
      <c r="S1157" s="9">
        <v>44657.736006944448</v>
      </c>
      <c r="T1157" s="9">
        <v>44656.736006944448</v>
      </c>
      <c r="U1157" s="9">
        <v>44663.736006944448</v>
      </c>
      <c r="V1157" s="12">
        <v>1</v>
      </c>
      <c r="W1157" s="9">
        <v>44664.736006944448</v>
      </c>
      <c r="X1157" s="9">
        <v>44666.736006944448</v>
      </c>
      <c r="Y1157" s="9">
        <v>44668.736006944448</v>
      </c>
      <c r="Z1157" s="5"/>
      <c r="AA1157" s="5"/>
      <c r="AB1157" s="13">
        <v>44678.736006944448</v>
      </c>
      <c r="AC1157">
        <f t="shared" si="163"/>
        <v>6</v>
      </c>
      <c r="AD1157">
        <f t="shared" si="164"/>
        <v>10</v>
      </c>
      <c r="AE1157">
        <f t="shared" si="165"/>
        <v>3</v>
      </c>
      <c r="AF1157">
        <f t="shared" si="166"/>
        <v>3</v>
      </c>
      <c r="AG1157">
        <f t="shared" si="167"/>
        <v>1</v>
      </c>
      <c r="AH1157">
        <f t="shared" si="168"/>
        <v>1</v>
      </c>
      <c r="AI1157" t="str">
        <f t="shared" si="169"/>
        <v/>
      </c>
      <c r="AJ1157" t="str">
        <f t="shared" si="170"/>
        <v/>
      </c>
    </row>
    <row r="1158" spans="1:36">
      <c r="A1158" s="5">
        <v>1282</v>
      </c>
      <c r="B1158" s="5" t="s">
        <v>1887</v>
      </c>
      <c r="C1158" s="5" t="s">
        <v>1540</v>
      </c>
      <c r="D1158" s="5" t="s">
        <v>1820</v>
      </c>
      <c r="E1158" s="5" t="s">
        <v>1862</v>
      </c>
      <c r="F1158" s="5" t="str">
        <f t="shared" si="162"/>
        <v>Finance-Billing Officer</v>
      </c>
      <c r="G1158" s="5" t="s">
        <v>40</v>
      </c>
      <c r="H1158" s="9">
        <v>44643.736006944448</v>
      </c>
      <c r="I1158" s="9">
        <v>44644.736006944448</v>
      </c>
      <c r="J1158" s="9" t="e">
        <f>I1158+#REF!</f>
        <v>#REF!</v>
      </c>
      <c r="K1158" s="9" t="e">
        <f>J1158+#REF!</f>
        <v>#REF!</v>
      </c>
      <c r="L1158" s="10" t="s">
        <v>41</v>
      </c>
      <c r="M1158" s="11">
        <v>44659.736006944448</v>
      </c>
      <c r="N1158" s="5" t="s">
        <v>42</v>
      </c>
      <c r="O1158" s="5" t="s">
        <v>43</v>
      </c>
      <c r="P1158" s="9"/>
      <c r="Q1158" s="5"/>
      <c r="R1158" s="5"/>
      <c r="S1158" s="5"/>
      <c r="T1158" s="9">
        <v>44663.736006944448</v>
      </c>
      <c r="U1158" s="5"/>
      <c r="V1158" s="5">
        <v>0</v>
      </c>
      <c r="W1158" s="5"/>
      <c r="X1158" s="5"/>
      <c r="Y1158" s="5"/>
      <c r="Z1158" s="5"/>
      <c r="AA1158" s="5" t="s">
        <v>62</v>
      </c>
      <c r="AC1158">
        <f t="shared" si="163"/>
        <v>15</v>
      </c>
      <c r="AD1158" t="str">
        <f t="shared" si="164"/>
        <v/>
      </c>
      <c r="AE1158">
        <f t="shared" si="165"/>
        <v>4</v>
      </c>
      <c r="AF1158" t="str">
        <f t="shared" si="166"/>
        <v/>
      </c>
      <c r="AG1158" t="str">
        <f t="shared" si="167"/>
        <v/>
      </c>
      <c r="AH1158">
        <f t="shared" si="168"/>
        <v>1</v>
      </c>
      <c r="AI1158" t="str">
        <f t="shared" si="169"/>
        <v/>
      </c>
      <c r="AJ1158" t="str">
        <f t="shared" si="170"/>
        <v/>
      </c>
    </row>
    <row r="1159" spans="1:36">
      <c r="A1159" s="5">
        <v>1284</v>
      </c>
      <c r="B1159" s="5" t="s">
        <v>1770</v>
      </c>
      <c r="C1159" s="5" t="s">
        <v>1540</v>
      </c>
      <c r="D1159" s="5" t="s">
        <v>1706</v>
      </c>
      <c r="E1159" s="5" t="s">
        <v>269</v>
      </c>
      <c r="F1159" s="5" t="str">
        <f t="shared" si="162"/>
        <v>Finance-Manager</v>
      </c>
      <c r="G1159" s="5" t="s">
        <v>270</v>
      </c>
      <c r="H1159" s="9">
        <v>44643.736006944448</v>
      </c>
      <c r="I1159" s="9">
        <v>44647.736006944448</v>
      </c>
      <c r="J1159" s="9" t="e">
        <f>I1159+#REF!</f>
        <v>#REF!</v>
      </c>
      <c r="K1159" s="9" t="e">
        <f>J1159+#REF!</f>
        <v>#REF!</v>
      </c>
      <c r="L1159" s="10" t="s">
        <v>41</v>
      </c>
      <c r="M1159" s="11">
        <v>44659.736006944448</v>
      </c>
      <c r="N1159" s="5" t="s">
        <v>64</v>
      </c>
      <c r="O1159" s="5"/>
      <c r="P1159" s="9">
        <v>44663.736006944448</v>
      </c>
      <c r="Q1159" s="5" t="s">
        <v>64</v>
      </c>
      <c r="R1159" s="9">
        <v>44661.736006944448</v>
      </c>
      <c r="S1159" s="9">
        <v>44665.736006944448</v>
      </c>
      <c r="T1159" s="9">
        <v>44661.736006944448</v>
      </c>
      <c r="U1159" s="9">
        <v>44668.736006944448</v>
      </c>
      <c r="V1159" s="12">
        <v>1</v>
      </c>
      <c r="W1159" s="9">
        <v>44672.736006944448</v>
      </c>
      <c r="X1159" s="9">
        <v>44673.736006944448</v>
      </c>
      <c r="Y1159" s="9">
        <v>44674.736006944448</v>
      </c>
      <c r="Z1159" s="5"/>
      <c r="AA1159" s="5"/>
      <c r="AB1159" s="13">
        <v>44691.736006944448</v>
      </c>
      <c r="AC1159">
        <f t="shared" si="163"/>
        <v>12</v>
      </c>
      <c r="AD1159">
        <f t="shared" si="164"/>
        <v>18</v>
      </c>
      <c r="AE1159">
        <f t="shared" si="165"/>
        <v>2</v>
      </c>
      <c r="AF1159">
        <f t="shared" si="166"/>
        <v>5</v>
      </c>
      <c r="AG1159">
        <f t="shared" si="167"/>
        <v>4</v>
      </c>
      <c r="AH1159">
        <f t="shared" si="168"/>
        <v>4</v>
      </c>
      <c r="AI1159" t="str">
        <f t="shared" si="169"/>
        <v/>
      </c>
      <c r="AJ1159" t="str">
        <f t="shared" si="170"/>
        <v/>
      </c>
    </row>
    <row r="1160" spans="1:36">
      <c r="A1160" s="5">
        <v>1286</v>
      </c>
      <c r="B1160" s="5" t="s">
        <v>1886</v>
      </c>
      <c r="C1160" s="5" t="s">
        <v>1540</v>
      </c>
      <c r="D1160" s="5" t="s">
        <v>1820</v>
      </c>
      <c r="E1160" s="5" t="s">
        <v>1862</v>
      </c>
      <c r="F1160" s="5" t="str">
        <f t="shared" si="162"/>
        <v>Finance-Billing Officer</v>
      </c>
      <c r="G1160" s="5" t="s">
        <v>40</v>
      </c>
      <c r="H1160" s="9">
        <v>44643.736006944448</v>
      </c>
      <c r="I1160" s="9">
        <v>44647.736006944448</v>
      </c>
      <c r="J1160" s="9" t="e">
        <f>I1160+#REF!</f>
        <v>#REF!</v>
      </c>
      <c r="K1160" s="9" t="e">
        <f>J1160+#REF!</f>
        <v>#REF!</v>
      </c>
      <c r="L1160" s="10" t="s">
        <v>41</v>
      </c>
      <c r="M1160" s="11">
        <v>44666.736006944448</v>
      </c>
      <c r="N1160" s="5" t="s">
        <v>42</v>
      </c>
      <c r="O1160" s="5" t="s">
        <v>43</v>
      </c>
      <c r="P1160" s="9"/>
      <c r="Q1160" s="5"/>
      <c r="R1160" s="5"/>
      <c r="S1160" s="5"/>
      <c r="T1160" s="9">
        <v>44669.736006944448</v>
      </c>
      <c r="U1160" s="5"/>
      <c r="V1160" s="5">
        <v>0</v>
      </c>
      <c r="W1160" s="5"/>
      <c r="X1160" s="5"/>
      <c r="Y1160" s="5"/>
      <c r="Z1160" s="5"/>
      <c r="AA1160" s="5" t="s">
        <v>44</v>
      </c>
      <c r="AC1160">
        <f t="shared" si="163"/>
        <v>19</v>
      </c>
      <c r="AD1160" t="str">
        <f t="shared" si="164"/>
        <v/>
      </c>
      <c r="AE1160">
        <f t="shared" si="165"/>
        <v>3</v>
      </c>
      <c r="AF1160" t="str">
        <f t="shared" si="166"/>
        <v/>
      </c>
      <c r="AG1160" t="str">
        <f t="shared" si="167"/>
        <v/>
      </c>
      <c r="AH1160">
        <f t="shared" si="168"/>
        <v>4</v>
      </c>
      <c r="AI1160" t="str">
        <f t="shared" si="169"/>
        <v/>
      </c>
      <c r="AJ1160" t="str">
        <f t="shared" si="170"/>
        <v/>
      </c>
    </row>
    <row r="1161" spans="1:36">
      <c r="A1161" s="5">
        <v>1288</v>
      </c>
      <c r="B1161" s="5" t="s">
        <v>1564</v>
      </c>
      <c r="C1161" s="5" t="s">
        <v>1540</v>
      </c>
      <c r="D1161" s="5" t="s">
        <v>1541</v>
      </c>
      <c r="E1161" s="5" t="s">
        <v>102</v>
      </c>
      <c r="F1161" s="5" t="str">
        <f t="shared" si="162"/>
        <v>Finance-Senior Manager</v>
      </c>
      <c r="G1161" s="5" t="s">
        <v>103</v>
      </c>
      <c r="H1161" s="9">
        <v>44643.736006944448</v>
      </c>
      <c r="I1161" s="9">
        <v>44645.736006944448</v>
      </c>
      <c r="J1161" s="9" t="e">
        <f>I1161+#REF!</f>
        <v>#REF!</v>
      </c>
      <c r="K1161" s="9" t="e">
        <f>J1161+#REF!</f>
        <v>#REF!</v>
      </c>
      <c r="L1161" s="10" t="s">
        <v>41</v>
      </c>
      <c r="M1161" s="11">
        <v>44658.736006944448</v>
      </c>
      <c r="N1161" s="5" t="s">
        <v>42</v>
      </c>
      <c r="O1161" s="5" t="s">
        <v>43</v>
      </c>
      <c r="P1161" s="9"/>
      <c r="Q1161" s="5"/>
      <c r="R1161" s="5"/>
      <c r="S1161" s="5"/>
      <c r="T1161" s="9">
        <v>44660.736006944448</v>
      </c>
      <c r="U1161" s="5"/>
      <c r="V1161" s="5">
        <v>0</v>
      </c>
      <c r="W1161" s="5"/>
      <c r="X1161" s="5"/>
      <c r="Y1161" s="5"/>
      <c r="Z1161" s="5"/>
      <c r="AA1161" s="5" t="s">
        <v>62</v>
      </c>
      <c r="AC1161">
        <f t="shared" si="163"/>
        <v>13</v>
      </c>
      <c r="AD1161" t="str">
        <f t="shared" si="164"/>
        <v/>
      </c>
      <c r="AE1161">
        <f t="shared" si="165"/>
        <v>2</v>
      </c>
      <c r="AF1161" t="str">
        <f t="shared" si="166"/>
        <v/>
      </c>
      <c r="AG1161" t="str">
        <f t="shared" si="167"/>
        <v/>
      </c>
      <c r="AH1161">
        <f t="shared" si="168"/>
        <v>2</v>
      </c>
      <c r="AI1161" t="str">
        <f t="shared" si="169"/>
        <v/>
      </c>
      <c r="AJ1161" t="str">
        <f t="shared" si="170"/>
        <v/>
      </c>
    </row>
    <row r="1162" spans="1:36">
      <c r="A1162" s="5">
        <v>1289</v>
      </c>
      <c r="B1162" s="5" t="s">
        <v>1769</v>
      </c>
      <c r="C1162" s="5" t="s">
        <v>1540</v>
      </c>
      <c r="D1162" s="5" t="s">
        <v>1706</v>
      </c>
      <c r="E1162" s="5" t="s">
        <v>269</v>
      </c>
      <c r="F1162" s="5" t="str">
        <f t="shared" si="162"/>
        <v>Finance-Manager</v>
      </c>
      <c r="G1162" s="5" t="s">
        <v>270</v>
      </c>
      <c r="H1162" s="9">
        <v>44643.736006944448</v>
      </c>
      <c r="I1162" s="9">
        <v>44646.736006944448</v>
      </c>
      <c r="J1162" s="9" t="e">
        <f>I1162+#REF!</f>
        <v>#REF!</v>
      </c>
      <c r="K1162" s="9" t="e">
        <f>J1162+#REF!</f>
        <v>#REF!</v>
      </c>
      <c r="L1162" s="10" t="s">
        <v>41</v>
      </c>
      <c r="M1162" s="11">
        <v>44660.736006944448</v>
      </c>
      <c r="N1162" s="5" t="s">
        <v>42</v>
      </c>
      <c r="O1162" s="5" t="s">
        <v>43</v>
      </c>
      <c r="P1162" s="9"/>
      <c r="Q1162" s="5"/>
      <c r="R1162" s="5"/>
      <c r="S1162" s="5"/>
      <c r="T1162" s="9"/>
      <c r="U1162" s="5"/>
      <c r="V1162" s="5">
        <v>0</v>
      </c>
      <c r="W1162" s="5"/>
      <c r="X1162" s="5"/>
      <c r="Y1162" s="5"/>
      <c r="Z1162" s="5"/>
      <c r="AA1162" s="5" t="s">
        <v>62</v>
      </c>
      <c r="AC1162">
        <f t="shared" si="163"/>
        <v>14</v>
      </c>
      <c r="AD1162" t="str">
        <f t="shared" si="164"/>
        <v/>
      </c>
      <c r="AE1162" t="str">
        <f t="shared" si="165"/>
        <v/>
      </c>
      <c r="AF1162" t="str">
        <f t="shared" si="166"/>
        <v/>
      </c>
      <c r="AG1162" t="str">
        <f t="shared" si="167"/>
        <v/>
      </c>
      <c r="AH1162">
        <f t="shared" si="168"/>
        <v>3</v>
      </c>
      <c r="AI1162" t="str">
        <f t="shared" si="169"/>
        <v/>
      </c>
      <c r="AJ1162" t="str">
        <f t="shared" si="170"/>
        <v/>
      </c>
    </row>
    <row r="1163" spans="1:36">
      <c r="A1163" s="5">
        <v>1290</v>
      </c>
      <c r="B1163" s="5" t="s">
        <v>2041</v>
      </c>
      <c r="C1163" s="5" t="s">
        <v>1540</v>
      </c>
      <c r="D1163" s="5" t="s">
        <v>1985</v>
      </c>
      <c r="E1163" s="5" t="s">
        <v>1862</v>
      </c>
      <c r="F1163" s="5" t="str">
        <f t="shared" si="162"/>
        <v>Finance-Billing Officer</v>
      </c>
      <c r="G1163" s="5" t="s">
        <v>47</v>
      </c>
      <c r="H1163" s="9">
        <v>44644.736006944448</v>
      </c>
      <c r="I1163" s="9">
        <v>44645.736006944448</v>
      </c>
      <c r="J1163" s="9" t="e">
        <f>I1163+#REF!</f>
        <v>#REF!</v>
      </c>
      <c r="K1163" s="9" t="e">
        <f>J1163+#REF!</f>
        <v>#REF!</v>
      </c>
      <c r="L1163" s="10" t="s">
        <v>41</v>
      </c>
      <c r="M1163" s="11">
        <v>44652.736006944448</v>
      </c>
      <c r="N1163" s="5" t="s">
        <v>42</v>
      </c>
      <c r="O1163" s="5" t="s">
        <v>58</v>
      </c>
      <c r="P1163" s="9"/>
      <c r="Q1163" s="5"/>
      <c r="R1163" s="5"/>
      <c r="S1163" s="5"/>
      <c r="T1163" s="9"/>
      <c r="U1163" s="5"/>
      <c r="V1163" s="5">
        <v>0</v>
      </c>
      <c r="W1163" s="5"/>
      <c r="X1163" s="5"/>
      <c r="Y1163" s="5"/>
      <c r="Z1163" s="5"/>
      <c r="AA1163" s="5" t="s">
        <v>44</v>
      </c>
      <c r="AC1163">
        <f t="shared" si="163"/>
        <v>7</v>
      </c>
      <c r="AD1163" t="str">
        <f t="shared" si="164"/>
        <v/>
      </c>
      <c r="AE1163" t="str">
        <f t="shared" si="165"/>
        <v/>
      </c>
      <c r="AF1163" t="str">
        <f t="shared" si="166"/>
        <v/>
      </c>
      <c r="AG1163" t="str">
        <f t="shared" si="167"/>
        <v/>
      </c>
      <c r="AH1163">
        <f t="shared" si="168"/>
        <v>1</v>
      </c>
      <c r="AI1163" t="str">
        <f t="shared" si="169"/>
        <v/>
      </c>
      <c r="AJ1163" t="str">
        <f t="shared" si="170"/>
        <v/>
      </c>
    </row>
    <row r="1164" spans="1:36">
      <c r="A1164" s="5">
        <v>1291</v>
      </c>
      <c r="B1164" s="5" t="s">
        <v>332</v>
      </c>
      <c r="C1164" s="5" t="s">
        <v>100</v>
      </c>
      <c r="D1164" s="5" t="s">
        <v>268</v>
      </c>
      <c r="E1164" s="5" t="s">
        <v>291</v>
      </c>
      <c r="F1164" s="5" t="str">
        <f t="shared" si="162"/>
        <v>Program Office-Cordination Manager</v>
      </c>
      <c r="G1164" s="5" t="s">
        <v>270</v>
      </c>
      <c r="H1164" s="9">
        <v>45092.672731481478</v>
      </c>
      <c r="I1164" s="9">
        <v>45095.672731481478</v>
      </c>
      <c r="J1164" s="9" t="e">
        <f>I1164+#REF!</f>
        <v>#REF!</v>
      </c>
      <c r="K1164" s="9" t="e">
        <f>J1164+#REF!</f>
        <v>#REF!</v>
      </c>
      <c r="L1164" s="10" t="s">
        <v>41</v>
      </c>
      <c r="M1164" s="11">
        <v>45104.672731481478</v>
      </c>
      <c r="N1164" s="5" t="s">
        <v>42</v>
      </c>
      <c r="O1164" s="5" t="s">
        <v>113</v>
      </c>
      <c r="P1164" s="9"/>
      <c r="Q1164" s="5"/>
      <c r="R1164" s="5"/>
      <c r="S1164" s="5"/>
      <c r="T1164" s="9">
        <v>45105.672731481478</v>
      </c>
      <c r="U1164" s="5"/>
      <c r="V1164" s="5">
        <v>0</v>
      </c>
      <c r="W1164" s="5"/>
      <c r="X1164" s="5"/>
      <c r="Y1164" s="5"/>
      <c r="Z1164" s="5"/>
      <c r="AA1164" s="5" t="s">
        <v>62</v>
      </c>
      <c r="AC1164">
        <f t="shared" si="163"/>
        <v>9</v>
      </c>
      <c r="AD1164" t="str">
        <f t="shared" si="164"/>
        <v/>
      </c>
      <c r="AE1164">
        <f t="shared" si="165"/>
        <v>1</v>
      </c>
      <c r="AF1164" t="str">
        <f t="shared" si="166"/>
        <v/>
      </c>
      <c r="AG1164" t="str">
        <f t="shared" si="167"/>
        <v/>
      </c>
      <c r="AH1164">
        <f t="shared" si="168"/>
        <v>3</v>
      </c>
      <c r="AI1164" t="str">
        <f t="shared" si="169"/>
        <v/>
      </c>
      <c r="AJ1164" t="str">
        <f t="shared" si="170"/>
        <v/>
      </c>
    </row>
    <row r="1165" spans="1:36">
      <c r="A1165" s="5">
        <v>1292</v>
      </c>
      <c r="B1165" s="5" t="s">
        <v>629</v>
      </c>
      <c r="C1165" s="5" t="s">
        <v>100</v>
      </c>
      <c r="D1165" s="5" t="s">
        <v>554</v>
      </c>
      <c r="E1165" s="5" t="s">
        <v>597</v>
      </c>
      <c r="F1165" s="5" t="str">
        <f t="shared" si="162"/>
        <v>Program Office-Business Partner</v>
      </c>
      <c r="G1165" s="5" t="s">
        <v>47</v>
      </c>
      <c r="H1165" s="9">
        <v>45091.672731481478</v>
      </c>
      <c r="I1165" s="9">
        <v>45094.672731481478</v>
      </c>
      <c r="J1165" s="9" t="e">
        <f>I1165+#REF!</f>
        <v>#REF!</v>
      </c>
      <c r="K1165" s="9" t="e">
        <f>J1165+#REF!</f>
        <v>#REF!</v>
      </c>
      <c r="L1165" s="10" t="s">
        <v>41</v>
      </c>
      <c r="M1165" s="11">
        <v>45105.672731481478</v>
      </c>
      <c r="N1165" s="5" t="s">
        <v>167</v>
      </c>
      <c r="O1165" s="5"/>
      <c r="P1165" s="9">
        <v>45112.672731481478</v>
      </c>
      <c r="Q1165" s="5" t="s">
        <v>167</v>
      </c>
      <c r="R1165" s="5"/>
      <c r="S1165" s="5"/>
      <c r="T1165" s="9">
        <v>45109.672731481478</v>
      </c>
      <c r="U1165" s="5"/>
      <c r="V1165" s="5">
        <v>0</v>
      </c>
      <c r="W1165" s="5"/>
      <c r="X1165" s="5"/>
      <c r="Y1165" s="5"/>
      <c r="Z1165" s="5"/>
      <c r="AA1165" s="5"/>
      <c r="AC1165">
        <f t="shared" si="163"/>
        <v>11</v>
      </c>
      <c r="AD1165" t="str">
        <f t="shared" si="164"/>
        <v/>
      </c>
      <c r="AE1165">
        <f t="shared" si="165"/>
        <v>4</v>
      </c>
      <c r="AF1165" t="str">
        <f t="shared" si="166"/>
        <v/>
      </c>
      <c r="AG1165" t="str">
        <f t="shared" si="167"/>
        <v/>
      </c>
      <c r="AH1165">
        <f t="shared" si="168"/>
        <v>3</v>
      </c>
      <c r="AI1165" t="str">
        <f t="shared" si="169"/>
        <v/>
      </c>
      <c r="AJ1165" t="str">
        <f t="shared" si="170"/>
        <v/>
      </c>
    </row>
    <row r="1166" spans="1:36">
      <c r="A1166" s="5">
        <v>1293</v>
      </c>
      <c r="B1166" s="5" t="s">
        <v>457</v>
      </c>
      <c r="C1166" s="5" t="s">
        <v>100</v>
      </c>
      <c r="D1166" s="5" t="s">
        <v>387</v>
      </c>
      <c r="E1166" s="5" t="s">
        <v>388</v>
      </c>
      <c r="F1166" s="5" t="str">
        <f t="shared" si="162"/>
        <v>Program Office-Extension Officer</v>
      </c>
      <c r="G1166" s="5" t="s">
        <v>40</v>
      </c>
      <c r="H1166" s="9">
        <v>45086.672731481478</v>
      </c>
      <c r="I1166" s="9">
        <v>45090.672731481478</v>
      </c>
      <c r="J1166" s="9" t="e">
        <f>I1166+#REF!</f>
        <v>#REF!</v>
      </c>
      <c r="K1166" s="9" t="e">
        <f>J1166+#REF!</f>
        <v>#REF!</v>
      </c>
      <c r="L1166" s="10" t="s">
        <v>52</v>
      </c>
      <c r="M1166" s="11"/>
      <c r="N1166" s="5"/>
      <c r="O1166" s="5"/>
      <c r="P1166" s="9"/>
      <c r="Q1166" s="5"/>
      <c r="R1166" s="5"/>
      <c r="S1166" s="5"/>
      <c r="T1166" s="9"/>
      <c r="U1166" s="5"/>
      <c r="V1166" s="5">
        <v>0</v>
      </c>
      <c r="W1166" s="5"/>
      <c r="X1166" s="5"/>
      <c r="Y1166" s="5"/>
      <c r="Z1166" s="5"/>
      <c r="AA1166" s="5"/>
      <c r="AC1166" t="str">
        <f t="shared" si="163"/>
        <v/>
      </c>
      <c r="AD1166" t="str">
        <f t="shared" si="164"/>
        <v/>
      </c>
      <c r="AE1166" t="str">
        <f t="shared" si="165"/>
        <v/>
      </c>
      <c r="AF1166" t="str">
        <f t="shared" si="166"/>
        <v/>
      </c>
      <c r="AG1166" t="str">
        <f t="shared" si="167"/>
        <v/>
      </c>
      <c r="AH1166">
        <f t="shared" si="168"/>
        <v>4</v>
      </c>
      <c r="AI1166" t="str">
        <f t="shared" si="169"/>
        <v/>
      </c>
      <c r="AJ1166" t="str">
        <f t="shared" si="170"/>
        <v/>
      </c>
    </row>
    <row r="1167" spans="1:36">
      <c r="A1167" s="5">
        <v>1294</v>
      </c>
      <c r="B1167" s="5" t="s">
        <v>129</v>
      </c>
      <c r="C1167" s="5" t="s">
        <v>100</v>
      </c>
      <c r="D1167" s="5" t="s">
        <v>101</v>
      </c>
      <c r="E1167" s="5" t="s">
        <v>102</v>
      </c>
      <c r="F1167" s="5" t="str">
        <f t="shared" si="162"/>
        <v>Program Office-Senior Manager</v>
      </c>
      <c r="G1167" s="5" t="s">
        <v>103</v>
      </c>
      <c r="H1167" s="9">
        <v>45091.672731481478</v>
      </c>
      <c r="I1167" s="9">
        <v>45093.672731481478</v>
      </c>
      <c r="J1167" s="9" t="e">
        <f>I1167+#REF!</f>
        <v>#REF!</v>
      </c>
      <c r="K1167" s="9" t="e">
        <f>J1167+#REF!</f>
        <v>#REF!</v>
      </c>
      <c r="L1167" s="10" t="s">
        <v>41</v>
      </c>
      <c r="M1167" s="11">
        <v>45105.672731481478</v>
      </c>
      <c r="N1167" s="5" t="s">
        <v>42</v>
      </c>
      <c r="O1167" s="5" t="s">
        <v>73</v>
      </c>
      <c r="P1167" s="9"/>
      <c r="Q1167" s="5"/>
      <c r="R1167" s="5"/>
      <c r="S1167" s="5"/>
      <c r="T1167" s="9"/>
      <c r="U1167" s="5"/>
      <c r="V1167" s="5">
        <v>0</v>
      </c>
      <c r="W1167" s="5"/>
      <c r="X1167" s="5"/>
      <c r="Y1167" s="5"/>
      <c r="Z1167" s="5"/>
      <c r="AA1167" s="5" t="s">
        <v>62</v>
      </c>
      <c r="AC1167">
        <f t="shared" si="163"/>
        <v>12</v>
      </c>
      <c r="AD1167" t="str">
        <f t="shared" si="164"/>
        <v/>
      </c>
      <c r="AE1167" t="str">
        <f t="shared" si="165"/>
        <v/>
      </c>
      <c r="AF1167" t="str">
        <f t="shared" si="166"/>
        <v/>
      </c>
      <c r="AG1167" t="str">
        <f t="shared" si="167"/>
        <v/>
      </c>
      <c r="AH1167">
        <f t="shared" si="168"/>
        <v>2</v>
      </c>
      <c r="AI1167" t="str">
        <f t="shared" si="169"/>
        <v/>
      </c>
      <c r="AJ1167" t="str">
        <f t="shared" si="170"/>
        <v/>
      </c>
    </row>
    <row r="1168" spans="1:36">
      <c r="A1168" s="5">
        <v>1296</v>
      </c>
      <c r="B1168" s="5" t="s">
        <v>628</v>
      </c>
      <c r="C1168" s="5" t="s">
        <v>100</v>
      </c>
      <c r="D1168" s="5" t="s">
        <v>554</v>
      </c>
      <c r="E1168" s="5" t="s">
        <v>597</v>
      </c>
      <c r="F1168" s="5" t="str">
        <f t="shared" si="162"/>
        <v>Program Office-Business Partner</v>
      </c>
      <c r="G1168" s="5" t="s">
        <v>47</v>
      </c>
      <c r="H1168" s="9">
        <v>45091.672731481478</v>
      </c>
      <c r="I1168" s="9">
        <v>45092.672731481478</v>
      </c>
      <c r="J1168" s="9" t="e">
        <f>I1168+#REF!</f>
        <v>#REF!</v>
      </c>
      <c r="K1168" s="9" t="e">
        <f>J1168+#REF!</f>
        <v>#REF!</v>
      </c>
      <c r="L1168" s="10" t="s">
        <v>52</v>
      </c>
      <c r="M1168" s="11"/>
      <c r="N1168" s="5"/>
      <c r="O1168" s="5"/>
      <c r="P1168" s="9"/>
      <c r="Q1168" s="5"/>
      <c r="R1168" s="5"/>
      <c r="S1168" s="5"/>
      <c r="T1168" s="9"/>
      <c r="U1168" s="5"/>
      <c r="V1168" s="5">
        <v>0</v>
      </c>
      <c r="W1168" s="5"/>
      <c r="X1168" s="5"/>
      <c r="Y1168" s="5"/>
      <c r="Z1168" s="5"/>
      <c r="AA1168" s="5"/>
      <c r="AC1168" t="str">
        <f t="shared" si="163"/>
        <v/>
      </c>
      <c r="AD1168" t="str">
        <f t="shared" si="164"/>
        <v/>
      </c>
      <c r="AE1168" t="str">
        <f t="shared" si="165"/>
        <v/>
      </c>
      <c r="AF1168" t="str">
        <f t="shared" si="166"/>
        <v/>
      </c>
      <c r="AG1168" t="str">
        <f t="shared" si="167"/>
        <v/>
      </c>
      <c r="AH1168">
        <f t="shared" si="168"/>
        <v>1</v>
      </c>
      <c r="AI1168" t="str">
        <f t="shared" si="169"/>
        <v/>
      </c>
      <c r="AJ1168" t="str">
        <f t="shared" si="170"/>
        <v/>
      </c>
    </row>
    <row r="1169" spans="1:36">
      <c r="A1169" s="5">
        <v>1297</v>
      </c>
      <c r="B1169" s="5" t="s">
        <v>211</v>
      </c>
      <c r="C1169" s="5" t="s">
        <v>100</v>
      </c>
      <c r="D1169" s="5" t="s">
        <v>146</v>
      </c>
      <c r="E1169" s="5" t="s">
        <v>39</v>
      </c>
      <c r="F1169" s="5" t="str">
        <f t="shared" si="162"/>
        <v>Program Office-Analyst</v>
      </c>
      <c r="G1169" s="5" t="s">
        <v>147</v>
      </c>
      <c r="H1169" s="9">
        <v>45088.672731481478</v>
      </c>
      <c r="I1169" s="9">
        <v>45092.672731481478</v>
      </c>
      <c r="J1169" s="9" t="e">
        <f>I1169+#REF!</f>
        <v>#REF!</v>
      </c>
      <c r="K1169" s="9" t="e">
        <f>J1169+#REF!</f>
        <v>#REF!</v>
      </c>
      <c r="L1169" s="10" t="s">
        <v>41</v>
      </c>
      <c r="M1169" s="11">
        <v>45099.672731481478</v>
      </c>
      <c r="N1169" s="5" t="s">
        <v>42</v>
      </c>
      <c r="O1169" s="5" t="s">
        <v>73</v>
      </c>
      <c r="P1169" s="9"/>
      <c r="Q1169" s="5"/>
      <c r="R1169" s="5"/>
      <c r="S1169" s="5"/>
      <c r="T1169" s="9">
        <v>45101.672731481478</v>
      </c>
      <c r="U1169" s="5"/>
      <c r="V1169" s="5">
        <v>0</v>
      </c>
      <c r="W1169" s="5"/>
      <c r="X1169" s="5"/>
      <c r="Y1169" s="5"/>
      <c r="Z1169" s="5"/>
      <c r="AA1169" s="5" t="s">
        <v>44</v>
      </c>
      <c r="AC1169">
        <f t="shared" si="163"/>
        <v>7</v>
      </c>
      <c r="AD1169" t="str">
        <f t="shared" si="164"/>
        <v/>
      </c>
      <c r="AE1169">
        <f t="shared" si="165"/>
        <v>2</v>
      </c>
      <c r="AF1169" t="str">
        <f t="shared" si="166"/>
        <v/>
      </c>
      <c r="AG1169" t="str">
        <f t="shared" si="167"/>
        <v/>
      </c>
      <c r="AH1169">
        <f t="shared" si="168"/>
        <v>4</v>
      </c>
      <c r="AI1169" t="str">
        <f t="shared" si="169"/>
        <v/>
      </c>
      <c r="AJ1169" t="str">
        <f t="shared" si="170"/>
        <v/>
      </c>
    </row>
    <row r="1170" spans="1:36">
      <c r="A1170" s="5">
        <v>1298</v>
      </c>
      <c r="B1170" s="5" t="s">
        <v>331</v>
      </c>
      <c r="C1170" s="5" t="s">
        <v>100</v>
      </c>
      <c r="D1170" s="5" t="s">
        <v>268</v>
      </c>
      <c r="E1170" s="5" t="s">
        <v>291</v>
      </c>
      <c r="F1170" s="5" t="str">
        <f t="shared" si="162"/>
        <v>Program Office-Cordination Manager</v>
      </c>
      <c r="G1170" s="5" t="s">
        <v>270</v>
      </c>
      <c r="H1170" s="9">
        <v>45091.672731481478</v>
      </c>
      <c r="I1170" s="9">
        <v>45093.672731481478</v>
      </c>
      <c r="J1170" s="9" t="e">
        <f>I1170+#REF!</f>
        <v>#REF!</v>
      </c>
      <c r="K1170" s="9" t="e">
        <f>J1170+#REF!</f>
        <v>#REF!</v>
      </c>
      <c r="L1170" s="10" t="s">
        <v>41</v>
      </c>
      <c r="M1170" s="11">
        <v>45108.672731481478</v>
      </c>
      <c r="N1170" s="5" t="s">
        <v>42</v>
      </c>
      <c r="O1170" s="5" t="s">
        <v>113</v>
      </c>
      <c r="P1170" s="9"/>
      <c r="Q1170" s="5"/>
      <c r="R1170" s="5"/>
      <c r="S1170" s="5"/>
      <c r="T1170" s="9"/>
      <c r="U1170" s="5"/>
      <c r="V1170" s="5">
        <v>0</v>
      </c>
      <c r="W1170" s="5"/>
      <c r="X1170" s="5"/>
      <c r="Y1170" s="5"/>
      <c r="Z1170" s="5"/>
      <c r="AA1170" s="5" t="s">
        <v>44</v>
      </c>
      <c r="AC1170">
        <f t="shared" si="163"/>
        <v>15</v>
      </c>
      <c r="AD1170" t="str">
        <f t="shared" si="164"/>
        <v/>
      </c>
      <c r="AE1170" t="str">
        <f t="shared" si="165"/>
        <v/>
      </c>
      <c r="AF1170" t="str">
        <f t="shared" si="166"/>
        <v/>
      </c>
      <c r="AG1170" t="str">
        <f t="shared" si="167"/>
        <v/>
      </c>
      <c r="AH1170">
        <f t="shared" si="168"/>
        <v>2</v>
      </c>
      <c r="AI1170" t="str">
        <f t="shared" si="169"/>
        <v/>
      </c>
      <c r="AJ1170" t="str">
        <f t="shared" si="170"/>
        <v/>
      </c>
    </row>
    <row r="1171" spans="1:36">
      <c r="A1171" s="5">
        <v>1299</v>
      </c>
      <c r="B1171" s="5" t="s">
        <v>627</v>
      </c>
      <c r="C1171" s="5" t="s">
        <v>100</v>
      </c>
      <c r="D1171" s="5" t="s">
        <v>554</v>
      </c>
      <c r="E1171" s="5" t="s">
        <v>597</v>
      </c>
      <c r="F1171" s="5" t="str">
        <f t="shared" si="162"/>
        <v>Program Office-Business Partner</v>
      </c>
      <c r="G1171" s="5" t="s">
        <v>47</v>
      </c>
      <c r="H1171" s="9">
        <v>45091.672731481478</v>
      </c>
      <c r="I1171" s="9">
        <v>45094.672731481478</v>
      </c>
      <c r="J1171" s="9" t="e">
        <f>I1171+#REF!</f>
        <v>#REF!</v>
      </c>
      <c r="K1171" s="9" t="e">
        <f>J1171+#REF!</f>
        <v>#REF!</v>
      </c>
      <c r="L1171" s="10" t="s">
        <v>41</v>
      </c>
      <c r="M1171" s="11">
        <v>45102.672731481478</v>
      </c>
      <c r="N1171" s="5" t="s">
        <v>42</v>
      </c>
      <c r="O1171" s="5" t="s">
        <v>58</v>
      </c>
      <c r="P1171" s="9"/>
      <c r="Q1171" s="5"/>
      <c r="R1171" s="5"/>
      <c r="S1171" s="5"/>
      <c r="T1171" s="9">
        <v>45105.672731481478</v>
      </c>
      <c r="U1171" s="5"/>
      <c r="V1171" s="5">
        <v>0</v>
      </c>
      <c r="W1171" s="5"/>
      <c r="X1171" s="5"/>
      <c r="Y1171" s="5"/>
      <c r="Z1171" s="5"/>
      <c r="AA1171" s="5" t="s">
        <v>62</v>
      </c>
      <c r="AC1171">
        <f t="shared" si="163"/>
        <v>8</v>
      </c>
      <c r="AD1171" t="str">
        <f t="shared" si="164"/>
        <v/>
      </c>
      <c r="AE1171">
        <f t="shared" si="165"/>
        <v>3</v>
      </c>
      <c r="AF1171" t="str">
        <f t="shared" si="166"/>
        <v/>
      </c>
      <c r="AG1171" t="str">
        <f t="shared" si="167"/>
        <v/>
      </c>
      <c r="AH1171">
        <f t="shared" si="168"/>
        <v>3</v>
      </c>
      <c r="AI1171" t="str">
        <f t="shared" si="169"/>
        <v/>
      </c>
      <c r="AJ1171" t="str">
        <f t="shared" si="170"/>
        <v/>
      </c>
    </row>
    <row r="1172" spans="1:36">
      <c r="A1172" s="5">
        <v>1303</v>
      </c>
      <c r="B1172" s="5" t="s">
        <v>1885</v>
      </c>
      <c r="C1172" s="5" t="s">
        <v>1540</v>
      </c>
      <c r="D1172" s="5" t="s">
        <v>1820</v>
      </c>
      <c r="E1172" s="5" t="s">
        <v>1862</v>
      </c>
      <c r="F1172" s="5" t="str">
        <f t="shared" si="162"/>
        <v>Finance-Billing Officer</v>
      </c>
      <c r="G1172" s="5" t="s">
        <v>40</v>
      </c>
      <c r="H1172" s="9">
        <v>44915.189664351848</v>
      </c>
      <c r="I1172" s="9">
        <v>44919.189664351848</v>
      </c>
      <c r="J1172" s="9" t="e">
        <f>I1172+#REF!</f>
        <v>#REF!</v>
      </c>
      <c r="K1172" s="9" t="e">
        <f>J1172+#REF!</f>
        <v>#REF!</v>
      </c>
      <c r="L1172" s="10" t="s">
        <v>41</v>
      </c>
      <c r="M1172" s="11">
        <v>44924.189664351848</v>
      </c>
      <c r="N1172" s="5" t="s">
        <v>64</v>
      </c>
      <c r="O1172" s="5"/>
      <c r="P1172" s="9">
        <v>44930.189664351848</v>
      </c>
      <c r="Q1172" s="5" t="s">
        <v>64</v>
      </c>
      <c r="R1172" s="9">
        <v>44925.189664351848</v>
      </c>
      <c r="S1172" s="9">
        <v>44927.189664351848</v>
      </c>
      <c r="T1172" s="9">
        <v>44928.189664351848</v>
      </c>
      <c r="U1172" s="9">
        <v>44931.189664351848</v>
      </c>
      <c r="V1172" s="12">
        <v>1</v>
      </c>
      <c r="W1172" s="9">
        <v>44935.189664351848</v>
      </c>
      <c r="X1172" s="9">
        <v>44936.189664351848</v>
      </c>
      <c r="Y1172" s="9">
        <v>44939.189664351848</v>
      </c>
      <c r="Z1172" s="5"/>
      <c r="AA1172" s="5"/>
      <c r="AB1172" s="13">
        <v>44950.189664351848</v>
      </c>
      <c r="AC1172">
        <f t="shared" si="163"/>
        <v>5</v>
      </c>
      <c r="AD1172">
        <f t="shared" si="164"/>
        <v>8</v>
      </c>
      <c r="AE1172">
        <f t="shared" si="165"/>
        <v>4</v>
      </c>
      <c r="AF1172">
        <f t="shared" si="166"/>
        <v>5</v>
      </c>
      <c r="AG1172">
        <f t="shared" si="167"/>
        <v>4</v>
      </c>
      <c r="AH1172">
        <f t="shared" si="168"/>
        <v>4</v>
      </c>
      <c r="AI1172" t="str">
        <f t="shared" si="169"/>
        <v/>
      </c>
      <c r="AJ1172" t="str">
        <f t="shared" si="170"/>
        <v/>
      </c>
    </row>
    <row r="1173" spans="1:36">
      <c r="A1173" s="5">
        <v>1304</v>
      </c>
      <c r="B1173" s="5" t="s">
        <v>1884</v>
      </c>
      <c r="C1173" s="5" t="s">
        <v>1540</v>
      </c>
      <c r="D1173" s="5" t="s">
        <v>1820</v>
      </c>
      <c r="E1173" s="5" t="s">
        <v>1862</v>
      </c>
      <c r="F1173" s="5" t="str">
        <f t="shared" si="162"/>
        <v>Finance-Billing Officer</v>
      </c>
      <c r="G1173" s="5" t="s">
        <v>40</v>
      </c>
      <c r="H1173" s="9">
        <v>44912.189664351848</v>
      </c>
      <c r="I1173" s="9">
        <v>44916.189664351848</v>
      </c>
      <c r="J1173" s="9" t="e">
        <f>I1173+#REF!</f>
        <v>#REF!</v>
      </c>
      <c r="K1173" s="9" t="e">
        <f>J1173+#REF!</f>
        <v>#REF!</v>
      </c>
      <c r="L1173" s="10" t="s">
        <v>41</v>
      </c>
      <c r="M1173" s="11">
        <v>44928.189664351848</v>
      </c>
      <c r="N1173" s="5" t="s">
        <v>48</v>
      </c>
      <c r="O1173" s="5"/>
      <c r="P1173" s="9">
        <v>44932.189664351848</v>
      </c>
      <c r="Q1173" s="5" t="s">
        <v>48</v>
      </c>
      <c r="R1173" s="5"/>
      <c r="S1173" s="5"/>
      <c r="T1173" s="9">
        <v>44930.189664351848</v>
      </c>
      <c r="U1173" s="5"/>
      <c r="V1173" s="5">
        <v>0</v>
      </c>
      <c r="W1173" s="5"/>
      <c r="X1173" s="5"/>
      <c r="Y1173" s="5"/>
      <c r="Z1173" s="5"/>
      <c r="AA1173" s="5"/>
      <c r="AC1173">
        <f t="shared" si="163"/>
        <v>12</v>
      </c>
      <c r="AD1173" t="str">
        <f t="shared" si="164"/>
        <v/>
      </c>
      <c r="AE1173">
        <f t="shared" si="165"/>
        <v>2</v>
      </c>
      <c r="AF1173" t="str">
        <f t="shared" si="166"/>
        <v/>
      </c>
      <c r="AG1173" t="str">
        <f t="shared" si="167"/>
        <v/>
      </c>
      <c r="AH1173">
        <f t="shared" si="168"/>
        <v>4</v>
      </c>
      <c r="AI1173" t="str">
        <f t="shared" si="169"/>
        <v/>
      </c>
      <c r="AJ1173" t="str">
        <f t="shared" si="170"/>
        <v/>
      </c>
    </row>
    <row r="1174" spans="1:36">
      <c r="A1174" s="5">
        <v>1305</v>
      </c>
      <c r="B1174" s="5" t="s">
        <v>2040</v>
      </c>
      <c r="C1174" s="5" t="s">
        <v>1540</v>
      </c>
      <c r="D1174" s="5" t="s">
        <v>1985</v>
      </c>
      <c r="E1174" s="5" t="s">
        <v>1862</v>
      </c>
      <c r="F1174" s="5" t="str">
        <f t="shared" si="162"/>
        <v>Finance-Billing Officer</v>
      </c>
      <c r="G1174" s="5" t="s">
        <v>47</v>
      </c>
      <c r="H1174" s="9">
        <v>44914.189664351848</v>
      </c>
      <c r="I1174" s="9">
        <v>44916.189664351848</v>
      </c>
      <c r="J1174" s="9" t="e">
        <f>I1174+#REF!</f>
        <v>#REF!</v>
      </c>
      <c r="K1174" s="9" t="e">
        <f>J1174+#REF!</f>
        <v>#REF!</v>
      </c>
      <c r="L1174" s="10" t="s">
        <v>41</v>
      </c>
      <c r="M1174" s="11">
        <v>44927.189664351848</v>
      </c>
      <c r="N1174" s="5" t="s">
        <v>42</v>
      </c>
      <c r="O1174" s="5" t="s">
        <v>113</v>
      </c>
      <c r="P1174" s="9"/>
      <c r="Q1174" s="5"/>
      <c r="R1174" s="5"/>
      <c r="S1174" s="5"/>
      <c r="T1174" s="9">
        <v>44928.189664351848</v>
      </c>
      <c r="U1174" s="5"/>
      <c r="V1174" s="5">
        <v>0</v>
      </c>
      <c r="W1174" s="5"/>
      <c r="X1174" s="5"/>
      <c r="Y1174" s="5"/>
      <c r="Z1174" s="5"/>
      <c r="AA1174" s="5" t="s">
        <v>62</v>
      </c>
      <c r="AC1174">
        <f t="shared" si="163"/>
        <v>11</v>
      </c>
      <c r="AD1174" t="str">
        <f t="shared" si="164"/>
        <v/>
      </c>
      <c r="AE1174">
        <f t="shared" si="165"/>
        <v>1</v>
      </c>
      <c r="AF1174" t="str">
        <f t="shared" si="166"/>
        <v/>
      </c>
      <c r="AG1174" t="str">
        <f t="shared" si="167"/>
        <v/>
      </c>
      <c r="AH1174">
        <f t="shared" si="168"/>
        <v>2</v>
      </c>
      <c r="AI1174" t="str">
        <f t="shared" si="169"/>
        <v/>
      </c>
      <c r="AJ1174" t="str">
        <f t="shared" si="170"/>
        <v/>
      </c>
    </row>
    <row r="1175" spans="1:36">
      <c r="A1175" s="5">
        <v>1309</v>
      </c>
      <c r="B1175" s="5" t="s">
        <v>1649</v>
      </c>
      <c r="C1175" s="5" t="s">
        <v>1540</v>
      </c>
      <c r="D1175" s="5" t="s">
        <v>1588</v>
      </c>
      <c r="E1175" s="5" t="s">
        <v>1360</v>
      </c>
      <c r="F1175" s="5" t="str">
        <f t="shared" si="162"/>
        <v>Finance-Fund Administrator</v>
      </c>
      <c r="G1175" s="5" t="s">
        <v>147</v>
      </c>
      <c r="H1175" s="9">
        <v>44915.189664351848</v>
      </c>
      <c r="I1175" s="9">
        <v>44918.189664351848</v>
      </c>
      <c r="J1175" s="9" t="e">
        <f>I1175+#REF!</f>
        <v>#REF!</v>
      </c>
      <c r="K1175" s="9" t="e">
        <f>J1175+#REF!</f>
        <v>#REF!</v>
      </c>
      <c r="L1175" s="10" t="s">
        <v>41</v>
      </c>
      <c r="M1175" s="11">
        <v>44934.189664351848</v>
      </c>
      <c r="N1175" s="5" t="s">
        <v>167</v>
      </c>
      <c r="O1175" s="5"/>
      <c r="P1175" s="9">
        <v>44938.189664351848</v>
      </c>
      <c r="Q1175" s="5" t="s">
        <v>167</v>
      </c>
      <c r="R1175" s="5"/>
      <c r="S1175" s="5"/>
      <c r="T1175" s="9">
        <v>44936.189664351848</v>
      </c>
      <c r="U1175" s="5"/>
      <c r="V1175" s="5">
        <v>0</v>
      </c>
      <c r="W1175" s="5"/>
      <c r="X1175" s="5"/>
      <c r="Y1175" s="5"/>
      <c r="Z1175" s="5"/>
      <c r="AA1175" s="5"/>
      <c r="AC1175">
        <f t="shared" si="163"/>
        <v>16</v>
      </c>
      <c r="AD1175" t="str">
        <f t="shared" si="164"/>
        <v/>
      </c>
      <c r="AE1175">
        <f t="shared" si="165"/>
        <v>2</v>
      </c>
      <c r="AF1175" t="str">
        <f t="shared" si="166"/>
        <v/>
      </c>
      <c r="AG1175" t="str">
        <f t="shared" si="167"/>
        <v/>
      </c>
      <c r="AH1175">
        <f t="shared" si="168"/>
        <v>3</v>
      </c>
      <c r="AI1175" t="str">
        <f t="shared" si="169"/>
        <v/>
      </c>
      <c r="AJ1175" t="str">
        <f t="shared" si="170"/>
        <v/>
      </c>
    </row>
    <row r="1176" spans="1:36">
      <c r="A1176" s="5">
        <v>1310</v>
      </c>
      <c r="B1176" s="5" t="s">
        <v>1883</v>
      </c>
      <c r="C1176" s="5" t="s">
        <v>1540</v>
      </c>
      <c r="D1176" s="5" t="s">
        <v>1820</v>
      </c>
      <c r="E1176" s="5" t="s">
        <v>1862</v>
      </c>
      <c r="F1176" s="5" t="str">
        <f t="shared" si="162"/>
        <v>Finance-Billing Officer</v>
      </c>
      <c r="G1176" s="5" t="s">
        <v>40</v>
      </c>
      <c r="H1176" s="9">
        <v>44918.189664351848</v>
      </c>
      <c r="I1176" s="9">
        <v>44919.189664351848</v>
      </c>
      <c r="J1176" s="9" t="e">
        <f>I1176+#REF!</f>
        <v>#REF!</v>
      </c>
      <c r="K1176" s="9" t="e">
        <f>J1176+#REF!</f>
        <v>#REF!</v>
      </c>
      <c r="L1176" s="10" t="s">
        <v>41</v>
      </c>
      <c r="M1176" s="11">
        <v>44934.189664351848</v>
      </c>
      <c r="N1176" s="5" t="s">
        <v>42</v>
      </c>
      <c r="O1176" s="5" t="s">
        <v>43</v>
      </c>
      <c r="P1176" s="9"/>
      <c r="Q1176" s="5"/>
      <c r="R1176" s="5"/>
      <c r="S1176" s="5"/>
      <c r="T1176" s="9">
        <v>44938.189664351848</v>
      </c>
      <c r="U1176" s="5"/>
      <c r="V1176" s="5">
        <v>0</v>
      </c>
      <c r="W1176" s="5"/>
      <c r="X1176" s="5"/>
      <c r="Y1176" s="5"/>
      <c r="Z1176" s="5"/>
      <c r="AA1176" s="5" t="s">
        <v>44</v>
      </c>
      <c r="AC1176">
        <f t="shared" si="163"/>
        <v>15</v>
      </c>
      <c r="AD1176" t="str">
        <f t="shared" si="164"/>
        <v/>
      </c>
      <c r="AE1176">
        <f t="shared" si="165"/>
        <v>4</v>
      </c>
      <c r="AF1176" t="str">
        <f t="shared" si="166"/>
        <v/>
      </c>
      <c r="AG1176" t="str">
        <f t="shared" si="167"/>
        <v/>
      </c>
      <c r="AH1176">
        <f t="shared" si="168"/>
        <v>1</v>
      </c>
      <c r="AI1176" t="str">
        <f t="shared" si="169"/>
        <v/>
      </c>
      <c r="AJ1176" t="str">
        <f t="shared" si="170"/>
        <v/>
      </c>
    </row>
    <row r="1177" spans="1:36">
      <c r="A1177" s="5">
        <v>1311</v>
      </c>
      <c r="B1177" s="5" t="s">
        <v>1273</v>
      </c>
      <c r="C1177" s="10" t="s">
        <v>1215</v>
      </c>
      <c r="D1177" s="5" t="s">
        <v>1249</v>
      </c>
      <c r="E1177" s="5" t="s">
        <v>1250</v>
      </c>
      <c r="F1177" s="5" t="str">
        <f t="shared" si="162"/>
        <v>HR-Screening Associate</v>
      </c>
      <c r="G1177" s="5" t="s">
        <v>40</v>
      </c>
      <c r="H1177" s="9">
        <v>45150.233067129629</v>
      </c>
      <c r="I1177" s="9">
        <v>45151.233067129629</v>
      </c>
      <c r="J1177" s="9" t="e">
        <f>I1177+#REF!</f>
        <v>#REF!</v>
      </c>
      <c r="K1177" s="9" t="e">
        <f>J1177+#REF!</f>
        <v>#REF!</v>
      </c>
      <c r="L1177" s="10" t="s">
        <v>41</v>
      </c>
      <c r="M1177" s="11">
        <v>45165.233067129629</v>
      </c>
      <c r="N1177" s="5" t="s">
        <v>42</v>
      </c>
      <c r="O1177" s="5" t="s">
        <v>73</v>
      </c>
      <c r="P1177" s="9"/>
      <c r="Q1177" s="5"/>
      <c r="R1177" s="5"/>
      <c r="S1177" s="5"/>
      <c r="T1177" s="9"/>
      <c r="U1177" s="5"/>
      <c r="V1177" s="5">
        <v>0</v>
      </c>
      <c r="W1177" s="5"/>
      <c r="X1177" s="5"/>
      <c r="Y1177" s="5"/>
      <c r="Z1177" s="5"/>
      <c r="AA1177" s="5" t="s">
        <v>44</v>
      </c>
      <c r="AC1177">
        <f t="shared" si="163"/>
        <v>14</v>
      </c>
      <c r="AD1177" t="str">
        <f t="shared" si="164"/>
        <v/>
      </c>
      <c r="AE1177" t="str">
        <f t="shared" si="165"/>
        <v/>
      </c>
      <c r="AF1177" t="str">
        <f t="shared" si="166"/>
        <v/>
      </c>
      <c r="AG1177" t="str">
        <f t="shared" si="167"/>
        <v/>
      </c>
      <c r="AH1177">
        <f t="shared" si="168"/>
        <v>1</v>
      </c>
      <c r="AI1177" t="str">
        <f t="shared" si="169"/>
        <v/>
      </c>
      <c r="AJ1177" t="str">
        <f t="shared" si="170"/>
        <v/>
      </c>
    </row>
    <row r="1178" spans="1:36">
      <c r="A1178" s="5">
        <v>1312</v>
      </c>
      <c r="B1178" s="5" t="s">
        <v>1176</v>
      </c>
      <c r="C1178" s="10" t="s">
        <v>1122</v>
      </c>
      <c r="D1178" s="5" t="s">
        <v>1145</v>
      </c>
      <c r="E1178" s="5" t="s">
        <v>39</v>
      </c>
      <c r="F1178" s="5" t="str">
        <f t="shared" si="162"/>
        <v>IT-Analyst</v>
      </c>
      <c r="G1178" s="5" t="s">
        <v>147</v>
      </c>
      <c r="H1178" s="9">
        <v>45149.233067129629</v>
      </c>
      <c r="I1178" s="9">
        <v>45151.233067129629</v>
      </c>
      <c r="J1178" s="9" t="e">
        <f>I1178+#REF!</f>
        <v>#REF!</v>
      </c>
      <c r="K1178" s="9" t="e">
        <f>J1178+#REF!</f>
        <v>#REF!</v>
      </c>
      <c r="L1178" s="10" t="s">
        <v>41</v>
      </c>
      <c r="M1178" s="11">
        <v>45170.233067129629</v>
      </c>
      <c r="N1178" s="5" t="s">
        <v>42</v>
      </c>
      <c r="O1178" s="5" t="s">
        <v>73</v>
      </c>
      <c r="P1178" s="9"/>
      <c r="Q1178" s="5"/>
      <c r="R1178" s="5"/>
      <c r="S1178" s="5"/>
      <c r="T1178" s="9"/>
      <c r="U1178" s="5"/>
      <c r="V1178" s="5">
        <v>0</v>
      </c>
      <c r="W1178" s="5"/>
      <c r="X1178" s="5"/>
      <c r="Y1178" s="5"/>
      <c r="Z1178" s="5"/>
      <c r="AA1178" s="5" t="s">
        <v>62</v>
      </c>
      <c r="AC1178">
        <f t="shared" si="163"/>
        <v>19</v>
      </c>
      <c r="AD1178" t="str">
        <f t="shared" si="164"/>
        <v/>
      </c>
      <c r="AE1178" t="str">
        <f t="shared" si="165"/>
        <v/>
      </c>
      <c r="AF1178" t="str">
        <f t="shared" si="166"/>
        <v/>
      </c>
      <c r="AG1178" t="str">
        <f t="shared" si="167"/>
        <v/>
      </c>
      <c r="AH1178">
        <f t="shared" si="168"/>
        <v>2</v>
      </c>
      <c r="AI1178" t="str">
        <f t="shared" si="169"/>
        <v/>
      </c>
      <c r="AJ1178" t="str">
        <f t="shared" si="170"/>
        <v/>
      </c>
    </row>
    <row r="1179" spans="1:36">
      <c r="A1179" s="5">
        <v>1314</v>
      </c>
      <c r="B1179" s="5" t="s">
        <v>1210</v>
      </c>
      <c r="C1179" s="10" t="s">
        <v>1122</v>
      </c>
      <c r="D1179" s="5" t="s">
        <v>1191</v>
      </c>
      <c r="E1179" s="5" t="s">
        <v>1146</v>
      </c>
      <c r="F1179" s="5" t="str">
        <f t="shared" si="162"/>
        <v>IT-Quality Assurance</v>
      </c>
      <c r="G1179" s="5" t="s">
        <v>270</v>
      </c>
      <c r="H1179" s="9">
        <v>45151.233067129629</v>
      </c>
      <c r="I1179" s="9">
        <v>45154.233067129629</v>
      </c>
      <c r="J1179" s="9" t="e">
        <f>I1179+#REF!</f>
        <v>#REF!</v>
      </c>
      <c r="K1179" s="9" t="e">
        <f>J1179+#REF!</f>
        <v>#REF!</v>
      </c>
      <c r="L1179" s="10" t="s">
        <v>41</v>
      </c>
      <c r="M1179" s="11">
        <v>45166.233067129629</v>
      </c>
      <c r="N1179" s="5" t="s">
        <v>48</v>
      </c>
      <c r="O1179" s="5"/>
      <c r="P1179" s="9">
        <v>45174.233067129629</v>
      </c>
      <c r="Q1179" s="5" t="s">
        <v>48</v>
      </c>
      <c r="R1179" s="5"/>
      <c r="S1179" s="5"/>
      <c r="T1179" s="9">
        <v>45170.233067129629</v>
      </c>
      <c r="U1179" s="5"/>
      <c r="V1179" s="5">
        <v>0</v>
      </c>
      <c r="W1179" s="5"/>
      <c r="X1179" s="5"/>
      <c r="Y1179" s="5"/>
      <c r="Z1179" s="5"/>
      <c r="AA1179" s="5"/>
      <c r="AC1179">
        <f t="shared" si="163"/>
        <v>12</v>
      </c>
      <c r="AD1179" t="str">
        <f t="shared" si="164"/>
        <v/>
      </c>
      <c r="AE1179">
        <f t="shared" si="165"/>
        <v>4</v>
      </c>
      <c r="AF1179" t="str">
        <f t="shared" si="166"/>
        <v/>
      </c>
      <c r="AG1179" t="str">
        <f t="shared" si="167"/>
        <v/>
      </c>
      <c r="AH1179">
        <f t="shared" si="168"/>
        <v>3</v>
      </c>
      <c r="AI1179" t="str">
        <f t="shared" si="169"/>
        <v/>
      </c>
      <c r="AJ1179" t="str">
        <f t="shared" si="170"/>
        <v/>
      </c>
    </row>
    <row r="1180" spans="1:36">
      <c r="A1180" s="5">
        <v>1315</v>
      </c>
      <c r="B1180" s="5" t="s">
        <v>2181</v>
      </c>
      <c r="C1180" s="10" t="s">
        <v>2089</v>
      </c>
      <c r="D1180" s="5" t="s">
        <v>2167</v>
      </c>
      <c r="E1180" s="5" t="s">
        <v>269</v>
      </c>
      <c r="F1180" s="5" t="str">
        <f t="shared" si="162"/>
        <v>Communication and Advocacy-Manager</v>
      </c>
      <c r="G1180" s="5" t="s">
        <v>270</v>
      </c>
      <c r="H1180" s="9">
        <v>45148.233067129629</v>
      </c>
      <c r="I1180" s="9">
        <v>45151.233067129629</v>
      </c>
      <c r="J1180" s="9" t="e">
        <f>I1180+#REF!</f>
        <v>#REF!</v>
      </c>
      <c r="K1180" s="9" t="e">
        <f>J1180+#REF!</f>
        <v>#REF!</v>
      </c>
      <c r="L1180" s="10" t="s">
        <v>52</v>
      </c>
      <c r="M1180" s="11"/>
      <c r="N1180" s="5"/>
      <c r="O1180" s="5"/>
      <c r="P1180" s="9"/>
      <c r="Q1180" s="5"/>
      <c r="R1180" s="5"/>
      <c r="S1180" s="5"/>
      <c r="T1180" s="9"/>
      <c r="U1180" s="5"/>
      <c r="V1180" s="5">
        <v>0</v>
      </c>
      <c r="W1180" s="5"/>
      <c r="X1180" s="5"/>
      <c r="Y1180" s="5"/>
      <c r="Z1180" s="5"/>
      <c r="AA1180" s="5"/>
      <c r="AC1180" t="str">
        <f t="shared" si="163"/>
        <v/>
      </c>
      <c r="AD1180" t="str">
        <f t="shared" si="164"/>
        <v/>
      </c>
      <c r="AE1180" t="str">
        <f t="shared" si="165"/>
        <v/>
      </c>
      <c r="AF1180" t="str">
        <f t="shared" si="166"/>
        <v/>
      </c>
      <c r="AG1180" t="str">
        <f t="shared" si="167"/>
        <v/>
      </c>
      <c r="AH1180">
        <f t="shared" si="168"/>
        <v>3</v>
      </c>
      <c r="AI1180" t="str">
        <f t="shared" si="169"/>
        <v/>
      </c>
      <c r="AJ1180" t="str">
        <f t="shared" si="170"/>
        <v/>
      </c>
    </row>
    <row r="1181" spans="1:36">
      <c r="A1181" s="5">
        <v>1316</v>
      </c>
      <c r="B1181" s="5" t="s">
        <v>1209</v>
      </c>
      <c r="C1181" s="10" t="s">
        <v>1122</v>
      </c>
      <c r="D1181" s="5" t="s">
        <v>1191</v>
      </c>
      <c r="E1181" s="5" t="s">
        <v>1146</v>
      </c>
      <c r="F1181" s="5" t="str">
        <f t="shared" si="162"/>
        <v>IT-Quality Assurance</v>
      </c>
      <c r="G1181" s="5" t="s">
        <v>270</v>
      </c>
      <c r="H1181" s="9">
        <v>45151.233067129629</v>
      </c>
      <c r="I1181" s="9">
        <v>45152.233067129629</v>
      </c>
      <c r="J1181" s="9" t="e">
        <f>I1181+#REF!</f>
        <v>#REF!</v>
      </c>
      <c r="K1181" s="9" t="e">
        <f>J1181+#REF!</f>
        <v>#REF!</v>
      </c>
      <c r="L1181" s="10" t="s">
        <v>41</v>
      </c>
      <c r="M1181" s="11">
        <v>45172.233067129629</v>
      </c>
      <c r="N1181" s="5" t="s">
        <v>64</v>
      </c>
      <c r="O1181" s="5"/>
      <c r="P1181" s="9">
        <v>45178.233067129629</v>
      </c>
      <c r="Q1181" s="5" t="s">
        <v>64</v>
      </c>
      <c r="R1181" s="9">
        <v>45173.233067129629</v>
      </c>
      <c r="S1181" s="9">
        <v>45175.233067129629</v>
      </c>
      <c r="T1181" s="9">
        <v>45175.233067129629</v>
      </c>
      <c r="U1181" s="9">
        <v>45182.233067129629</v>
      </c>
      <c r="V1181" s="12">
        <v>1</v>
      </c>
      <c r="W1181" s="9">
        <v>45184.233067129629</v>
      </c>
      <c r="X1181" s="9">
        <v>45187.233067129629</v>
      </c>
      <c r="Y1181" s="9">
        <v>45188.233067129629</v>
      </c>
      <c r="Z1181" s="5"/>
      <c r="AA1181" s="5"/>
      <c r="AB1181" s="13">
        <v>45209.233067129629</v>
      </c>
      <c r="AC1181">
        <f t="shared" si="163"/>
        <v>20</v>
      </c>
      <c r="AD1181">
        <f t="shared" si="164"/>
        <v>23</v>
      </c>
      <c r="AE1181">
        <f t="shared" si="165"/>
        <v>3</v>
      </c>
      <c r="AF1181">
        <f t="shared" si="166"/>
        <v>5</v>
      </c>
      <c r="AG1181">
        <f t="shared" si="167"/>
        <v>2</v>
      </c>
      <c r="AH1181">
        <f t="shared" si="168"/>
        <v>1</v>
      </c>
      <c r="AI1181" t="str">
        <f t="shared" si="169"/>
        <v/>
      </c>
      <c r="AJ1181" t="str">
        <f t="shared" si="170"/>
        <v/>
      </c>
    </row>
    <row r="1182" spans="1:36">
      <c r="A1182" s="5">
        <v>1318</v>
      </c>
      <c r="B1182" s="5" t="s">
        <v>1316</v>
      </c>
      <c r="C1182" s="10" t="s">
        <v>1215</v>
      </c>
      <c r="D1182" s="5" t="s">
        <v>1287</v>
      </c>
      <c r="E1182" s="5" t="s">
        <v>1146</v>
      </c>
      <c r="F1182" s="5" t="str">
        <f t="shared" si="162"/>
        <v>HR-Quality Assurance</v>
      </c>
      <c r="G1182" s="5" t="s">
        <v>47</v>
      </c>
      <c r="H1182" s="9">
        <v>45152.233067129629</v>
      </c>
      <c r="I1182" s="9">
        <v>45153.233067129629</v>
      </c>
      <c r="J1182" s="9" t="e">
        <f>I1182+#REF!</f>
        <v>#REF!</v>
      </c>
      <c r="K1182" s="9" t="e">
        <f>J1182+#REF!</f>
        <v>#REF!</v>
      </c>
      <c r="L1182" s="10" t="s">
        <v>41</v>
      </c>
      <c r="M1182" s="11">
        <v>45160.233067129629</v>
      </c>
      <c r="N1182" s="5" t="s">
        <v>42</v>
      </c>
      <c r="O1182" s="5" t="s">
        <v>58</v>
      </c>
      <c r="P1182" s="9"/>
      <c r="Q1182" s="5"/>
      <c r="R1182" s="5"/>
      <c r="S1182" s="5"/>
      <c r="T1182" s="9">
        <v>45162.233067129629</v>
      </c>
      <c r="U1182" s="5"/>
      <c r="V1182" s="5">
        <v>0</v>
      </c>
      <c r="W1182" s="5"/>
      <c r="X1182" s="5"/>
      <c r="Y1182" s="5"/>
      <c r="Z1182" s="5"/>
      <c r="AA1182" s="5" t="s">
        <v>44</v>
      </c>
      <c r="AC1182">
        <f t="shared" si="163"/>
        <v>7</v>
      </c>
      <c r="AD1182" t="str">
        <f t="shared" si="164"/>
        <v/>
      </c>
      <c r="AE1182">
        <f t="shared" si="165"/>
        <v>2</v>
      </c>
      <c r="AF1182" t="str">
        <f t="shared" si="166"/>
        <v/>
      </c>
      <c r="AG1182" t="str">
        <f t="shared" si="167"/>
        <v/>
      </c>
      <c r="AH1182">
        <f t="shared" si="168"/>
        <v>1</v>
      </c>
      <c r="AI1182" t="str">
        <f t="shared" si="169"/>
        <v/>
      </c>
      <c r="AJ1182" t="str">
        <f t="shared" si="170"/>
        <v/>
      </c>
    </row>
    <row r="1183" spans="1:36">
      <c r="A1183" s="5">
        <v>1319</v>
      </c>
      <c r="B1183" s="5" t="s">
        <v>1272</v>
      </c>
      <c r="C1183" s="10" t="s">
        <v>1215</v>
      </c>
      <c r="D1183" s="5" t="s">
        <v>1249</v>
      </c>
      <c r="E1183" s="5" t="s">
        <v>1250</v>
      </c>
      <c r="F1183" s="5" t="str">
        <f t="shared" si="162"/>
        <v>HR-Screening Associate</v>
      </c>
      <c r="G1183" s="5" t="s">
        <v>40</v>
      </c>
      <c r="H1183" s="9">
        <v>45147.233067129629</v>
      </c>
      <c r="I1183" s="9">
        <v>45151.233067129629</v>
      </c>
      <c r="J1183" s="9" t="e">
        <f>I1183+#REF!</f>
        <v>#REF!</v>
      </c>
      <c r="K1183" s="9" t="e">
        <f>J1183+#REF!</f>
        <v>#REF!</v>
      </c>
      <c r="L1183" s="10" t="s">
        <v>41</v>
      </c>
      <c r="M1183" s="11">
        <v>45165.233067129629</v>
      </c>
      <c r="N1183" s="5" t="s">
        <v>42</v>
      </c>
      <c r="O1183" s="5" t="s">
        <v>73</v>
      </c>
      <c r="P1183" s="9"/>
      <c r="Q1183" s="5"/>
      <c r="R1183" s="5"/>
      <c r="S1183" s="5"/>
      <c r="T1183" s="9">
        <v>45169.233067129629</v>
      </c>
      <c r="U1183" s="5"/>
      <c r="V1183" s="5">
        <v>0</v>
      </c>
      <c r="W1183" s="5"/>
      <c r="X1183" s="5"/>
      <c r="Y1183" s="5"/>
      <c r="Z1183" s="5"/>
      <c r="AA1183" s="5" t="s">
        <v>44</v>
      </c>
      <c r="AC1183">
        <f t="shared" si="163"/>
        <v>14</v>
      </c>
      <c r="AD1183" t="str">
        <f t="shared" si="164"/>
        <v/>
      </c>
      <c r="AE1183">
        <f t="shared" si="165"/>
        <v>4</v>
      </c>
      <c r="AF1183" t="str">
        <f t="shared" si="166"/>
        <v/>
      </c>
      <c r="AG1183" t="str">
        <f t="shared" si="167"/>
        <v/>
      </c>
      <c r="AH1183">
        <f t="shared" si="168"/>
        <v>4</v>
      </c>
      <c r="AI1183" t="str">
        <f t="shared" si="169"/>
        <v/>
      </c>
      <c r="AJ1183" t="str">
        <f t="shared" si="170"/>
        <v/>
      </c>
    </row>
    <row r="1184" spans="1:36">
      <c r="A1184" s="5">
        <v>1322</v>
      </c>
      <c r="B1184" s="5" t="s">
        <v>128</v>
      </c>
      <c r="C1184" s="5" t="s">
        <v>100</v>
      </c>
      <c r="D1184" s="5" t="s">
        <v>101</v>
      </c>
      <c r="E1184" s="5" t="s">
        <v>102</v>
      </c>
      <c r="F1184" s="5" t="str">
        <f t="shared" si="162"/>
        <v>Program Office-Senior Manager</v>
      </c>
      <c r="G1184" s="5" t="s">
        <v>103</v>
      </c>
      <c r="H1184" s="9">
        <v>45160.187118055554</v>
      </c>
      <c r="I1184" s="9">
        <v>45164.187118055554</v>
      </c>
      <c r="J1184" s="9" t="e">
        <f>I1184+#REF!</f>
        <v>#REF!</v>
      </c>
      <c r="K1184" s="9" t="e">
        <f>J1184+#REF!</f>
        <v>#REF!</v>
      </c>
      <c r="L1184" s="10" t="s">
        <v>41</v>
      </c>
      <c r="M1184" s="11">
        <v>45179.187118055554</v>
      </c>
      <c r="N1184" s="5" t="s">
        <v>42</v>
      </c>
      <c r="O1184" s="5" t="s">
        <v>43</v>
      </c>
      <c r="P1184" s="9"/>
      <c r="Q1184" s="5"/>
      <c r="R1184" s="5"/>
      <c r="S1184" s="5"/>
      <c r="T1184" s="9">
        <v>45180.187118055554</v>
      </c>
      <c r="U1184" s="5"/>
      <c r="V1184" s="5">
        <v>0</v>
      </c>
      <c r="W1184" s="5"/>
      <c r="X1184" s="5"/>
      <c r="Y1184" s="5"/>
      <c r="Z1184" s="5"/>
      <c r="AA1184" s="5" t="s">
        <v>44</v>
      </c>
      <c r="AC1184">
        <f t="shared" si="163"/>
        <v>15</v>
      </c>
      <c r="AD1184" t="str">
        <f t="shared" si="164"/>
        <v/>
      </c>
      <c r="AE1184">
        <f t="shared" si="165"/>
        <v>1</v>
      </c>
      <c r="AF1184" t="str">
        <f t="shared" si="166"/>
        <v/>
      </c>
      <c r="AG1184" t="str">
        <f t="shared" si="167"/>
        <v/>
      </c>
      <c r="AH1184">
        <f t="shared" si="168"/>
        <v>4</v>
      </c>
      <c r="AI1184" t="str">
        <f t="shared" si="169"/>
        <v/>
      </c>
      <c r="AJ1184" t="str">
        <f t="shared" si="170"/>
        <v/>
      </c>
    </row>
    <row r="1185" spans="1:36">
      <c r="A1185" s="5">
        <v>1324</v>
      </c>
      <c r="B1185" s="5" t="s">
        <v>210</v>
      </c>
      <c r="C1185" s="5" t="s">
        <v>100</v>
      </c>
      <c r="D1185" s="5" t="s">
        <v>146</v>
      </c>
      <c r="E1185" s="5" t="s">
        <v>39</v>
      </c>
      <c r="F1185" s="5" t="str">
        <f t="shared" si="162"/>
        <v>Program Office-Analyst</v>
      </c>
      <c r="G1185" s="5" t="s">
        <v>147</v>
      </c>
      <c r="H1185" s="9">
        <v>45162.187118055554</v>
      </c>
      <c r="I1185" s="9">
        <v>45163.187118055554</v>
      </c>
      <c r="J1185" s="9" t="e">
        <f>I1185+#REF!</f>
        <v>#REF!</v>
      </c>
      <c r="K1185" s="9" t="e">
        <f>J1185+#REF!</f>
        <v>#REF!</v>
      </c>
      <c r="L1185" s="10" t="s">
        <v>41</v>
      </c>
      <c r="M1185" s="11">
        <v>45169.187118055554</v>
      </c>
      <c r="N1185" s="5" t="s">
        <v>42</v>
      </c>
      <c r="O1185" s="5" t="s">
        <v>113</v>
      </c>
      <c r="P1185" s="9"/>
      <c r="Q1185" s="5"/>
      <c r="R1185" s="5"/>
      <c r="S1185" s="5"/>
      <c r="T1185" s="9"/>
      <c r="U1185" s="5"/>
      <c r="V1185" s="5">
        <v>0</v>
      </c>
      <c r="W1185" s="5"/>
      <c r="X1185" s="5"/>
      <c r="Y1185" s="5"/>
      <c r="Z1185" s="5"/>
      <c r="AA1185" s="5" t="s">
        <v>44</v>
      </c>
      <c r="AC1185">
        <f t="shared" si="163"/>
        <v>6</v>
      </c>
      <c r="AD1185" t="str">
        <f t="shared" si="164"/>
        <v/>
      </c>
      <c r="AE1185" t="str">
        <f t="shared" si="165"/>
        <v/>
      </c>
      <c r="AF1185" t="str">
        <f t="shared" si="166"/>
        <v/>
      </c>
      <c r="AG1185" t="str">
        <f t="shared" si="167"/>
        <v/>
      </c>
      <c r="AH1185">
        <f t="shared" si="168"/>
        <v>1</v>
      </c>
      <c r="AI1185" t="str">
        <f t="shared" si="169"/>
        <v/>
      </c>
      <c r="AJ1185" t="str">
        <f t="shared" si="170"/>
        <v/>
      </c>
    </row>
    <row r="1186" spans="1:36">
      <c r="A1186" s="5">
        <v>1325</v>
      </c>
      <c r="B1186" s="5" t="s">
        <v>456</v>
      </c>
      <c r="C1186" s="5" t="s">
        <v>100</v>
      </c>
      <c r="D1186" s="5" t="s">
        <v>387</v>
      </c>
      <c r="E1186" s="5" t="s">
        <v>388</v>
      </c>
      <c r="F1186" s="5" t="str">
        <f t="shared" si="162"/>
        <v>Program Office-Extension Officer</v>
      </c>
      <c r="G1186" s="5" t="s">
        <v>40</v>
      </c>
      <c r="H1186" s="9">
        <v>45164.187118055554</v>
      </c>
      <c r="I1186" s="9">
        <v>45165.187118055554</v>
      </c>
      <c r="J1186" s="9" t="e">
        <f>I1186+#REF!</f>
        <v>#REF!</v>
      </c>
      <c r="K1186" s="9" t="e">
        <f>J1186+#REF!</f>
        <v>#REF!</v>
      </c>
      <c r="L1186" s="10" t="s">
        <v>52</v>
      </c>
      <c r="M1186" s="11"/>
      <c r="N1186" s="5"/>
      <c r="O1186" s="5"/>
      <c r="P1186" s="9"/>
      <c r="Q1186" s="5"/>
      <c r="R1186" s="5"/>
      <c r="S1186" s="5"/>
      <c r="T1186" s="9"/>
      <c r="U1186" s="5"/>
      <c r="V1186" s="5">
        <v>0</v>
      </c>
      <c r="W1186" s="5"/>
      <c r="X1186" s="5"/>
      <c r="Y1186" s="5"/>
      <c r="Z1186" s="5"/>
      <c r="AA1186" s="5"/>
      <c r="AC1186" t="str">
        <f t="shared" si="163"/>
        <v/>
      </c>
      <c r="AD1186" t="str">
        <f t="shared" si="164"/>
        <v/>
      </c>
      <c r="AE1186" t="str">
        <f t="shared" si="165"/>
        <v/>
      </c>
      <c r="AF1186" t="str">
        <f t="shared" si="166"/>
        <v/>
      </c>
      <c r="AG1186" t="str">
        <f t="shared" si="167"/>
        <v/>
      </c>
      <c r="AH1186">
        <f t="shared" si="168"/>
        <v>1</v>
      </c>
      <c r="AI1186" t="str">
        <f t="shared" si="169"/>
        <v/>
      </c>
      <c r="AJ1186" t="str">
        <f t="shared" si="170"/>
        <v/>
      </c>
    </row>
    <row r="1187" spans="1:36">
      <c r="A1187" s="5">
        <v>1326</v>
      </c>
      <c r="B1187" s="5" t="s">
        <v>455</v>
      </c>
      <c r="C1187" s="5" t="s">
        <v>100</v>
      </c>
      <c r="D1187" s="5" t="s">
        <v>387</v>
      </c>
      <c r="E1187" s="5" t="s">
        <v>388</v>
      </c>
      <c r="F1187" s="5" t="str">
        <f t="shared" si="162"/>
        <v>Program Office-Extension Officer</v>
      </c>
      <c r="G1187" s="5" t="s">
        <v>40</v>
      </c>
      <c r="H1187" s="9">
        <v>45161.187118055554</v>
      </c>
      <c r="I1187" s="9">
        <v>45165.187118055554</v>
      </c>
      <c r="J1187" s="9" t="e">
        <f>I1187+#REF!</f>
        <v>#REF!</v>
      </c>
      <c r="K1187" s="9" t="e">
        <f>J1187+#REF!</f>
        <v>#REF!</v>
      </c>
      <c r="L1187" s="10" t="s">
        <v>52</v>
      </c>
      <c r="M1187" s="11"/>
      <c r="N1187" s="5"/>
      <c r="O1187" s="5"/>
      <c r="P1187" s="9"/>
      <c r="Q1187" s="5"/>
      <c r="R1187" s="5"/>
      <c r="S1187" s="5"/>
      <c r="T1187" s="9"/>
      <c r="U1187" s="5"/>
      <c r="V1187" s="5">
        <v>0</v>
      </c>
      <c r="W1187" s="5"/>
      <c r="X1187" s="5"/>
      <c r="Y1187" s="5"/>
      <c r="Z1187" s="5"/>
      <c r="AA1187" s="5"/>
      <c r="AC1187" t="str">
        <f t="shared" si="163"/>
        <v/>
      </c>
      <c r="AD1187" t="str">
        <f t="shared" si="164"/>
        <v/>
      </c>
      <c r="AE1187" t="str">
        <f t="shared" si="165"/>
        <v/>
      </c>
      <c r="AF1187" t="str">
        <f t="shared" si="166"/>
        <v/>
      </c>
      <c r="AG1187" t="str">
        <f t="shared" si="167"/>
        <v/>
      </c>
      <c r="AH1187">
        <f t="shared" si="168"/>
        <v>4</v>
      </c>
      <c r="AI1187" t="str">
        <f t="shared" si="169"/>
        <v/>
      </c>
      <c r="AJ1187" t="str">
        <f t="shared" si="170"/>
        <v/>
      </c>
    </row>
    <row r="1188" spans="1:36">
      <c r="A1188" s="5">
        <v>1327</v>
      </c>
      <c r="B1188" s="5" t="s">
        <v>330</v>
      </c>
      <c r="C1188" s="5" t="s">
        <v>100</v>
      </c>
      <c r="D1188" s="5" t="s">
        <v>268</v>
      </c>
      <c r="E1188" s="5" t="s">
        <v>291</v>
      </c>
      <c r="F1188" s="5" t="str">
        <f t="shared" si="162"/>
        <v>Program Office-Cordination Manager</v>
      </c>
      <c r="G1188" s="5" t="s">
        <v>270</v>
      </c>
      <c r="H1188" s="9">
        <v>45161.187118055554</v>
      </c>
      <c r="I1188" s="9">
        <v>45165.187118055554</v>
      </c>
      <c r="J1188" s="9" t="e">
        <f>I1188+#REF!</f>
        <v>#REF!</v>
      </c>
      <c r="K1188" s="9" t="e">
        <f>J1188+#REF!</f>
        <v>#REF!</v>
      </c>
      <c r="L1188" s="10" t="s">
        <v>52</v>
      </c>
      <c r="M1188" s="11"/>
      <c r="N1188" s="5"/>
      <c r="O1188" s="5"/>
      <c r="P1188" s="9"/>
      <c r="Q1188" s="5"/>
      <c r="R1188" s="5"/>
      <c r="S1188" s="5"/>
      <c r="T1188" s="9"/>
      <c r="U1188" s="5"/>
      <c r="V1188" s="5">
        <v>0</v>
      </c>
      <c r="W1188" s="5"/>
      <c r="X1188" s="5"/>
      <c r="Y1188" s="5"/>
      <c r="Z1188" s="5"/>
      <c r="AA1188" s="5"/>
      <c r="AC1188" t="str">
        <f t="shared" si="163"/>
        <v/>
      </c>
      <c r="AD1188" t="str">
        <f t="shared" si="164"/>
        <v/>
      </c>
      <c r="AE1188" t="str">
        <f t="shared" si="165"/>
        <v/>
      </c>
      <c r="AF1188" t="str">
        <f t="shared" si="166"/>
        <v/>
      </c>
      <c r="AG1188" t="str">
        <f t="shared" si="167"/>
        <v/>
      </c>
      <c r="AH1188">
        <f t="shared" si="168"/>
        <v>4</v>
      </c>
      <c r="AI1188" t="str">
        <f t="shared" si="169"/>
        <v/>
      </c>
      <c r="AJ1188" t="str">
        <f t="shared" si="170"/>
        <v/>
      </c>
    </row>
    <row r="1189" spans="1:36">
      <c r="A1189" s="5">
        <v>1328</v>
      </c>
      <c r="B1189" s="5" t="s">
        <v>329</v>
      </c>
      <c r="C1189" s="5" t="s">
        <v>100</v>
      </c>
      <c r="D1189" s="5" t="s">
        <v>268</v>
      </c>
      <c r="E1189" s="5" t="s">
        <v>291</v>
      </c>
      <c r="F1189" s="5" t="str">
        <f t="shared" si="162"/>
        <v>Program Office-Cordination Manager</v>
      </c>
      <c r="G1189" s="5" t="s">
        <v>270</v>
      </c>
      <c r="H1189" s="9">
        <v>45157.187118055554</v>
      </c>
      <c r="I1189" s="9">
        <v>45161.187118055554</v>
      </c>
      <c r="J1189" s="9" t="e">
        <f>I1189+#REF!</f>
        <v>#REF!</v>
      </c>
      <c r="K1189" s="9" t="e">
        <f>J1189+#REF!</f>
        <v>#REF!</v>
      </c>
      <c r="L1189" s="10" t="s">
        <v>41</v>
      </c>
      <c r="M1189" s="11">
        <v>45169.187118055554</v>
      </c>
      <c r="N1189" s="5" t="s">
        <v>42</v>
      </c>
      <c r="O1189" s="5" t="s">
        <v>98</v>
      </c>
      <c r="P1189" s="9"/>
      <c r="Q1189" s="5"/>
      <c r="R1189" s="5"/>
      <c r="S1189" s="5"/>
      <c r="T1189" s="9">
        <v>45171.187118055554</v>
      </c>
      <c r="U1189" s="5"/>
      <c r="V1189" s="5">
        <v>0</v>
      </c>
      <c r="W1189" s="5"/>
      <c r="X1189" s="5"/>
      <c r="Y1189" s="5"/>
      <c r="Z1189" s="5"/>
      <c r="AA1189" s="5" t="s">
        <v>62</v>
      </c>
      <c r="AC1189">
        <f t="shared" si="163"/>
        <v>8</v>
      </c>
      <c r="AD1189" t="str">
        <f t="shared" si="164"/>
        <v/>
      </c>
      <c r="AE1189">
        <f t="shared" si="165"/>
        <v>2</v>
      </c>
      <c r="AF1189" t="str">
        <f t="shared" si="166"/>
        <v/>
      </c>
      <c r="AG1189" t="str">
        <f t="shared" si="167"/>
        <v/>
      </c>
      <c r="AH1189">
        <f t="shared" si="168"/>
        <v>4</v>
      </c>
      <c r="AI1189" t="str">
        <f t="shared" si="169"/>
        <v/>
      </c>
      <c r="AJ1189" t="str">
        <f t="shared" si="170"/>
        <v/>
      </c>
    </row>
    <row r="1190" spans="1:36">
      <c r="A1190" s="5">
        <v>1330</v>
      </c>
      <c r="B1190" s="5" t="s">
        <v>209</v>
      </c>
      <c r="C1190" s="5" t="s">
        <v>100</v>
      </c>
      <c r="D1190" s="5" t="s">
        <v>146</v>
      </c>
      <c r="E1190" s="5" t="s">
        <v>39</v>
      </c>
      <c r="F1190" s="5" t="str">
        <f t="shared" si="162"/>
        <v>Program Office-Analyst</v>
      </c>
      <c r="G1190" s="5" t="s">
        <v>147</v>
      </c>
      <c r="H1190" s="9">
        <v>45157.187118055554</v>
      </c>
      <c r="I1190" s="9">
        <v>45161.187118055554</v>
      </c>
      <c r="J1190" s="9" t="e">
        <f>I1190+#REF!</f>
        <v>#REF!</v>
      </c>
      <c r="K1190" s="9" t="e">
        <f>J1190+#REF!</f>
        <v>#REF!</v>
      </c>
      <c r="L1190" s="10" t="s">
        <v>41</v>
      </c>
      <c r="M1190" s="11">
        <v>45179.187118055554</v>
      </c>
      <c r="N1190" s="5" t="s">
        <v>167</v>
      </c>
      <c r="O1190" s="5"/>
      <c r="P1190" s="9">
        <v>45181.187118055554</v>
      </c>
      <c r="Q1190" s="5" t="s">
        <v>167</v>
      </c>
      <c r="R1190" s="5"/>
      <c r="S1190" s="5"/>
      <c r="T1190" s="9">
        <v>45180.187118055554</v>
      </c>
      <c r="U1190" s="5"/>
      <c r="V1190" s="5">
        <v>0</v>
      </c>
      <c r="W1190" s="5"/>
      <c r="X1190" s="5"/>
      <c r="Y1190" s="5"/>
      <c r="Z1190" s="5"/>
      <c r="AA1190" s="5"/>
      <c r="AC1190">
        <f t="shared" si="163"/>
        <v>18</v>
      </c>
      <c r="AD1190" t="str">
        <f t="shared" si="164"/>
        <v/>
      </c>
      <c r="AE1190">
        <f t="shared" si="165"/>
        <v>1</v>
      </c>
      <c r="AF1190" t="str">
        <f t="shared" si="166"/>
        <v/>
      </c>
      <c r="AG1190" t="str">
        <f t="shared" si="167"/>
        <v/>
      </c>
      <c r="AH1190">
        <f t="shared" si="168"/>
        <v>4</v>
      </c>
      <c r="AI1190" t="str">
        <f t="shared" si="169"/>
        <v/>
      </c>
      <c r="AJ1190" t="str">
        <f t="shared" si="170"/>
        <v/>
      </c>
    </row>
    <row r="1191" spans="1:36">
      <c r="A1191" s="5">
        <v>1331</v>
      </c>
      <c r="B1191" s="5" t="s">
        <v>1882</v>
      </c>
      <c r="C1191" s="5" t="s">
        <v>1540</v>
      </c>
      <c r="D1191" s="5" t="s">
        <v>1820</v>
      </c>
      <c r="E1191" s="5" t="s">
        <v>1862</v>
      </c>
      <c r="F1191" s="5" t="str">
        <f t="shared" si="162"/>
        <v>Finance-Billing Officer</v>
      </c>
      <c r="G1191" s="5" t="s">
        <v>40</v>
      </c>
      <c r="H1191" s="9">
        <v>45165.691018518519</v>
      </c>
      <c r="I1191" s="9">
        <v>45169.691018518519</v>
      </c>
      <c r="J1191" s="9" t="e">
        <f>I1191+#REF!</f>
        <v>#REF!</v>
      </c>
      <c r="K1191" s="9" t="e">
        <f>J1191+#REF!</f>
        <v>#REF!</v>
      </c>
      <c r="L1191" s="10" t="s">
        <v>41</v>
      </c>
      <c r="M1191" s="11">
        <v>45179.691018518519</v>
      </c>
      <c r="N1191" s="5" t="s">
        <v>64</v>
      </c>
      <c r="O1191" s="5"/>
      <c r="P1191" s="9">
        <v>45185.691018518519</v>
      </c>
      <c r="Q1191" s="5" t="s">
        <v>64</v>
      </c>
      <c r="R1191" s="9">
        <v>45180.691018518519</v>
      </c>
      <c r="S1191" s="9">
        <v>45182.691018518519</v>
      </c>
      <c r="T1191" s="9">
        <v>45183.691018518519</v>
      </c>
      <c r="U1191" s="9">
        <v>45188.691018518519</v>
      </c>
      <c r="V1191" s="12">
        <v>1</v>
      </c>
      <c r="W1191" s="9">
        <v>45190.691018518519</v>
      </c>
      <c r="X1191" s="9">
        <v>45192.691018518519</v>
      </c>
      <c r="Y1191" s="9">
        <v>45194.691018518519</v>
      </c>
      <c r="Z1191" s="5"/>
      <c r="AA1191" s="5"/>
      <c r="AB1191" s="13">
        <v>45207.691018518519</v>
      </c>
      <c r="AC1191">
        <f t="shared" si="163"/>
        <v>10</v>
      </c>
      <c r="AD1191">
        <f t="shared" si="164"/>
        <v>13</v>
      </c>
      <c r="AE1191">
        <f t="shared" si="165"/>
        <v>4</v>
      </c>
      <c r="AF1191">
        <f t="shared" si="166"/>
        <v>4</v>
      </c>
      <c r="AG1191">
        <f t="shared" si="167"/>
        <v>2</v>
      </c>
      <c r="AH1191">
        <f t="shared" si="168"/>
        <v>4</v>
      </c>
      <c r="AI1191" t="str">
        <f t="shared" si="169"/>
        <v/>
      </c>
      <c r="AJ1191" t="str">
        <f t="shared" si="170"/>
        <v/>
      </c>
    </row>
    <row r="1192" spans="1:36">
      <c r="A1192" s="5">
        <v>1333</v>
      </c>
      <c r="B1192" s="5" t="s">
        <v>1881</v>
      </c>
      <c r="C1192" s="5" t="s">
        <v>1540</v>
      </c>
      <c r="D1192" s="5" t="s">
        <v>1820</v>
      </c>
      <c r="E1192" s="5" t="s">
        <v>1862</v>
      </c>
      <c r="F1192" s="5" t="str">
        <f t="shared" si="162"/>
        <v>Finance-Billing Officer</v>
      </c>
      <c r="G1192" s="5" t="s">
        <v>40</v>
      </c>
      <c r="H1192" s="9">
        <v>45169.691018518519</v>
      </c>
      <c r="I1192" s="9">
        <v>45172.691018518519</v>
      </c>
      <c r="J1192" s="9" t="e">
        <f>I1192+#REF!</f>
        <v>#REF!</v>
      </c>
      <c r="K1192" s="9" t="e">
        <f>J1192+#REF!</f>
        <v>#REF!</v>
      </c>
      <c r="L1192" s="10" t="s">
        <v>41</v>
      </c>
      <c r="M1192" s="11">
        <v>45185.691018518519</v>
      </c>
      <c r="N1192" s="5" t="s">
        <v>42</v>
      </c>
      <c r="O1192" s="5" t="s">
        <v>98</v>
      </c>
      <c r="P1192" s="9"/>
      <c r="Q1192" s="5"/>
      <c r="R1192" s="5"/>
      <c r="S1192" s="5"/>
      <c r="T1192" s="9"/>
      <c r="U1192" s="5"/>
      <c r="V1192" s="5">
        <v>0</v>
      </c>
      <c r="W1192" s="5"/>
      <c r="X1192" s="5"/>
      <c r="Y1192" s="5"/>
      <c r="Z1192" s="5"/>
      <c r="AA1192" s="5" t="s">
        <v>44</v>
      </c>
      <c r="AC1192">
        <f t="shared" si="163"/>
        <v>13</v>
      </c>
      <c r="AD1192" t="str">
        <f t="shared" si="164"/>
        <v/>
      </c>
      <c r="AE1192" t="str">
        <f t="shared" si="165"/>
        <v/>
      </c>
      <c r="AF1192" t="str">
        <f t="shared" si="166"/>
        <v/>
      </c>
      <c r="AG1192" t="str">
        <f t="shared" si="167"/>
        <v/>
      </c>
      <c r="AH1192">
        <f t="shared" si="168"/>
        <v>3</v>
      </c>
      <c r="AI1192" t="str">
        <f t="shared" si="169"/>
        <v/>
      </c>
      <c r="AJ1192" t="str">
        <f t="shared" si="170"/>
        <v/>
      </c>
    </row>
    <row r="1193" spans="1:36">
      <c r="A1193" s="5">
        <v>1335</v>
      </c>
      <c r="B1193" s="5" t="s">
        <v>2039</v>
      </c>
      <c r="C1193" s="5" t="s">
        <v>1540</v>
      </c>
      <c r="D1193" s="5" t="s">
        <v>1985</v>
      </c>
      <c r="E1193" s="5" t="s">
        <v>1862</v>
      </c>
      <c r="F1193" s="5" t="str">
        <f t="shared" si="162"/>
        <v>Finance-Billing Officer</v>
      </c>
      <c r="G1193" s="5" t="s">
        <v>47</v>
      </c>
      <c r="H1193" s="9">
        <v>45169.691018518519</v>
      </c>
      <c r="I1193" s="9">
        <v>45172.691018518519</v>
      </c>
      <c r="J1193" s="9" t="e">
        <f>I1193+#REF!</f>
        <v>#REF!</v>
      </c>
      <c r="K1193" s="9" t="e">
        <f>J1193+#REF!</f>
        <v>#REF!</v>
      </c>
      <c r="L1193" s="10" t="s">
        <v>52</v>
      </c>
      <c r="M1193" s="11"/>
      <c r="N1193" s="5"/>
      <c r="O1193" s="5"/>
      <c r="P1193" s="9"/>
      <c r="Q1193" s="5"/>
      <c r="R1193" s="5"/>
      <c r="S1193" s="5"/>
      <c r="T1193" s="9"/>
      <c r="U1193" s="5"/>
      <c r="V1193" s="5">
        <v>0</v>
      </c>
      <c r="W1193" s="5"/>
      <c r="X1193" s="5"/>
      <c r="Y1193" s="5"/>
      <c r="Z1193" s="5"/>
      <c r="AA1193" s="5"/>
      <c r="AC1193" t="str">
        <f t="shared" si="163"/>
        <v/>
      </c>
      <c r="AD1193" t="str">
        <f t="shared" si="164"/>
        <v/>
      </c>
      <c r="AE1193" t="str">
        <f t="shared" si="165"/>
        <v/>
      </c>
      <c r="AF1193" t="str">
        <f t="shared" si="166"/>
        <v/>
      </c>
      <c r="AG1193" t="str">
        <f t="shared" si="167"/>
        <v/>
      </c>
      <c r="AH1193">
        <f t="shared" si="168"/>
        <v>3</v>
      </c>
      <c r="AI1193" t="str">
        <f t="shared" si="169"/>
        <v/>
      </c>
      <c r="AJ1193" t="str">
        <f t="shared" si="170"/>
        <v/>
      </c>
    </row>
    <row r="1194" spans="1:36">
      <c r="A1194" s="5">
        <v>1336</v>
      </c>
      <c r="B1194" s="5" t="s">
        <v>1768</v>
      </c>
      <c r="C1194" s="5" t="s">
        <v>1540</v>
      </c>
      <c r="D1194" s="5" t="s">
        <v>1706</v>
      </c>
      <c r="E1194" s="5" t="s">
        <v>269</v>
      </c>
      <c r="F1194" s="5" t="str">
        <f t="shared" si="162"/>
        <v>Finance-Manager</v>
      </c>
      <c r="G1194" s="5" t="s">
        <v>270</v>
      </c>
      <c r="H1194" s="9">
        <v>45169.691018518519</v>
      </c>
      <c r="I1194" s="9">
        <v>45173.691018518519</v>
      </c>
      <c r="J1194" s="9" t="e">
        <f>I1194+#REF!</f>
        <v>#REF!</v>
      </c>
      <c r="K1194" s="9" t="e">
        <f>J1194+#REF!</f>
        <v>#REF!</v>
      </c>
      <c r="L1194" s="10" t="s">
        <v>41</v>
      </c>
      <c r="M1194" s="11">
        <v>45183.691018518519</v>
      </c>
      <c r="N1194" s="5" t="s">
        <v>42</v>
      </c>
      <c r="O1194" s="5" t="s">
        <v>58</v>
      </c>
      <c r="P1194" s="9"/>
      <c r="Q1194" s="5"/>
      <c r="R1194" s="5"/>
      <c r="S1194" s="5"/>
      <c r="T1194" s="9">
        <v>45184.691018518519</v>
      </c>
      <c r="U1194" s="5"/>
      <c r="V1194" s="5">
        <v>0</v>
      </c>
      <c r="W1194" s="5"/>
      <c r="X1194" s="5"/>
      <c r="Y1194" s="5"/>
      <c r="Z1194" s="5"/>
      <c r="AA1194" s="5" t="s">
        <v>62</v>
      </c>
      <c r="AC1194">
        <f t="shared" si="163"/>
        <v>10</v>
      </c>
      <c r="AD1194" t="str">
        <f t="shared" si="164"/>
        <v/>
      </c>
      <c r="AE1194">
        <f t="shared" si="165"/>
        <v>1</v>
      </c>
      <c r="AF1194" t="str">
        <f t="shared" si="166"/>
        <v/>
      </c>
      <c r="AG1194" t="str">
        <f t="shared" si="167"/>
        <v/>
      </c>
      <c r="AH1194">
        <f t="shared" si="168"/>
        <v>4</v>
      </c>
      <c r="AI1194" t="str">
        <f t="shared" si="169"/>
        <v/>
      </c>
      <c r="AJ1194" t="str">
        <f t="shared" si="170"/>
        <v/>
      </c>
    </row>
    <row r="1195" spans="1:36">
      <c r="A1195" s="5">
        <v>1337</v>
      </c>
      <c r="B1195" s="5" t="s">
        <v>1648</v>
      </c>
      <c r="C1195" s="5" t="s">
        <v>1540</v>
      </c>
      <c r="D1195" s="5" t="s">
        <v>1588</v>
      </c>
      <c r="E1195" s="5" t="s">
        <v>1360</v>
      </c>
      <c r="F1195" s="5" t="str">
        <f t="shared" si="162"/>
        <v>Finance-Fund Administrator</v>
      </c>
      <c r="G1195" s="5" t="s">
        <v>147</v>
      </c>
      <c r="H1195" s="9">
        <v>45167.691018518519</v>
      </c>
      <c r="I1195" s="9">
        <v>45169.691018518519</v>
      </c>
      <c r="J1195" s="9" t="e">
        <f>I1195+#REF!</f>
        <v>#REF!</v>
      </c>
      <c r="K1195" s="9" t="e">
        <f>J1195+#REF!</f>
        <v>#REF!</v>
      </c>
      <c r="L1195" s="10" t="s">
        <v>41</v>
      </c>
      <c r="M1195" s="11">
        <v>45190.691018518519</v>
      </c>
      <c r="N1195" s="5" t="s">
        <v>42</v>
      </c>
      <c r="O1195" s="5" t="s">
        <v>58</v>
      </c>
      <c r="P1195" s="9"/>
      <c r="Q1195" s="5"/>
      <c r="R1195" s="5"/>
      <c r="S1195" s="5"/>
      <c r="T1195" s="9"/>
      <c r="U1195" s="5"/>
      <c r="V1195" s="5">
        <v>0</v>
      </c>
      <c r="W1195" s="5"/>
      <c r="X1195" s="5"/>
      <c r="Y1195" s="5"/>
      <c r="Z1195" s="5"/>
      <c r="AA1195" s="5" t="s">
        <v>62</v>
      </c>
      <c r="AC1195">
        <f t="shared" si="163"/>
        <v>21</v>
      </c>
      <c r="AD1195" t="str">
        <f t="shared" si="164"/>
        <v/>
      </c>
      <c r="AE1195" t="str">
        <f t="shared" si="165"/>
        <v/>
      </c>
      <c r="AF1195" t="str">
        <f t="shared" si="166"/>
        <v/>
      </c>
      <c r="AG1195" t="str">
        <f t="shared" si="167"/>
        <v/>
      </c>
      <c r="AH1195">
        <f t="shared" si="168"/>
        <v>2</v>
      </c>
      <c r="AI1195" t="str">
        <f t="shared" si="169"/>
        <v/>
      </c>
      <c r="AJ1195" t="str">
        <f t="shared" si="170"/>
        <v/>
      </c>
    </row>
    <row r="1196" spans="1:36">
      <c r="A1196" s="5">
        <v>1338</v>
      </c>
      <c r="B1196" s="5" t="s">
        <v>1767</v>
      </c>
      <c r="C1196" s="5" t="s">
        <v>1540</v>
      </c>
      <c r="D1196" s="5" t="s">
        <v>1706</v>
      </c>
      <c r="E1196" s="5" t="s">
        <v>269</v>
      </c>
      <c r="F1196" s="5" t="str">
        <f t="shared" si="162"/>
        <v>Finance-Manager</v>
      </c>
      <c r="G1196" s="5" t="s">
        <v>270</v>
      </c>
      <c r="H1196" s="9">
        <v>45168.691018518519</v>
      </c>
      <c r="I1196" s="9">
        <v>45170.691018518519</v>
      </c>
      <c r="J1196" s="9" t="e">
        <f>I1196+#REF!</f>
        <v>#REF!</v>
      </c>
      <c r="K1196" s="9" t="e">
        <f>J1196+#REF!</f>
        <v>#REF!</v>
      </c>
      <c r="L1196" s="10" t="s">
        <v>41</v>
      </c>
      <c r="M1196" s="11">
        <v>45187.691018518519</v>
      </c>
      <c r="N1196" s="5" t="s">
        <v>48</v>
      </c>
      <c r="O1196" s="5"/>
      <c r="P1196" s="9">
        <v>45194.691018518519</v>
      </c>
      <c r="Q1196" s="5" t="s">
        <v>48</v>
      </c>
      <c r="R1196" s="5"/>
      <c r="S1196" s="5"/>
      <c r="T1196" s="9">
        <v>45191.691018518519</v>
      </c>
      <c r="U1196" s="5"/>
      <c r="V1196" s="5">
        <v>0</v>
      </c>
      <c r="W1196" s="5"/>
      <c r="X1196" s="5"/>
      <c r="Y1196" s="5"/>
      <c r="Z1196" s="5"/>
      <c r="AA1196" s="5"/>
      <c r="AC1196">
        <f t="shared" si="163"/>
        <v>17</v>
      </c>
      <c r="AD1196" t="str">
        <f t="shared" si="164"/>
        <v/>
      </c>
      <c r="AE1196">
        <f t="shared" si="165"/>
        <v>4</v>
      </c>
      <c r="AF1196" t="str">
        <f t="shared" si="166"/>
        <v/>
      </c>
      <c r="AG1196" t="str">
        <f t="shared" si="167"/>
        <v/>
      </c>
      <c r="AH1196">
        <f t="shared" si="168"/>
        <v>2</v>
      </c>
      <c r="AI1196" t="str">
        <f t="shared" si="169"/>
        <v/>
      </c>
      <c r="AJ1196" t="str">
        <f t="shared" si="170"/>
        <v/>
      </c>
    </row>
    <row r="1197" spans="1:36">
      <c r="A1197" s="5">
        <v>1339</v>
      </c>
      <c r="B1197" s="5" t="s">
        <v>1766</v>
      </c>
      <c r="C1197" s="5" t="s">
        <v>1540</v>
      </c>
      <c r="D1197" s="5" t="s">
        <v>1706</v>
      </c>
      <c r="E1197" s="5" t="s">
        <v>269</v>
      </c>
      <c r="F1197" s="5" t="str">
        <f t="shared" si="162"/>
        <v>Finance-Manager</v>
      </c>
      <c r="G1197" s="5" t="s">
        <v>270</v>
      </c>
      <c r="H1197" s="9">
        <v>45166.691018518519</v>
      </c>
      <c r="I1197" s="9">
        <v>45170.691018518519</v>
      </c>
      <c r="J1197" s="9" t="e">
        <f>I1197+#REF!</f>
        <v>#REF!</v>
      </c>
      <c r="K1197" s="9" t="e">
        <f>J1197+#REF!</f>
        <v>#REF!</v>
      </c>
      <c r="L1197" s="10" t="s">
        <v>52</v>
      </c>
      <c r="M1197" s="11"/>
      <c r="N1197" s="5"/>
      <c r="O1197" s="5"/>
      <c r="P1197" s="9"/>
      <c r="Q1197" s="5"/>
      <c r="R1197" s="5"/>
      <c r="S1197" s="5"/>
      <c r="T1197" s="9"/>
      <c r="U1197" s="5"/>
      <c r="V1197" s="5">
        <v>0</v>
      </c>
      <c r="W1197" s="5"/>
      <c r="X1197" s="5"/>
      <c r="Y1197" s="5"/>
      <c r="Z1197" s="5"/>
      <c r="AA1197" s="5"/>
      <c r="AC1197" t="str">
        <f t="shared" si="163"/>
        <v/>
      </c>
      <c r="AD1197" t="str">
        <f t="shared" si="164"/>
        <v/>
      </c>
      <c r="AE1197" t="str">
        <f t="shared" si="165"/>
        <v/>
      </c>
      <c r="AF1197" t="str">
        <f t="shared" si="166"/>
        <v/>
      </c>
      <c r="AG1197" t="str">
        <f t="shared" si="167"/>
        <v/>
      </c>
      <c r="AH1197">
        <f t="shared" si="168"/>
        <v>4</v>
      </c>
      <c r="AI1197" t="str">
        <f t="shared" si="169"/>
        <v/>
      </c>
      <c r="AJ1197" t="str">
        <f t="shared" si="170"/>
        <v/>
      </c>
    </row>
    <row r="1198" spans="1:36">
      <c r="A1198" s="5">
        <v>1340</v>
      </c>
      <c r="B1198" s="5" t="s">
        <v>1647</v>
      </c>
      <c r="C1198" s="5" t="s">
        <v>1540</v>
      </c>
      <c r="D1198" s="5" t="s">
        <v>1588</v>
      </c>
      <c r="E1198" s="5" t="s">
        <v>1360</v>
      </c>
      <c r="F1198" s="5" t="str">
        <f t="shared" si="162"/>
        <v>Finance-Fund Administrator</v>
      </c>
      <c r="G1198" s="5" t="s">
        <v>147</v>
      </c>
      <c r="H1198" s="9">
        <v>45165.691018518519</v>
      </c>
      <c r="I1198" s="9">
        <v>45169.691018518519</v>
      </c>
      <c r="J1198" s="9" t="e">
        <f>I1198+#REF!</f>
        <v>#REF!</v>
      </c>
      <c r="K1198" s="9" t="e">
        <f>J1198+#REF!</f>
        <v>#REF!</v>
      </c>
      <c r="L1198" s="10" t="s">
        <v>52</v>
      </c>
      <c r="M1198" s="11"/>
      <c r="N1198" s="5"/>
      <c r="O1198" s="5"/>
      <c r="P1198" s="9"/>
      <c r="Q1198" s="5"/>
      <c r="R1198" s="5"/>
      <c r="S1198" s="5"/>
      <c r="T1198" s="9"/>
      <c r="U1198" s="5"/>
      <c r="V1198" s="5">
        <v>0</v>
      </c>
      <c r="W1198" s="5"/>
      <c r="X1198" s="5"/>
      <c r="Y1198" s="5"/>
      <c r="Z1198" s="5"/>
      <c r="AA1198" s="5"/>
      <c r="AC1198" t="str">
        <f t="shared" si="163"/>
        <v/>
      </c>
      <c r="AD1198" t="str">
        <f t="shared" si="164"/>
        <v/>
      </c>
      <c r="AE1198" t="str">
        <f t="shared" si="165"/>
        <v/>
      </c>
      <c r="AF1198" t="str">
        <f t="shared" si="166"/>
        <v/>
      </c>
      <c r="AG1198" t="str">
        <f t="shared" si="167"/>
        <v/>
      </c>
      <c r="AH1198">
        <f t="shared" si="168"/>
        <v>4</v>
      </c>
      <c r="AI1198" t="str">
        <f t="shared" si="169"/>
        <v/>
      </c>
      <c r="AJ1198" t="str">
        <f t="shared" si="170"/>
        <v/>
      </c>
    </row>
    <row r="1199" spans="1:36">
      <c r="A1199" s="5">
        <v>1341</v>
      </c>
      <c r="B1199" s="5" t="s">
        <v>1008</v>
      </c>
      <c r="C1199" s="5" t="s">
        <v>796</v>
      </c>
      <c r="D1199" s="5" t="s">
        <v>957</v>
      </c>
      <c r="E1199" s="5" t="s">
        <v>388</v>
      </c>
      <c r="F1199" s="5" t="str">
        <f t="shared" si="162"/>
        <v>M and E-Extension Officer</v>
      </c>
      <c r="G1199" s="5" t="s">
        <v>40</v>
      </c>
      <c r="H1199" s="9">
        <v>45096.039097222223</v>
      </c>
      <c r="I1199" s="9">
        <v>45097.039097222223</v>
      </c>
      <c r="J1199" s="9" t="e">
        <f>I1199+#REF!</f>
        <v>#REF!</v>
      </c>
      <c r="K1199" s="9" t="e">
        <f>J1199+#REF!</f>
        <v>#REF!</v>
      </c>
      <c r="L1199" s="10" t="s">
        <v>41</v>
      </c>
      <c r="M1199" s="11">
        <v>45110.039097222223</v>
      </c>
      <c r="N1199" s="5" t="s">
        <v>42</v>
      </c>
      <c r="O1199" s="5" t="s">
        <v>113</v>
      </c>
      <c r="P1199" s="9"/>
      <c r="Q1199" s="5"/>
      <c r="R1199" s="5"/>
      <c r="S1199" s="5"/>
      <c r="T1199" s="9">
        <v>45112.039097222223</v>
      </c>
      <c r="U1199" s="5"/>
      <c r="V1199" s="5">
        <v>0</v>
      </c>
      <c r="W1199" s="5"/>
      <c r="X1199" s="5"/>
      <c r="Y1199" s="5"/>
      <c r="Z1199" s="5"/>
      <c r="AA1199" s="5" t="s">
        <v>44</v>
      </c>
      <c r="AC1199">
        <f t="shared" si="163"/>
        <v>13</v>
      </c>
      <c r="AD1199" t="str">
        <f t="shared" si="164"/>
        <v/>
      </c>
      <c r="AE1199">
        <f t="shared" si="165"/>
        <v>2</v>
      </c>
      <c r="AF1199" t="str">
        <f t="shared" si="166"/>
        <v/>
      </c>
      <c r="AG1199" t="str">
        <f t="shared" si="167"/>
        <v/>
      </c>
      <c r="AH1199">
        <f t="shared" si="168"/>
        <v>1</v>
      </c>
      <c r="AI1199" t="str">
        <f t="shared" si="169"/>
        <v/>
      </c>
      <c r="AJ1199" t="str">
        <f t="shared" si="170"/>
        <v/>
      </c>
    </row>
    <row r="1200" spans="1:36">
      <c r="A1200" s="5">
        <v>1343</v>
      </c>
      <c r="B1200" s="5" t="s">
        <v>1097</v>
      </c>
      <c r="C1200" s="5" t="s">
        <v>796</v>
      </c>
      <c r="D1200" s="5" t="s">
        <v>1046</v>
      </c>
      <c r="E1200" s="5" t="s">
        <v>673</v>
      </c>
      <c r="F1200" s="5" t="str">
        <f t="shared" si="162"/>
        <v>M and E-Controller</v>
      </c>
      <c r="G1200" s="5" t="s">
        <v>47</v>
      </c>
      <c r="H1200" s="9">
        <v>45096.039097222223</v>
      </c>
      <c r="I1200" s="9">
        <v>45098.039097222223</v>
      </c>
      <c r="J1200" s="9" t="e">
        <f>I1200+#REF!</f>
        <v>#REF!</v>
      </c>
      <c r="K1200" s="9" t="e">
        <f>J1200+#REF!</f>
        <v>#REF!</v>
      </c>
      <c r="L1200" s="10" t="s">
        <v>41</v>
      </c>
      <c r="M1200" s="11">
        <v>45113.039097222223</v>
      </c>
      <c r="N1200" s="5" t="s">
        <v>48</v>
      </c>
      <c r="O1200" s="5"/>
      <c r="P1200" s="9">
        <v>45119.039097222223</v>
      </c>
      <c r="Q1200" s="5" t="s">
        <v>48</v>
      </c>
      <c r="R1200" s="5"/>
      <c r="S1200" s="5"/>
      <c r="T1200" s="9">
        <v>45115.039097222223</v>
      </c>
      <c r="U1200" s="5"/>
      <c r="V1200" s="5">
        <v>0</v>
      </c>
      <c r="W1200" s="5"/>
      <c r="X1200" s="5"/>
      <c r="Y1200" s="5"/>
      <c r="Z1200" s="5"/>
      <c r="AA1200" s="5"/>
      <c r="AC1200">
        <f t="shared" si="163"/>
        <v>15</v>
      </c>
      <c r="AD1200" t="str">
        <f t="shared" si="164"/>
        <v/>
      </c>
      <c r="AE1200">
        <f t="shared" si="165"/>
        <v>2</v>
      </c>
      <c r="AF1200" t="str">
        <f t="shared" si="166"/>
        <v/>
      </c>
      <c r="AG1200" t="str">
        <f t="shared" si="167"/>
        <v/>
      </c>
      <c r="AH1200">
        <f t="shared" si="168"/>
        <v>2</v>
      </c>
      <c r="AI1200" t="str">
        <f t="shared" si="169"/>
        <v/>
      </c>
      <c r="AJ1200" t="str">
        <f t="shared" si="170"/>
        <v/>
      </c>
    </row>
    <row r="1201" spans="1:36">
      <c r="A1201" s="5">
        <v>1344</v>
      </c>
      <c r="B1201" s="5" t="s">
        <v>871</v>
      </c>
      <c r="C1201" s="5" t="s">
        <v>796</v>
      </c>
      <c r="D1201" s="5" t="s">
        <v>814</v>
      </c>
      <c r="E1201" s="5" t="s">
        <v>39</v>
      </c>
      <c r="F1201" s="5" t="str">
        <f t="shared" si="162"/>
        <v>M and E-Analyst</v>
      </c>
      <c r="G1201" s="5" t="s">
        <v>147</v>
      </c>
      <c r="H1201" s="9">
        <v>45091.039097222223</v>
      </c>
      <c r="I1201" s="9">
        <v>45095.039097222223</v>
      </c>
      <c r="J1201" s="9" t="e">
        <f>I1201+#REF!</f>
        <v>#REF!</v>
      </c>
      <c r="K1201" s="9" t="e">
        <f>J1201+#REF!</f>
        <v>#REF!</v>
      </c>
      <c r="L1201" s="10" t="s">
        <v>41</v>
      </c>
      <c r="M1201" s="11">
        <v>45105.039097222223</v>
      </c>
      <c r="N1201" s="5" t="s">
        <v>48</v>
      </c>
      <c r="O1201" s="5"/>
      <c r="P1201" s="9">
        <v>45108.039097222223</v>
      </c>
      <c r="Q1201" s="5" t="s">
        <v>48</v>
      </c>
      <c r="R1201" s="5"/>
      <c r="S1201" s="5"/>
      <c r="T1201" s="9">
        <v>45107.039097222223</v>
      </c>
      <c r="U1201" s="5"/>
      <c r="V1201" s="5">
        <v>0</v>
      </c>
      <c r="W1201" s="5"/>
      <c r="X1201" s="5"/>
      <c r="Y1201" s="5"/>
      <c r="Z1201" s="5"/>
      <c r="AA1201" s="5"/>
      <c r="AC1201">
        <f t="shared" si="163"/>
        <v>10</v>
      </c>
      <c r="AD1201" t="str">
        <f t="shared" si="164"/>
        <v/>
      </c>
      <c r="AE1201">
        <f t="shared" si="165"/>
        <v>2</v>
      </c>
      <c r="AF1201" t="str">
        <f t="shared" si="166"/>
        <v/>
      </c>
      <c r="AG1201" t="str">
        <f t="shared" si="167"/>
        <v/>
      </c>
      <c r="AH1201">
        <f t="shared" si="168"/>
        <v>4</v>
      </c>
      <c r="AI1201" t="str">
        <f t="shared" si="169"/>
        <v/>
      </c>
      <c r="AJ1201" t="str">
        <f t="shared" si="170"/>
        <v/>
      </c>
    </row>
    <row r="1202" spans="1:36">
      <c r="A1202" s="5">
        <v>1346</v>
      </c>
      <c r="B1202" s="5" t="s">
        <v>1007</v>
      </c>
      <c r="C1202" s="5" t="s">
        <v>796</v>
      </c>
      <c r="D1202" s="5" t="s">
        <v>957</v>
      </c>
      <c r="E1202" s="5" t="s">
        <v>388</v>
      </c>
      <c r="F1202" s="5" t="str">
        <f t="shared" si="162"/>
        <v>M and E-Extension Officer</v>
      </c>
      <c r="G1202" s="5" t="s">
        <v>40</v>
      </c>
      <c r="H1202" s="9">
        <v>45097.039097222223</v>
      </c>
      <c r="I1202" s="9">
        <v>45099.039097222223</v>
      </c>
      <c r="J1202" s="9" t="e">
        <f>I1202+#REF!</f>
        <v>#REF!</v>
      </c>
      <c r="K1202" s="9" t="e">
        <f>J1202+#REF!</f>
        <v>#REF!</v>
      </c>
      <c r="L1202" s="10" t="s">
        <v>52</v>
      </c>
      <c r="M1202" s="11"/>
      <c r="N1202" s="5"/>
      <c r="O1202" s="5"/>
      <c r="P1202" s="9"/>
      <c r="Q1202" s="5"/>
      <c r="R1202" s="5"/>
      <c r="S1202" s="5"/>
      <c r="T1202" s="9"/>
      <c r="U1202" s="5"/>
      <c r="V1202" s="5">
        <v>0</v>
      </c>
      <c r="W1202" s="5"/>
      <c r="X1202" s="5"/>
      <c r="Y1202" s="5"/>
      <c r="Z1202" s="5"/>
      <c r="AA1202" s="5"/>
      <c r="AC1202" t="str">
        <f t="shared" si="163"/>
        <v/>
      </c>
      <c r="AD1202" t="str">
        <f t="shared" si="164"/>
        <v/>
      </c>
      <c r="AE1202" t="str">
        <f t="shared" si="165"/>
        <v/>
      </c>
      <c r="AF1202" t="str">
        <f t="shared" si="166"/>
        <v/>
      </c>
      <c r="AG1202" t="str">
        <f t="shared" si="167"/>
        <v/>
      </c>
      <c r="AH1202">
        <f t="shared" si="168"/>
        <v>2</v>
      </c>
      <c r="AI1202" t="str">
        <f t="shared" si="169"/>
        <v/>
      </c>
      <c r="AJ1202" t="str">
        <f t="shared" si="170"/>
        <v/>
      </c>
    </row>
    <row r="1203" spans="1:36">
      <c r="A1203" s="5">
        <v>1347</v>
      </c>
      <c r="B1203" s="5" t="s">
        <v>1006</v>
      </c>
      <c r="C1203" s="5" t="s">
        <v>796</v>
      </c>
      <c r="D1203" s="5" t="s">
        <v>957</v>
      </c>
      <c r="E1203" s="5" t="s">
        <v>388</v>
      </c>
      <c r="F1203" s="5" t="str">
        <f t="shared" si="162"/>
        <v>M and E-Extension Officer</v>
      </c>
      <c r="G1203" s="5" t="s">
        <v>40</v>
      </c>
      <c r="H1203" s="9">
        <v>45094.039097222223</v>
      </c>
      <c r="I1203" s="9">
        <v>45097.039097222223</v>
      </c>
      <c r="J1203" s="9" t="e">
        <f>I1203+#REF!</f>
        <v>#REF!</v>
      </c>
      <c r="K1203" s="9" t="e">
        <f>J1203+#REF!</f>
        <v>#REF!</v>
      </c>
      <c r="L1203" s="10" t="s">
        <v>41</v>
      </c>
      <c r="M1203" s="11">
        <v>45105.039097222223</v>
      </c>
      <c r="N1203" s="5" t="s">
        <v>64</v>
      </c>
      <c r="O1203" s="5"/>
      <c r="P1203" s="9">
        <v>45109.039097222223</v>
      </c>
      <c r="Q1203" s="5" t="s">
        <v>64</v>
      </c>
      <c r="R1203" s="9">
        <v>45106.039097222223</v>
      </c>
      <c r="S1203" s="9">
        <v>45108.039097222223</v>
      </c>
      <c r="T1203" s="9">
        <v>45108.039097222223</v>
      </c>
      <c r="U1203" s="9">
        <v>45117.039097222223</v>
      </c>
      <c r="V1203" s="12">
        <v>1</v>
      </c>
      <c r="W1203" s="9">
        <v>45119.039097222223</v>
      </c>
      <c r="X1203" s="9">
        <v>45121.039097222223</v>
      </c>
      <c r="Y1203" s="9">
        <v>45124.039097222223</v>
      </c>
      <c r="Z1203" s="5"/>
      <c r="AA1203" s="5"/>
      <c r="AB1203" s="13">
        <v>45141.039097222223</v>
      </c>
      <c r="AC1203">
        <f t="shared" si="163"/>
        <v>8</v>
      </c>
      <c r="AD1203">
        <f t="shared" si="164"/>
        <v>11</v>
      </c>
      <c r="AE1203">
        <f t="shared" si="165"/>
        <v>3</v>
      </c>
      <c r="AF1203">
        <f t="shared" si="166"/>
        <v>4</v>
      </c>
      <c r="AG1203">
        <f t="shared" si="167"/>
        <v>2</v>
      </c>
      <c r="AH1203">
        <f t="shared" si="168"/>
        <v>3</v>
      </c>
      <c r="AI1203" t="str">
        <f t="shared" si="169"/>
        <v/>
      </c>
      <c r="AJ1203" t="str">
        <f t="shared" si="170"/>
        <v/>
      </c>
    </row>
    <row r="1204" spans="1:36">
      <c r="A1204" s="5">
        <v>1349</v>
      </c>
      <c r="B1204" s="5" t="s">
        <v>870</v>
      </c>
      <c r="C1204" s="5" t="s">
        <v>796</v>
      </c>
      <c r="D1204" s="5" t="s">
        <v>814</v>
      </c>
      <c r="E1204" s="5" t="s">
        <v>39</v>
      </c>
      <c r="F1204" s="5" t="str">
        <f t="shared" si="162"/>
        <v>M and E-Analyst</v>
      </c>
      <c r="G1204" s="5" t="s">
        <v>147</v>
      </c>
      <c r="H1204" s="9">
        <v>45092.039097222223</v>
      </c>
      <c r="I1204" s="9">
        <v>45095.039097222223</v>
      </c>
      <c r="J1204" s="9" t="e">
        <f>I1204+#REF!</f>
        <v>#REF!</v>
      </c>
      <c r="K1204" s="9" t="e">
        <f>J1204+#REF!</f>
        <v>#REF!</v>
      </c>
      <c r="L1204" s="10" t="s">
        <v>41</v>
      </c>
      <c r="M1204" s="11">
        <v>45107.039097222223</v>
      </c>
      <c r="N1204" s="5" t="s">
        <v>42</v>
      </c>
      <c r="O1204" s="5" t="s">
        <v>58</v>
      </c>
      <c r="P1204" s="9"/>
      <c r="Q1204" s="5"/>
      <c r="R1204" s="5"/>
      <c r="S1204" s="5"/>
      <c r="T1204" s="9"/>
      <c r="U1204" s="5"/>
      <c r="V1204" s="5">
        <v>0</v>
      </c>
      <c r="W1204" s="5"/>
      <c r="X1204" s="5"/>
      <c r="Y1204" s="5"/>
      <c r="Z1204" s="5"/>
      <c r="AA1204" s="5" t="s">
        <v>62</v>
      </c>
      <c r="AC1204">
        <f t="shared" si="163"/>
        <v>12</v>
      </c>
      <c r="AD1204" t="str">
        <f t="shared" si="164"/>
        <v/>
      </c>
      <c r="AE1204" t="str">
        <f t="shared" si="165"/>
        <v/>
      </c>
      <c r="AF1204" t="str">
        <f t="shared" si="166"/>
        <v/>
      </c>
      <c r="AG1204" t="str">
        <f t="shared" si="167"/>
        <v/>
      </c>
      <c r="AH1204">
        <f t="shared" si="168"/>
        <v>3</v>
      </c>
      <c r="AI1204" t="str">
        <f t="shared" si="169"/>
        <v/>
      </c>
      <c r="AJ1204" t="str">
        <f t="shared" si="170"/>
        <v/>
      </c>
    </row>
    <row r="1205" spans="1:36">
      <c r="A1205" s="5">
        <v>1350</v>
      </c>
      <c r="B1205" s="5" t="s">
        <v>1005</v>
      </c>
      <c r="C1205" s="5" t="s">
        <v>796</v>
      </c>
      <c r="D1205" s="5" t="s">
        <v>957</v>
      </c>
      <c r="E1205" s="5" t="s">
        <v>388</v>
      </c>
      <c r="F1205" s="5" t="str">
        <f t="shared" si="162"/>
        <v>M and E-Extension Officer</v>
      </c>
      <c r="G1205" s="5" t="s">
        <v>40</v>
      </c>
      <c r="H1205" s="9">
        <v>45092.039097222223</v>
      </c>
      <c r="I1205" s="9">
        <v>45095.039097222223</v>
      </c>
      <c r="J1205" s="9" t="e">
        <f>I1205+#REF!</f>
        <v>#REF!</v>
      </c>
      <c r="K1205" s="9" t="e">
        <f>J1205+#REF!</f>
        <v>#REF!</v>
      </c>
      <c r="L1205" s="10" t="s">
        <v>41</v>
      </c>
      <c r="M1205" s="11">
        <v>45104.039097222223</v>
      </c>
      <c r="N1205" s="5" t="s">
        <v>42</v>
      </c>
      <c r="O1205" s="5" t="s">
        <v>43</v>
      </c>
      <c r="P1205" s="9"/>
      <c r="Q1205" s="5"/>
      <c r="R1205" s="5"/>
      <c r="S1205" s="5"/>
      <c r="T1205" s="9">
        <v>45105.039097222223</v>
      </c>
      <c r="U1205" s="5"/>
      <c r="V1205" s="5">
        <v>0</v>
      </c>
      <c r="W1205" s="5"/>
      <c r="X1205" s="5"/>
      <c r="Y1205" s="5"/>
      <c r="Z1205" s="5"/>
      <c r="AA1205" s="5" t="s">
        <v>62</v>
      </c>
      <c r="AC1205">
        <f t="shared" si="163"/>
        <v>9</v>
      </c>
      <c r="AD1205" t="str">
        <f t="shared" si="164"/>
        <v/>
      </c>
      <c r="AE1205">
        <f t="shared" si="165"/>
        <v>1</v>
      </c>
      <c r="AF1205" t="str">
        <f t="shared" si="166"/>
        <v/>
      </c>
      <c r="AG1205" t="str">
        <f t="shared" si="167"/>
        <v/>
      </c>
      <c r="AH1205">
        <f t="shared" si="168"/>
        <v>3</v>
      </c>
      <c r="AI1205" t="str">
        <f t="shared" si="169"/>
        <v/>
      </c>
      <c r="AJ1205" t="str">
        <f t="shared" si="170"/>
        <v/>
      </c>
    </row>
    <row r="1206" spans="1:36">
      <c r="A1206" s="5">
        <v>1351</v>
      </c>
      <c r="B1206" s="5" t="s">
        <v>1491</v>
      </c>
      <c r="C1206" s="5" t="s">
        <v>1332</v>
      </c>
      <c r="D1206" s="5" t="s">
        <v>1448</v>
      </c>
      <c r="E1206" s="5" t="s">
        <v>1484</v>
      </c>
      <c r="F1206" s="5" t="str">
        <f t="shared" si="162"/>
        <v>Fundraising-Review Associate</v>
      </c>
      <c r="G1206" s="5" t="s">
        <v>40</v>
      </c>
      <c r="H1206" s="9">
        <v>44764.055451388886</v>
      </c>
      <c r="I1206" s="9">
        <v>44767.055451388886</v>
      </c>
      <c r="J1206" s="9" t="e">
        <f>I1206+#REF!</f>
        <v>#REF!</v>
      </c>
      <c r="K1206" s="9" t="e">
        <f>J1206+#REF!</f>
        <v>#REF!</v>
      </c>
      <c r="L1206" s="10" t="s">
        <v>41</v>
      </c>
      <c r="M1206" s="11">
        <v>44786.055451388886</v>
      </c>
      <c r="N1206" s="5" t="s">
        <v>42</v>
      </c>
      <c r="O1206" s="5" t="s">
        <v>58</v>
      </c>
      <c r="P1206" s="9"/>
      <c r="Q1206" s="5"/>
      <c r="R1206" s="5"/>
      <c r="S1206" s="5"/>
      <c r="T1206" s="9"/>
      <c r="U1206" s="5"/>
      <c r="V1206" s="5">
        <v>0</v>
      </c>
      <c r="W1206" s="5"/>
      <c r="X1206" s="5"/>
      <c r="Y1206" s="5"/>
      <c r="Z1206" s="5"/>
      <c r="AA1206" s="5" t="s">
        <v>44</v>
      </c>
      <c r="AC1206">
        <f t="shared" si="163"/>
        <v>19</v>
      </c>
      <c r="AD1206" t="str">
        <f t="shared" si="164"/>
        <v/>
      </c>
      <c r="AE1206" t="str">
        <f t="shared" si="165"/>
        <v/>
      </c>
      <c r="AF1206" t="str">
        <f t="shared" si="166"/>
        <v/>
      </c>
      <c r="AG1206" t="str">
        <f t="shared" si="167"/>
        <v/>
      </c>
      <c r="AH1206">
        <f t="shared" si="168"/>
        <v>3</v>
      </c>
      <c r="AI1206" t="str">
        <f t="shared" si="169"/>
        <v/>
      </c>
      <c r="AJ1206" t="str">
        <f t="shared" si="170"/>
        <v/>
      </c>
    </row>
    <row r="1207" spans="1:36">
      <c r="A1207" s="5">
        <v>1352</v>
      </c>
      <c r="B1207" s="5" t="s">
        <v>1437</v>
      </c>
      <c r="C1207" s="5" t="s">
        <v>1332</v>
      </c>
      <c r="D1207" s="5" t="s">
        <v>1413</v>
      </c>
      <c r="E1207" s="5" t="s">
        <v>269</v>
      </c>
      <c r="F1207" s="5" t="str">
        <f t="shared" si="162"/>
        <v>Fundraising-Manager</v>
      </c>
      <c r="G1207" s="5" t="s">
        <v>270</v>
      </c>
      <c r="H1207" s="9">
        <v>44768.055451388886</v>
      </c>
      <c r="I1207" s="9">
        <v>44770.055451388886</v>
      </c>
      <c r="J1207" s="9" t="e">
        <f>I1207+#REF!</f>
        <v>#REF!</v>
      </c>
      <c r="K1207" s="9" t="e">
        <f>J1207+#REF!</f>
        <v>#REF!</v>
      </c>
      <c r="L1207" s="10" t="s">
        <v>41</v>
      </c>
      <c r="M1207" s="11">
        <v>44774.055451388886</v>
      </c>
      <c r="N1207" s="5" t="s">
        <v>167</v>
      </c>
      <c r="O1207" s="5"/>
      <c r="P1207" s="9">
        <v>44776.055451388886</v>
      </c>
      <c r="Q1207" s="5" t="s">
        <v>167</v>
      </c>
      <c r="R1207" s="5"/>
      <c r="S1207" s="5"/>
      <c r="T1207" s="9">
        <v>44775.055451388886</v>
      </c>
      <c r="U1207" s="5"/>
      <c r="V1207" s="5">
        <v>0</v>
      </c>
      <c r="W1207" s="5"/>
      <c r="X1207" s="5"/>
      <c r="Y1207" s="5"/>
      <c r="Z1207" s="5"/>
      <c r="AA1207" s="5"/>
      <c r="AC1207">
        <f t="shared" si="163"/>
        <v>4</v>
      </c>
      <c r="AD1207" t="str">
        <f t="shared" si="164"/>
        <v/>
      </c>
      <c r="AE1207">
        <f t="shared" si="165"/>
        <v>1</v>
      </c>
      <c r="AF1207" t="str">
        <f t="shared" si="166"/>
        <v/>
      </c>
      <c r="AG1207" t="str">
        <f t="shared" si="167"/>
        <v/>
      </c>
      <c r="AH1207">
        <f t="shared" si="168"/>
        <v>2</v>
      </c>
      <c r="AI1207" t="str">
        <f t="shared" si="169"/>
        <v/>
      </c>
      <c r="AJ1207" t="str">
        <f t="shared" si="170"/>
        <v/>
      </c>
    </row>
    <row r="1208" spans="1:36">
      <c r="A1208" s="5">
        <v>1353</v>
      </c>
      <c r="B1208" s="5" t="s">
        <v>1349</v>
      </c>
      <c r="C1208" s="5" t="s">
        <v>1332</v>
      </c>
      <c r="D1208" s="5" t="s">
        <v>1333</v>
      </c>
      <c r="E1208" s="5" t="s">
        <v>102</v>
      </c>
      <c r="F1208" s="5" t="str">
        <f t="shared" si="162"/>
        <v>Fundraising-Senior Manager</v>
      </c>
      <c r="G1208" s="5" t="s">
        <v>103</v>
      </c>
      <c r="H1208" s="9">
        <v>44767.055451388886</v>
      </c>
      <c r="I1208" s="9">
        <v>44769.055451388886</v>
      </c>
      <c r="J1208" s="9" t="e">
        <f>I1208+#REF!</f>
        <v>#REF!</v>
      </c>
      <c r="K1208" s="9" t="e">
        <f>J1208+#REF!</f>
        <v>#REF!</v>
      </c>
      <c r="L1208" s="10" t="s">
        <v>41</v>
      </c>
      <c r="M1208" s="11">
        <v>44774.055451388886</v>
      </c>
      <c r="N1208" s="5" t="s">
        <v>42</v>
      </c>
      <c r="O1208" s="5" t="s">
        <v>58</v>
      </c>
      <c r="P1208" s="9"/>
      <c r="Q1208" s="5"/>
      <c r="R1208" s="5"/>
      <c r="S1208" s="5"/>
      <c r="T1208" s="9"/>
      <c r="U1208" s="5"/>
      <c r="V1208" s="5">
        <v>0</v>
      </c>
      <c r="W1208" s="5"/>
      <c r="X1208" s="5"/>
      <c r="Y1208" s="5"/>
      <c r="Z1208" s="5"/>
      <c r="AA1208" s="5" t="s">
        <v>44</v>
      </c>
      <c r="AC1208">
        <f t="shared" si="163"/>
        <v>5</v>
      </c>
      <c r="AD1208" t="str">
        <f t="shared" si="164"/>
        <v/>
      </c>
      <c r="AE1208" t="str">
        <f t="shared" si="165"/>
        <v/>
      </c>
      <c r="AF1208" t="str">
        <f t="shared" si="166"/>
        <v/>
      </c>
      <c r="AG1208" t="str">
        <f t="shared" si="167"/>
        <v/>
      </c>
      <c r="AH1208">
        <f t="shared" si="168"/>
        <v>2</v>
      </c>
      <c r="AI1208" t="str">
        <f t="shared" si="169"/>
        <v/>
      </c>
      <c r="AJ1208" t="str">
        <f t="shared" si="170"/>
        <v/>
      </c>
    </row>
    <row r="1209" spans="1:36">
      <c r="A1209" s="5">
        <v>1355</v>
      </c>
      <c r="B1209" s="5" t="s">
        <v>1528</v>
      </c>
      <c r="C1209" s="5" t="s">
        <v>1332</v>
      </c>
      <c r="D1209" s="5" t="s">
        <v>1500</v>
      </c>
      <c r="E1209" s="5" t="s">
        <v>815</v>
      </c>
      <c r="F1209" s="5" t="str">
        <f t="shared" si="162"/>
        <v>Fundraising-Auditor</v>
      </c>
      <c r="G1209" s="5" t="s">
        <v>47</v>
      </c>
      <c r="H1209" s="9">
        <v>44766.055451388886</v>
      </c>
      <c r="I1209" s="9">
        <v>44769.055451388886</v>
      </c>
      <c r="J1209" s="9" t="e">
        <f>I1209+#REF!</f>
        <v>#REF!</v>
      </c>
      <c r="K1209" s="9" t="e">
        <f>J1209+#REF!</f>
        <v>#REF!</v>
      </c>
      <c r="L1209" s="10" t="s">
        <v>41</v>
      </c>
      <c r="M1209" s="11">
        <v>44774.055451388886</v>
      </c>
      <c r="N1209" s="5" t="s">
        <v>42</v>
      </c>
      <c r="O1209" s="5" t="s">
        <v>98</v>
      </c>
      <c r="P1209" s="9"/>
      <c r="Q1209" s="5"/>
      <c r="R1209" s="5"/>
      <c r="S1209" s="5"/>
      <c r="T1209" s="9">
        <v>44775.055451388886</v>
      </c>
      <c r="U1209" s="5"/>
      <c r="V1209" s="5">
        <v>0</v>
      </c>
      <c r="W1209" s="5"/>
      <c r="X1209" s="5"/>
      <c r="Y1209" s="5"/>
      <c r="Z1209" s="5"/>
      <c r="AA1209" s="5" t="s">
        <v>44</v>
      </c>
      <c r="AC1209">
        <f t="shared" si="163"/>
        <v>5</v>
      </c>
      <c r="AD1209" t="str">
        <f t="shared" si="164"/>
        <v/>
      </c>
      <c r="AE1209">
        <f t="shared" si="165"/>
        <v>1</v>
      </c>
      <c r="AF1209" t="str">
        <f t="shared" si="166"/>
        <v/>
      </c>
      <c r="AG1209" t="str">
        <f t="shared" si="167"/>
        <v/>
      </c>
      <c r="AH1209">
        <f t="shared" si="168"/>
        <v>3</v>
      </c>
      <c r="AI1209" t="str">
        <f t="shared" si="169"/>
        <v/>
      </c>
      <c r="AJ1209" t="str">
        <f t="shared" si="170"/>
        <v/>
      </c>
    </row>
    <row r="1210" spans="1:36">
      <c r="A1210" s="5">
        <v>1356</v>
      </c>
      <c r="B1210" s="5" t="s">
        <v>1527</v>
      </c>
      <c r="C1210" s="5" t="s">
        <v>1332</v>
      </c>
      <c r="D1210" s="5" t="s">
        <v>1500</v>
      </c>
      <c r="E1210" s="5" t="s">
        <v>815</v>
      </c>
      <c r="F1210" s="5" t="str">
        <f t="shared" si="162"/>
        <v>Fundraising-Auditor</v>
      </c>
      <c r="G1210" s="5" t="s">
        <v>47</v>
      </c>
      <c r="H1210" s="9">
        <v>44768.055451388886</v>
      </c>
      <c r="I1210" s="9">
        <v>44770.055451388886</v>
      </c>
      <c r="J1210" s="9" t="e">
        <f>I1210+#REF!</f>
        <v>#REF!</v>
      </c>
      <c r="K1210" s="9" t="e">
        <f>J1210+#REF!</f>
        <v>#REF!</v>
      </c>
      <c r="L1210" s="10" t="s">
        <v>41</v>
      </c>
      <c r="M1210" s="11">
        <v>44779.055451388886</v>
      </c>
      <c r="N1210" s="5" t="s">
        <v>42</v>
      </c>
      <c r="O1210" s="5" t="s">
        <v>73</v>
      </c>
      <c r="P1210" s="9"/>
      <c r="Q1210" s="5"/>
      <c r="R1210" s="5"/>
      <c r="S1210" s="5"/>
      <c r="T1210" s="9"/>
      <c r="U1210" s="5"/>
      <c r="V1210" s="5">
        <v>0</v>
      </c>
      <c r="W1210" s="5"/>
      <c r="X1210" s="5"/>
      <c r="Y1210" s="5"/>
      <c r="Z1210" s="5"/>
      <c r="AA1210" s="5" t="s">
        <v>44</v>
      </c>
      <c r="AC1210">
        <f t="shared" si="163"/>
        <v>9</v>
      </c>
      <c r="AD1210" t="str">
        <f t="shared" si="164"/>
        <v/>
      </c>
      <c r="AE1210" t="str">
        <f t="shared" si="165"/>
        <v/>
      </c>
      <c r="AF1210" t="str">
        <f t="shared" si="166"/>
        <v/>
      </c>
      <c r="AG1210" t="str">
        <f t="shared" si="167"/>
        <v/>
      </c>
      <c r="AH1210">
        <f t="shared" si="168"/>
        <v>2</v>
      </c>
      <c r="AI1210" t="str">
        <f t="shared" si="169"/>
        <v/>
      </c>
      <c r="AJ1210" t="str">
        <f t="shared" si="170"/>
        <v/>
      </c>
    </row>
    <row r="1211" spans="1:36">
      <c r="A1211" s="5">
        <v>1357</v>
      </c>
      <c r="B1211" s="5" t="s">
        <v>1436</v>
      </c>
      <c r="C1211" s="5" t="s">
        <v>1332</v>
      </c>
      <c r="D1211" s="5" t="s">
        <v>1413</v>
      </c>
      <c r="E1211" s="5" t="s">
        <v>269</v>
      </c>
      <c r="F1211" s="5" t="str">
        <f t="shared" si="162"/>
        <v>Fundraising-Manager</v>
      </c>
      <c r="G1211" s="5" t="s">
        <v>270</v>
      </c>
      <c r="H1211" s="9">
        <v>44765.055451388886</v>
      </c>
      <c r="I1211" s="9">
        <v>44769.055451388886</v>
      </c>
      <c r="J1211" s="9" t="e">
        <f>I1211+#REF!</f>
        <v>#REF!</v>
      </c>
      <c r="K1211" s="9" t="e">
        <f>J1211+#REF!</f>
        <v>#REF!</v>
      </c>
      <c r="L1211" s="10" t="s">
        <v>41</v>
      </c>
      <c r="M1211" s="11">
        <v>44781.055451388886</v>
      </c>
      <c r="N1211" s="5" t="s">
        <v>42</v>
      </c>
      <c r="O1211" s="5" t="s">
        <v>98</v>
      </c>
      <c r="P1211" s="9"/>
      <c r="Q1211" s="5"/>
      <c r="R1211" s="5"/>
      <c r="S1211" s="5"/>
      <c r="T1211" s="9">
        <v>44784.055451388886</v>
      </c>
      <c r="U1211" s="5"/>
      <c r="V1211" s="5">
        <v>0</v>
      </c>
      <c r="W1211" s="5"/>
      <c r="X1211" s="5"/>
      <c r="Y1211" s="5"/>
      <c r="Z1211" s="5"/>
      <c r="AA1211" s="5" t="s">
        <v>62</v>
      </c>
      <c r="AC1211">
        <f t="shared" si="163"/>
        <v>12</v>
      </c>
      <c r="AD1211" t="str">
        <f t="shared" si="164"/>
        <v/>
      </c>
      <c r="AE1211">
        <f t="shared" si="165"/>
        <v>3</v>
      </c>
      <c r="AF1211" t="str">
        <f t="shared" si="166"/>
        <v/>
      </c>
      <c r="AG1211" t="str">
        <f t="shared" si="167"/>
        <v/>
      </c>
      <c r="AH1211">
        <f t="shared" si="168"/>
        <v>4</v>
      </c>
      <c r="AI1211" t="str">
        <f t="shared" si="169"/>
        <v/>
      </c>
      <c r="AJ1211" t="str">
        <f t="shared" si="170"/>
        <v/>
      </c>
    </row>
    <row r="1212" spans="1:36">
      <c r="A1212" s="5">
        <v>1358</v>
      </c>
      <c r="B1212" s="5" t="s">
        <v>1526</v>
      </c>
      <c r="C1212" s="5" t="s">
        <v>1332</v>
      </c>
      <c r="D1212" s="5" t="s">
        <v>1500</v>
      </c>
      <c r="E1212" s="5" t="s">
        <v>815</v>
      </c>
      <c r="F1212" s="5" t="str">
        <f t="shared" si="162"/>
        <v>Fundraising-Auditor</v>
      </c>
      <c r="G1212" s="5" t="s">
        <v>47</v>
      </c>
      <c r="H1212" s="9">
        <v>44767.055451388886</v>
      </c>
      <c r="I1212" s="9">
        <v>44768.055451388886</v>
      </c>
      <c r="J1212" s="9" t="e">
        <f>I1212+#REF!</f>
        <v>#REF!</v>
      </c>
      <c r="K1212" s="9" t="e">
        <f>J1212+#REF!</f>
        <v>#REF!</v>
      </c>
      <c r="L1212" s="10" t="s">
        <v>41</v>
      </c>
      <c r="M1212" s="11">
        <v>44786.055451388886</v>
      </c>
      <c r="N1212" s="5" t="s">
        <v>42</v>
      </c>
      <c r="O1212" s="5" t="s">
        <v>58</v>
      </c>
      <c r="P1212" s="9"/>
      <c r="Q1212" s="5"/>
      <c r="R1212" s="5"/>
      <c r="S1212" s="5"/>
      <c r="T1212" s="9">
        <v>44788.055451388886</v>
      </c>
      <c r="U1212" s="5"/>
      <c r="V1212" s="5">
        <v>0</v>
      </c>
      <c r="W1212" s="5"/>
      <c r="X1212" s="5"/>
      <c r="Y1212" s="5"/>
      <c r="Z1212" s="5"/>
      <c r="AA1212" s="5" t="s">
        <v>44</v>
      </c>
      <c r="AC1212">
        <f t="shared" si="163"/>
        <v>18</v>
      </c>
      <c r="AD1212" t="str">
        <f t="shared" si="164"/>
        <v/>
      </c>
      <c r="AE1212">
        <f t="shared" si="165"/>
        <v>2</v>
      </c>
      <c r="AF1212" t="str">
        <f t="shared" si="166"/>
        <v/>
      </c>
      <c r="AG1212" t="str">
        <f t="shared" si="167"/>
        <v/>
      </c>
      <c r="AH1212">
        <f t="shared" si="168"/>
        <v>1</v>
      </c>
      <c r="AI1212" t="str">
        <f t="shared" si="169"/>
        <v/>
      </c>
      <c r="AJ1212" t="str">
        <f t="shared" si="170"/>
        <v/>
      </c>
    </row>
    <row r="1213" spans="1:36">
      <c r="A1213" s="5">
        <v>1359</v>
      </c>
      <c r="B1213" s="5" t="s">
        <v>1348</v>
      </c>
      <c r="C1213" s="5" t="s">
        <v>1332</v>
      </c>
      <c r="D1213" s="5" t="s">
        <v>1333</v>
      </c>
      <c r="E1213" s="5" t="s">
        <v>102</v>
      </c>
      <c r="F1213" s="5" t="str">
        <f t="shared" si="162"/>
        <v>Fundraising-Senior Manager</v>
      </c>
      <c r="G1213" s="5" t="s">
        <v>103</v>
      </c>
      <c r="H1213" s="9">
        <v>44766.055451388886</v>
      </c>
      <c r="I1213" s="9">
        <v>44770.055451388886</v>
      </c>
      <c r="J1213" s="9" t="e">
        <f>I1213+#REF!</f>
        <v>#REF!</v>
      </c>
      <c r="K1213" s="9" t="e">
        <f>J1213+#REF!</f>
        <v>#REF!</v>
      </c>
      <c r="L1213" s="10" t="s">
        <v>41</v>
      </c>
      <c r="M1213" s="11">
        <v>44786.055451388886</v>
      </c>
      <c r="N1213" s="5" t="s">
        <v>42</v>
      </c>
      <c r="O1213" s="5" t="s">
        <v>43</v>
      </c>
      <c r="P1213" s="9"/>
      <c r="Q1213" s="5"/>
      <c r="R1213" s="5"/>
      <c r="S1213" s="5"/>
      <c r="T1213" s="9"/>
      <c r="U1213" s="5"/>
      <c r="V1213" s="5">
        <v>0</v>
      </c>
      <c r="W1213" s="5"/>
      <c r="X1213" s="5"/>
      <c r="Y1213" s="5"/>
      <c r="Z1213" s="5"/>
      <c r="AA1213" s="5" t="s">
        <v>44</v>
      </c>
      <c r="AC1213">
        <f t="shared" si="163"/>
        <v>16</v>
      </c>
      <c r="AD1213" t="str">
        <f t="shared" si="164"/>
        <v/>
      </c>
      <c r="AE1213" t="str">
        <f t="shared" si="165"/>
        <v/>
      </c>
      <c r="AF1213" t="str">
        <f t="shared" si="166"/>
        <v/>
      </c>
      <c r="AG1213" t="str">
        <f t="shared" si="167"/>
        <v/>
      </c>
      <c r="AH1213">
        <f t="shared" si="168"/>
        <v>4</v>
      </c>
      <c r="AI1213" t="str">
        <f t="shared" si="169"/>
        <v/>
      </c>
      <c r="AJ1213" t="str">
        <f t="shared" si="170"/>
        <v/>
      </c>
    </row>
    <row r="1214" spans="1:36">
      <c r="A1214" s="5">
        <v>1360</v>
      </c>
      <c r="B1214" s="5" t="s">
        <v>1435</v>
      </c>
      <c r="C1214" s="5" t="s">
        <v>1332</v>
      </c>
      <c r="D1214" s="5" t="s">
        <v>1413</v>
      </c>
      <c r="E1214" s="5" t="s">
        <v>269</v>
      </c>
      <c r="F1214" s="5" t="str">
        <f t="shared" si="162"/>
        <v>Fundraising-Manager</v>
      </c>
      <c r="G1214" s="5" t="s">
        <v>270</v>
      </c>
      <c r="H1214" s="9">
        <v>44768.055451388886</v>
      </c>
      <c r="I1214" s="9">
        <v>44769.055451388886</v>
      </c>
      <c r="J1214" s="9" t="e">
        <f>I1214+#REF!</f>
        <v>#REF!</v>
      </c>
      <c r="K1214" s="9" t="e">
        <f>J1214+#REF!</f>
        <v>#REF!</v>
      </c>
      <c r="L1214" s="10" t="s">
        <v>41</v>
      </c>
      <c r="M1214" s="11">
        <v>44784.055451388886</v>
      </c>
      <c r="N1214" s="5" t="s">
        <v>42</v>
      </c>
      <c r="O1214" s="5" t="s">
        <v>98</v>
      </c>
      <c r="P1214" s="9"/>
      <c r="Q1214" s="5"/>
      <c r="R1214" s="5"/>
      <c r="S1214" s="5"/>
      <c r="T1214" s="9">
        <v>44788.055451388886</v>
      </c>
      <c r="U1214" s="5"/>
      <c r="V1214" s="5">
        <v>0</v>
      </c>
      <c r="W1214" s="5"/>
      <c r="X1214" s="5"/>
      <c r="Y1214" s="5"/>
      <c r="Z1214" s="5"/>
      <c r="AA1214" s="5" t="s">
        <v>44</v>
      </c>
      <c r="AC1214">
        <f t="shared" si="163"/>
        <v>15</v>
      </c>
      <c r="AD1214" t="str">
        <f t="shared" si="164"/>
        <v/>
      </c>
      <c r="AE1214">
        <f t="shared" si="165"/>
        <v>4</v>
      </c>
      <c r="AF1214" t="str">
        <f t="shared" si="166"/>
        <v/>
      </c>
      <c r="AG1214" t="str">
        <f t="shared" si="167"/>
        <v/>
      </c>
      <c r="AH1214">
        <f t="shared" si="168"/>
        <v>1</v>
      </c>
      <c r="AI1214" t="str">
        <f t="shared" si="169"/>
        <v/>
      </c>
      <c r="AJ1214" t="str">
        <f t="shared" si="170"/>
        <v/>
      </c>
    </row>
    <row r="1215" spans="1:36">
      <c r="A1215" s="5">
        <v>1361</v>
      </c>
      <c r="B1215" s="5" t="s">
        <v>1242</v>
      </c>
      <c r="C1215" s="10" t="s">
        <v>1215</v>
      </c>
      <c r="D1215" s="5" t="s">
        <v>1216</v>
      </c>
      <c r="E1215" s="5" t="s">
        <v>269</v>
      </c>
      <c r="F1215" s="5" t="str">
        <f t="shared" si="162"/>
        <v>HR-Manager</v>
      </c>
      <c r="G1215" s="5" t="s">
        <v>270</v>
      </c>
      <c r="H1215" s="9">
        <v>44849.163807870369</v>
      </c>
      <c r="I1215" s="9">
        <v>44850.163807870369</v>
      </c>
      <c r="J1215" s="9" t="e">
        <f>I1215+#REF!</f>
        <v>#REF!</v>
      </c>
      <c r="K1215" s="9" t="e">
        <f>J1215+#REF!</f>
        <v>#REF!</v>
      </c>
      <c r="L1215" s="10" t="s">
        <v>41</v>
      </c>
      <c r="M1215" s="11">
        <v>44864.163807870369</v>
      </c>
      <c r="N1215" s="5" t="s">
        <v>42</v>
      </c>
      <c r="O1215" s="5" t="s">
        <v>113</v>
      </c>
      <c r="P1215" s="9"/>
      <c r="Q1215" s="5"/>
      <c r="R1215" s="5"/>
      <c r="S1215" s="5"/>
      <c r="T1215" s="9"/>
      <c r="U1215" s="5"/>
      <c r="V1215" s="5">
        <v>0</v>
      </c>
      <c r="W1215" s="5"/>
      <c r="X1215" s="5"/>
      <c r="Y1215" s="5"/>
      <c r="Z1215" s="5"/>
      <c r="AA1215" s="5" t="s">
        <v>62</v>
      </c>
      <c r="AC1215">
        <f t="shared" si="163"/>
        <v>14</v>
      </c>
      <c r="AD1215" t="str">
        <f t="shared" si="164"/>
        <v/>
      </c>
      <c r="AE1215" t="str">
        <f t="shared" si="165"/>
        <v/>
      </c>
      <c r="AF1215" t="str">
        <f t="shared" si="166"/>
        <v/>
      </c>
      <c r="AG1215" t="str">
        <f t="shared" si="167"/>
        <v/>
      </c>
      <c r="AH1215">
        <f t="shared" si="168"/>
        <v>1</v>
      </c>
      <c r="AI1215" t="str">
        <f t="shared" si="169"/>
        <v/>
      </c>
      <c r="AJ1215" t="str">
        <f t="shared" si="170"/>
        <v/>
      </c>
    </row>
    <row r="1216" spans="1:36">
      <c r="A1216" s="5">
        <v>1362</v>
      </c>
      <c r="B1216" s="5" t="s">
        <v>1241</v>
      </c>
      <c r="C1216" s="10" t="s">
        <v>1215</v>
      </c>
      <c r="D1216" s="5" t="s">
        <v>1216</v>
      </c>
      <c r="E1216" s="5" t="s">
        <v>269</v>
      </c>
      <c r="F1216" s="5" t="str">
        <f t="shared" si="162"/>
        <v>HR-Manager</v>
      </c>
      <c r="G1216" s="5" t="s">
        <v>270</v>
      </c>
      <c r="H1216" s="9">
        <v>44852.163807870369</v>
      </c>
      <c r="I1216" s="9">
        <v>44853.163807870369</v>
      </c>
      <c r="J1216" s="9" t="e">
        <f>I1216+#REF!</f>
        <v>#REF!</v>
      </c>
      <c r="K1216" s="9" t="e">
        <f>J1216+#REF!</f>
        <v>#REF!</v>
      </c>
      <c r="L1216" s="10" t="s">
        <v>41</v>
      </c>
      <c r="M1216" s="11">
        <v>44868.163807870369</v>
      </c>
      <c r="N1216" s="5" t="s">
        <v>42</v>
      </c>
      <c r="O1216" s="5" t="s">
        <v>98</v>
      </c>
      <c r="P1216" s="9"/>
      <c r="Q1216" s="5"/>
      <c r="R1216" s="5"/>
      <c r="S1216" s="5"/>
      <c r="T1216" s="9"/>
      <c r="U1216" s="5"/>
      <c r="V1216" s="5">
        <v>0</v>
      </c>
      <c r="W1216" s="5"/>
      <c r="X1216" s="5"/>
      <c r="Y1216" s="5"/>
      <c r="Z1216" s="5"/>
      <c r="AA1216" s="5" t="s">
        <v>44</v>
      </c>
      <c r="AC1216">
        <f t="shared" si="163"/>
        <v>15</v>
      </c>
      <c r="AD1216" t="str">
        <f t="shared" si="164"/>
        <v/>
      </c>
      <c r="AE1216" t="str">
        <f t="shared" si="165"/>
        <v/>
      </c>
      <c r="AF1216" t="str">
        <f t="shared" si="166"/>
        <v/>
      </c>
      <c r="AG1216" t="str">
        <f t="shared" si="167"/>
        <v/>
      </c>
      <c r="AH1216">
        <f t="shared" si="168"/>
        <v>1</v>
      </c>
      <c r="AI1216" t="str">
        <f t="shared" si="169"/>
        <v/>
      </c>
      <c r="AJ1216" t="str">
        <f t="shared" si="170"/>
        <v/>
      </c>
    </row>
    <row r="1217" spans="1:36">
      <c r="A1217" s="5">
        <v>1363</v>
      </c>
      <c r="B1217" s="5" t="s">
        <v>1315</v>
      </c>
      <c r="C1217" s="10" t="s">
        <v>1215</v>
      </c>
      <c r="D1217" s="5" t="s">
        <v>1287</v>
      </c>
      <c r="E1217" s="5" t="s">
        <v>1146</v>
      </c>
      <c r="F1217" s="5" t="str">
        <f t="shared" si="162"/>
        <v>HR-Quality Assurance</v>
      </c>
      <c r="G1217" s="5" t="s">
        <v>47</v>
      </c>
      <c r="H1217" s="9">
        <v>44850.163807870369</v>
      </c>
      <c r="I1217" s="9">
        <v>44854.163807870369</v>
      </c>
      <c r="J1217" s="9" t="e">
        <f>I1217+#REF!</f>
        <v>#REF!</v>
      </c>
      <c r="K1217" s="9" t="e">
        <f>J1217+#REF!</f>
        <v>#REF!</v>
      </c>
      <c r="L1217" s="10" t="s">
        <v>41</v>
      </c>
      <c r="M1217" s="11">
        <v>44873.163807870369</v>
      </c>
      <c r="N1217" s="5" t="s">
        <v>42</v>
      </c>
      <c r="O1217" s="5" t="s">
        <v>113</v>
      </c>
      <c r="P1217" s="9"/>
      <c r="Q1217" s="5"/>
      <c r="R1217" s="5"/>
      <c r="S1217" s="5"/>
      <c r="T1217" s="9">
        <v>44877.163807870369</v>
      </c>
      <c r="U1217" s="5"/>
      <c r="V1217" s="5">
        <v>0</v>
      </c>
      <c r="W1217" s="5"/>
      <c r="X1217" s="5"/>
      <c r="Y1217" s="5"/>
      <c r="Z1217" s="5"/>
      <c r="AA1217" s="5" t="s">
        <v>62</v>
      </c>
      <c r="AC1217">
        <f t="shared" si="163"/>
        <v>19</v>
      </c>
      <c r="AD1217" t="str">
        <f t="shared" si="164"/>
        <v/>
      </c>
      <c r="AE1217">
        <f t="shared" si="165"/>
        <v>4</v>
      </c>
      <c r="AF1217" t="str">
        <f t="shared" si="166"/>
        <v/>
      </c>
      <c r="AG1217" t="str">
        <f t="shared" si="167"/>
        <v/>
      </c>
      <c r="AH1217">
        <f t="shared" si="168"/>
        <v>4</v>
      </c>
      <c r="AI1217" t="str">
        <f t="shared" si="169"/>
        <v/>
      </c>
      <c r="AJ1217" t="str">
        <f t="shared" si="170"/>
        <v/>
      </c>
    </row>
    <row r="1218" spans="1:36">
      <c r="A1218" s="5">
        <v>1366</v>
      </c>
      <c r="B1218" s="5" t="s">
        <v>1271</v>
      </c>
      <c r="C1218" s="10" t="s">
        <v>1215</v>
      </c>
      <c r="D1218" s="5" t="s">
        <v>1249</v>
      </c>
      <c r="E1218" s="5" t="s">
        <v>1250</v>
      </c>
      <c r="F1218" s="5" t="str">
        <f t="shared" ref="F1218:F1281" si="171">_xlfn.CONCAT(C1218,"-",E1218)</f>
        <v>HR-Screening Associate</v>
      </c>
      <c r="G1218" s="5" t="s">
        <v>40</v>
      </c>
      <c r="H1218" s="9">
        <v>44854.163807870369</v>
      </c>
      <c r="I1218" s="9">
        <v>44855.163807870369</v>
      </c>
      <c r="J1218" s="9" t="e">
        <f>I1218+#REF!</f>
        <v>#REF!</v>
      </c>
      <c r="K1218" s="9" t="e">
        <f>J1218+#REF!</f>
        <v>#REF!</v>
      </c>
      <c r="L1218" s="10" t="s">
        <v>41</v>
      </c>
      <c r="M1218" s="11">
        <v>44865.163807870369</v>
      </c>
      <c r="N1218" s="5" t="s">
        <v>42</v>
      </c>
      <c r="O1218" s="5" t="s">
        <v>43</v>
      </c>
      <c r="P1218" s="9"/>
      <c r="Q1218" s="5"/>
      <c r="R1218" s="5"/>
      <c r="S1218" s="5"/>
      <c r="T1218" s="9">
        <v>44867.163807870369</v>
      </c>
      <c r="U1218" s="5"/>
      <c r="V1218" s="5">
        <v>0</v>
      </c>
      <c r="W1218" s="5"/>
      <c r="X1218" s="5"/>
      <c r="Y1218" s="5"/>
      <c r="Z1218" s="5"/>
      <c r="AA1218" s="5" t="s">
        <v>62</v>
      </c>
      <c r="AC1218">
        <f t="shared" ref="AC1218:AC1281" si="172">IF(AND(ISNUMBER(M1218), ISNUMBER(I1218)), M1218 - I1218, "")</f>
        <v>10</v>
      </c>
      <c r="AD1218" t="str">
        <f t="shared" si="164"/>
        <v/>
      </c>
      <c r="AE1218">
        <f t="shared" si="165"/>
        <v>2</v>
      </c>
      <c r="AF1218" t="str">
        <f t="shared" si="166"/>
        <v/>
      </c>
      <c r="AG1218" t="str">
        <f t="shared" si="167"/>
        <v/>
      </c>
      <c r="AH1218">
        <f t="shared" si="168"/>
        <v>1</v>
      </c>
      <c r="AI1218" t="str">
        <f t="shared" si="169"/>
        <v/>
      </c>
      <c r="AJ1218" t="str">
        <f t="shared" si="170"/>
        <v/>
      </c>
    </row>
    <row r="1219" spans="1:36">
      <c r="A1219" s="5">
        <v>1367</v>
      </c>
      <c r="B1219" s="5" t="s">
        <v>1175</v>
      </c>
      <c r="C1219" s="10" t="s">
        <v>1122</v>
      </c>
      <c r="D1219" s="5" t="s">
        <v>1145</v>
      </c>
      <c r="E1219" s="5" t="s">
        <v>39</v>
      </c>
      <c r="F1219" s="5" t="str">
        <f t="shared" si="171"/>
        <v>IT-Analyst</v>
      </c>
      <c r="G1219" s="5" t="s">
        <v>147</v>
      </c>
      <c r="H1219" s="9">
        <v>44849.163807870369</v>
      </c>
      <c r="I1219" s="9">
        <v>44853.163807870369</v>
      </c>
      <c r="J1219" s="9" t="e">
        <f>I1219+#REF!</f>
        <v>#REF!</v>
      </c>
      <c r="K1219" s="9" t="e">
        <f>J1219+#REF!</f>
        <v>#REF!</v>
      </c>
      <c r="L1219" s="10" t="s">
        <v>41</v>
      </c>
      <c r="M1219" s="11">
        <v>44866.163807870369</v>
      </c>
      <c r="N1219" s="5" t="s">
        <v>42</v>
      </c>
      <c r="O1219" s="5" t="s">
        <v>73</v>
      </c>
      <c r="P1219" s="9"/>
      <c r="Q1219" s="5"/>
      <c r="R1219" s="5"/>
      <c r="S1219" s="5"/>
      <c r="T1219" s="9">
        <v>44867.163807870369</v>
      </c>
      <c r="U1219" s="5"/>
      <c r="V1219" s="5">
        <v>0</v>
      </c>
      <c r="W1219" s="5"/>
      <c r="X1219" s="5"/>
      <c r="Y1219" s="5"/>
      <c r="Z1219" s="5"/>
      <c r="AA1219" s="5" t="s">
        <v>62</v>
      </c>
      <c r="AC1219">
        <f t="shared" si="172"/>
        <v>13</v>
      </c>
      <c r="AD1219" t="str">
        <f t="shared" ref="AD1219:AD1282" si="173">IF(AND(ISNUMBER(S1219), ISNUMBER(I1219)), S1219 - I1219, "")</f>
        <v/>
      </c>
      <c r="AE1219">
        <f t="shared" ref="AE1219:AE1282" si="174">IF(AND(ISNUMBER(T1219), ISNUMBER(M1219)), T1219-M1219, "")</f>
        <v>1</v>
      </c>
      <c r="AF1219" t="str">
        <f t="shared" ref="AF1219:AF1282" si="175">IF(AND(ISNUMBER(X1219), ISNUMBER(U1219)), X1219-U1219,"")</f>
        <v/>
      </c>
      <c r="AG1219" t="str">
        <f t="shared" ref="AG1219:AG1282" si="176">IF(AND(ISNUMBER(W1219), ISNUMBER(U1219)), W1219-U1219, "")</f>
        <v/>
      </c>
      <c r="AH1219">
        <f t="shared" ref="AH1219:AH1282" si="177">IF(AND(ISNUMBER(I1219), ISNUMBER(H1219)), I1219-H1219,"")</f>
        <v>4</v>
      </c>
      <c r="AI1219" t="str">
        <f t="shared" ref="AI1219:AI1282" si="178">IF(AND(ISNUMBER(J1219),ISNUMBER(K1219)),K1219-J1219,"")</f>
        <v/>
      </c>
      <c r="AJ1219" t="str">
        <f t="shared" ref="AJ1219:AJ1282" si="179">IF(AND(ISNUMBER(J1219),ISNUMBER(I1219)), J1219-I1219,"")</f>
        <v/>
      </c>
    </row>
    <row r="1220" spans="1:36">
      <c r="A1220" s="5">
        <v>1368</v>
      </c>
      <c r="B1220" s="5" t="s">
        <v>2129</v>
      </c>
      <c r="C1220" s="10" t="s">
        <v>2089</v>
      </c>
      <c r="D1220" s="5" t="s">
        <v>2114</v>
      </c>
      <c r="E1220" s="5" t="s">
        <v>388</v>
      </c>
      <c r="F1220" s="5" t="str">
        <f t="shared" si="171"/>
        <v>Communication and Advocacy-Extension Officer</v>
      </c>
      <c r="G1220" s="5" t="s">
        <v>147</v>
      </c>
      <c r="H1220" s="9">
        <v>44853.163807870369</v>
      </c>
      <c r="I1220" s="9">
        <v>44854.163807870369</v>
      </c>
      <c r="J1220" s="9" t="e">
        <f>I1220+#REF!</f>
        <v>#REF!</v>
      </c>
      <c r="K1220" s="9" t="e">
        <f>J1220+#REF!</f>
        <v>#REF!</v>
      </c>
      <c r="L1220" s="10" t="s">
        <v>52</v>
      </c>
      <c r="M1220" s="11"/>
      <c r="N1220" s="5"/>
      <c r="O1220" s="5"/>
      <c r="P1220" s="9"/>
      <c r="Q1220" s="5"/>
      <c r="R1220" s="5"/>
      <c r="S1220" s="5"/>
      <c r="T1220" s="9"/>
      <c r="U1220" s="5"/>
      <c r="V1220" s="5">
        <v>0</v>
      </c>
      <c r="W1220" s="5"/>
      <c r="X1220" s="5"/>
      <c r="Y1220" s="5"/>
      <c r="Z1220" s="5"/>
      <c r="AA1220" s="5"/>
      <c r="AC1220" t="str">
        <f t="shared" si="172"/>
        <v/>
      </c>
      <c r="AD1220" t="str">
        <f t="shared" si="173"/>
        <v/>
      </c>
      <c r="AE1220" t="str">
        <f t="shared" si="174"/>
        <v/>
      </c>
      <c r="AF1220" t="str">
        <f t="shared" si="175"/>
        <v/>
      </c>
      <c r="AG1220" t="str">
        <f t="shared" si="176"/>
        <v/>
      </c>
      <c r="AH1220">
        <f t="shared" si="177"/>
        <v>1</v>
      </c>
      <c r="AI1220" t="str">
        <f t="shared" si="178"/>
        <v/>
      </c>
      <c r="AJ1220" t="str">
        <f t="shared" si="179"/>
        <v/>
      </c>
    </row>
    <row r="1221" spans="1:36">
      <c r="A1221" s="5">
        <v>1370</v>
      </c>
      <c r="B1221" s="5" t="s">
        <v>1174</v>
      </c>
      <c r="C1221" s="10" t="s">
        <v>1122</v>
      </c>
      <c r="D1221" s="5" t="s">
        <v>1145</v>
      </c>
      <c r="E1221" s="5" t="s">
        <v>39</v>
      </c>
      <c r="F1221" s="5" t="str">
        <f t="shared" si="171"/>
        <v>IT-Analyst</v>
      </c>
      <c r="G1221" s="5" t="s">
        <v>147</v>
      </c>
      <c r="H1221" s="9">
        <v>44849.163807870369</v>
      </c>
      <c r="I1221" s="9">
        <v>44851.163807870369</v>
      </c>
      <c r="J1221" s="9" t="e">
        <f>I1221+#REF!</f>
        <v>#REF!</v>
      </c>
      <c r="K1221" s="9" t="e">
        <f>J1221+#REF!</f>
        <v>#REF!</v>
      </c>
      <c r="L1221" s="10" t="s">
        <v>41</v>
      </c>
      <c r="M1221" s="11">
        <v>44863.163807870369</v>
      </c>
      <c r="N1221" s="5" t="s">
        <v>167</v>
      </c>
      <c r="O1221" s="5"/>
      <c r="P1221" s="9">
        <v>44871.163807870369</v>
      </c>
      <c r="Q1221" s="5" t="s">
        <v>167</v>
      </c>
      <c r="R1221" s="5"/>
      <c r="S1221" s="5"/>
      <c r="T1221" s="9">
        <v>44867.163807870369</v>
      </c>
      <c r="U1221" s="5"/>
      <c r="V1221" s="5">
        <v>0</v>
      </c>
      <c r="W1221" s="5"/>
      <c r="X1221" s="5"/>
      <c r="Y1221" s="5"/>
      <c r="Z1221" s="5"/>
      <c r="AA1221" s="5"/>
      <c r="AC1221">
        <f t="shared" si="172"/>
        <v>12</v>
      </c>
      <c r="AD1221" t="str">
        <f t="shared" si="173"/>
        <v/>
      </c>
      <c r="AE1221">
        <f t="shared" si="174"/>
        <v>4</v>
      </c>
      <c r="AF1221" t="str">
        <f t="shared" si="175"/>
        <v/>
      </c>
      <c r="AG1221" t="str">
        <f t="shared" si="176"/>
        <v/>
      </c>
      <c r="AH1221">
        <f t="shared" si="177"/>
        <v>2</v>
      </c>
      <c r="AI1221" t="str">
        <f t="shared" si="178"/>
        <v/>
      </c>
      <c r="AJ1221" t="str">
        <f t="shared" si="179"/>
        <v/>
      </c>
    </row>
    <row r="1222" spans="1:36">
      <c r="A1222" s="5">
        <v>1371</v>
      </c>
      <c r="B1222" s="5" t="s">
        <v>811</v>
      </c>
      <c r="C1222" s="5" t="s">
        <v>796</v>
      </c>
      <c r="D1222" s="5" t="s">
        <v>797</v>
      </c>
      <c r="E1222" s="5" t="s">
        <v>102</v>
      </c>
      <c r="F1222" s="5" t="str">
        <f t="shared" si="171"/>
        <v>M and E-Senior Manager</v>
      </c>
      <c r="G1222" s="5" t="s">
        <v>103</v>
      </c>
      <c r="H1222" s="9">
        <v>44865.130648148152</v>
      </c>
      <c r="I1222" s="9">
        <v>44868.130648148152</v>
      </c>
      <c r="J1222" s="9" t="e">
        <f>I1222+#REF!</f>
        <v>#REF!</v>
      </c>
      <c r="K1222" s="9" t="e">
        <f>J1222+#REF!</f>
        <v>#REF!</v>
      </c>
      <c r="L1222" s="10" t="s">
        <v>41</v>
      </c>
      <c r="M1222" s="11">
        <v>44886.130648148152</v>
      </c>
      <c r="N1222" s="5" t="s">
        <v>42</v>
      </c>
      <c r="O1222" s="5" t="s">
        <v>58</v>
      </c>
      <c r="P1222" s="9"/>
      <c r="Q1222" s="5"/>
      <c r="R1222" s="5"/>
      <c r="S1222" s="5"/>
      <c r="T1222" s="9">
        <v>44890.130648148152</v>
      </c>
      <c r="U1222" s="5"/>
      <c r="V1222" s="5">
        <v>0</v>
      </c>
      <c r="W1222" s="5"/>
      <c r="X1222" s="5"/>
      <c r="Y1222" s="5"/>
      <c r="Z1222" s="5"/>
      <c r="AA1222" s="5" t="s">
        <v>44</v>
      </c>
      <c r="AC1222">
        <f t="shared" si="172"/>
        <v>18</v>
      </c>
      <c r="AD1222" t="str">
        <f t="shared" si="173"/>
        <v/>
      </c>
      <c r="AE1222">
        <f t="shared" si="174"/>
        <v>4</v>
      </c>
      <c r="AF1222" t="str">
        <f t="shared" si="175"/>
        <v/>
      </c>
      <c r="AG1222" t="str">
        <f t="shared" si="176"/>
        <v/>
      </c>
      <c r="AH1222">
        <f t="shared" si="177"/>
        <v>3</v>
      </c>
      <c r="AI1222" t="str">
        <f t="shared" si="178"/>
        <v/>
      </c>
      <c r="AJ1222" t="str">
        <f t="shared" si="179"/>
        <v/>
      </c>
    </row>
    <row r="1223" spans="1:36">
      <c r="A1223" s="5">
        <v>1375</v>
      </c>
      <c r="B1223" s="5" t="s">
        <v>869</v>
      </c>
      <c r="C1223" s="5" t="s">
        <v>796</v>
      </c>
      <c r="D1223" s="5" t="s">
        <v>814</v>
      </c>
      <c r="E1223" s="5" t="s">
        <v>39</v>
      </c>
      <c r="F1223" s="5" t="str">
        <f t="shared" si="171"/>
        <v>M and E-Analyst</v>
      </c>
      <c r="G1223" s="5" t="s">
        <v>147</v>
      </c>
      <c r="H1223" s="9">
        <v>44859.130648148152</v>
      </c>
      <c r="I1223" s="9">
        <v>44863.130648148152</v>
      </c>
      <c r="J1223" s="9" t="e">
        <f>I1223+#REF!</f>
        <v>#REF!</v>
      </c>
      <c r="K1223" s="9" t="e">
        <f>J1223+#REF!</f>
        <v>#REF!</v>
      </c>
      <c r="L1223" s="10" t="s">
        <v>41</v>
      </c>
      <c r="M1223" s="11">
        <v>44881.130648148152</v>
      </c>
      <c r="N1223" s="5" t="s">
        <v>42</v>
      </c>
      <c r="O1223" s="5" t="s">
        <v>43</v>
      </c>
      <c r="P1223" s="9"/>
      <c r="Q1223" s="5"/>
      <c r="R1223" s="5"/>
      <c r="S1223" s="5"/>
      <c r="T1223" s="9">
        <v>44882.130648148152</v>
      </c>
      <c r="U1223" s="5"/>
      <c r="V1223" s="5">
        <v>0</v>
      </c>
      <c r="W1223" s="5"/>
      <c r="X1223" s="5"/>
      <c r="Y1223" s="5"/>
      <c r="Z1223" s="5"/>
      <c r="AA1223" s="5" t="s">
        <v>62</v>
      </c>
      <c r="AC1223">
        <f t="shared" si="172"/>
        <v>18</v>
      </c>
      <c r="AD1223" t="str">
        <f t="shared" si="173"/>
        <v/>
      </c>
      <c r="AE1223">
        <f t="shared" si="174"/>
        <v>1</v>
      </c>
      <c r="AF1223" t="str">
        <f t="shared" si="175"/>
        <v/>
      </c>
      <c r="AG1223" t="str">
        <f t="shared" si="176"/>
        <v/>
      </c>
      <c r="AH1223">
        <f t="shared" si="177"/>
        <v>4</v>
      </c>
      <c r="AI1223" t="str">
        <f t="shared" si="178"/>
        <v/>
      </c>
      <c r="AJ1223" t="str">
        <f t="shared" si="179"/>
        <v/>
      </c>
    </row>
    <row r="1224" spans="1:36">
      <c r="A1224" s="5">
        <v>1377</v>
      </c>
      <c r="B1224" s="5" t="s">
        <v>1004</v>
      </c>
      <c r="C1224" s="5" t="s">
        <v>796</v>
      </c>
      <c r="D1224" s="5" t="s">
        <v>957</v>
      </c>
      <c r="E1224" s="5" t="s">
        <v>388</v>
      </c>
      <c r="F1224" s="5" t="str">
        <f t="shared" si="171"/>
        <v>M and E-Extension Officer</v>
      </c>
      <c r="G1224" s="5" t="s">
        <v>40</v>
      </c>
      <c r="H1224" s="9">
        <v>44866.130648148152</v>
      </c>
      <c r="I1224" s="9">
        <v>44868.130648148152</v>
      </c>
      <c r="J1224" s="9" t="e">
        <f>I1224+#REF!</f>
        <v>#REF!</v>
      </c>
      <c r="K1224" s="9" t="e">
        <f>J1224+#REF!</f>
        <v>#REF!</v>
      </c>
      <c r="L1224" s="10" t="s">
        <v>41</v>
      </c>
      <c r="M1224" s="11">
        <v>44886.130648148152</v>
      </c>
      <c r="N1224" s="5" t="s">
        <v>42</v>
      </c>
      <c r="O1224" s="5" t="s">
        <v>98</v>
      </c>
      <c r="P1224" s="9"/>
      <c r="Q1224" s="5"/>
      <c r="R1224" s="5"/>
      <c r="S1224" s="5"/>
      <c r="T1224" s="9"/>
      <c r="U1224" s="5"/>
      <c r="V1224" s="5">
        <v>0</v>
      </c>
      <c r="W1224" s="5"/>
      <c r="X1224" s="5"/>
      <c r="Y1224" s="5"/>
      <c r="Z1224" s="5"/>
      <c r="AA1224" s="5" t="s">
        <v>62</v>
      </c>
      <c r="AC1224">
        <f t="shared" si="172"/>
        <v>18</v>
      </c>
      <c r="AD1224" t="str">
        <f t="shared" si="173"/>
        <v/>
      </c>
      <c r="AE1224" t="str">
        <f t="shared" si="174"/>
        <v/>
      </c>
      <c r="AF1224" t="str">
        <f t="shared" si="175"/>
        <v/>
      </c>
      <c r="AG1224" t="str">
        <f t="shared" si="176"/>
        <v/>
      </c>
      <c r="AH1224">
        <f t="shared" si="177"/>
        <v>2</v>
      </c>
      <c r="AI1224" t="str">
        <f t="shared" si="178"/>
        <v/>
      </c>
      <c r="AJ1224" t="str">
        <f t="shared" si="179"/>
        <v/>
      </c>
    </row>
    <row r="1225" spans="1:36">
      <c r="A1225" s="5">
        <v>1379</v>
      </c>
      <c r="B1225" s="5" t="s">
        <v>1003</v>
      </c>
      <c r="C1225" s="5" t="s">
        <v>796</v>
      </c>
      <c r="D1225" s="5" t="s">
        <v>957</v>
      </c>
      <c r="E1225" s="5" t="s">
        <v>388</v>
      </c>
      <c r="F1225" s="5" t="str">
        <f t="shared" si="171"/>
        <v>M and E-Extension Officer</v>
      </c>
      <c r="G1225" s="5" t="s">
        <v>40</v>
      </c>
      <c r="H1225" s="9">
        <v>44864.130648148152</v>
      </c>
      <c r="I1225" s="9">
        <v>44865.130648148152</v>
      </c>
      <c r="J1225" s="9" t="e">
        <f>I1225+#REF!</f>
        <v>#REF!</v>
      </c>
      <c r="K1225" s="9" t="e">
        <f>J1225+#REF!</f>
        <v>#REF!</v>
      </c>
      <c r="L1225" s="10" t="s">
        <v>41</v>
      </c>
      <c r="M1225" s="11">
        <v>44877.130648148152</v>
      </c>
      <c r="N1225" s="5" t="s">
        <v>42</v>
      </c>
      <c r="O1225" s="5" t="s">
        <v>58</v>
      </c>
      <c r="P1225" s="9"/>
      <c r="Q1225" s="5"/>
      <c r="R1225" s="5"/>
      <c r="S1225" s="5"/>
      <c r="T1225" s="9"/>
      <c r="U1225" s="5"/>
      <c r="V1225" s="5">
        <v>0</v>
      </c>
      <c r="W1225" s="5"/>
      <c r="X1225" s="5"/>
      <c r="Y1225" s="5"/>
      <c r="Z1225" s="5"/>
      <c r="AA1225" s="5" t="s">
        <v>62</v>
      </c>
      <c r="AC1225">
        <f t="shared" si="172"/>
        <v>12</v>
      </c>
      <c r="AD1225" t="str">
        <f t="shared" si="173"/>
        <v/>
      </c>
      <c r="AE1225" t="str">
        <f t="shared" si="174"/>
        <v/>
      </c>
      <c r="AF1225" t="str">
        <f t="shared" si="175"/>
        <v/>
      </c>
      <c r="AG1225" t="str">
        <f t="shared" si="176"/>
        <v/>
      </c>
      <c r="AH1225">
        <f t="shared" si="177"/>
        <v>1</v>
      </c>
      <c r="AI1225" t="str">
        <f t="shared" si="178"/>
        <v/>
      </c>
      <c r="AJ1225" t="str">
        <f t="shared" si="179"/>
        <v/>
      </c>
    </row>
    <row r="1226" spans="1:36">
      <c r="A1226" s="5">
        <v>1380</v>
      </c>
      <c r="B1226" s="5" t="s">
        <v>868</v>
      </c>
      <c r="C1226" s="5" t="s">
        <v>796</v>
      </c>
      <c r="D1226" s="5" t="s">
        <v>814</v>
      </c>
      <c r="E1226" s="5" t="s">
        <v>39</v>
      </c>
      <c r="F1226" s="5" t="str">
        <f t="shared" si="171"/>
        <v>M and E-Analyst</v>
      </c>
      <c r="G1226" s="5" t="s">
        <v>147</v>
      </c>
      <c r="H1226" s="9">
        <v>44861.130648148152</v>
      </c>
      <c r="I1226" s="9">
        <v>44865.130648148152</v>
      </c>
      <c r="J1226" s="9" t="e">
        <f>I1226+#REF!</f>
        <v>#REF!</v>
      </c>
      <c r="K1226" s="9" t="e">
        <f>J1226+#REF!</f>
        <v>#REF!</v>
      </c>
      <c r="L1226" s="10" t="s">
        <v>41</v>
      </c>
      <c r="M1226" s="11">
        <v>44870.130648148152</v>
      </c>
      <c r="N1226" s="5" t="s">
        <v>42</v>
      </c>
      <c r="O1226" s="5" t="s">
        <v>98</v>
      </c>
      <c r="P1226" s="9"/>
      <c r="Q1226" s="5"/>
      <c r="R1226" s="5"/>
      <c r="S1226" s="5"/>
      <c r="T1226" s="9"/>
      <c r="U1226" s="5"/>
      <c r="V1226" s="5">
        <v>0</v>
      </c>
      <c r="W1226" s="5"/>
      <c r="X1226" s="5"/>
      <c r="Y1226" s="5"/>
      <c r="Z1226" s="5"/>
      <c r="AA1226" s="5" t="s">
        <v>44</v>
      </c>
      <c r="AC1226">
        <f t="shared" si="172"/>
        <v>5</v>
      </c>
      <c r="AD1226" t="str">
        <f t="shared" si="173"/>
        <v/>
      </c>
      <c r="AE1226" t="str">
        <f t="shared" si="174"/>
        <v/>
      </c>
      <c r="AF1226" t="str">
        <f t="shared" si="175"/>
        <v/>
      </c>
      <c r="AG1226" t="str">
        <f t="shared" si="176"/>
        <v/>
      </c>
      <c r="AH1226">
        <f t="shared" si="177"/>
        <v>4</v>
      </c>
      <c r="AI1226" t="str">
        <f t="shared" si="178"/>
        <v/>
      </c>
      <c r="AJ1226" t="str">
        <f t="shared" si="179"/>
        <v/>
      </c>
    </row>
    <row r="1227" spans="1:36">
      <c r="A1227" s="5">
        <v>1381</v>
      </c>
      <c r="B1227" s="5" t="s">
        <v>127</v>
      </c>
      <c r="C1227" s="5" t="s">
        <v>100</v>
      </c>
      <c r="D1227" s="5" t="s">
        <v>101</v>
      </c>
      <c r="E1227" s="5" t="s">
        <v>102</v>
      </c>
      <c r="F1227" s="5" t="str">
        <f t="shared" si="171"/>
        <v>Program Office-Senior Manager</v>
      </c>
      <c r="G1227" s="5" t="s">
        <v>103</v>
      </c>
      <c r="H1227" s="9">
        <v>45043.733506944445</v>
      </c>
      <c r="I1227" s="9">
        <v>45045.733506944445</v>
      </c>
      <c r="J1227" s="9" t="e">
        <f>I1227+#REF!</f>
        <v>#REF!</v>
      </c>
      <c r="K1227" s="9" t="e">
        <f>J1227+#REF!</f>
        <v>#REF!</v>
      </c>
      <c r="L1227" s="10" t="s">
        <v>41</v>
      </c>
      <c r="M1227" s="11">
        <v>45050.733506944445</v>
      </c>
      <c r="N1227" s="5" t="s">
        <v>42</v>
      </c>
      <c r="O1227" s="5" t="s">
        <v>43</v>
      </c>
      <c r="P1227" s="9"/>
      <c r="Q1227" s="5"/>
      <c r="R1227" s="5"/>
      <c r="S1227" s="5"/>
      <c r="T1227" s="9">
        <v>45053.733506944445</v>
      </c>
      <c r="U1227" s="5"/>
      <c r="V1227" s="5">
        <v>0</v>
      </c>
      <c r="W1227" s="5"/>
      <c r="X1227" s="5"/>
      <c r="Y1227" s="5"/>
      <c r="Z1227" s="5"/>
      <c r="AA1227" s="5" t="s">
        <v>44</v>
      </c>
      <c r="AC1227">
        <f t="shared" si="172"/>
        <v>5</v>
      </c>
      <c r="AD1227" t="str">
        <f t="shared" si="173"/>
        <v/>
      </c>
      <c r="AE1227">
        <f t="shared" si="174"/>
        <v>3</v>
      </c>
      <c r="AF1227" t="str">
        <f t="shared" si="175"/>
        <v/>
      </c>
      <c r="AG1227" t="str">
        <f t="shared" si="176"/>
        <v/>
      </c>
      <c r="AH1227">
        <f t="shared" si="177"/>
        <v>2</v>
      </c>
      <c r="AI1227" t="str">
        <f t="shared" si="178"/>
        <v/>
      </c>
      <c r="AJ1227" t="str">
        <f t="shared" si="179"/>
        <v/>
      </c>
    </row>
    <row r="1228" spans="1:36">
      <c r="A1228" s="5">
        <v>1382</v>
      </c>
      <c r="B1228" s="5" t="s">
        <v>328</v>
      </c>
      <c r="C1228" s="5" t="s">
        <v>100</v>
      </c>
      <c r="D1228" s="5" t="s">
        <v>268</v>
      </c>
      <c r="E1228" s="5" t="s">
        <v>291</v>
      </c>
      <c r="F1228" s="5" t="str">
        <f t="shared" si="171"/>
        <v>Program Office-Cordination Manager</v>
      </c>
      <c r="G1228" s="5" t="s">
        <v>270</v>
      </c>
      <c r="H1228" s="9">
        <v>45042.733506944445</v>
      </c>
      <c r="I1228" s="9">
        <v>45045.733506944445</v>
      </c>
      <c r="J1228" s="9" t="e">
        <f>I1228+#REF!</f>
        <v>#REF!</v>
      </c>
      <c r="K1228" s="9" t="e">
        <f>J1228+#REF!</f>
        <v>#REF!</v>
      </c>
      <c r="L1228" s="10" t="s">
        <v>41</v>
      </c>
      <c r="M1228" s="11">
        <v>45053.733506944445</v>
      </c>
      <c r="N1228" s="5" t="s">
        <v>42</v>
      </c>
      <c r="O1228" s="5" t="s">
        <v>98</v>
      </c>
      <c r="P1228" s="9"/>
      <c r="Q1228" s="5"/>
      <c r="R1228" s="5"/>
      <c r="S1228" s="5"/>
      <c r="T1228" s="9">
        <v>45057.733506944445</v>
      </c>
      <c r="U1228" s="5"/>
      <c r="V1228" s="5">
        <v>0</v>
      </c>
      <c r="W1228" s="5"/>
      <c r="X1228" s="5"/>
      <c r="Y1228" s="5"/>
      <c r="Z1228" s="5"/>
      <c r="AA1228" s="5" t="s">
        <v>62</v>
      </c>
      <c r="AC1228">
        <f t="shared" si="172"/>
        <v>8</v>
      </c>
      <c r="AD1228" t="str">
        <f t="shared" si="173"/>
        <v/>
      </c>
      <c r="AE1228">
        <f t="shared" si="174"/>
        <v>4</v>
      </c>
      <c r="AF1228" t="str">
        <f t="shared" si="175"/>
        <v/>
      </c>
      <c r="AG1228" t="str">
        <f t="shared" si="176"/>
        <v/>
      </c>
      <c r="AH1228">
        <f t="shared" si="177"/>
        <v>3</v>
      </c>
      <c r="AI1228" t="str">
        <f t="shared" si="178"/>
        <v/>
      </c>
      <c r="AJ1228" t="str">
        <f t="shared" si="179"/>
        <v/>
      </c>
    </row>
    <row r="1229" spans="1:36">
      <c r="A1229" s="5">
        <v>1383</v>
      </c>
      <c r="B1229" s="5" t="s">
        <v>208</v>
      </c>
      <c r="C1229" s="5" t="s">
        <v>100</v>
      </c>
      <c r="D1229" s="5" t="s">
        <v>146</v>
      </c>
      <c r="E1229" s="5" t="s">
        <v>39</v>
      </c>
      <c r="F1229" s="5" t="str">
        <f t="shared" si="171"/>
        <v>Program Office-Analyst</v>
      </c>
      <c r="G1229" s="5" t="s">
        <v>147</v>
      </c>
      <c r="H1229" s="9">
        <v>45040.733506944445</v>
      </c>
      <c r="I1229" s="9">
        <v>45041.733506944445</v>
      </c>
      <c r="J1229" s="9" t="e">
        <f>I1229+#REF!</f>
        <v>#REF!</v>
      </c>
      <c r="K1229" s="9" t="e">
        <f>J1229+#REF!</f>
        <v>#REF!</v>
      </c>
      <c r="L1229" s="10" t="s">
        <v>41</v>
      </c>
      <c r="M1229" s="11">
        <v>45060.733506944445</v>
      </c>
      <c r="N1229" s="5" t="s">
        <v>64</v>
      </c>
      <c r="O1229" s="5"/>
      <c r="P1229" s="9">
        <v>45064.733506944445</v>
      </c>
      <c r="Q1229" s="5" t="s">
        <v>64</v>
      </c>
      <c r="R1229" s="9">
        <v>45061.733506944445</v>
      </c>
      <c r="S1229" s="9">
        <v>45064.733506944445</v>
      </c>
      <c r="T1229" s="9">
        <v>45063.733506944445</v>
      </c>
      <c r="U1229" s="9">
        <v>45065.733506944445</v>
      </c>
      <c r="V1229" s="12">
        <v>1</v>
      </c>
      <c r="W1229" s="9">
        <v>45067.733506944445</v>
      </c>
      <c r="X1229" s="9">
        <v>45069.733506944445</v>
      </c>
      <c r="Y1229" s="9">
        <v>45072.733506944445</v>
      </c>
      <c r="Z1229" s="5"/>
      <c r="AA1229" s="5"/>
      <c r="AB1229" s="13">
        <v>45089.733506944445</v>
      </c>
      <c r="AC1229">
        <f t="shared" si="172"/>
        <v>19</v>
      </c>
      <c r="AD1229">
        <f t="shared" si="173"/>
        <v>23</v>
      </c>
      <c r="AE1229">
        <f t="shared" si="174"/>
        <v>3</v>
      </c>
      <c r="AF1229">
        <f t="shared" si="175"/>
        <v>4</v>
      </c>
      <c r="AG1229">
        <f t="shared" si="176"/>
        <v>2</v>
      </c>
      <c r="AH1229">
        <f t="shared" si="177"/>
        <v>1</v>
      </c>
      <c r="AI1229" t="str">
        <f t="shared" si="178"/>
        <v/>
      </c>
      <c r="AJ1229" t="str">
        <f t="shared" si="179"/>
        <v/>
      </c>
    </row>
    <row r="1230" spans="1:36">
      <c r="A1230" s="5">
        <v>1385</v>
      </c>
      <c r="B1230" s="5" t="s">
        <v>126</v>
      </c>
      <c r="C1230" s="5" t="s">
        <v>100</v>
      </c>
      <c r="D1230" s="5" t="s">
        <v>101</v>
      </c>
      <c r="E1230" s="5" t="s">
        <v>102</v>
      </c>
      <c r="F1230" s="5" t="str">
        <f t="shared" si="171"/>
        <v>Program Office-Senior Manager</v>
      </c>
      <c r="G1230" s="5" t="s">
        <v>103</v>
      </c>
      <c r="H1230" s="9">
        <v>45042.733506944445</v>
      </c>
      <c r="I1230" s="9">
        <v>45043.733506944445</v>
      </c>
      <c r="J1230" s="9" t="e">
        <f>I1230+#REF!</f>
        <v>#REF!</v>
      </c>
      <c r="K1230" s="9" t="e">
        <f>J1230+#REF!</f>
        <v>#REF!</v>
      </c>
      <c r="L1230" s="10" t="s">
        <v>41</v>
      </c>
      <c r="M1230" s="11">
        <v>45055.733506944445</v>
      </c>
      <c r="N1230" s="5" t="s">
        <v>42</v>
      </c>
      <c r="O1230" s="5" t="s">
        <v>113</v>
      </c>
      <c r="P1230" s="9"/>
      <c r="Q1230" s="5"/>
      <c r="R1230" s="5"/>
      <c r="S1230" s="5"/>
      <c r="T1230" s="9">
        <v>45059.733506944445</v>
      </c>
      <c r="U1230" s="5"/>
      <c r="V1230" s="5">
        <v>0</v>
      </c>
      <c r="W1230" s="5"/>
      <c r="X1230" s="5"/>
      <c r="Y1230" s="5"/>
      <c r="Z1230" s="5"/>
      <c r="AA1230" s="5" t="s">
        <v>44</v>
      </c>
      <c r="AC1230">
        <f t="shared" si="172"/>
        <v>12</v>
      </c>
      <c r="AD1230" t="str">
        <f t="shared" si="173"/>
        <v/>
      </c>
      <c r="AE1230">
        <f t="shared" si="174"/>
        <v>4</v>
      </c>
      <c r="AF1230" t="str">
        <f t="shared" si="175"/>
        <v/>
      </c>
      <c r="AG1230" t="str">
        <f t="shared" si="176"/>
        <v/>
      </c>
      <c r="AH1230">
        <f t="shared" si="177"/>
        <v>1</v>
      </c>
      <c r="AI1230" t="str">
        <f t="shared" si="178"/>
        <v/>
      </c>
      <c r="AJ1230" t="str">
        <f t="shared" si="179"/>
        <v/>
      </c>
    </row>
    <row r="1231" spans="1:36">
      <c r="A1231" s="5">
        <v>1387</v>
      </c>
      <c r="B1231" s="5" t="s">
        <v>454</v>
      </c>
      <c r="C1231" s="5" t="s">
        <v>100</v>
      </c>
      <c r="D1231" s="5" t="s">
        <v>387</v>
      </c>
      <c r="E1231" s="5" t="s">
        <v>388</v>
      </c>
      <c r="F1231" s="5" t="str">
        <f t="shared" si="171"/>
        <v>Program Office-Extension Officer</v>
      </c>
      <c r="G1231" s="5" t="s">
        <v>40</v>
      </c>
      <c r="H1231" s="9">
        <v>45040.733506944445</v>
      </c>
      <c r="I1231" s="9">
        <v>45042.733506944445</v>
      </c>
      <c r="J1231" s="9" t="e">
        <f>I1231+#REF!</f>
        <v>#REF!</v>
      </c>
      <c r="K1231" s="9" t="e">
        <f>J1231+#REF!</f>
        <v>#REF!</v>
      </c>
      <c r="L1231" s="10" t="s">
        <v>41</v>
      </c>
      <c r="M1231" s="11">
        <v>45053.733506944445</v>
      </c>
      <c r="N1231" s="5" t="s">
        <v>42</v>
      </c>
      <c r="O1231" s="5" t="s">
        <v>58</v>
      </c>
      <c r="P1231" s="9"/>
      <c r="Q1231" s="5"/>
      <c r="R1231" s="5"/>
      <c r="S1231" s="5"/>
      <c r="T1231" s="9"/>
      <c r="U1231" s="5"/>
      <c r="V1231" s="5">
        <v>0</v>
      </c>
      <c r="W1231" s="5"/>
      <c r="X1231" s="5"/>
      <c r="Y1231" s="5"/>
      <c r="Z1231" s="5"/>
      <c r="AA1231" s="5" t="s">
        <v>44</v>
      </c>
      <c r="AC1231">
        <f t="shared" si="172"/>
        <v>11</v>
      </c>
      <c r="AD1231" t="str">
        <f t="shared" si="173"/>
        <v/>
      </c>
      <c r="AE1231" t="str">
        <f t="shared" si="174"/>
        <v/>
      </c>
      <c r="AF1231" t="str">
        <f t="shared" si="175"/>
        <v/>
      </c>
      <c r="AG1231" t="str">
        <f t="shared" si="176"/>
        <v/>
      </c>
      <c r="AH1231">
        <f t="shared" si="177"/>
        <v>2</v>
      </c>
      <c r="AI1231" t="str">
        <f t="shared" si="178"/>
        <v/>
      </c>
      <c r="AJ1231" t="str">
        <f t="shared" si="179"/>
        <v/>
      </c>
    </row>
    <row r="1232" spans="1:36">
      <c r="A1232" s="5">
        <v>1392</v>
      </c>
      <c r="B1232" s="5" t="s">
        <v>2038</v>
      </c>
      <c r="C1232" s="5" t="s">
        <v>1540</v>
      </c>
      <c r="D1232" s="5" t="s">
        <v>1985</v>
      </c>
      <c r="E1232" s="5" t="s">
        <v>1862</v>
      </c>
      <c r="F1232" s="5" t="str">
        <f t="shared" si="171"/>
        <v>Finance-Billing Officer</v>
      </c>
      <c r="G1232" s="5" t="s">
        <v>47</v>
      </c>
      <c r="H1232" s="9">
        <v>44792.359849537039</v>
      </c>
      <c r="I1232" s="9">
        <v>44795.359849537039</v>
      </c>
      <c r="J1232" s="9" t="e">
        <f>I1232+#REF!</f>
        <v>#REF!</v>
      </c>
      <c r="K1232" s="9" t="e">
        <f>J1232+#REF!</f>
        <v>#REF!</v>
      </c>
      <c r="L1232" s="10" t="s">
        <v>41</v>
      </c>
      <c r="M1232" s="11">
        <v>44802.359849537039</v>
      </c>
      <c r="N1232" s="5" t="s">
        <v>48</v>
      </c>
      <c r="O1232" s="5"/>
      <c r="P1232" s="9">
        <v>44807.359849537039</v>
      </c>
      <c r="Q1232" s="5" t="s">
        <v>48</v>
      </c>
      <c r="R1232" s="5"/>
      <c r="S1232" s="5"/>
      <c r="T1232" s="9">
        <v>44805.359849537039</v>
      </c>
      <c r="U1232" s="5"/>
      <c r="V1232" s="5">
        <v>0</v>
      </c>
      <c r="W1232" s="5"/>
      <c r="X1232" s="5"/>
      <c r="Y1232" s="5"/>
      <c r="Z1232" s="5"/>
      <c r="AA1232" s="5"/>
      <c r="AC1232">
        <f t="shared" si="172"/>
        <v>7</v>
      </c>
      <c r="AD1232" t="str">
        <f t="shared" si="173"/>
        <v/>
      </c>
      <c r="AE1232">
        <f t="shared" si="174"/>
        <v>3</v>
      </c>
      <c r="AF1232" t="str">
        <f t="shared" si="175"/>
        <v/>
      </c>
      <c r="AG1232" t="str">
        <f t="shared" si="176"/>
        <v/>
      </c>
      <c r="AH1232">
        <f t="shared" si="177"/>
        <v>3</v>
      </c>
      <c r="AI1232" t="str">
        <f t="shared" si="178"/>
        <v/>
      </c>
      <c r="AJ1232" t="str">
        <f t="shared" si="179"/>
        <v/>
      </c>
    </row>
    <row r="1233" spans="1:36">
      <c r="A1233" s="5">
        <v>1393</v>
      </c>
      <c r="B1233" s="5" t="s">
        <v>1765</v>
      </c>
      <c r="C1233" s="5" t="s">
        <v>1540</v>
      </c>
      <c r="D1233" s="5" t="s">
        <v>1706</v>
      </c>
      <c r="E1233" s="5" t="s">
        <v>269</v>
      </c>
      <c r="F1233" s="5" t="str">
        <f t="shared" si="171"/>
        <v>Finance-Manager</v>
      </c>
      <c r="G1233" s="5" t="s">
        <v>270</v>
      </c>
      <c r="H1233" s="9">
        <v>44790.359849537039</v>
      </c>
      <c r="I1233" s="9">
        <v>44791.359849537039</v>
      </c>
      <c r="J1233" s="9" t="e">
        <f>I1233+#REF!</f>
        <v>#REF!</v>
      </c>
      <c r="K1233" s="9" t="e">
        <f>J1233+#REF!</f>
        <v>#REF!</v>
      </c>
      <c r="L1233" s="10" t="s">
        <v>41</v>
      </c>
      <c r="M1233" s="11">
        <v>44802.359849537039</v>
      </c>
      <c r="N1233" s="5" t="s">
        <v>64</v>
      </c>
      <c r="O1233" s="5"/>
      <c r="P1233" s="9">
        <v>44810.359849537039</v>
      </c>
      <c r="Q1233" s="5" t="s">
        <v>64</v>
      </c>
      <c r="R1233" s="9">
        <v>44803.359849537039</v>
      </c>
      <c r="S1233" s="9">
        <v>44807.359849537039</v>
      </c>
      <c r="T1233" s="9">
        <v>44806.359849537039</v>
      </c>
      <c r="U1233" s="9">
        <v>44808.359849537039</v>
      </c>
      <c r="V1233" s="12">
        <v>1</v>
      </c>
      <c r="W1233" s="9">
        <v>44812.359849537039</v>
      </c>
      <c r="X1233" s="9">
        <v>44814.359849537039</v>
      </c>
      <c r="Y1233" s="9">
        <v>44816.359849537039</v>
      </c>
      <c r="Z1233" s="5"/>
      <c r="AA1233" s="5"/>
      <c r="AB1233" s="13">
        <v>44830.359849537039</v>
      </c>
      <c r="AC1233">
        <f t="shared" si="172"/>
        <v>11</v>
      </c>
      <c r="AD1233">
        <f t="shared" si="173"/>
        <v>16</v>
      </c>
      <c r="AE1233">
        <f t="shared" si="174"/>
        <v>4</v>
      </c>
      <c r="AF1233">
        <f t="shared" si="175"/>
        <v>6</v>
      </c>
      <c r="AG1233">
        <f t="shared" si="176"/>
        <v>4</v>
      </c>
      <c r="AH1233">
        <f t="shared" si="177"/>
        <v>1</v>
      </c>
      <c r="AI1233" t="str">
        <f t="shared" si="178"/>
        <v/>
      </c>
      <c r="AJ1233" t="str">
        <f t="shared" si="179"/>
        <v/>
      </c>
    </row>
    <row r="1234" spans="1:36">
      <c r="A1234" s="5">
        <v>1394</v>
      </c>
      <c r="B1234" s="5" t="s">
        <v>1764</v>
      </c>
      <c r="C1234" s="5" t="s">
        <v>1540</v>
      </c>
      <c r="D1234" s="5" t="s">
        <v>1706</v>
      </c>
      <c r="E1234" s="5" t="s">
        <v>269</v>
      </c>
      <c r="F1234" s="5" t="str">
        <f t="shared" si="171"/>
        <v>Finance-Manager</v>
      </c>
      <c r="G1234" s="5" t="s">
        <v>270</v>
      </c>
      <c r="H1234" s="9">
        <v>44791.359849537039</v>
      </c>
      <c r="I1234" s="9">
        <v>44794.359849537039</v>
      </c>
      <c r="J1234" s="9" t="e">
        <f>I1234+#REF!</f>
        <v>#REF!</v>
      </c>
      <c r="K1234" s="9" t="e">
        <f>J1234+#REF!</f>
        <v>#REF!</v>
      </c>
      <c r="L1234" s="10" t="s">
        <v>41</v>
      </c>
      <c r="M1234" s="11">
        <v>44811.359849537039</v>
      </c>
      <c r="N1234" s="5" t="s">
        <v>64</v>
      </c>
      <c r="O1234" s="5"/>
      <c r="P1234" s="9">
        <v>44816.359849537039</v>
      </c>
      <c r="Q1234" s="5" t="s">
        <v>64</v>
      </c>
      <c r="R1234" s="9">
        <v>44813.359849537039</v>
      </c>
      <c r="S1234" s="9">
        <v>44815.359849537039</v>
      </c>
      <c r="T1234" s="9">
        <v>44812.359849537039</v>
      </c>
      <c r="U1234" s="9">
        <v>44813.359849537039</v>
      </c>
      <c r="V1234" s="12">
        <v>1</v>
      </c>
      <c r="W1234" s="9">
        <v>44816.359849537039</v>
      </c>
      <c r="X1234" s="9">
        <v>44819.359849537039</v>
      </c>
      <c r="Y1234" s="9">
        <v>44820.359849537039</v>
      </c>
      <c r="Z1234" s="5"/>
      <c r="AA1234" s="5"/>
      <c r="AB1234" s="13">
        <v>44839.359849537039</v>
      </c>
      <c r="AC1234">
        <f t="shared" si="172"/>
        <v>17</v>
      </c>
      <c r="AD1234">
        <f t="shared" si="173"/>
        <v>21</v>
      </c>
      <c r="AE1234">
        <f t="shared" si="174"/>
        <v>1</v>
      </c>
      <c r="AF1234">
        <f t="shared" si="175"/>
        <v>6</v>
      </c>
      <c r="AG1234">
        <f t="shared" si="176"/>
        <v>3</v>
      </c>
      <c r="AH1234">
        <f t="shared" si="177"/>
        <v>3</v>
      </c>
      <c r="AI1234" t="str">
        <f t="shared" si="178"/>
        <v/>
      </c>
      <c r="AJ1234" t="str">
        <f t="shared" si="179"/>
        <v/>
      </c>
    </row>
    <row r="1235" spans="1:36">
      <c r="A1235" s="5">
        <v>1396</v>
      </c>
      <c r="B1235" s="5" t="s">
        <v>1646</v>
      </c>
      <c r="C1235" s="5" t="s">
        <v>1540</v>
      </c>
      <c r="D1235" s="5" t="s">
        <v>1588</v>
      </c>
      <c r="E1235" s="5" t="s">
        <v>1360</v>
      </c>
      <c r="F1235" s="5" t="str">
        <f t="shared" si="171"/>
        <v>Finance-Fund Administrator</v>
      </c>
      <c r="G1235" s="5" t="s">
        <v>147</v>
      </c>
      <c r="H1235" s="9">
        <v>44789.359849537039</v>
      </c>
      <c r="I1235" s="9">
        <v>44790.359849537039</v>
      </c>
      <c r="J1235" s="9" t="e">
        <f>I1235+#REF!</f>
        <v>#REF!</v>
      </c>
      <c r="K1235" s="9" t="e">
        <f>J1235+#REF!</f>
        <v>#REF!</v>
      </c>
      <c r="L1235" s="10" t="s">
        <v>52</v>
      </c>
      <c r="M1235" s="11"/>
      <c r="N1235" s="5"/>
      <c r="O1235" s="5"/>
      <c r="P1235" s="9"/>
      <c r="Q1235" s="5"/>
      <c r="R1235" s="5"/>
      <c r="S1235" s="5"/>
      <c r="T1235" s="9"/>
      <c r="U1235" s="5"/>
      <c r="V1235" s="5">
        <v>0</v>
      </c>
      <c r="W1235" s="5"/>
      <c r="X1235" s="5"/>
      <c r="Y1235" s="5"/>
      <c r="Z1235" s="5"/>
      <c r="AA1235" s="5"/>
      <c r="AC1235" t="str">
        <f t="shared" si="172"/>
        <v/>
      </c>
      <c r="AD1235" t="str">
        <f t="shared" si="173"/>
        <v/>
      </c>
      <c r="AE1235" t="str">
        <f t="shared" si="174"/>
        <v/>
      </c>
      <c r="AF1235" t="str">
        <f t="shared" si="175"/>
        <v/>
      </c>
      <c r="AG1235" t="str">
        <f t="shared" si="176"/>
        <v/>
      </c>
      <c r="AH1235">
        <f t="shared" si="177"/>
        <v>1</v>
      </c>
      <c r="AI1235" t="str">
        <f t="shared" si="178"/>
        <v/>
      </c>
      <c r="AJ1235" t="str">
        <f t="shared" si="179"/>
        <v/>
      </c>
    </row>
    <row r="1236" spans="1:36">
      <c r="A1236" s="5">
        <v>1397</v>
      </c>
      <c r="B1236" s="5" t="s">
        <v>1763</v>
      </c>
      <c r="C1236" s="5" t="s">
        <v>1540</v>
      </c>
      <c r="D1236" s="5" t="s">
        <v>1706</v>
      </c>
      <c r="E1236" s="5" t="s">
        <v>269</v>
      </c>
      <c r="F1236" s="5" t="str">
        <f t="shared" si="171"/>
        <v>Finance-Manager</v>
      </c>
      <c r="G1236" s="5" t="s">
        <v>270</v>
      </c>
      <c r="H1236" s="9">
        <v>44789.359849537039</v>
      </c>
      <c r="I1236" s="9">
        <v>44790.359849537039</v>
      </c>
      <c r="J1236" s="9" t="e">
        <f>I1236+#REF!</f>
        <v>#REF!</v>
      </c>
      <c r="K1236" s="9" t="e">
        <f>J1236+#REF!</f>
        <v>#REF!</v>
      </c>
      <c r="L1236" s="10" t="s">
        <v>41</v>
      </c>
      <c r="M1236" s="11">
        <v>44810.359849537039</v>
      </c>
      <c r="N1236" s="5" t="s">
        <v>64</v>
      </c>
      <c r="O1236" s="5"/>
      <c r="P1236" s="9">
        <v>44813.359849537039</v>
      </c>
      <c r="Q1236" s="5" t="s">
        <v>64</v>
      </c>
      <c r="R1236" s="9">
        <v>44811.359849537039</v>
      </c>
      <c r="S1236" s="9">
        <v>44815.359849537039</v>
      </c>
      <c r="T1236" s="9">
        <v>44812.359849537039</v>
      </c>
      <c r="U1236" s="9">
        <v>44818.359849537039</v>
      </c>
      <c r="V1236" s="12">
        <v>1</v>
      </c>
      <c r="W1236" s="9">
        <v>44822.359849537039</v>
      </c>
      <c r="X1236" s="9">
        <v>44825.359849537039</v>
      </c>
      <c r="Y1236" s="9">
        <v>44828.359849537039</v>
      </c>
      <c r="Z1236" s="5"/>
      <c r="AA1236" s="5"/>
      <c r="AB1236" s="13">
        <v>44843.359849537039</v>
      </c>
      <c r="AC1236">
        <f t="shared" si="172"/>
        <v>20</v>
      </c>
      <c r="AD1236">
        <f t="shared" si="173"/>
        <v>25</v>
      </c>
      <c r="AE1236">
        <f t="shared" si="174"/>
        <v>2</v>
      </c>
      <c r="AF1236">
        <f t="shared" si="175"/>
        <v>7</v>
      </c>
      <c r="AG1236">
        <f t="shared" si="176"/>
        <v>4</v>
      </c>
      <c r="AH1236">
        <f t="shared" si="177"/>
        <v>1</v>
      </c>
      <c r="AI1236" t="str">
        <f t="shared" si="178"/>
        <v/>
      </c>
      <c r="AJ1236" t="str">
        <f t="shared" si="179"/>
        <v/>
      </c>
    </row>
    <row r="1237" spans="1:36">
      <c r="A1237" s="5">
        <v>1399</v>
      </c>
      <c r="B1237" s="5" t="s">
        <v>1762</v>
      </c>
      <c r="C1237" s="5" t="s">
        <v>1540</v>
      </c>
      <c r="D1237" s="5" t="s">
        <v>1706</v>
      </c>
      <c r="E1237" s="5" t="s">
        <v>269</v>
      </c>
      <c r="F1237" s="5" t="str">
        <f t="shared" si="171"/>
        <v>Finance-Manager</v>
      </c>
      <c r="G1237" s="5" t="s">
        <v>270</v>
      </c>
      <c r="H1237" s="9">
        <v>44788.359849537039</v>
      </c>
      <c r="I1237" s="9">
        <v>44791.359849537039</v>
      </c>
      <c r="J1237" s="9" t="e">
        <f>I1237+#REF!</f>
        <v>#REF!</v>
      </c>
      <c r="K1237" s="9" t="e">
        <f>J1237+#REF!</f>
        <v>#REF!</v>
      </c>
      <c r="L1237" s="10" t="s">
        <v>41</v>
      </c>
      <c r="M1237" s="11">
        <v>44801.359849537039</v>
      </c>
      <c r="N1237" s="5" t="s">
        <v>64</v>
      </c>
      <c r="O1237" s="5"/>
      <c r="P1237" s="9">
        <v>44803.359849537039</v>
      </c>
      <c r="Q1237" s="5" t="s">
        <v>64</v>
      </c>
      <c r="R1237" s="9">
        <v>44803.359849537039</v>
      </c>
      <c r="S1237" s="9">
        <v>44804.359849537039</v>
      </c>
      <c r="T1237" s="9">
        <v>44802.359849537039</v>
      </c>
      <c r="U1237" s="9">
        <v>44811.359849537039</v>
      </c>
      <c r="V1237" s="12">
        <v>1</v>
      </c>
      <c r="W1237" s="9">
        <v>44812.359849537039</v>
      </c>
      <c r="X1237" s="9">
        <v>44813.359849537039</v>
      </c>
      <c r="Y1237" s="9">
        <v>44815.359849537039</v>
      </c>
      <c r="Z1237" s="5"/>
      <c r="AA1237" s="5"/>
      <c r="AB1237" s="13">
        <v>44829.359849537039</v>
      </c>
      <c r="AC1237">
        <f t="shared" si="172"/>
        <v>10</v>
      </c>
      <c r="AD1237">
        <f t="shared" si="173"/>
        <v>13</v>
      </c>
      <c r="AE1237">
        <f t="shared" si="174"/>
        <v>1</v>
      </c>
      <c r="AF1237">
        <f t="shared" si="175"/>
        <v>2</v>
      </c>
      <c r="AG1237">
        <f t="shared" si="176"/>
        <v>1</v>
      </c>
      <c r="AH1237">
        <f t="shared" si="177"/>
        <v>3</v>
      </c>
      <c r="AI1237" t="str">
        <f t="shared" si="178"/>
        <v/>
      </c>
      <c r="AJ1237" t="str">
        <f t="shared" si="179"/>
        <v/>
      </c>
    </row>
    <row r="1238" spans="1:36">
      <c r="A1238" s="5">
        <v>1400</v>
      </c>
      <c r="B1238" s="5" t="s">
        <v>1645</v>
      </c>
      <c r="C1238" s="5" t="s">
        <v>1540</v>
      </c>
      <c r="D1238" s="5" t="s">
        <v>1588</v>
      </c>
      <c r="E1238" s="5" t="s">
        <v>1360</v>
      </c>
      <c r="F1238" s="5" t="str">
        <f t="shared" si="171"/>
        <v>Finance-Fund Administrator</v>
      </c>
      <c r="G1238" s="5" t="s">
        <v>147</v>
      </c>
      <c r="H1238" s="9">
        <v>44787.359849537039</v>
      </c>
      <c r="I1238" s="9">
        <v>44790.359849537039</v>
      </c>
      <c r="J1238" s="9" t="e">
        <f>I1238+#REF!</f>
        <v>#REF!</v>
      </c>
      <c r="K1238" s="9" t="e">
        <f>J1238+#REF!</f>
        <v>#REF!</v>
      </c>
      <c r="L1238" s="10" t="s">
        <v>41</v>
      </c>
      <c r="M1238" s="11">
        <v>44806.359849537039</v>
      </c>
      <c r="N1238" s="5" t="s">
        <v>48</v>
      </c>
      <c r="O1238" s="5"/>
      <c r="P1238" s="9">
        <v>44813.359849537039</v>
      </c>
      <c r="Q1238" s="5" t="s">
        <v>48</v>
      </c>
      <c r="R1238" s="5"/>
      <c r="S1238" s="5"/>
      <c r="T1238" s="9">
        <v>44809.359849537039</v>
      </c>
      <c r="U1238" s="5"/>
      <c r="V1238" s="5">
        <v>0</v>
      </c>
      <c r="W1238" s="5"/>
      <c r="X1238" s="5"/>
      <c r="Y1238" s="5"/>
      <c r="Z1238" s="5"/>
      <c r="AA1238" s="5"/>
      <c r="AC1238">
        <f t="shared" si="172"/>
        <v>16</v>
      </c>
      <c r="AD1238" t="str">
        <f t="shared" si="173"/>
        <v/>
      </c>
      <c r="AE1238">
        <f t="shared" si="174"/>
        <v>3</v>
      </c>
      <c r="AF1238" t="str">
        <f t="shared" si="175"/>
        <v/>
      </c>
      <c r="AG1238" t="str">
        <f t="shared" si="176"/>
        <v/>
      </c>
      <c r="AH1238">
        <f t="shared" si="177"/>
        <v>3</v>
      </c>
      <c r="AI1238" t="str">
        <f t="shared" si="178"/>
        <v/>
      </c>
      <c r="AJ1238" t="str">
        <f t="shared" si="179"/>
        <v/>
      </c>
    </row>
    <row r="1239" spans="1:36">
      <c r="A1239" s="5">
        <v>1401</v>
      </c>
      <c r="B1239" s="5" t="s">
        <v>453</v>
      </c>
      <c r="C1239" s="5" t="s">
        <v>100</v>
      </c>
      <c r="D1239" s="5" t="s">
        <v>387</v>
      </c>
      <c r="E1239" s="5" t="s">
        <v>388</v>
      </c>
      <c r="F1239" s="5" t="str">
        <f t="shared" si="171"/>
        <v>Program Office-Extension Officer</v>
      </c>
      <c r="G1239" s="5" t="s">
        <v>40</v>
      </c>
      <c r="H1239" s="9">
        <v>44612.306493055556</v>
      </c>
      <c r="I1239" s="9">
        <v>44614.306493055556</v>
      </c>
      <c r="J1239" s="9" t="e">
        <f>I1239+#REF!</f>
        <v>#REF!</v>
      </c>
      <c r="K1239" s="9" t="e">
        <f>J1239+#REF!</f>
        <v>#REF!</v>
      </c>
      <c r="L1239" s="10" t="s">
        <v>41</v>
      </c>
      <c r="M1239" s="11">
        <v>44636.306493055556</v>
      </c>
      <c r="N1239" s="5" t="s">
        <v>48</v>
      </c>
      <c r="O1239" s="5"/>
      <c r="P1239" s="9">
        <v>44640.306493055556</v>
      </c>
      <c r="Q1239" s="5" t="s">
        <v>48</v>
      </c>
      <c r="R1239" s="5"/>
      <c r="S1239" s="5"/>
      <c r="T1239" s="9">
        <v>44638.306493055556</v>
      </c>
      <c r="U1239" s="5"/>
      <c r="V1239" s="5">
        <v>0</v>
      </c>
      <c r="W1239" s="5"/>
      <c r="X1239" s="5"/>
      <c r="Y1239" s="5"/>
      <c r="Z1239" s="5"/>
      <c r="AA1239" s="5"/>
      <c r="AC1239">
        <f t="shared" si="172"/>
        <v>22</v>
      </c>
      <c r="AD1239" t="str">
        <f t="shared" si="173"/>
        <v/>
      </c>
      <c r="AE1239">
        <f t="shared" si="174"/>
        <v>2</v>
      </c>
      <c r="AF1239" t="str">
        <f t="shared" si="175"/>
        <v/>
      </c>
      <c r="AG1239" t="str">
        <f t="shared" si="176"/>
        <v/>
      </c>
      <c r="AH1239">
        <f t="shared" si="177"/>
        <v>2</v>
      </c>
      <c r="AI1239" t="str">
        <f t="shared" si="178"/>
        <v/>
      </c>
      <c r="AJ1239" t="str">
        <f t="shared" si="179"/>
        <v/>
      </c>
    </row>
    <row r="1240" spans="1:36">
      <c r="A1240" s="5">
        <v>1402</v>
      </c>
      <c r="B1240" s="5" t="s">
        <v>207</v>
      </c>
      <c r="C1240" s="5" t="s">
        <v>100</v>
      </c>
      <c r="D1240" s="5" t="s">
        <v>146</v>
      </c>
      <c r="E1240" s="5" t="s">
        <v>39</v>
      </c>
      <c r="F1240" s="5" t="str">
        <f t="shared" si="171"/>
        <v>Program Office-Analyst</v>
      </c>
      <c r="G1240" s="5" t="s">
        <v>147</v>
      </c>
      <c r="H1240" s="9">
        <v>44616.306493055556</v>
      </c>
      <c r="I1240" s="9">
        <v>44618.306493055556</v>
      </c>
      <c r="J1240" s="9" t="e">
        <f>I1240+#REF!</f>
        <v>#REF!</v>
      </c>
      <c r="K1240" s="9" t="e">
        <f>J1240+#REF!</f>
        <v>#REF!</v>
      </c>
      <c r="L1240" s="10" t="s">
        <v>41</v>
      </c>
      <c r="M1240" s="11">
        <v>44629.306493055556</v>
      </c>
      <c r="N1240" s="5" t="s">
        <v>64</v>
      </c>
      <c r="O1240" s="5"/>
      <c r="P1240" s="9">
        <v>44633.306493055556</v>
      </c>
      <c r="Q1240" s="5" t="s">
        <v>64</v>
      </c>
      <c r="R1240" s="9">
        <v>44631.306493055556</v>
      </c>
      <c r="S1240" s="9">
        <v>44634.306493055556</v>
      </c>
      <c r="T1240" s="9">
        <v>44632.306493055556</v>
      </c>
      <c r="U1240" s="9">
        <v>44634.306493055556</v>
      </c>
      <c r="V1240" s="12">
        <v>1</v>
      </c>
      <c r="W1240" s="9">
        <v>44636.306493055556</v>
      </c>
      <c r="X1240" s="9">
        <v>44639.306493055556</v>
      </c>
      <c r="Y1240" s="9">
        <v>44641.306493055556</v>
      </c>
      <c r="Z1240" s="5"/>
      <c r="AA1240" s="5"/>
      <c r="AB1240" s="13">
        <v>44660.306493055556</v>
      </c>
      <c r="AC1240">
        <f t="shared" si="172"/>
        <v>11</v>
      </c>
      <c r="AD1240">
        <f t="shared" si="173"/>
        <v>16</v>
      </c>
      <c r="AE1240">
        <f t="shared" si="174"/>
        <v>3</v>
      </c>
      <c r="AF1240">
        <f t="shared" si="175"/>
        <v>5</v>
      </c>
      <c r="AG1240">
        <f t="shared" si="176"/>
        <v>2</v>
      </c>
      <c r="AH1240">
        <f t="shared" si="177"/>
        <v>2</v>
      </c>
      <c r="AI1240" t="str">
        <f t="shared" si="178"/>
        <v/>
      </c>
      <c r="AJ1240" t="str">
        <f t="shared" si="179"/>
        <v/>
      </c>
    </row>
    <row r="1241" spans="1:36">
      <c r="A1241" s="5">
        <v>1403</v>
      </c>
      <c r="B1241" s="5" t="s">
        <v>206</v>
      </c>
      <c r="C1241" s="5" t="s">
        <v>100</v>
      </c>
      <c r="D1241" s="5" t="s">
        <v>146</v>
      </c>
      <c r="E1241" s="5" t="s">
        <v>39</v>
      </c>
      <c r="F1241" s="5" t="str">
        <f t="shared" si="171"/>
        <v>Program Office-Analyst</v>
      </c>
      <c r="G1241" s="5" t="s">
        <v>147</v>
      </c>
      <c r="H1241" s="9">
        <v>44615.306493055556</v>
      </c>
      <c r="I1241" s="9">
        <v>44616.306493055556</v>
      </c>
      <c r="J1241" s="9" t="e">
        <f>I1241+#REF!</f>
        <v>#REF!</v>
      </c>
      <c r="K1241" s="9" t="e">
        <f>J1241+#REF!</f>
        <v>#REF!</v>
      </c>
      <c r="L1241" s="10" t="s">
        <v>41</v>
      </c>
      <c r="M1241" s="11">
        <v>44635.306493055556</v>
      </c>
      <c r="N1241" s="5" t="s">
        <v>42</v>
      </c>
      <c r="O1241" s="5" t="s">
        <v>43</v>
      </c>
      <c r="P1241" s="9"/>
      <c r="Q1241" s="5"/>
      <c r="R1241" s="5"/>
      <c r="S1241" s="5"/>
      <c r="T1241" s="9"/>
      <c r="U1241" s="5"/>
      <c r="V1241" s="5">
        <v>0</v>
      </c>
      <c r="W1241" s="5"/>
      <c r="X1241" s="5"/>
      <c r="Y1241" s="5"/>
      <c r="Z1241" s="5"/>
      <c r="AA1241" s="5" t="s">
        <v>44</v>
      </c>
      <c r="AC1241">
        <f t="shared" si="172"/>
        <v>19</v>
      </c>
      <c r="AD1241" t="str">
        <f t="shared" si="173"/>
        <v/>
      </c>
      <c r="AE1241" t="str">
        <f t="shared" si="174"/>
        <v/>
      </c>
      <c r="AF1241" t="str">
        <f t="shared" si="175"/>
        <v/>
      </c>
      <c r="AG1241" t="str">
        <f t="shared" si="176"/>
        <v/>
      </c>
      <c r="AH1241">
        <f t="shared" si="177"/>
        <v>1</v>
      </c>
      <c r="AI1241" t="str">
        <f t="shared" si="178"/>
        <v/>
      </c>
      <c r="AJ1241" t="str">
        <f t="shared" si="179"/>
        <v/>
      </c>
    </row>
    <row r="1242" spans="1:36">
      <c r="A1242" s="5">
        <v>1405</v>
      </c>
      <c r="B1242" s="5" t="s">
        <v>125</v>
      </c>
      <c r="C1242" s="5" t="s">
        <v>100</v>
      </c>
      <c r="D1242" s="5" t="s">
        <v>101</v>
      </c>
      <c r="E1242" s="5" t="s">
        <v>102</v>
      </c>
      <c r="F1242" s="5" t="str">
        <f t="shared" si="171"/>
        <v>Program Office-Senior Manager</v>
      </c>
      <c r="G1242" s="5" t="s">
        <v>103</v>
      </c>
      <c r="H1242" s="9">
        <v>44616.306493055556</v>
      </c>
      <c r="I1242" s="9">
        <v>44617.306493055556</v>
      </c>
      <c r="J1242" s="9" t="e">
        <f>I1242+#REF!</f>
        <v>#REF!</v>
      </c>
      <c r="K1242" s="9" t="e">
        <f>J1242+#REF!</f>
        <v>#REF!</v>
      </c>
      <c r="L1242" s="10" t="s">
        <v>41</v>
      </c>
      <c r="M1242" s="11">
        <v>44623.306493055556</v>
      </c>
      <c r="N1242" s="5" t="s">
        <v>42</v>
      </c>
      <c r="O1242" s="5" t="s">
        <v>43</v>
      </c>
      <c r="P1242" s="9"/>
      <c r="Q1242" s="5"/>
      <c r="R1242" s="5"/>
      <c r="S1242" s="5"/>
      <c r="T1242" s="9">
        <v>44626.306493055556</v>
      </c>
      <c r="U1242" s="5"/>
      <c r="V1242" s="5">
        <v>0</v>
      </c>
      <c r="W1242" s="5"/>
      <c r="X1242" s="5"/>
      <c r="Y1242" s="5"/>
      <c r="Z1242" s="5"/>
      <c r="AA1242" s="5" t="s">
        <v>44</v>
      </c>
      <c r="AC1242">
        <f t="shared" si="172"/>
        <v>6</v>
      </c>
      <c r="AD1242" t="str">
        <f t="shared" si="173"/>
        <v/>
      </c>
      <c r="AE1242">
        <f t="shared" si="174"/>
        <v>3</v>
      </c>
      <c r="AF1242" t="str">
        <f t="shared" si="175"/>
        <v/>
      </c>
      <c r="AG1242" t="str">
        <f t="shared" si="176"/>
        <v/>
      </c>
      <c r="AH1242">
        <f t="shared" si="177"/>
        <v>1</v>
      </c>
      <c r="AI1242" t="str">
        <f t="shared" si="178"/>
        <v/>
      </c>
      <c r="AJ1242" t="str">
        <f t="shared" si="179"/>
        <v/>
      </c>
    </row>
    <row r="1243" spans="1:36">
      <c r="A1243" s="5">
        <v>1406</v>
      </c>
      <c r="B1243" s="5" t="s">
        <v>205</v>
      </c>
      <c r="C1243" s="5" t="s">
        <v>100</v>
      </c>
      <c r="D1243" s="5" t="s">
        <v>146</v>
      </c>
      <c r="E1243" s="5" t="s">
        <v>39</v>
      </c>
      <c r="F1243" s="5" t="str">
        <f t="shared" si="171"/>
        <v>Program Office-Analyst</v>
      </c>
      <c r="G1243" s="5" t="s">
        <v>147</v>
      </c>
      <c r="H1243" s="9">
        <v>44613.306493055556</v>
      </c>
      <c r="I1243" s="9">
        <v>44616.306493055556</v>
      </c>
      <c r="J1243" s="9" t="e">
        <f>I1243+#REF!</f>
        <v>#REF!</v>
      </c>
      <c r="K1243" s="9" t="e">
        <f>J1243+#REF!</f>
        <v>#REF!</v>
      </c>
      <c r="L1243" s="10" t="s">
        <v>41</v>
      </c>
      <c r="M1243" s="11">
        <v>44622.306493055556</v>
      </c>
      <c r="N1243" s="5" t="s">
        <v>42</v>
      </c>
      <c r="O1243" s="5" t="s">
        <v>43</v>
      </c>
      <c r="P1243" s="9"/>
      <c r="Q1243" s="5"/>
      <c r="R1243" s="5"/>
      <c r="S1243" s="5"/>
      <c r="T1243" s="9">
        <v>44624.306493055556</v>
      </c>
      <c r="U1243" s="5"/>
      <c r="V1243" s="5">
        <v>0</v>
      </c>
      <c r="W1243" s="5"/>
      <c r="X1243" s="5"/>
      <c r="Y1243" s="5"/>
      <c r="Z1243" s="5"/>
      <c r="AA1243" s="5" t="s">
        <v>44</v>
      </c>
      <c r="AC1243">
        <f t="shared" si="172"/>
        <v>6</v>
      </c>
      <c r="AD1243" t="str">
        <f t="shared" si="173"/>
        <v/>
      </c>
      <c r="AE1243">
        <f t="shared" si="174"/>
        <v>2</v>
      </c>
      <c r="AF1243" t="str">
        <f t="shared" si="175"/>
        <v/>
      </c>
      <c r="AG1243" t="str">
        <f t="shared" si="176"/>
        <v/>
      </c>
      <c r="AH1243">
        <f t="shared" si="177"/>
        <v>3</v>
      </c>
      <c r="AI1243" t="str">
        <f t="shared" si="178"/>
        <v/>
      </c>
      <c r="AJ1243" t="str">
        <f t="shared" si="179"/>
        <v/>
      </c>
    </row>
    <row r="1244" spans="1:36">
      <c r="A1244" s="5">
        <v>1407</v>
      </c>
      <c r="B1244" s="5" t="s">
        <v>626</v>
      </c>
      <c r="C1244" s="5" t="s">
        <v>100</v>
      </c>
      <c r="D1244" s="5" t="s">
        <v>554</v>
      </c>
      <c r="E1244" s="5" t="s">
        <v>597</v>
      </c>
      <c r="F1244" s="5" t="str">
        <f t="shared" si="171"/>
        <v>Program Office-Business Partner</v>
      </c>
      <c r="G1244" s="5" t="s">
        <v>47</v>
      </c>
      <c r="H1244" s="9">
        <v>44612.306493055556</v>
      </c>
      <c r="I1244" s="9">
        <v>44614.306493055556</v>
      </c>
      <c r="J1244" s="9" t="e">
        <f>I1244+#REF!</f>
        <v>#REF!</v>
      </c>
      <c r="K1244" s="9" t="e">
        <f>J1244+#REF!</f>
        <v>#REF!</v>
      </c>
      <c r="L1244" s="10" t="s">
        <v>41</v>
      </c>
      <c r="M1244" s="11">
        <v>44636.306493055556</v>
      </c>
      <c r="N1244" s="5" t="s">
        <v>42</v>
      </c>
      <c r="O1244" s="5" t="s">
        <v>58</v>
      </c>
      <c r="P1244" s="9"/>
      <c r="Q1244" s="5"/>
      <c r="R1244" s="5"/>
      <c r="S1244" s="5"/>
      <c r="T1244" s="9"/>
      <c r="U1244" s="5"/>
      <c r="V1244" s="5">
        <v>0</v>
      </c>
      <c r="W1244" s="5"/>
      <c r="X1244" s="5"/>
      <c r="Y1244" s="5"/>
      <c r="Z1244" s="5"/>
      <c r="AA1244" s="5" t="s">
        <v>62</v>
      </c>
      <c r="AC1244">
        <f t="shared" si="172"/>
        <v>22</v>
      </c>
      <c r="AD1244" t="str">
        <f t="shared" si="173"/>
        <v/>
      </c>
      <c r="AE1244" t="str">
        <f t="shared" si="174"/>
        <v/>
      </c>
      <c r="AF1244" t="str">
        <f t="shared" si="175"/>
        <v/>
      </c>
      <c r="AG1244" t="str">
        <f t="shared" si="176"/>
        <v/>
      </c>
      <c r="AH1244">
        <f t="shared" si="177"/>
        <v>2</v>
      </c>
      <c r="AI1244" t="str">
        <f t="shared" si="178"/>
        <v/>
      </c>
      <c r="AJ1244" t="str">
        <f t="shared" si="179"/>
        <v/>
      </c>
    </row>
    <row r="1245" spans="1:36">
      <c r="A1245" s="5">
        <v>1408</v>
      </c>
      <c r="B1245" s="5" t="s">
        <v>452</v>
      </c>
      <c r="C1245" s="5" t="s">
        <v>100</v>
      </c>
      <c r="D1245" s="5" t="s">
        <v>387</v>
      </c>
      <c r="E1245" s="5" t="s">
        <v>388</v>
      </c>
      <c r="F1245" s="5" t="str">
        <f t="shared" si="171"/>
        <v>Program Office-Extension Officer</v>
      </c>
      <c r="G1245" s="5" t="s">
        <v>40</v>
      </c>
      <c r="H1245" s="9">
        <v>44614.306493055556</v>
      </c>
      <c r="I1245" s="9">
        <v>44615.306493055556</v>
      </c>
      <c r="J1245" s="9" t="e">
        <f>I1245+#REF!</f>
        <v>#REF!</v>
      </c>
      <c r="K1245" s="9" t="e">
        <f>J1245+#REF!</f>
        <v>#REF!</v>
      </c>
      <c r="L1245" s="10" t="s">
        <v>52</v>
      </c>
      <c r="M1245" s="11"/>
      <c r="N1245" s="5"/>
      <c r="O1245" s="5"/>
      <c r="P1245" s="9"/>
      <c r="Q1245" s="5"/>
      <c r="R1245" s="5"/>
      <c r="S1245" s="5"/>
      <c r="T1245" s="9"/>
      <c r="U1245" s="5"/>
      <c r="V1245" s="5">
        <v>0</v>
      </c>
      <c r="W1245" s="5"/>
      <c r="X1245" s="5"/>
      <c r="Y1245" s="5"/>
      <c r="Z1245" s="5"/>
      <c r="AA1245" s="5"/>
      <c r="AC1245" t="str">
        <f t="shared" si="172"/>
        <v/>
      </c>
      <c r="AD1245" t="str">
        <f t="shared" si="173"/>
        <v/>
      </c>
      <c r="AE1245" t="str">
        <f t="shared" si="174"/>
        <v/>
      </c>
      <c r="AF1245" t="str">
        <f t="shared" si="175"/>
        <v/>
      </c>
      <c r="AG1245" t="str">
        <f t="shared" si="176"/>
        <v/>
      </c>
      <c r="AH1245">
        <f t="shared" si="177"/>
        <v>1</v>
      </c>
      <c r="AI1245" t="str">
        <f t="shared" si="178"/>
        <v/>
      </c>
      <c r="AJ1245" t="str">
        <f t="shared" si="179"/>
        <v/>
      </c>
    </row>
    <row r="1246" spans="1:36">
      <c r="A1246" s="5">
        <v>1409</v>
      </c>
      <c r="B1246" s="5" t="s">
        <v>625</v>
      </c>
      <c r="C1246" s="5" t="s">
        <v>100</v>
      </c>
      <c r="D1246" s="5" t="s">
        <v>554</v>
      </c>
      <c r="E1246" s="5" t="s">
        <v>597</v>
      </c>
      <c r="F1246" s="5" t="str">
        <f t="shared" si="171"/>
        <v>Program Office-Business Partner</v>
      </c>
      <c r="G1246" s="5" t="s">
        <v>47</v>
      </c>
      <c r="H1246" s="9">
        <v>44614.306493055556</v>
      </c>
      <c r="I1246" s="9">
        <v>44616.306493055556</v>
      </c>
      <c r="J1246" s="9" t="e">
        <f>I1246+#REF!</f>
        <v>#REF!</v>
      </c>
      <c r="K1246" s="9" t="e">
        <f>J1246+#REF!</f>
        <v>#REF!</v>
      </c>
      <c r="L1246" s="10" t="s">
        <v>41</v>
      </c>
      <c r="M1246" s="11">
        <v>44633.306493055556</v>
      </c>
      <c r="N1246" s="5" t="s">
        <v>42</v>
      </c>
      <c r="O1246" s="5" t="s">
        <v>58</v>
      </c>
      <c r="P1246" s="9"/>
      <c r="Q1246" s="5"/>
      <c r="R1246" s="5"/>
      <c r="S1246" s="5"/>
      <c r="T1246" s="9">
        <v>44637.306493055556</v>
      </c>
      <c r="U1246" s="5"/>
      <c r="V1246" s="5">
        <v>0</v>
      </c>
      <c r="W1246" s="5"/>
      <c r="X1246" s="5"/>
      <c r="Y1246" s="5"/>
      <c r="Z1246" s="5"/>
      <c r="AA1246" s="5" t="s">
        <v>62</v>
      </c>
      <c r="AC1246">
        <f t="shared" si="172"/>
        <v>17</v>
      </c>
      <c r="AD1246" t="str">
        <f t="shared" si="173"/>
        <v/>
      </c>
      <c r="AE1246">
        <f t="shared" si="174"/>
        <v>4</v>
      </c>
      <c r="AF1246" t="str">
        <f t="shared" si="175"/>
        <v/>
      </c>
      <c r="AG1246" t="str">
        <f t="shared" si="176"/>
        <v/>
      </c>
      <c r="AH1246">
        <f t="shared" si="177"/>
        <v>2</v>
      </c>
      <c r="AI1246" t="str">
        <f t="shared" si="178"/>
        <v/>
      </c>
      <c r="AJ1246" t="str">
        <f t="shared" si="179"/>
        <v/>
      </c>
    </row>
    <row r="1247" spans="1:36">
      <c r="A1247" s="5">
        <v>1410</v>
      </c>
      <c r="B1247" s="5" t="s">
        <v>327</v>
      </c>
      <c r="C1247" s="5" t="s">
        <v>100</v>
      </c>
      <c r="D1247" s="5" t="s">
        <v>268</v>
      </c>
      <c r="E1247" s="5" t="s">
        <v>291</v>
      </c>
      <c r="F1247" s="5" t="str">
        <f t="shared" si="171"/>
        <v>Program Office-Cordination Manager</v>
      </c>
      <c r="G1247" s="5" t="s">
        <v>270</v>
      </c>
      <c r="H1247" s="9">
        <v>44614.306493055556</v>
      </c>
      <c r="I1247" s="9">
        <v>44617.306493055556</v>
      </c>
      <c r="J1247" s="9" t="e">
        <f>I1247+#REF!</f>
        <v>#REF!</v>
      </c>
      <c r="K1247" s="9" t="e">
        <f>J1247+#REF!</f>
        <v>#REF!</v>
      </c>
      <c r="L1247" s="10" t="s">
        <v>41</v>
      </c>
      <c r="M1247" s="11">
        <v>44627.306493055556</v>
      </c>
      <c r="N1247" s="5" t="s">
        <v>42</v>
      </c>
      <c r="O1247" s="5" t="s">
        <v>58</v>
      </c>
      <c r="P1247" s="9"/>
      <c r="Q1247" s="5"/>
      <c r="R1247" s="5"/>
      <c r="S1247" s="5"/>
      <c r="T1247" s="9"/>
      <c r="U1247" s="5"/>
      <c r="V1247" s="5">
        <v>0</v>
      </c>
      <c r="W1247" s="5"/>
      <c r="X1247" s="5"/>
      <c r="Y1247" s="5"/>
      <c r="Z1247" s="5"/>
      <c r="AA1247" s="5" t="s">
        <v>62</v>
      </c>
      <c r="AC1247">
        <f t="shared" si="172"/>
        <v>10</v>
      </c>
      <c r="AD1247" t="str">
        <f t="shared" si="173"/>
        <v/>
      </c>
      <c r="AE1247" t="str">
        <f t="shared" si="174"/>
        <v/>
      </c>
      <c r="AF1247" t="str">
        <f t="shared" si="175"/>
        <v/>
      </c>
      <c r="AG1247" t="str">
        <f t="shared" si="176"/>
        <v/>
      </c>
      <c r="AH1247">
        <f t="shared" si="177"/>
        <v>3</v>
      </c>
      <c r="AI1247" t="str">
        <f t="shared" si="178"/>
        <v/>
      </c>
      <c r="AJ1247" t="str">
        <f t="shared" si="179"/>
        <v/>
      </c>
    </row>
    <row r="1248" spans="1:36">
      <c r="A1248" s="5">
        <v>1411</v>
      </c>
      <c r="B1248" s="5" t="s">
        <v>451</v>
      </c>
      <c r="C1248" s="5" t="s">
        <v>100</v>
      </c>
      <c r="D1248" s="5" t="s">
        <v>387</v>
      </c>
      <c r="E1248" s="5" t="s">
        <v>388</v>
      </c>
      <c r="F1248" s="5" t="str">
        <f t="shared" si="171"/>
        <v>Program Office-Extension Officer</v>
      </c>
      <c r="G1248" s="5" t="s">
        <v>40</v>
      </c>
      <c r="H1248" s="9">
        <v>44779.789305555554</v>
      </c>
      <c r="I1248" s="9">
        <v>44782.789305555554</v>
      </c>
      <c r="J1248" s="9" t="e">
        <f>I1248+#REF!</f>
        <v>#REF!</v>
      </c>
      <c r="K1248" s="9" t="e">
        <f>J1248+#REF!</f>
        <v>#REF!</v>
      </c>
      <c r="L1248" s="10" t="s">
        <v>41</v>
      </c>
      <c r="M1248" s="11">
        <v>44800.789305555554</v>
      </c>
      <c r="N1248" s="5" t="s">
        <v>167</v>
      </c>
      <c r="O1248" s="5"/>
      <c r="P1248" s="9">
        <v>44805.789305555554</v>
      </c>
      <c r="Q1248" s="5" t="s">
        <v>167</v>
      </c>
      <c r="R1248" s="5"/>
      <c r="S1248" s="5"/>
      <c r="T1248" s="9">
        <v>44803.789305555554</v>
      </c>
      <c r="U1248" s="5"/>
      <c r="V1248" s="5">
        <v>0</v>
      </c>
      <c r="W1248" s="5"/>
      <c r="X1248" s="5"/>
      <c r="Y1248" s="5"/>
      <c r="Z1248" s="5"/>
      <c r="AA1248" s="5"/>
      <c r="AC1248">
        <f t="shared" si="172"/>
        <v>18</v>
      </c>
      <c r="AD1248" t="str">
        <f t="shared" si="173"/>
        <v/>
      </c>
      <c r="AE1248">
        <f t="shared" si="174"/>
        <v>3</v>
      </c>
      <c r="AF1248" t="str">
        <f t="shared" si="175"/>
        <v/>
      </c>
      <c r="AG1248" t="str">
        <f t="shared" si="176"/>
        <v/>
      </c>
      <c r="AH1248">
        <f t="shared" si="177"/>
        <v>3</v>
      </c>
      <c r="AI1248" t="str">
        <f t="shared" si="178"/>
        <v/>
      </c>
      <c r="AJ1248" t="str">
        <f t="shared" si="179"/>
        <v/>
      </c>
    </row>
    <row r="1249" spans="1:36">
      <c r="A1249" s="5">
        <v>1413</v>
      </c>
      <c r="B1249" s="5" t="s">
        <v>624</v>
      </c>
      <c r="C1249" s="5" t="s">
        <v>100</v>
      </c>
      <c r="D1249" s="5" t="s">
        <v>554</v>
      </c>
      <c r="E1249" s="5" t="s">
        <v>597</v>
      </c>
      <c r="F1249" s="5" t="str">
        <f t="shared" si="171"/>
        <v>Program Office-Business Partner</v>
      </c>
      <c r="G1249" s="5" t="s">
        <v>47</v>
      </c>
      <c r="H1249" s="9">
        <v>44784.789305555554</v>
      </c>
      <c r="I1249" s="9">
        <v>44785.789305555554</v>
      </c>
      <c r="J1249" s="9" t="e">
        <f>I1249+#REF!</f>
        <v>#REF!</v>
      </c>
      <c r="K1249" s="9" t="e">
        <f>J1249+#REF!</f>
        <v>#REF!</v>
      </c>
      <c r="L1249" s="10" t="s">
        <v>41</v>
      </c>
      <c r="M1249" s="11">
        <v>44798.789305555554</v>
      </c>
      <c r="N1249" s="5" t="s">
        <v>48</v>
      </c>
      <c r="O1249" s="5"/>
      <c r="P1249" s="9">
        <v>44801.789305555554</v>
      </c>
      <c r="Q1249" s="5" t="s">
        <v>48</v>
      </c>
      <c r="R1249" s="5"/>
      <c r="S1249" s="5"/>
      <c r="T1249" s="9">
        <v>44799.789305555554</v>
      </c>
      <c r="U1249" s="5"/>
      <c r="V1249" s="5">
        <v>0</v>
      </c>
      <c r="W1249" s="5"/>
      <c r="X1249" s="5"/>
      <c r="Y1249" s="5"/>
      <c r="Z1249" s="5"/>
      <c r="AA1249" s="5"/>
      <c r="AC1249">
        <f t="shared" si="172"/>
        <v>13</v>
      </c>
      <c r="AD1249" t="str">
        <f t="shared" si="173"/>
        <v/>
      </c>
      <c r="AE1249">
        <f t="shared" si="174"/>
        <v>1</v>
      </c>
      <c r="AF1249" t="str">
        <f t="shared" si="175"/>
        <v/>
      </c>
      <c r="AG1249" t="str">
        <f t="shared" si="176"/>
        <v/>
      </c>
      <c r="AH1249">
        <f t="shared" si="177"/>
        <v>1</v>
      </c>
      <c r="AI1249" t="str">
        <f t="shared" si="178"/>
        <v/>
      </c>
      <c r="AJ1249" t="str">
        <f t="shared" si="179"/>
        <v/>
      </c>
    </row>
    <row r="1250" spans="1:36">
      <c r="A1250" s="5">
        <v>1414</v>
      </c>
      <c r="B1250" s="5" t="s">
        <v>204</v>
      </c>
      <c r="C1250" s="5" t="s">
        <v>100</v>
      </c>
      <c r="D1250" s="5" t="s">
        <v>146</v>
      </c>
      <c r="E1250" s="5" t="s">
        <v>39</v>
      </c>
      <c r="F1250" s="5" t="str">
        <f t="shared" si="171"/>
        <v>Program Office-Analyst</v>
      </c>
      <c r="G1250" s="5" t="s">
        <v>147</v>
      </c>
      <c r="H1250" s="9">
        <v>44777.789305555554</v>
      </c>
      <c r="I1250" s="9">
        <v>44780.789305555554</v>
      </c>
      <c r="J1250" s="9" t="e">
        <f>I1250+#REF!</f>
        <v>#REF!</v>
      </c>
      <c r="K1250" s="9" t="e">
        <f>J1250+#REF!</f>
        <v>#REF!</v>
      </c>
      <c r="L1250" s="10" t="s">
        <v>41</v>
      </c>
      <c r="M1250" s="11">
        <v>44799.789305555554</v>
      </c>
      <c r="N1250" s="5" t="s">
        <v>42</v>
      </c>
      <c r="O1250" s="5" t="s">
        <v>58</v>
      </c>
      <c r="P1250" s="9"/>
      <c r="Q1250" s="5"/>
      <c r="R1250" s="5"/>
      <c r="S1250" s="5"/>
      <c r="T1250" s="9">
        <v>44802.789305555554</v>
      </c>
      <c r="U1250" s="5"/>
      <c r="V1250" s="5">
        <v>0</v>
      </c>
      <c r="W1250" s="5"/>
      <c r="X1250" s="5"/>
      <c r="Y1250" s="5"/>
      <c r="Z1250" s="5"/>
      <c r="AA1250" s="5" t="s">
        <v>62</v>
      </c>
      <c r="AC1250">
        <f t="shared" si="172"/>
        <v>19</v>
      </c>
      <c r="AD1250" t="str">
        <f t="shared" si="173"/>
        <v/>
      </c>
      <c r="AE1250">
        <f t="shared" si="174"/>
        <v>3</v>
      </c>
      <c r="AF1250" t="str">
        <f t="shared" si="175"/>
        <v/>
      </c>
      <c r="AG1250" t="str">
        <f t="shared" si="176"/>
        <v/>
      </c>
      <c r="AH1250">
        <f t="shared" si="177"/>
        <v>3</v>
      </c>
      <c r="AI1250" t="str">
        <f t="shared" si="178"/>
        <v/>
      </c>
      <c r="AJ1250" t="str">
        <f t="shared" si="179"/>
        <v/>
      </c>
    </row>
    <row r="1251" spans="1:36">
      <c r="A1251" s="5">
        <v>1415</v>
      </c>
      <c r="B1251" s="5" t="s">
        <v>623</v>
      </c>
      <c r="C1251" s="5" t="s">
        <v>100</v>
      </c>
      <c r="D1251" s="5" t="s">
        <v>554</v>
      </c>
      <c r="E1251" s="5" t="s">
        <v>597</v>
      </c>
      <c r="F1251" s="5" t="str">
        <f t="shared" si="171"/>
        <v>Program Office-Business Partner</v>
      </c>
      <c r="G1251" s="5" t="s">
        <v>47</v>
      </c>
      <c r="H1251" s="9">
        <v>44781.789305555554</v>
      </c>
      <c r="I1251" s="9">
        <v>44785.789305555554</v>
      </c>
      <c r="J1251" s="9" t="e">
        <f>I1251+#REF!</f>
        <v>#REF!</v>
      </c>
      <c r="K1251" s="9" t="e">
        <f>J1251+#REF!</f>
        <v>#REF!</v>
      </c>
      <c r="L1251" s="10" t="s">
        <v>41</v>
      </c>
      <c r="M1251" s="11">
        <v>44795.789305555554</v>
      </c>
      <c r="N1251" s="5" t="s">
        <v>48</v>
      </c>
      <c r="O1251" s="5"/>
      <c r="P1251" s="9">
        <v>44799.789305555554</v>
      </c>
      <c r="Q1251" s="5" t="s">
        <v>48</v>
      </c>
      <c r="R1251" s="5"/>
      <c r="S1251" s="5"/>
      <c r="T1251" s="9">
        <v>44797.789305555554</v>
      </c>
      <c r="U1251" s="5"/>
      <c r="V1251" s="5">
        <v>0</v>
      </c>
      <c r="W1251" s="5"/>
      <c r="X1251" s="5"/>
      <c r="Y1251" s="5"/>
      <c r="Z1251" s="5"/>
      <c r="AA1251" s="5"/>
      <c r="AC1251">
        <f t="shared" si="172"/>
        <v>10</v>
      </c>
      <c r="AD1251" t="str">
        <f t="shared" si="173"/>
        <v/>
      </c>
      <c r="AE1251">
        <f t="shared" si="174"/>
        <v>2</v>
      </c>
      <c r="AF1251" t="str">
        <f t="shared" si="175"/>
        <v/>
      </c>
      <c r="AG1251" t="str">
        <f t="shared" si="176"/>
        <v/>
      </c>
      <c r="AH1251">
        <f t="shared" si="177"/>
        <v>4</v>
      </c>
      <c r="AI1251" t="str">
        <f t="shared" si="178"/>
        <v/>
      </c>
      <c r="AJ1251" t="str">
        <f t="shared" si="179"/>
        <v/>
      </c>
    </row>
    <row r="1252" spans="1:36">
      <c r="A1252" s="5">
        <v>1416</v>
      </c>
      <c r="B1252" s="5" t="s">
        <v>450</v>
      </c>
      <c r="C1252" s="5" t="s">
        <v>100</v>
      </c>
      <c r="D1252" s="5" t="s">
        <v>387</v>
      </c>
      <c r="E1252" s="5" t="s">
        <v>388</v>
      </c>
      <c r="F1252" s="5" t="str">
        <f t="shared" si="171"/>
        <v>Program Office-Extension Officer</v>
      </c>
      <c r="G1252" s="5" t="s">
        <v>40</v>
      </c>
      <c r="H1252" s="9">
        <v>44782.789305555554</v>
      </c>
      <c r="I1252" s="9">
        <v>44783.789305555554</v>
      </c>
      <c r="J1252" s="9" t="e">
        <f>I1252+#REF!</f>
        <v>#REF!</v>
      </c>
      <c r="K1252" s="9" t="e">
        <f>J1252+#REF!</f>
        <v>#REF!</v>
      </c>
      <c r="L1252" s="10" t="s">
        <v>41</v>
      </c>
      <c r="M1252" s="11">
        <v>44799.789305555554</v>
      </c>
      <c r="N1252" s="5" t="s">
        <v>42</v>
      </c>
      <c r="O1252" s="5" t="s">
        <v>98</v>
      </c>
      <c r="P1252" s="9"/>
      <c r="Q1252" s="5"/>
      <c r="R1252" s="5"/>
      <c r="S1252" s="5"/>
      <c r="T1252" s="9">
        <v>44802.789305555554</v>
      </c>
      <c r="U1252" s="5"/>
      <c r="V1252" s="5">
        <v>0</v>
      </c>
      <c r="W1252" s="5"/>
      <c r="X1252" s="5"/>
      <c r="Y1252" s="5"/>
      <c r="Z1252" s="5"/>
      <c r="AA1252" s="5" t="s">
        <v>44</v>
      </c>
      <c r="AC1252">
        <f t="shared" si="172"/>
        <v>16</v>
      </c>
      <c r="AD1252" t="str">
        <f t="shared" si="173"/>
        <v/>
      </c>
      <c r="AE1252">
        <f t="shared" si="174"/>
        <v>3</v>
      </c>
      <c r="AF1252" t="str">
        <f t="shared" si="175"/>
        <v/>
      </c>
      <c r="AG1252" t="str">
        <f t="shared" si="176"/>
        <v/>
      </c>
      <c r="AH1252">
        <f t="shared" si="177"/>
        <v>1</v>
      </c>
      <c r="AI1252" t="str">
        <f t="shared" si="178"/>
        <v/>
      </c>
      <c r="AJ1252" t="str">
        <f t="shared" si="179"/>
        <v/>
      </c>
    </row>
    <row r="1253" spans="1:36">
      <c r="A1253" s="5">
        <v>1417</v>
      </c>
      <c r="B1253" s="5" t="s">
        <v>449</v>
      </c>
      <c r="C1253" s="5" t="s">
        <v>100</v>
      </c>
      <c r="D1253" s="5" t="s">
        <v>387</v>
      </c>
      <c r="E1253" s="5" t="s">
        <v>388</v>
      </c>
      <c r="F1253" s="5" t="str">
        <f t="shared" si="171"/>
        <v>Program Office-Extension Officer</v>
      </c>
      <c r="G1253" s="5" t="s">
        <v>40</v>
      </c>
      <c r="H1253" s="9">
        <v>44782.789305555554</v>
      </c>
      <c r="I1253" s="9">
        <v>44785.789305555554</v>
      </c>
      <c r="J1253" s="9" t="e">
        <f>I1253+#REF!</f>
        <v>#REF!</v>
      </c>
      <c r="K1253" s="9" t="e">
        <f>J1253+#REF!</f>
        <v>#REF!</v>
      </c>
      <c r="L1253" s="10" t="s">
        <v>41</v>
      </c>
      <c r="M1253" s="11">
        <v>44797.789305555554</v>
      </c>
      <c r="N1253" s="5" t="s">
        <v>42</v>
      </c>
      <c r="O1253" s="5" t="s">
        <v>98</v>
      </c>
      <c r="P1253" s="9"/>
      <c r="Q1253" s="5"/>
      <c r="R1253" s="5"/>
      <c r="S1253" s="5"/>
      <c r="T1253" s="9">
        <v>44799.789305555554</v>
      </c>
      <c r="U1253" s="5"/>
      <c r="V1253" s="5">
        <v>0</v>
      </c>
      <c r="W1253" s="5"/>
      <c r="X1253" s="5"/>
      <c r="Y1253" s="5"/>
      <c r="Z1253" s="5"/>
      <c r="AA1253" s="5" t="s">
        <v>44</v>
      </c>
      <c r="AC1253">
        <f t="shared" si="172"/>
        <v>12</v>
      </c>
      <c r="AD1253" t="str">
        <f t="shared" si="173"/>
        <v/>
      </c>
      <c r="AE1253">
        <f t="shared" si="174"/>
        <v>2</v>
      </c>
      <c r="AF1253" t="str">
        <f t="shared" si="175"/>
        <v/>
      </c>
      <c r="AG1253" t="str">
        <f t="shared" si="176"/>
        <v/>
      </c>
      <c r="AH1253">
        <f t="shared" si="177"/>
        <v>3</v>
      </c>
      <c r="AI1253" t="str">
        <f t="shared" si="178"/>
        <v/>
      </c>
      <c r="AJ1253" t="str">
        <f t="shared" si="179"/>
        <v/>
      </c>
    </row>
    <row r="1254" spans="1:36">
      <c r="A1254" s="5">
        <v>1418</v>
      </c>
      <c r="B1254" s="5" t="s">
        <v>448</v>
      </c>
      <c r="C1254" s="5" t="s">
        <v>100</v>
      </c>
      <c r="D1254" s="5" t="s">
        <v>387</v>
      </c>
      <c r="E1254" s="5" t="s">
        <v>388</v>
      </c>
      <c r="F1254" s="5" t="str">
        <f t="shared" si="171"/>
        <v>Program Office-Extension Officer</v>
      </c>
      <c r="G1254" s="5" t="s">
        <v>40</v>
      </c>
      <c r="H1254" s="9">
        <v>44782.789305555554</v>
      </c>
      <c r="I1254" s="9">
        <v>44783.789305555554</v>
      </c>
      <c r="J1254" s="9" t="e">
        <f>I1254+#REF!</f>
        <v>#REF!</v>
      </c>
      <c r="K1254" s="9" t="e">
        <f>J1254+#REF!</f>
        <v>#REF!</v>
      </c>
      <c r="L1254" s="10" t="s">
        <v>41</v>
      </c>
      <c r="M1254" s="11">
        <v>44789.789305555554</v>
      </c>
      <c r="N1254" s="5" t="s">
        <v>42</v>
      </c>
      <c r="O1254" s="5" t="s">
        <v>58</v>
      </c>
      <c r="P1254" s="9"/>
      <c r="Q1254" s="5"/>
      <c r="R1254" s="5"/>
      <c r="S1254" s="5"/>
      <c r="T1254" s="9"/>
      <c r="U1254" s="5"/>
      <c r="V1254" s="5">
        <v>0</v>
      </c>
      <c r="W1254" s="5"/>
      <c r="X1254" s="5"/>
      <c r="Y1254" s="5"/>
      <c r="Z1254" s="5"/>
      <c r="AA1254" s="5" t="s">
        <v>44</v>
      </c>
      <c r="AC1254">
        <f t="shared" si="172"/>
        <v>6</v>
      </c>
      <c r="AD1254" t="str">
        <f t="shared" si="173"/>
        <v/>
      </c>
      <c r="AE1254" t="str">
        <f t="shared" si="174"/>
        <v/>
      </c>
      <c r="AF1254" t="str">
        <f t="shared" si="175"/>
        <v/>
      </c>
      <c r="AG1254" t="str">
        <f t="shared" si="176"/>
        <v/>
      </c>
      <c r="AH1254">
        <f t="shared" si="177"/>
        <v>1</v>
      </c>
      <c r="AI1254" t="str">
        <f t="shared" si="178"/>
        <v/>
      </c>
      <c r="AJ1254" t="str">
        <f t="shared" si="179"/>
        <v/>
      </c>
    </row>
    <row r="1255" spans="1:36">
      <c r="A1255" s="5">
        <v>1419</v>
      </c>
      <c r="B1255" s="5" t="s">
        <v>203</v>
      </c>
      <c r="C1255" s="5" t="s">
        <v>100</v>
      </c>
      <c r="D1255" s="5" t="s">
        <v>146</v>
      </c>
      <c r="E1255" s="5" t="s">
        <v>39</v>
      </c>
      <c r="F1255" s="5" t="str">
        <f t="shared" si="171"/>
        <v>Program Office-Analyst</v>
      </c>
      <c r="G1255" s="5" t="s">
        <v>147</v>
      </c>
      <c r="H1255" s="9">
        <v>44783.789305555554</v>
      </c>
      <c r="I1255" s="9">
        <v>44785.789305555554</v>
      </c>
      <c r="J1255" s="9" t="e">
        <f>I1255+#REF!</f>
        <v>#REF!</v>
      </c>
      <c r="K1255" s="9" t="e">
        <f>J1255+#REF!</f>
        <v>#REF!</v>
      </c>
      <c r="L1255" s="10" t="s">
        <v>52</v>
      </c>
      <c r="M1255" s="11"/>
      <c r="N1255" s="5"/>
      <c r="O1255" s="5"/>
      <c r="P1255" s="9"/>
      <c r="Q1255" s="5"/>
      <c r="R1255" s="5"/>
      <c r="S1255" s="5"/>
      <c r="T1255" s="9"/>
      <c r="U1255" s="5"/>
      <c r="V1255" s="5">
        <v>0</v>
      </c>
      <c r="W1255" s="5"/>
      <c r="X1255" s="5"/>
      <c r="Y1255" s="5"/>
      <c r="Z1255" s="5"/>
      <c r="AA1255" s="5"/>
      <c r="AC1255" t="str">
        <f t="shared" si="172"/>
        <v/>
      </c>
      <c r="AD1255" t="str">
        <f t="shared" si="173"/>
        <v/>
      </c>
      <c r="AE1255" t="str">
        <f t="shared" si="174"/>
        <v/>
      </c>
      <c r="AF1255" t="str">
        <f t="shared" si="175"/>
        <v/>
      </c>
      <c r="AG1255" t="str">
        <f t="shared" si="176"/>
        <v/>
      </c>
      <c r="AH1255">
        <f t="shared" si="177"/>
        <v>2</v>
      </c>
      <c r="AI1255" t="str">
        <f t="shared" si="178"/>
        <v/>
      </c>
      <c r="AJ1255" t="str">
        <f t="shared" si="179"/>
        <v/>
      </c>
    </row>
    <row r="1256" spans="1:36">
      <c r="A1256" s="5">
        <v>1420</v>
      </c>
      <c r="B1256" s="5" t="s">
        <v>447</v>
      </c>
      <c r="C1256" s="5" t="s">
        <v>100</v>
      </c>
      <c r="D1256" s="5" t="s">
        <v>387</v>
      </c>
      <c r="E1256" s="5" t="s">
        <v>388</v>
      </c>
      <c r="F1256" s="5" t="str">
        <f t="shared" si="171"/>
        <v>Program Office-Extension Officer</v>
      </c>
      <c r="G1256" s="5" t="s">
        <v>40</v>
      </c>
      <c r="H1256" s="9">
        <v>44780.789305555554</v>
      </c>
      <c r="I1256" s="9">
        <v>44781.789305555554</v>
      </c>
      <c r="J1256" s="9" t="e">
        <f>I1256+#REF!</f>
        <v>#REF!</v>
      </c>
      <c r="K1256" s="9" t="e">
        <f>J1256+#REF!</f>
        <v>#REF!</v>
      </c>
      <c r="L1256" s="10" t="s">
        <v>41</v>
      </c>
      <c r="M1256" s="11">
        <v>44791.789305555554</v>
      </c>
      <c r="N1256" s="5" t="s">
        <v>42</v>
      </c>
      <c r="O1256" s="5" t="s">
        <v>58</v>
      </c>
      <c r="P1256" s="9"/>
      <c r="Q1256" s="5"/>
      <c r="R1256" s="5"/>
      <c r="S1256" s="5"/>
      <c r="T1256" s="9"/>
      <c r="U1256" s="5"/>
      <c r="V1256" s="5">
        <v>0</v>
      </c>
      <c r="W1256" s="5"/>
      <c r="X1256" s="5"/>
      <c r="Y1256" s="5"/>
      <c r="Z1256" s="5"/>
      <c r="AA1256" s="5" t="s">
        <v>44</v>
      </c>
      <c r="AC1256">
        <f t="shared" si="172"/>
        <v>10</v>
      </c>
      <c r="AD1256" t="str">
        <f t="shared" si="173"/>
        <v/>
      </c>
      <c r="AE1256" t="str">
        <f t="shared" si="174"/>
        <v/>
      </c>
      <c r="AF1256" t="str">
        <f t="shared" si="175"/>
        <v/>
      </c>
      <c r="AG1256" t="str">
        <f t="shared" si="176"/>
        <v/>
      </c>
      <c r="AH1256">
        <f t="shared" si="177"/>
        <v>1</v>
      </c>
      <c r="AI1256" t="str">
        <f t="shared" si="178"/>
        <v/>
      </c>
      <c r="AJ1256" t="str">
        <f t="shared" si="179"/>
        <v/>
      </c>
    </row>
    <row r="1257" spans="1:36">
      <c r="A1257" s="5">
        <v>1421</v>
      </c>
      <c r="B1257" s="5" t="s">
        <v>1314</v>
      </c>
      <c r="C1257" s="10" t="s">
        <v>1215</v>
      </c>
      <c r="D1257" s="5" t="s">
        <v>1287</v>
      </c>
      <c r="E1257" s="5" t="s">
        <v>1146</v>
      </c>
      <c r="F1257" s="5" t="str">
        <f t="shared" si="171"/>
        <v>HR-Quality Assurance</v>
      </c>
      <c r="G1257" s="5" t="s">
        <v>47</v>
      </c>
      <c r="H1257" s="9">
        <v>44658.11314814815</v>
      </c>
      <c r="I1257" s="9">
        <v>44660.11314814815</v>
      </c>
      <c r="J1257" s="9" t="e">
        <f>I1257+#REF!</f>
        <v>#REF!</v>
      </c>
      <c r="K1257" s="9" t="e">
        <f>J1257+#REF!</f>
        <v>#REF!</v>
      </c>
      <c r="L1257" s="10" t="s">
        <v>41</v>
      </c>
      <c r="M1257" s="11">
        <v>44677.11314814815</v>
      </c>
      <c r="N1257" s="5" t="s">
        <v>64</v>
      </c>
      <c r="O1257" s="5"/>
      <c r="P1257" s="9">
        <v>44683.11314814815</v>
      </c>
      <c r="Q1257" s="5" t="s">
        <v>64</v>
      </c>
      <c r="R1257" s="9">
        <v>44679.11314814815</v>
      </c>
      <c r="S1257" s="9">
        <v>44682.11314814815</v>
      </c>
      <c r="T1257" s="9">
        <v>44680.11314814815</v>
      </c>
      <c r="U1257" s="9">
        <v>44682.11314814815</v>
      </c>
      <c r="V1257" s="12">
        <v>1</v>
      </c>
      <c r="W1257" s="9">
        <v>44683.11314814815</v>
      </c>
      <c r="X1257" s="9">
        <v>44686.11314814815</v>
      </c>
      <c r="Y1257" s="9">
        <v>44689.11314814815</v>
      </c>
      <c r="Z1257" s="5"/>
      <c r="AA1257" s="5"/>
      <c r="AB1257" s="13">
        <v>44698.11314814815</v>
      </c>
      <c r="AC1257">
        <f t="shared" si="172"/>
        <v>17</v>
      </c>
      <c r="AD1257">
        <f t="shared" si="173"/>
        <v>22</v>
      </c>
      <c r="AE1257">
        <f t="shared" si="174"/>
        <v>3</v>
      </c>
      <c r="AF1257">
        <f t="shared" si="175"/>
        <v>4</v>
      </c>
      <c r="AG1257">
        <f t="shared" si="176"/>
        <v>1</v>
      </c>
      <c r="AH1257">
        <f t="shared" si="177"/>
        <v>2</v>
      </c>
      <c r="AI1257" t="str">
        <f t="shared" si="178"/>
        <v/>
      </c>
      <c r="AJ1257" t="str">
        <f t="shared" si="179"/>
        <v/>
      </c>
    </row>
    <row r="1258" spans="1:36">
      <c r="A1258" s="5">
        <v>1423</v>
      </c>
      <c r="B1258" s="5" t="s">
        <v>685</v>
      </c>
      <c r="C1258" s="10" t="s">
        <v>671</v>
      </c>
      <c r="D1258" s="5" t="s">
        <v>672</v>
      </c>
      <c r="E1258" s="5" t="s">
        <v>673</v>
      </c>
      <c r="F1258" s="5" t="str">
        <f t="shared" si="171"/>
        <v>Operations-Controller</v>
      </c>
      <c r="G1258" s="5" t="s">
        <v>40</v>
      </c>
      <c r="H1258" s="9">
        <v>44662.11314814815</v>
      </c>
      <c r="I1258" s="9">
        <v>44665.11314814815</v>
      </c>
      <c r="J1258" s="9" t="e">
        <f>I1258+#REF!</f>
        <v>#REF!</v>
      </c>
      <c r="K1258" s="9" t="e">
        <f>J1258+#REF!</f>
        <v>#REF!</v>
      </c>
      <c r="L1258" s="10" t="s">
        <v>52</v>
      </c>
      <c r="M1258" s="11"/>
      <c r="N1258" s="5"/>
      <c r="O1258" s="5"/>
      <c r="P1258" s="9"/>
      <c r="Q1258" s="5"/>
      <c r="R1258" s="5"/>
      <c r="S1258" s="5"/>
      <c r="T1258" s="9"/>
      <c r="U1258" s="5"/>
      <c r="V1258" s="5">
        <v>0</v>
      </c>
      <c r="W1258" s="5"/>
      <c r="X1258" s="5"/>
      <c r="Y1258" s="5"/>
      <c r="Z1258" s="5"/>
      <c r="AA1258" s="5"/>
      <c r="AC1258" t="str">
        <f t="shared" si="172"/>
        <v/>
      </c>
      <c r="AD1258" t="str">
        <f t="shared" si="173"/>
        <v/>
      </c>
      <c r="AE1258" t="str">
        <f t="shared" si="174"/>
        <v/>
      </c>
      <c r="AF1258" t="str">
        <f t="shared" si="175"/>
        <v/>
      </c>
      <c r="AG1258" t="str">
        <f t="shared" si="176"/>
        <v/>
      </c>
      <c r="AH1258">
        <f t="shared" si="177"/>
        <v>3</v>
      </c>
      <c r="AI1258" t="str">
        <f t="shared" si="178"/>
        <v/>
      </c>
      <c r="AJ1258" t="str">
        <f t="shared" si="179"/>
        <v/>
      </c>
    </row>
    <row r="1259" spans="1:36">
      <c r="A1259" s="5">
        <v>1424</v>
      </c>
      <c r="B1259" s="5" t="s">
        <v>1173</v>
      </c>
      <c r="C1259" s="10" t="s">
        <v>1122</v>
      </c>
      <c r="D1259" s="5" t="s">
        <v>1145</v>
      </c>
      <c r="E1259" s="5" t="s">
        <v>39</v>
      </c>
      <c r="F1259" s="5" t="str">
        <f t="shared" si="171"/>
        <v>IT-Analyst</v>
      </c>
      <c r="G1259" s="5" t="s">
        <v>147</v>
      </c>
      <c r="H1259" s="9">
        <v>44658.11314814815</v>
      </c>
      <c r="I1259" s="9">
        <v>44660.11314814815</v>
      </c>
      <c r="J1259" s="9" t="e">
        <f>I1259+#REF!</f>
        <v>#REF!</v>
      </c>
      <c r="K1259" s="9" t="e">
        <f>J1259+#REF!</f>
        <v>#REF!</v>
      </c>
      <c r="L1259" s="10" t="s">
        <v>41</v>
      </c>
      <c r="M1259" s="11">
        <v>44677.11314814815</v>
      </c>
      <c r="N1259" s="5" t="s">
        <v>42</v>
      </c>
      <c r="O1259" s="5" t="s">
        <v>98</v>
      </c>
      <c r="P1259" s="9"/>
      <c r="Q1259" s="5"/>
      <c r="R1259" s="5"/>
      <c r="S1259" s="5"/>
      <c r="T1259" s="9"/>
      <c r="U1259" s="5"/>
      <c r="V1259" s="5">
        <v>0</v>
      </c>
      <c r="W1259" s="5"/>
      <c r="X1259" s="5"/>
      <c r="Y1259" s="5"/>
      <c r="Z1259" s="5"/>
      <c r="AA1259" s="5" t="s">
        <v>62</v>
      </c>
      <c r="AC1259">
        <f t="shared" si="172"/>
        <v>17</v>
      </c>
      <c r="AD1259" t="str">
        <f t="shared" si="173"/>
        <v/>
      </c>
      <c r="AE1259" t="str">
        <f t="shared" si="174"/>
        <v/>
      </c>
      <c r="AF1259" t="str">
        <f t="shared" si="175"/>
        <v/>
      </c>
      <c r="AG1259" t="str">
        <f t="shared" si="176"/>
        <v/>
      </c>
      <c r="AH1259">
        <f t="shared" si="177"/>
        <v>2</v>
      </c>
      <c r="AI1259" t="str">
        <f t="shared" si="178"/>
        <v/>
      </c>
      <c r="AJ1259" t="str">
        <f t="shared" si="179"/>
        <v/>
      </c>
    </row>
    <row r="1260" spans="1:36">
      <c r="A1260" s="5">
        <v>1426</v>
      </c>
      <c r="B1260" s="5" t="s">
        <v>1208</v>
      </c>
      <c r="C1260" s="10" t="s">
        <v>1122</v>
      </c>
      <c r="D1260" s="5" t="s">
        <v>1191</v>
      </c>
      <c r="E1260" s="5" t="s">
        <v>1146</v>
      </c>
      <c r="F1260" s="5" t="str">
        <f t="shared" si="171"/>
        <v>IT-Quality Assurance</v>
      </c>
      <c r="G1260" s="5" t="s">
        <v>270</v>
      </c>
      <c r="H1260" s="9">
        <v>44657.11314814815</v>
      </c>
      <c r="I1260" s="9">
        <v>44661.11314814815</v>
      </c>
      <c r="J1260" s="9" t="e">
        <f>I1260+#REF!</f>
        <v>#REF!</v>
      </c>
      <c r="K1260" s="9" t="e">
        <f>J1260+#REF!</f>
        <v>#REF!</v>
      </c>
      <c r="L1260" s="10" t="s">
        <v>41</v>
      </c>
      <c r="M1260" s="11">
        <v>44674.11314814815</v>
      </c>
      <c r="N1260" s="5" t="s">
        <v>42</v>
      </c>
      <c r="O1260" s="5" t="s">
        <v>58</v>
      </c>
      <c r="P1260" s="9"/>
      <c r="Q1260" s="5"/>
      <c r="R1260" s="5"/>
      <c r="S1260" s="5"/>
      <c r="T1260" s="9">
        <v>44678.11314814815</v>
      </c>
      <c r="U1260" s="5"/>
      <c r="V1260" s="5">
        <v>0</v>
      </c>
      <c r="W1260" s="5"/>
      <c r="X1260" s="5"/>
      <c r="Y1260" s="5"/>
      <c r="Z1260" s="5"/>
      <c r="AA1260" s="5" t="s">
        <v>62</v>
      </c>
      <c r="AC1260">
        <f t="shared" si="172"/>
        <v>13</v>
      </c>
      <c r="AD1260" t="str">
        <f t="shared" si="173"/>
        <v/>
      </c>
      <c r="AE1260">
        <f t="shared" si="174"/>
        <v>4</v>
      </c>
      <c r="AF1260" t="str">
        <f t="shared" si="175"/>
        <v/>
      </c>
      <c r="AG1260" t="str">
        <f t="shared" si="176"/>
        <v/>
      </c>
      <c r="AH1260">
        <f t="shared" si="177"/>
        <v>4</v>
      </c>
      <c r="AI1260" t="str">
        <f t="shared" si="178"/>
        <v/>
      </c>
      <c r="AJ1260" t="str">
        <f t="shared" si="179"/>
        <v/>
      </c>
    </row>
    <row r="1261" spans="1:36">
      <c r="A1261" s="5">
        <v>1427</v>
      </c>
      <c r="B1261" s="5" t="s">
        <v>1313</v>
      </c>
      <c r="C1261" s="10" t="s">
        <v>1215</v>
      </c>
      <c r="D1261" s="5" t="s">
        <v>1287</v>
      </c>
      <c r="E1261" s="5" t="s">
        <v>1146</v>
      </c>
      <c r="F1261" s="5" t="str">
        <f t="shared" si="171"/>
        <v>HR-Quality Assurance</v>
      </c>
      <c r="G1261" s="5" t="s">
        <v>47</v>
      </c>
      <c r="H1261" s="9">
        <v>44660.11314814815</v>
      </c>
      <c r="I1261" s="9">
        <v>44662.11314814815</v>
      </c>
      <c r="J1261" s="9" t="e">
        <f>I1261+#REF!</f>
        <v>#REF!</v>
      </c>
      <c r="K1261" s="9" t="e">
        <f>J1261+#REF!</f>
        <v>#REF!</v>
      </c>
      <c r="L1261" s="10" t="s">
        <v>41</v>
      </c>
      <c r="M1261" s="11">
        <v>44672.11314814815</v>
      </c>
      <c r="N1261" s="5" t="s">
        <v>42</v>
      </c>
      <c r="O1261" s="5" t="s">
        <v>58</v>
      </c>
      <c r="P1261" s="9"/>
      <c r="Q1261" s="5"/>
      <c r="R1261" s="5"/>
      <c r="S1261" s="5"/>
      <c r="T1261" s="9"/>
      <c r="U1261" s="5"/>
      <c r="V1261" s="5">
        <v>0</v>
      </c>
      <c r="W1261" s="5"/>
      <c r="X1261" s="5"/>
      <c r="Y1261" s="5"/>
      <c r="Z1261" s="5"/>
      <c r="AA1261" s="5" t="s">
        <v>62</v>
      </c>
      <c r="AC1261">
        <f t="shared" si="172"/>
        <v>10</v>
      </c>
      <c r="AD1261" t="str">
        <f t="shared" si="173"/>
        <v/>
      </c>
      <c r="AE1261" t="str">
        <f t="shared" si="174"/>
        <v/>
      </c>
      <c r="AF1261" t="str">
        <f t="shared" si="175"/>
        <v/>
      </c>
      <c r="AG1261" t="str">
        <f t="shared" si="176"/>
        <v/>
      </c>
      <c r="AH1261">
        <f t="shared" si="177"/>
        <v>2</v>
      </c>
      <c r="AI1261" t="str">
        <f t="shared" si="178"/>
        <v/>
      </c>
      <c r="AJ1261" t="str">
        <f t="shared" si="179"/>
        <v/>
      </c>
    </row>
    <row r="1262" spans="1:36">
      <c r="A1262" s="5">
        <v>1428</v>
      </c>
      <c r="B1262" s="5" t="s">
        <v>755</v>
      </c>
      <c r="C1262" s="10" t="s">
        <v>671</v>
      </c>
      <c r="D1262" s="5" t="s">
        <v>747</v>
      </c>
      <c r="E1262" s="5" t="s">
        <v>55</v>
      </c>
      <c r="F1262" s="5" t="str">
        <f t="shared" si="171"/>
        <v>Operations-Director</v>
      </c>
      <c r="G1262" s="5" t="s">
        <v>47</v>
      </c>
      <c r="H1262" s="9">
        <v>44664.11314814815</v>
      </c>
      <c r="I1262" s="9">
        <v>44665.11314814815</v>
      </c>
      <c r="J1262" s="9" t="e">
        <f>I1262+#REF!</f>
        <v>#REF!</v>
      </c>
      <c r="K1262" s="9" t="e">
        <f>J1262+#REF!</f>
        <v>#REF!</v>
      </c>
      <c r="L1262" s="10" t="s">
        <v>52</v>
      </c>
      <c r="M1262" s="11"/>
      <c r="N1262" s="5"/>
      <c r="O1262" s="5"/>
      <c r="P1262" s="9"/>
      <c r="Q1262" s="5"/>
      <c r="R1262" s="5"/>
      <c r="S1262" s="5"/>
      <c r="T1262" s="9"/>
      <c r="U1262" s="5"/>
      <c r="V1262" s="5">
        <v>0</v>
      </c>
      <c r="W1262" s="5"/>
      <c r="X1262" s="5"/>
      <c r="Y1262" s="5"/>
      <c r="Z1262" s="5"/>
      <c r="AA1262" s="5"/>
      <c r="AC1262" t="str">
        <f t="shared" si="172"/>
        <v/>
      </c>
      <c r="AD1262" t="str">
        <f t="shared" si="173"/>
        <v/>
      </c>
      <c r="AE1262" t="str">
        <f t="shared" si="174"/>
        <v/>
      </c>
      <c r="AF1262" t="str">
        <f t="shared" si="175"/>
        <v/>
      </c>
      <c r="AG1262" t="str">
        <f t="shared" si="176"/>
        <v/>
      </c>
      <c r="AH1262">
        <f t="shared" si="177"/>
        <v>1</v>
      </c>
      <c r="AI1262" t="str">
        <f t="shared" si="178"/>
        <v/>
      </c>
      <c r="AJ1262" t="str">
        <f t="shared" si="179"/>
        <v/>
      </c>
    </row>
    <row r="1263" spans="1:36">
      <c r="A1263" s="5">
        <v>1429</v>
      </c>
      <c r="B1263" s="5" t="s">
        <v>1172</v>
      </c>
      <c r="C1263" s="10" t="s">
        <v>1122</v>
      </c>
      <c r="D1263" s="5" t="s">
        <v>1145</v>
      </c>
      <c r="E1263" s="5" t="s">
        <v>39</v>
      </c>
      <c r="F1263" s="5" t="str">
        <f t="shared" si="171"/>
        <v>IT-Analyst</v>
      </c>
      <c r="G1263" s="5" t="s">
        <v>147</v>
      </c>
      <c r="H1263" s="9">
        <v>44661.11314814815</v>
      </c>
      <c r="I1263" s="9">
        <v>44662.11314814815</v>
      </c>
      <c r="J1263" s="9" t="e">
        <f>I1263+#REF!</f>
        <v>#REF!</v>
      </c>
      <c r="K1263" s="9" t="e">
        <f>J1263+#REF!</f>
        <v>#REF!</v>
      </c>
      <c r="L1263" s="10" t="s">
        <v>41</v>
      </c>
      <c r="M1263" s="11">
        <v>44683.11314814815</v>
      </c>
      <c r="N1263" s="5" t="s">
        <v>42</v>
      </c>
      <c r="O1263" s="5" t="s">
        <v>113</v>
      </c>
      <c r="P1263" s="9"/>
      <c r="Q1263" s="5"/>
      <c r="R1263" s="5"/>
      <c r="S1263" s="5"/>
      <c r="T1263" s="9">
        <v>44684.11314814815</v>
      </c>
      <c r="U1263" s="5"/>
      <c r="V1263" s="5">
        <v>0</v>
      </c>
      <c r="W1263" s="5"/>
      <c r="X1263" s="5"/>
      <c r="Y1263" s="5"/>
      <c r="Z1263" s="5"/>
      <c r="AA1263" s="5" t="s">
        <v>62</v>
      </c>
      <c r="AC1263">
        <f t="shared" si="172"/>
        <v>21</v>
      </c>
      <c r="AD1263" t="str">
        <f t="shared" si="173"/>
        <v/>
      </c>
      <c r="AE1263">
        <f t="shared" si="174"/>
        <v>1</v>
      </c>
      <c r="AF1263" t="str">
        <f t="shared" si="175"/>
        <v/>
      </c>
      <c r="AG1263" t="str">
        <f t="shared" si="176"/>
        <v/>
      </c>
      <c r="AH1263">
        <f t="shared" si="177"/>
        <v>1</v>
      </c>
      <c r="AI1263" t="str">
        <f t="shared" si="178"/>
        <v/>
      </c>
      <c r="AJ1263" t="str">
        <f t="shared" si="179"/>
        <v/>
      </c>
    </row>
    <row r="1264" spans="1:36">
      <c r="A1264" s="5">
        <v>1431</v>
      </c>
      <c r="B1264" s="5" t="s">
        <v>1880</v>
      </c>
      <c r="C1264" s="5" t="s">
        <v>1540</v>
      </c>
      <c r="D1264" s="5" t="s">
        <v>1820</v>
      </c>
      <c r="E1264" s="5" t="s">
        <v>1862</v>
      </c>
      <c r="F1264" s="5" t="str">
        <f t="shared" si="171"/>
        <v>Finance-Billing Officer</v>
      </c>
      <c r="G1264" s="5" t="s">
        <v>40</v>
      </c>
      <c r="H1264" s="9">
        <v>45086.936932870369</v>
      </c>
      <c r="I1264" s="9">
        <v>45088.936932870369</v>
      </c>
      <c r="J1264" s="9" t="e">
        <f>I1264+#REF!</f>
        <v>#REF!</v>
      </c>
      <c r="K1264" s="9" t="e">
        <f>J1264+#REF!</f>
        <v>#REF!</v>
      </c>
      <c r="L1264" s="10" t="s">
        <v>41</v>
      </c>
      <c r="M1264" s="11">
        <v>45101.936932870369</v>
      </c>
      <c r="N1264" s="5" t="s">
        <v>167</v>
      </c>
      <c r="O1264" s="5"/>
      <c r="P1264" s="9">
        <v>45105.936932870369</v>
      </c>
      <c r="Q1264" s="5" t="s">
        <v>167</v>
      </c>
      <c r="R1264" s="5"/>
      <c r="S1264" s="5"/>
      <c r="T1264" s="9">
        <v>45103.936932870369</v>
      </c>
      <c r="U1264" s="5"/>
      <c r="V1264" s="5">
        <v>0</v>
      </c>
      <c r="W1264" s="5"/>
      <c r="X1264" s="5"/>
      <c r="Y1264" s="5"/>
      <c r="Z1264" s="5"/>
      <c r="AA1264" s="5"/>
      <c r="AC1264">
        <f t="shared" si="172"/>
        <v>13</v>
      </c>
      <c r="AD1264" t="str">
        <f t="shared" si="173"/>
        <v/>
      </c>
      <c r="AE1264">
        <f t="shared" si="174"/>
        <v>2</v>
      </c>
      <c r="AF1264" t="str">
        <f t="shared" si="175"/>
        <v/>
      </c>
      <c r="AG1264" t="str">
        <f t="shared" si="176"/>
        <v/>
      </c>
      <c r="AH1264">
        <f t="shared" si="177"/>
        <v>2</v>
      </c>
      <c r="AI1264" t="str">
        <f t="shared" si="178"/>
        <v/>
      </c>
      <c r="AJ1264" t="str">
        <f t="shared" si="179"/>
        <v/>
      </c>
    </row>
    <row r="1265" spans="1:36">
      <c r="A1265" s="5">
        <v>1432</v>
      </c>
      <c r="B1265" s="5" t="s">
        <v>1761</v>
      </c>
      <c r="C1265" s="5" t="s">
        <v>1540</v>
      </c>
      <c r="D1265" s="5" t="s">
        <v>1706</v>
      </c>
      <c r="E1265" s="5" t="s">
        <v>269</v>
      </c>
      <c r="F1265" s="5" t="str">
        <f t="shared" si="171"/>
        <v>Finance-Manager</v>
      </c>
      <c r="G1265" s="5" t="s">
        <v>270</v>
      </c>
      <c r="H1265" s="9">
        <v>45086.936932870369</v>
      </c>
      <c r="I1265" s="9">
        <v>45090.936932870369</v>
      </c>
      <c r="J1265" s="9" t="e">
        <f>I1265+#REF!</f>
        <v>#REF!</v>
      </c>
      <c r="K1265" s="9" t="e">
        <f>J1265+#REF!</f>
        <v>#REF!</v>
      </c>
      <c r="L1265" s="10" t="s">
        <v>41</v>
      </c>
      <c r="M1265" s="11">
        <v>45097.936932870369</v>
      </c>
      <c r="N1265" s="5" t="s">
        <v>42</v>
      </c>
      <c r="O1265" s="5" t="s">
        <v>43</v>
      </c>
      <c r="P1265" s="9"/>
      <c r="Q1265" s="5"/>
      <c r="R1265" s="5"/>
      <c r="S1265" s="5"/>
      <c r="T1265" s="9">
        <v>45098.936932870369</v>
      </c>
      <c r="U1265" s="5"/>
      <c r="V1265" s="5">
        <v>0</v>
      </c>
      <c r="W1265" s="5"/>
      <c r="X1265" s="5"/>
      <c r="Y1265" s="5"/>
      <c r="Z1265" s="5"/>
      <c r="AA1265" s="5" t="s">
        <v>44</v>
      </c>
      <c r="AC1265">
        <f t="shared" si="172"/>
        <v>7</v>
      </c>
      <c r="AD1265" t="str">
        <f t="shared" si="173"/>
        <v/>
      </c>
      <c r="AE1265">
        <f t="shared" si="174"/>
        <v>1</v>
      </c>
      <c r="AF1265" t="str">
        <f t="shared" si="175"/>
        <v/>
      </c>
      <c r="AG1265" t="str">
        <f t="shared" si="176"/>
        <v/>
      </c>
      <c r="AH1265">
        <f t="shared" si="177"/>
        <v>4</v>
      </c>
      <c r="AI1265" t="str">
        <f t="shared" si="178"/>
        <v/>
      </c>
      <c r="AJ1265" t="str">
        <f t="shared" si="179"/>
        <v/>
      </c>
    </row>
    <row r="1266" spans="1:36">
      <c r="A1266" s="5">
        <v>1433</v>
      </c>
      <c r="B1266" s="5" t="s">
        <v>2037</v>
      </c>
      <c r="C1266" s="5" t="s">
        <v>1540</v>
      </c>
      <c r="D1266" s="5" t="s">
        <v>1985</v>
      </c>
      <c r="E1266" s="5" t="s">
        <v>1862</v>
      </c>
      <c r="F1266" s="5" t="str">
        <f t="shared" si="171"/>
        <v>Finance-Billing Officer</v>
      </c>
      <c r="G1266" s="5" t="s">
        <v>47</v>
      </c>
      <c r="H1266" s="9">
        <v>45085.936932870369</v>
      </c>
      <c r="I1266" s="9">
        <v>45088.936932870369</v>
      </c>
      <c r="J1266" s="9" t="e">
        <f>I1266+#REF!</f>
        <v>#REF!</v>
      </c>
      <c r="K1266" s="9" t="e">
        <f>J1266+#REF!</f>
        <v>#REF!</v>
      </c>
      <c r="L1266" s="10" t="s">
        <v>41</v>
      </c>
      <c r="M1266" s="11">
        <v>45106.936932870369</v>
      </c>
      <c r="N1266" s="5" t="s">
        <v>64</v>
      </c>
      <c r="O1266" s="5"/>
      <c r="P1266" s="9">
        <v>45110.936932870369</v>
      </c>
      <c r="Q1266" s="5" t="s">
        <v>64</v>
      </c>
      <c r="R1266" s="9">
        <v>45108.936932870369</v>
      </c>
      <c r="S1266" s="9">
        <v>45110.936932870369</v>
      </c>
      <c r="T1266" s="9">
        <v>45108.936932870369</v>
      </c>
      <c r="U1266" s="9">
        <v>45116.936932870369</v>
      </c>
      <c r="V1266" s="12">
        <v>1</v>
      </c>
      <c r="W1266" s="9">
        <v>45118.936932870369</v>
      </c>
      <c r="X1266" s="9">
        <v>45121.936932870369</v>
      </c>
      <c r="Y1266" s="9">
        <v>45122.936932870369</v>
      </c>
      <c r="Z1266" s="5"/>
      <c r="AA1266" s="5"/>
      <c r="AB1266" s="13">
        <v>45142.936932870369</v>
      </c>
      <c r="AC1266">
        <f t="shared" si="172"/>
        <v>18</v>
      </c>
      <c r="AD1266">
        <f t="shared" si="173"/>
        <v>22</v>
      </c>
      <c r="AE1266">
        <f t="shared" si="174"/>
        <v>2</v>
      </c>
      <c r="AF1266">
        <f t="shared" si="175"/>
        <v>5</v>
      </c>
      <c r="AG1266">
        <f t="shared" si="176"/>
        <v>2</v>
      </c>
      <c r="AH1266">
        <f t="shared" si="177"/>
        <v>3</v>
      </c>
      <c r="AI1266" t="str">
        <f t="shared" si="178"/>
        <v/>
      </c>
      <c r="AJ1266" t="str">
        <f t="shared" si="179"/>
        <v/>
      </c>
    </row>
    <row r="1267" spans="1:36">
      <c r="A1267" s="5">
        <v>1434</v>
      </c>
      <c r="B1267" s="5" t="s">
        <v>1563</v>
      </c>
      <c r="C1267" s="5" t="s">
        <v>1540</v>
      </c>
      <c r="D1267" s="5" t="s">
        <v>1541</v>
      </c>
      <c r="E1267" s="5" t="s">
        <v>102</v>
      </c>
      <c r="F1267" s="5" t="str">
        <f t="shared" si="171"/>
        <v>Finance-Senior Manager</v>
      </c>
      <c r="G1267" s="5" t="s">
        <v>103</v>
      </c>
      <c r="H1267" s="9">
        <v>45086.936932870369</v>
      </c>
      <c r="I1267" s="9">
        <v>45090.936932870369</v>
      </c>
      <c r="J1267" s="9" t="e">
        <f>I1267+#REF!</f>
        <v>#REF!</v>
      </c>
      <c r="K1267" s="9" t="e">
        <f>J1267+#REF!</f>
        <v>#REF!</v>
      </c>
      <c r="L1267" s="10" t="s">
        <v>41</v>
      </c>
      <c r="M1267" s="11">
        <v>45096.936932870369</v>
      </c>
      <c r="N1267" s="5" t="s">
        <v>42</v>
      </c>
      <c r="O1267" s="5" t="s">
        <v>43</v>
      </c>
      <c r="P1267" s="9"/>
      <c r="Q1267" s="5"/>
      <c r="R1267" s="5"/>
      <c r="S1267" s="5"/>
      <c r="T1267" s="9"/>
      <c r="U1267" s="5"/>
      <c r="V1267" s="5">
        <v>0</v>
      </c>
      <c r="W1267" s="5"/>
      <c r="X1267" s="5"/>
      <c r="Y1267" s="5"/>
      <c r="Z1267" s="5"/>
      <c r="AA1267" s="5" t="s">
        <v>44</v>
      </c>
      <c r="AC1267">
        <f t="shared" si="172"/>
        <v>6</v>
      </c>
      <c r="AD1267" t="str">
        <f t="shared" si="173"/>
        <v/>
      </c>
      <c r="AE1267" t="str">
        <f t="shared" si="174"/>
        <v/>
      </c>
      <c r="AF1267" t="str">
        <f t="shared" si="175"/>
        <v/>
      </c>
      <c r="AG1267" t="str">
        <f t="shared" si="176"/>
        <v/>
      </c>
      <c r="AH1267">
        <f t="shared" si="177"/>
        <v>4</v>
      </c>
      <c r="AI1267" t="str">
        <f t="shared" si="178"/>
        <v/>
      </c>
      <c r="AJ1267" t="str">
        <f t="shared" si="179"/>
        <v/>
      </c>
    </row>
    <row r="1268" spans="1:36">
      <c r="A1268" s="5">
        <v>1435</v>
      </c>
      <c r="B1268" s="5" t="s">
        <v>1931</v>
      </c>
      <c r="C1268" s="5" t="s">
        <v>1540</v>
      </c>
      <c r="D1268" s="5" t="s">
        <v>1925</v>
      </c>
      <c r="E1268" s="5" t="s">
        <v>1039</v>
      </c>
      <c r="F1268" s="5" t="str">
        <f t="shared" si="171"/>
        <v>Finance-Associate Director</v>
      </c>
      <c r="G1268" s="5" t="s">
        <v>56</v>
      </c>
      <c r="H1268" s="9">
        <v>45085.936932870369</v>
      </c>
      <c r="I1268" s="9">
        <v>45089.936932870369</v>
      </c>
      <c r="J1268" s="9" t="e">
        <f>I1268+#REF!</f>
        <v>#REF!</v>
      </c>
      <c r="K1268" s="9" t="e">
        <f>J1268+#REF!</f>
        <v>#REF!</v>
      </c>
      <c r="L1268" s="10" t="s">
        <v>52</v>
      </c>
      <c r="M1268" s="11"/>
      <c r="N1268" s="5"/>
      <c r="O1268" s="5"/>
      <c r="P1268" s="9"/>
      <c r="Q1268" s="5"/>
      <c r="R1268" s="5"/>
      <c r="S1268" s="5"/>
      <c r="T1268" s="9"/>
      <c r="U1268" s="5"/>
      <c r="V1268" s="5">
        <v>0</v>
      </c>
      <c r="W1268" s="5"/>
      <c r="X1268" s="5"/>
      <c r="Y1268" s="5"/>
      <c r="Z1268" s="5"/>
      <c r="AA1268" s="5"/>
      <c r="AC1268" t="str">
        <f t="shared" si="172"/>
        <v/>
      </c>
      <c r="AD1268" t="str">
        <f t="shared" si="173"/>
        <v/>
      </c>
      <c r="AE1268" t="str">
        <f t="shared" si="174"/>
        <v/>
      </c>
      <c r="AF1268" t="str">
        <f t="shared" si="175"/>
        <v/>
      </c>
      <c r="AG1268" t="str">
        <f t="shared" si="176"/>
        <v/>
      </c>
      <c r="AH1268">
        <f t="shared" si="177"/>
        <v>4</v>
      </c>
      <c r="AI1268" t="str">
        <f t="shared" si="178"/>
        <v/>
      </c>
      <c r="AJ1268" t="str">
        <f t="shared" si="179"/>
        <v/>
      </c>
    </row>
    <row r="1269" spans="1:36">
      <c r="A1269" s="5">
        <v>1437</v>
      </c>
      <c r="B1269" s="5" t="s">
        <v>1760</v>
      </c>
      <c r="C1269" s="5" t="s">
        <v>1540</v>
      </c>
      <c r="D1269" s="5" t="s">
        <v>1706</v>
      </c>
      <c r="E1269" s="5" t="s">
        <v>269</v>
      </c>
      <c r="F1269" s="5" t="str">
        <f t="shared" si="171"/>
        <v>Finance-Manager</v>
      </c>
      <c r="G1269" s="5" t="s">
        <v>270</v>
      </c>
      <c r="H1269" s="9">
        <v>45085.936932870369</v>
      </c>
      <c r="I1269" s="9">
        <v>45089.936932870369</v>
      </c>
      <c r="J1269" s="9" t="e">
        <f>I1269+#REF!</f>
        <v>#REF!</v>
      </c>
      <c r="K1269" s="9" t="e">
        <f>J1269+#REF!</f>
        <v>#REF!</v>
      </c>
      <c r="L1269" s="10" t="s">
        <v>41</v>
      </c>
      <c r="M1269" s="11">
        <v>45096.936932870369</v>
      </c>
      <c r="N1269" s="5" t="s">
        <v>167</v>
      </c>
      <c r="O1269" s="5"/>
      <c r="P1269" s="9">
        <v>45103.936932870369</v>
      </c>
      <c r="Q1269" s="5" t="s">
        <v>167</v>
      </c>
      <c r="R1269" s="5"/>
      <c r="S1269" s="5"/>
      <c r="T1269" s="9">
        <v>45100.936932870369</v>
      </c>
      <c r="U1269" s="5"/>
      <c r="V1269" s="5">
        <v>0</v>
      </c>
      <c r="W1269" s="5"/>
      <c r="X1269" s="5"/>
      <c r="Y1269" s="5"/>
      <c r="Z1269" s="5"/>
      <c r="AA1269" s="5"/>
      <c r="AC1269">
        <f t="shared" si="172"/>
        <v>7</v>
      </c>
      <c r="AD1269" t="str">
        <f t="shared" si="173"/>
        <v/>
      </c>
      <c r="AE1269">
        <f t="shared" si="174"/>
        <v>4</v>
      </c>
      <c r="AF1269" t="str">
        <f t="shared" si="175"/>
        <v/>
      </c>
      <c r="AG1269" t="str">
        <f t="shared" si="176"/>
        <v/>
      </c>
      <c r="AH1269">
        <f t="shared" si="177"/>
        <v>4</v>
      </c>
      <c r="AI1269" t="str">
        <f t="shared" si="178"/>
        <v/>
      </c>
      <c r="AJ1269" t="str">
        <f t="shared" si="179"/>
        <v/>
      </c>
    </row>
    <row r="1270" spans="1:36">
      <c r="A1270" s="5">
        <v>1438</v>
      </c>
      <c r="B1270" s="5" t="s">
        <v>1879</v>
      </c>
      <c r="C1270" s="5" t="s">
        <v>1540</v>
      </c>
      <c r="D1270" s="5" t="s">
        <v>1820</v>
      </c>
      <c r="E1270" s="5" t="s">
        <v>1862</v>
      </c>
      <c r="F1270" s="5" t="str">
        <f t="shared" si="171"/>
        <v>Finance-Billing Officer</v>
      </c>
      <c r="G1270" s="5" t="s">
        <v>40</v>
      </c>
      <c r="H1270" s="9">
        <v>45084.936932870369</v>
      </c>
      <c r="I1270" s="9">
        <v>45088.936932870369</v>
      </c>
      <c r="J1270" s="9" t="e">
        <f>I1270+#REF!</f>
        <v>#REF!</v>
      </c>
      <c r="K1270" s="9" t="e">
        <f>J1270+#REF!</f>
        <v>#REF!</v>
      </c>
      <c r="L1270" s="10" t="s">
        <v>41</v>
      </c>
      <c r="M1270" s="11">
        <v>45094.936932870369</v>
      </c>
      <c r="N1270" s="5" t="s">
        <v>42</v>
      </c>
      <c r="O1270" s="5" t="s">
        <v>113</v>
      </c>
      <c r="P1270" s="9"/>
      <c r="Q1270" s="5"/>
      <c r="R1270" s="5"/>
      <c r="S1270" s="5"/>
      <c r="T1270" s="9"/>
      <c r="U1270" s="5"/>
      <c r="V1270" s="5">
        <v>0</v>
      </c>
      <c r="W1270" s="5"/>
      <c r="X1270" s="5"/>
      <c r="Y1270" s="5"/>
      <c r="Z1270" s="5"/>
      <c r="AA1270" s="5" t="s">
        <v>62</v>
      </c>
      <c r="AC1270">
        <f t="shared" si="172"/>
        <v>6</v>
      </c>
      <c r="AD1270" t="str">
        <f t="shared" si="173"/>
        <v/>
      </c>
      <c r="AE1270" t="str">
        <f t="shared" si="174"/>
        <v/>
      </c>
      <c r="AF1270" t="str">
        <f t="shared" si="175"/>
        <v/>
      </c>
      <c r="AG1270" t="str">
        <f t="shared" si="176"/>
        <v/>
      </c>
      <c r="AH1270">
        <f t="shared" si="177"/>
        <v>4</v>
      </c>
      <c r="AI1270" t="str">
        <f t="shared" si="178"/>
        <v/>
      </c>
      <c r="AJ1270" t="str">
        <f t="shared" si="179"/>
        <v/>
      </c>
    </row>
    <row r="1271" spans="1:36">
      <c r="A1271" s="5">
        <v>1439</v>
      </c>
      <c r="B1271" s="5" t="s">
        <v>1878</v>
      </c>
      <c r="C1271" s="5" t="s">
        <v>1540</v>
      </c>
      <c r="D1271" s="5" t="s">
        <v>1820</v>
      </c>
      <c r="E1271" s="5" t="s">
        <v>1862</v>
      </c>
      <c r="F1271" s="5" t="str">
        <f t="shared" si="171"/>
        <v>Finance-Billing Officer</v>
      </c>
      <c r="G1271" s="5" t="s">
        <v>40</v>
      </c>
      <c r="H1271" s="9">
        <v>45084.936932870369</v>
      </c>
      <c r="I1271" s="9">
        <v>45087.936932870369</v>
      </c>
      <c r="J1271" s="9" t="e">
        <f>I1271+#REF!</f>
        <v>#REF!</v>
      </c>
      <c r="K1271" s="9" t="e">
        <f>J1271+#REF!</f>
        <v>#REF!</v>
      </c>
      <c r="L1271" s="10" t="s">
        <v>41</v>
      </c>
      <c r="M1271" s="11">
        <v>45101.936932870369</v>
      </c>
      <c r="N1271" s="5" t="s">
        <v>42</v>
      </c>
      <c r="O1271" s="5" t="s">
        <v>73</v>
      </c>
      <c r="P1271" s="9"/>
      <c r="Q1271" s="5"/>
      <c r="R1271" s="5"/>
      <c r="S1271" s="5"/>
      <c r="T1271" s="9"/>
      <c r="U1271" s="5"/>
      <c r="V1271" s="5">
        <v>0</v>
      </c>
      <c r="W1271" s="5"/>
      <c r="X1271" s="5"/>
      <c r="Y1271" s="5"/>
      <c r="Z1271" s="5"/>
      <c r="AA1271" s="5" t="s">
        <v>44</v>
      </c>
      <c r="AC1271">
        <f t="shared" si="172"/>
        <v>14</v>
      </c>
      <c r="AD1271" t="str">
        <f t="shared" si="173"/>
        <v/>
      </c>
      <c r="AE1271" t="str">
        <f t="shared" si="174"/>
        <v/>
      </c>
      <c r="AF1271" t="str">
        <f t="shared" si="175"/>
        <v/>
      </c>
      <c r="AG1271" t="str">
        <f t="shared" si="176"/>
        <v/>
      </c>
      <c r="AH1271">
        <f t="shared" si="177"/>
        <v>3</v>
      </c>
      <c r="AI1271" t="str">
        <f t="shared" si="178"/>
        <v/>
      </c>
      <c r="AJ1271" t="str">
        <f t="shared" si="179"/>
        <v/>
      </c>
    </row>
    <row r="1272" spans="1:36">
      <c r="A1272" s="5">
        <v>1440</v>
      </c>
      <c r="B1272" s="5" t="s">
        <v>1759</v>
      </c>
      <c r="C1272" s="5" t="s">
        <v>1540</v>
      </c>
      <c r="D1272" s="5" t="s">
        <v>1706</v>
      </c>
      <c r="E1272" s="5" t="s">
        <v>269</v>
      </c>
      <c r="F1272" s="5" t="str">
        <f t="shared" si="171"/>
        <v>Finance-Manager</v>
      </c>
      <c r="G1272" s="5" t="s">
        <v>270</v>
      </c>
      <c r="H1272" s="9">
        <v>45083.936932870369</v>
      </c>
      <c r="I1272" s="9">
        <v>45087.936932870369</v>
      </c>
      <c r="J1272" s="9" t="e">
        <f>I1272+#REF!</f>
        <v>#REF!</v>
      </c>
      <c r="K1272" s="9" t="e">
        <f>J1272+#REF!</f>
        <v>#REF!</v>
      </c>
      <c r="L1272" s="10" t="s">
        <v>41</v>
      </c>
      <c r="M1272" s="11">
        <v>45099.936932870369</v>
      </c>
      <c r="N1272" s="5" t="s">
        <v>42</v>
      </c>
      <c r="O1272" s="5" t="s">
        <v>98</v>
      </c>
      <c r="P1272" s="9"/>
      <c r="Q1272" s="5"/>
      <c r="R1272" s="5"/>
      <c r="S1272" s="5"/>
      <c r="T1272" s="9">
        <v>45101.936932870369</v>
      </c>
      <c r="U1272" s="5"/>
      <c r="V1272" s="5">
        <v>0</v>
      </c>
      <c r="W1272" s="5"/>
      <c r="X1272" s="5"/>
      <c r="Y1272" s="5"/>
      <c r="Z1272" s="5"/>
      <c r="AA1272" s="5" t="s">
        <v>44</v>
      </c>
      <c r="AC1272">
        <f t="shared" si="172"/>
        <v>12</v>
      </c>
      <c r="AD1272" t="str">
        <f t="shared" si="173"/>
        <v/>
      </c>
      <c r="AE1272">
        <f t="shared" si="174"/>
        <v>2</v>
      </c>
      <c r="AF1272" t="str">
        <f t="shared" si="175"/>
        <v/>
      </c>
      <c r="AG1272" t="str">
        <f t="shared" si="176"/>
        <v/>
      </c>
      <c r="AH1272">
        <f t="shared" si="177"/>
        <v>4</v>
      </c>
      <c r="AI1272" t="str">
        <f t="shared" si="178"/>
        <v/>
      </c>
      <c r="AJ1272" t="str">
        <f t="shared" si="179"/>
        <v/>
      </c>
    </row>
    <row r="1273" spans="1:36">
      <c r="A1273" s="5">
        <v>1441</v>
      </c>
      <c r="B1273" s="5" t="s">
        <v>202</v>
      </c>
      <c r="C1273" s="5" t="s">
        <v>100</v>
      </c>
      <c r="D1273" s="5" t="s">
        <v>146</v>
      </c>
      <c r="E1273" s="5" t="s">
        <v>39</v>
      </c>
      <c r="F1273" s="5" t="str">
        <f t="shared" si="171"/>
        <v>Program Office-Analyst</v>
      </c>
      <c r="G1273" s="5" t="s">
        <v>147</v>
      </c>
      <c r="H1273" s="9">
        <v>45015.427199074074</v>
      </c>
      <c r="I1273" s="9">
        <v>45018.427199074074</v>
      </c>
      <c r="J1273" s="9" t="e">
        <f>I1273+#REF!</f>
        <v>#REF!</v>
      </c>
      <c r="K1273" s="9" t="e">
        <f>J1273+#REF!</f>
        <v>#REF!</v>
      </c>
      <c r="L1273" s="10" t="s">
        <v>41</v>
      </c>
      <c r="M1273" s="11">
        <v>45035.427199074074</v>
      </c>
      <c r="N1273" s="5" t="s">
        <v>64</v>
      </c>
      <c r="O1273" s="5"/>
      <c r="P1273" s="9">
        <v>45040.427199074074</v>
      </c>
      <c r="Q1273" s="5" t="s">
        <v>64</v>
      </c>
      <c r="R1273" s="9">
        <v>45037.427199074074</v>
      </c>
      <c r="S1273" s="9">
        <v>45038.427199074074</v>
      </c>
      <c r="T1273" s="9">
        <v>45038.427199074074</v>
      </c>
      <c r="U1273" s="9">
        <v>45044.427199074074</v>
      </c>
      <c r="V1273" s="12">
        <v>1</v>
      </c>
      <c r="W1273" s="9">
        <v>45047.427199074074</v>
      </c>
      <c r="X1273" s="9">
        <v>45050.427199074074</v>
      </c>
      <c r="Y1273" s="9">
        <v>45052.427199074074</v>
      </c>
      <c r="Z1273" s="5"/>
      <c r="AA1273" s="5"/>
      <c r="AB1273" s="13">
        <v>45067.427199074074</v>
      </c>
      <c r="AC1273">
        <f t="shared" si="172"/>
        <v>17</v>
      </c>
      <c r="AD1273">
        <f t="shared" si="173"/>
        <v>20</v>
      </c>
      <c r="AE1273">
        <f t="shared" si="174"/>
        <v>3</v>
      </c>
      <c r="AF1273">
        <f t="shared" si="175"/>
        <v>6</v>
      </c>
      <c r="AG1273">
        <f t="shared" si="176"/>
        <v>3</v>
      </c>
      <c r="AH1273">
        <f t="shared" si="177"/>
        <v>3</v>
      </c>
      <c r="AI1273" t="str">
        <f t="shared" si="178"/>
        <v/>
      </c>
      <c r="AJ1273" t="str">
        <f t="shared" si="179"/>
        <v/>
      </c>
    </row>
    <row r="1274" spans="1:36">
      <c r="A1274" s="5">
        <v>1442</v>
      </c>
      <c r="B1274" s="5" t="s">
        <v>201</v>
      </c>
      <c r="C1274" s="5" t="s">
        <v>100</v>
      </c>
      <c r="D1274" s="5" t="s">
        <v>146</v>
      </c>
      <c r="E1274" s="5" t="s">
        <v>39</v>
      </c>
      <c r="F1274" s="5" t="str">
        <f t="shared" si="171"/>
        <v>Program Office-Analyst</v>
      </c>
      <c r="G1274" s="5" t="s">
        <v>147</v>
      </c>
      <c r="H1274" s="9">
        <v>45013.427199074074</v>
      </c>
      <c r="I1274" s="9">
        <v>45014.427199074074</v>
      </c>
      <c r="J1274" s="9" t="e">
        <f>I1274+#REF!</f>
        <v>#REF!</v>
      </c>
      <c r="K1274" s="9" t="e">
        <f>J1274+#REF!</f>
        <v>#REF!</v>
      </c>
      <c r="L1274" s="10" t="s">
        <v>41</v>
      </c>
      <c r="M1274" s="11">
        <v>45029.427199074074</v>
      </c>
      <c r="N1274" s="5" t="s">
        <v>64</v>
      </c>
      <c r="O1274" s="5"/>
      <c r="P1274" s="9">
        <v>45033.427199074074</v>
      </c>
      <c r="Q1274" s="5" t="s">
        <v>64</v>
      </c>
      <c r="R1274" s="9">
        <v>45031.427199074074</v>
      </c>
      <c r="S1274" s="9">
        <v>45032.427199074074</v>
      </c>
      <c r="T1274" s="9">
        <v>45032.427199074074</v>
      </c>
      <c r="U1274" s="9">
        <v>45039.427199074074</v>
      </c>
      <c r="V1274" s="12">
        <v>1</v>
      </c>
      <c r="W1274" s="9">
        <v>45043.427199074074</v>
      </c>
      <c r="X1274" s="9">
        <v>45046.427199074074</v>
      </c>
      <c r="Y1274" s="9">
        <v>45048.427199074074</v>
      </c>
      <c r="Z1274" s="5"/>
      <c r="AA1274" s="5"/>
      <c r="AB1274" s="13">
        <v>45061.427199074074</v>
      </c>
      <c r="AC1274">
        <f t="shared" si="172"/>
        <v>15</v>
      </c>
      <c r="AD1274">
        <f t="shared" si="173"/>
        <v>18</v>
      </c>
      <c r="AE1274">
        <f t="shared" si="174"/>
        <v>3</v>
      </c>
      <c r="AF1274">
        <f t="shared" si="175"/>
        <v>7</v>
      </c>
      <c r="AG1274">
        <f t="shared" si="176"/>
        <v>4</v>
      </c>
      <c r="AH1274">
        <f t="shared" si="177"/>
        <v>1</v>
      </c>
      <c r="AI1274" t="str">
        <f t="shared" si="178"/>
        <v/>
      </c>
      <c r="AJ1274" t="str">
        <f t="shared" si="179"/>
        <v/>
      </c>
    </row>
    <row r="1275" spans="1:36">
      <c r="A1275" s="5">
        <v>1443</v>
      </c>
      <c r="B1275" s="5" t="s">
        <v>622</v>
      </c>
      <c r="C1275" s="5" t="s">
        <v>100</v>
      </c>
      <c r="D1275" s="5" t="s">
        <v>554</v>
      </c>
      <c r="E1275" s="5" t="s">
        <v>597</v>
      </c>
      <c r="F1275" s="5" t="str">
        <f t="shared" si="171"/>
        <v>Program Office-Business Partner</v>
      </c>
      <c r="G1275" s="5" t="s">
        <v>47</v>
      </c>
      <c r="H1275" s="9">
        <v>45013.427199074074</v>
      </c>
      <c r="I1275" s="9">
        <v>45014.427199074074</v>
      </c>
      <c r="J1275" s="9" t="e">
        <f>I1275+#REF!</f>
        <v>#REF!</v>
      </c>
      <c r="K1275" s="9" t="e">
        <f>J1275+#REF!</f>
        <v>#REF!</v>
      </c>
      <c r="L1275" s="10" t="s">
        <v>41</v>
      </c>
      <c r="M1275" s="11">
        <v>45032.427199074074</v>
      </c>
      <c r="N1275" s="5" t="s">
        <v>42</v>
      </c>
      <c r="O1275" s="5" t="s">
        <v>113</v>
      </c>
      <c r="P1275" s="9"/>
      <c r="Q1275" s="5"/>
      <c r="R1275" s="5"/>
      <c r="S1275" s="5"/>
      <c r="T1275" s="9"/>
      <c r="U1275" s="5"/>
      <c r="V1275" s="5">
        <v>0</v>
      </c>
      <c r="W1275" s="5"/>
      <c r="X1275" s="5"/>
      <c r="Y1275" s="5"/>
      <c r="Z1275" s="5"/>
      <c r="AA1275" s="5" t="s">
        <v>44</v>
      </c>
      <c r="AC1275">
        <f t="shared" si="172"/>
        <v>18</v>
      </c>
      <c r="AD1275" t="str">
        <f t="shared" si="173"/>
        <v/>
      </c>
      <c r="AE1275" t="str">
        <f t="shared" si="174"/>
        <v/>
      </c>
      <c r="AF1275" t="str">
        <f t="shared" si="175"/>
        <v/>
      </c>
      <c r="AG1275" t="str">
        <f t="shared" si="176"/>
        <v/>
      </c>
      <c r="AH1275">
        <f t="shared" si="177"/>
        <v>1</v>
      </c>
      <c r="AI1275" t="str">
        <f t="shared" si="178"/>
        <v/>
      </c>
      <c r="AJ1275" t="str">
        <f t="shared" si="179"/>
        <v/>
      </c>
    </row>
    <row r="1276" spans="1:36">
      <c r="A1276" s="5">
        <v>1444</v>
      </c>
      <c r="B1276" s="5" t="s">
        <v>446</v>
      </c>
      <c r="C1276" s="5" t="s">
        <v>100</v>
      </c>
      <c r="D1276" s="5" t="s">
        <v>387</v>
      </c>
      <c r="E1276" s="5" t="s">
        <v>388</v>
      </c>
      <c r="F1276" s="5" t="str">
        <f t="shared" si="171"/>
        <v>Program Office-Extension Officer</v>
      </c>
      <c r="G1276" s="5" t="s">
        <v>40</v>
      </c>
      <c r="H1276" s="9">
        <v>45015.427199074074</v>
      </c>
      <c r="I1276" s="9">
        <v>45018.427199074074</v>
      </c>
      <c r="J1276" s="9" t="e">
        <f>I1276+#REF!</f>
        <v>#REF!</v>
      </c>
      <c r="K1276" s="9" t="e">
        <f>J1276+#REF!</f>
        <v>#REF!</v>
      </c>
      <c r="L1276" s="10" t="s">
        <v>41</v>
      </c>
      <c r="M1276" s="11">
        <v>45032.427199074074</v>
      </c>
      <c r="N1276" s="5" t="s">
        <v>42</v>
      </c>
      <c r="O1276" s="5" t="s">
        <v>43</v>
      </c>
      <c r="P1276" s="9"/>
      <c r="Q1276" s="5"/>
      <c r="R1276" s="5"/>
      <c r="S1276" s="5"/>
      <c r="T1276" s="9"/>
      <c r="U1276" s="5"/>
      <c r="V1276" s="5">
        <v>0</v>
      </c>
      <c r="W1276" s="5"/>
      <c r="X1276" s="5"/>
      <c r="Y1276" s="5"/>
      <c r="Z1276" s="5"/>
      <c r="AA1276" s="5" t="s">
        <v>44</v>
      </c>
      <c r="AC1276">
        <f t="shared" si="172"/>
        <v>14</v>
      </c>
      <c r="AD1276" t="str">
        <f t="shared" si="173"/>
        <v/>
      </c>
      <c r="AE1276" t="str">
        <f t="shared" si="174"/>
        <v/>
      </c>
      <c r="AF1276" t="str">
        <f t="shared" si="175"/>
        <v/>
      </c>
      <c r="AG1276" t="str">
        <f t="shared" si="176"/>
        <v/>
      </c>
      <c r="AH1276">
        <f t="shared" si="177"/>
        <v>3</v>
      </c>
      <c r="AI1276" t="str">
        <f t="shared" si="178"/>
        <v/>
      </c>
      <c r="AJ1276" t="str">
        <f t="shared" si="179"/>
        <v/>
      </c>
    </row>
    <row r="1277" spans="1:36">
      <c r="A1277" s="5">
        <v>1445</v>
      </c>
      <c r="B1277" s="5" t="s">
        <v>621</v>
      </c>
      <c r="C1277" s="5" t="s">
        <v>100</v>
      </c>
      <c r="D1277" s="5" t="s">
        <v>554</v>
      </c>
      <c r="E1277" s="5" t="s">
        <v>597</v>
      </c>
      <c r="F1277" s="5" t="str">
        <f t="shared" si="171"/>
        <v>Program Office-Business Partner</v>
      </c>
      <c r="G1277" s="5" t="s">
        <v>47</v>
      </c>
      <c r="H1277" s="9">
        <v>45015.427199074074</v>
      </c>
      <c r="I1277" s="9">
        <v>45016.427199074074</v>
      </c>
      <c r="J1277" s="9" t="e">
        <f>I1277+#REF!</f>
        <v>#REF!</v>
      </c>
      <c r="K1277" s="9" t="e">
        <f>J1277+#REF!</f>
        <v>#REF!</v>
      </c>
      <c r="L1277" s="10" t="s">
        <v>52</v>
      </c>
      <c r="M1277" s="11"/>
      <c r="N1277" s="5"/>
      <c r="O1277" s="5"/>
      <c r="P1277" s="9"/>
      <c r="Q1277" s="5"/>
      <c r="R1277" s="5"/>
      <c r="S1277" s="5"/>
      <c r="T1277" s="9"/>
      <c r="U1277" s="5"/>
      <c r="V1277" s="5">
        <v>0</v>
      </c>
      <c r="W1277" s="5"/>
      <c r="X1277" s="5"/>
      <c r="Y1277" s="5"/>
      <c r="Z1277" s="5"/>
      <c r="AA1277" s="5"/>
      <c r="AC1277" t="str">
        <f t="shared" si="172"/>
        <v/>
      </c>
      <c r="AD1277" t="str">
        <f t="shared" si="173"/>
        <v/>
      </c>
      <c r="AE1277" t="str">
        <f t="shared" si="174"/>
        <v/>
      </c>
      <c r="AF1277" t="str">
        <f t="shared" si="175"/>
        <v/>
      </c>
      <c r="AG1277" t="str">
        <f t="shared" si="176"/>
        <v/>
      </c>
      <c r="AH1277">
        <f t="shared" si="177"/>
        <v>1</v>
      </c>
      <c r="AI1277" t="str">
        <f t="shared" si="178"/>
        <v/>
      </c>
      <c r="AJ1277" t="str">
        <f t="shared" si="179"/>
        <v/>
      </c>
    </row>
    <row r="1278" spans="1:36">
      <c r="A1278" s="5">
        <v>1446</v>
      </c>
      <c r="B1278" s="5" t="s">
        <v>326</v>
      </c>
      <c r="C1278" s="5" t="s">
        <v>100</v>
      </c>
      <c r="D1278" s="5" t="s">
        <v>268</v>
      </c>
      <c r="E1278" s="5" t="s">
        <v>291</v>
      </c>
      <c r="F1278" s="5" t="str">
        <f t="shared" si="171"/>
        <v>Program Office-Cordination Manager</v>
      </c>
      <c r="G1278" s="5" t="s">
        <v>270</v>
      </c>
      <c r="H1278" s="9">
        <v>45015.427199074074</v>
      </c>
      <c r="I1278" s="9">
        <v>45016.427199074074</v>
      </c>
      <c r="J1278" s="9" t="e">
        <f>I1278+#REF!</f>
        <v>#REF!</v>
      </c>
      <c r="K1278" s="9" t="e">
        <f>J1278+#REF!</f>
        <v>#REF!</v>
      </c>
      <c r="L1278" s="10" t="s">
        <v>52</v>
      </c>
      <c r="M1278" s="11"/>
      <c r="N1278" s="5"/>
      <c r="O1278" s="5"/>
      <c r="P1278" s="9"/>
      <c r="Q1278" s="5"/>
      <c r="R1278" s="5"/>
      <c r="S1278" s="5"/>
      <c r="T1278" s="9"/>
      <c r="U1278" s="5"/>
      <c r="V1278" s="5">
        <v>0</v>
      </c>
      <c r="W1278" s="5"/>
      <c r="X1278" s="5"/>
      <c r="Y1278" s="5"/>
      <c r="Z1278" s="5"/>
      <c r="AA1278" s="5"/>
      <c r="AC1278" t="str">
        <f t="shared" si="172"/>
        <v/>
      </c>
      <c r="AD1278" t="str">
        <f t="shared" si="173"/>
        <v/>
      </c>
      <c r="AE1278" t="str">
        <f t="shared" si="174"/>
        <v/>
      </c>
      <c r="AF1278" t="str">
        <f t="shared" si="175"/>
        <v/>
      </c>
      <c r="AG1278" t="str">
        <f t="shared" si="176"/>
        <v/>
      </c>
      <c r="AH1278">
        <f t="shared" si="177"/>
        <v>1</v>
      </c>
      <c r="AI1278" t="str">
        <f t="shared" si="178"/>
        <v/>
      </c>
      <c r="AJ1278" t="str">
        <f t="shared" si="179"/>
        <v/>
      </c>
    </row>
    <row r="1279" spans="1:36">
      <c r="A1279" s="5">
        <v>1447</v>
      </c>
      <c r="B1279" s="5" t="s">
        <v>325</v>
      </c>
      <c r="C1279" s="5" t="s">
        <v>100</v>
      </c>
      <c r="D1279" s="5" t="s">
        <v>268</v>
      </c>
      <c r="E1279" s="5" t="s">
        <v>291</v>
      </c>
      <c r="F1279" s="5" t="str">
        <f t="shared" si="171"/>
        <v>Program Office-Cordination Manager</v>
      </c>
      <c r="G1279" s="5" t="s">
        <v>270</v>
      </c>
      <c r="H1279" s="9">
        <v>45014.427199074074</v>
      </c>
      <c r="I1279" s="9">
        <v>45015.427199074074</v>
      </c>
      <c r="J1279" s="9" t="e">
        <f>I1279+#REF!</f>
        <v>#REF!</v>
      </c>
      <c r="K1279" s="9" t="e">
        <f>J1279+#REF!</f>
        <v>#REF!</v>
      </c>
      <c r="L1279" s="10" t="s">
        <v>41</v>
      </c>
      <c r="M1279" s="11">
        <v>45032.427199074074</v>
      </c>
      <c r="N1279" s="5" t="s">
        <v>64</v>
      </c>
      <c r="O1279" s="5"/>
      <c r="P1279" s="9">
        <v>45039.427199074074</v>
      </c>
      <c r="Q1279" s="5" t="s">
        <v>64</v>
      </c>
      <c r="R1279" s="9">
        <v>45034.427199074074</v>
      </c>
      <c r="S1279" s="9">
        <v>45037.427199074074</v>
      </c>
      <c r="T1279" s="9">
        <v>45036.427199074074</v>
      </c>
      <c r="U1279" s="9">
        <v>45038.427199074074</v>
      </c>
      <c r="V1279" s="12">
        <v>1</v>
      </c>
      <c r="W1279" s="9">
        <v>45039.427199074074</v>
      </c>
      <c r="X1279" s="9">
        <v>45041.427199074074</v>
      </c>
      <c r="Y1279" s="9">
        <v>45044.427199074074</v>
      </c>
      <c r="Z1279" s="5"/>
      <c r="AA1279" s="5"/>
      <c r="AB1279" s="13">
        <v>45061.427199074074</v>
      </c>
      <c r="AC1279">
        <f t="shared" si="172"/>
        <v>17</v>
      </c>
      <c r="AD1279">
        <f t="shared" si="173"/>
        <v>22</v>
      </c>
      <c r="AE1279">
        <f t="shared" si="174"/>
        <v>4</v>
      </c>
      <c r="AF1279">
        <f t="shared" si="175"/>
        <v>3</v>
      </c>
      <c r="AG1279">
        <f t="shared" si="176"/>
        <v>1</v>
      </c>
      <c r="AH1279">
        <f t="shared" si="177"/>
        <v>1</v>
      </c>
      <c r="AI1279" t="str">
        <f t="shared" si="178"/>
        <v/>
      </c>
      <c r="AJ1279" t="str">
        <f t="shared" si="179"/>
        <v/>
      </c>
    </row>
    <row r="1280" spans="1:36">
      <c r="A1280" s="5">
        <v>1448</v>
      </c>
      <c r="B1280" s="5" t="s">
        <v>620</v>
      </c>
      <c r="C1280" s="5" t="s">
        <v>100</v>
      </c>
      <c r="D1280" s="5" t="s">
        <v>554</v>
      </c>
      <c r="E1280" s="5" t="s">
        <v>597</v>
      </c>
      <c r="F1280" s="5" t="str">
        <f t="shared" si="171"/>
        <v>Program Office-Business Partner</v>
      </c>
      <c r="G1280" s="5" t="s">
        <v>47</v>
      </c>
      <c r="H1280" s="9">
        <v>45014.427199074074</v>
      </c>
      <c r="I1280" s="9">
        <v>45018.427199074074</v>
      </c>
      <c r="J1280" s="9" t="e">
        <f>I1280+#REF!</f>
        <v>#REF!</v>
      </c>
      <c r="K1280" s="9" t="e">
        <f>J1280+#REF!</f>
        <v>#REF!</v>
      </c>
      <c r="L1280" s="10" t="s">
        <v>41</v>
      </c>
      <c r="M1280" s="11">
        <v>45028.427199074074</v>
      </c>
      <c r="N1280" s="5" t="s">
        <v>42</v>
      </c>
      <c r="O1280" s="5" t="s">
        <v>113</v>
      </c>
      <c r="P1280" s="9"/>
      <c r="Q1280" s="5"/>
      <c r="R1280" s="5"/>
      <c r="S1280" s="5"/>
      <c r="T1280" s="9">
        <v>45029.427199074074</v>
      </c>
      <c r="U1280" s="5"/>
      <c r="V1280" s="5">
        <v>0</v>
      </c>
      <c r="W1280" s="5"/>
      <c r="X1280" s="5"/>
      <c r="Y1280" s="5"/>
      <c r="Z1280" s="5"/>
      <c r="AA1280" s="5" t="s">
        <v>44</v>
      </c>
      <c r="AC1280">
        <f t="shared" si="172"/>
        <v>10</v>
      </c>
      <c r="AD1280" t="str">
        <f t="shared" si="173"/>
        <v/>
      </c>
      <c r="AE1280">
        <f t="shared" si="174"/>
        <v>1</v>
      </c>
      <c r="AF1280" t="str">
        <f t="shared" si="175"/>
        <v/>
      </c>
      <c r="AG1280" t="str">
        <f t="shared" si="176"/>
        <v/>
      </c>
      <c r="AH1280">
        <f t="shared" si="177"/>
        <v>4</v>
      </c>
      <c r="AI1280" t="str">
        <f t="shared" si="178"/>
        <v/>
      </c>
      <c r="AJ1280" t="str">
        <f t="shared" si="179"/>
        <v/>
      </c>
    </row>
    <row r="1281" spans="1:36">
      <c r="A1281" s="5">
        <v>1449</v>
      </c>
      <c r="B1281" s="5" t="s">
        <v>445</v>
      </c>
      <c r="C1281" s="5" t="s">
        <v>100</v>
      </c>
      <c r="D1281" s="5" t="s">
        <v>387</v>
      </c>
      <c r="E1281" s="5" t="s">
        <v>388</v>
      </c>
      <c r="F1281" s="5" t="str">
        <f t="shared" si="171"/>
        <v>Program Office-Extension Officer</v>
      </c>
      <c r="G1281" s="5" t="s">
        <v>40</v>
      </c>
      <c r="H1281" s="9">
        <v>45014.427199074074</v>
      </c>
      <c r="I1281" s="9">
        <v>45017.427199074074</v>
      </c>
      <c r="J1281" s="9" t="e">
        <f>I1281+#REF!</f>
        <v>#REF!</v>
      </c>
      <c r="K1281" s="9" t="e">
        <f>J1281+#REF!</f>
        <v>#REF!</v>
      </c>
      <c r="L1281" s="10" t="s">
        <v>41</v>
      </c>
      <c r="M1281" s="11">
        <v>45028.427199074074</v>
      </c>
      <c r="N1281" s="5" t="s">
        <v>48</v>
      </c>
      <c r="O1281" s="5"/>
      <c r="P1281" s="9">
        <v>45031.427199074074</v>
      </c>
      <c r="Q1281" s="5" t="s">
        <v>48</v>
      </c>
      <c r="R1281" s="5"/>
      <c r="S1281" s="5"/>
      <c r="T1281" s="9">
        <v>45029.427199074074</v>
      </c>
      <c r="U1281" s="5"/>
      <c r="V1281" s="5">
        <v>0</v>
      </c>
      <c r="W1281" s="5"/>
      <c r="X1281" s="5"/>
      <c r="Y1281" s="5"/>
      <c r="Z1281" s="5"/>
      <c r="AA1281" s="5"/>
      <c r="AC1281">
        <f t="shared" si="172"/>
        <v>11</v>
      </c>
      <c r="AD1281" t="str">
        <f t="shared" si="173"/>
        <v/>
      </c>
      <c r="AE1281">
        <f t="shared" si="174"/>
        <v>1</v>
      </c>
      <c r="AF1281" t="str">
        <f t="shared" si="175"/>
        <v/>
      </c>
      <c r="AG1281" t="str">
        <f t="shared" si="176"/>
        <v/>
      </c>
      <c r="AH1281">
        <f t="shared" si="177"/>
        <v>3</v>
      </c>
      <c r="AI1281" t="str">
        <f t="shared" si="178"/>
        <v/>
      </c>
      <c r="AJ1281" t="str">
        <f t="shared" si="179"/>
        <v/>
      </c>
    </row>
    <row r="1282" spans="1:36">
      <c r="A1282" s="5">
        <v>1451</v>
      </c>
      <c r="B1282" s="5" t="s">
        <v>1270</v>
      </c>
      <c r="C1282" s="10" t="s">
        <v>1215</v>
      </c>
      <c r="D1282" s="5" t="s">
        <v>1249</v>
      </c>
      <c r="E1282" s="5" t="s">
        <v>1250</v>
      </c>
      <c r="F1282" s="5" t="str">
        <f t="shared" ref="F1282:F1345" si="180">_xlfn.CONCAT(C1282,"-",E1282)</f>
        <v>HR-Screening Associate</v>
      </c>
      <c r="G1282" s="5" t="s">
        <v>40</v>
      </c>
      <c r="H1282" s="9">
        <v>45024.57240740741</v>
      </c>
      <c r="I1282" s="9">
        <v>45027.57240740741</v>
      </c>
      <c r="J1282" s="9" t="e">
        <f>I1282+#REF!</f>
        <v>#REF!</v>
      </c>
      <c r="K1282" s="9" t="e">
        <f>J1282+#REF!</f>
        <v>#REF!</v>
      </c>
      <c r="L1282" s="10" t="s">
        <v>41</v>
      </c>
      <c r="M1282" s="11">
        <v>45041.57240740741</v>
      </c>
      <c r="N1282" s="5" t="s">
        <v>42</v>
      </c>
      <c r="O1282" s="5" t="s">
        <v>113</v>
      </c>
      <c r="P1282" s="9"/>
      <c r="Q1282" s="5"/>
      <c r="R1282" s="5"/>
      <c r="S1282" s="5"/>
      <c r="T1282" s="9">
        <v>45045.57240740741</v>
      </c>
      <c r="U1282" s="5"/>
      <c r="V1282" s="5">
        <v>0</v>
      </c>
      <c r="W1282" s="5"/>
      <c r="X1282" s="5"/>
      <c r="Y1282" s="5"/>
      <c r="Z1282" s="5"/>
      <c r="AA1282" s="5" t="s">
        <v>44</v>
      </c>
      <c r="AC1282">
        <f t="shared" ref="AC1282:AC1345" si="181">IF(AND(ISNUMBER(M1282), ISNUMBER(I1282)), M1282 - I1282, "")</f>
        <v>14</v>
      </c>
      <c r="AD1282" t="str">
        <f t="shared" si="173"/>
        <v/>
      </c>
      <c r="AE1282">
        <f t="shared" si="174"/>
        <v>4</v>
      </c>
      <c r="AF1282" t="str">
        <f t="shared" si="175"/>
        <v/>
      </c>
      <c r="AG1282" t="str">
        <f t="shared" si="176"/>
        <v/>
      </c>
      <c r="AH1282">
        <f t="shared" si="177"/>
        <v>3</v>
      </c>
      <c r="AI1282" t="str">
        <f t="shared" si="178"/>
        <v/>
      </c>
      <c r="AJ1282" t="str">
        <f t="shared" si="179"/>
        <v/>
      </c>
    </row>
    <row r="1283" spans="1:36">
      <c r="A1283" s="5">
        <v>1452</v>
      </c>
      <c r="B1283" s="5" t="s">
        <v>1137</v>
      </c>
      <c r="C1283" s="10" t="s">
        <v>1122</v>
      </c>
      <c r="D1283" s="5" t="s">
        <v>1123</v>
      </c>
      <c r="E1283" s="5" t="s">
        <v>102</v>
      </c>
      <c r="F1283" s="5" t="str">
        <f t="shared" si="180"/>
        <v>IT-Senior Manager</v>
      </c>
      <c r="G1283" s="5" t="s">
        <v>103</v>
      </c>
      <c r="H1283" s="9">
        <v>45022.57240740741</v>
      </c>
      <c r="I1283" s="9">
        <v>45023.57240740741</v>
      </c>
      <c r="J1283" s="9" t="e">
        <f>I1283+#REF!</f>
        <v>#REF!</v>
      </c>
      <c r="K1283" s="9" t="e">
        <f>J1283+#REF!</f>
        <v>#REF!</v>
      </c>
      <c r="L1283" s="10" t="s">
        <v>41</v>
      </c>
      <c r="M1283" s="11">
        <v>45043.57240740741</v>
      </c>
      <c r="N1283" s="5" t="s">
        <v>42</v>
      </c>
      <c r="O1283" s="5" t="s">
        <v>58</v>
      </c>
      <c r="P1283" s="9"/>
      <c r="Q1283" s="5"/>
      <c r="R1283" s="5"/>
      <c r="S1283" s="5"/>
      <c r="T1283" s="9"/>
      <c r="U1283" s="5"/>
      <c r="V1283" s="5">
        <v>0</v>
      </c>
      <c r="W1283" s="5"/>
      <c r="X1283" s="5"/>
      <c r="Y1283" s="5"/>
      <c r="Z1283" s="5"/>
      <c r="AA1283" s="5" t="s">
        <v>44</v>
      </c>
      <c r="AC1283">
        <f t="shared" si="181"/>
        <v>20</v>
      </c>
      <c r="AD1283" t="str">
        <f t="shared" ref="AD1283:AD1346" si="182">IF(AND(ISNUMBER(S1283), ISNUMBER(I1283)), S1283 - I1283, "")</f>
        <v/>
      </c>
      <c r="AE1283" t="str">
        <f t="shared" ref="AE1283:AE1346" si="183">IF(AND(ISNUMBER(T1283), ISNUMBER(M1283)), T1283-M1283, "")</f>
        <v/>
      </c>
      <c r="AF1283" t="str">
        <f t="shared" ref="AF1283:AF1346" si="184">IF(AND(ISNUMBER(X1283), ISNUMBER(U1283)), X1283-U1283,"")</f>
        <v/>
      </c>
      <c r="AG1283" t="str">
        <f t="shared" ref="AG1283:AG1346" si="185">IF(AND(ISNUMBER(W1283), ISNUMBER(U1283)), W1283-U1283, "")</f>
        <v/>
      </c>
      <c r="AH1283">
        <f t="shared" ref="AH1283:AH1346" si="186">IF(AND(ISNUMBER(I1283), ISNUMBER(H1283)), I1283-H1283,"")</f>
        <v>1</v>
      </c>
      <c r="AI1283" t="str">
        <f t="shared" ref="AI1283:AI1346" si="187">IF(AND(ISNUMBER(J1283),ISNUMBER(K1283)),K1283-J1283,"")</f>
        <v/>
      </c>
      <c r="AJ1283" t="str">
        <f t="shared" ref="AJ1283:AJ1346" si="188">IF(AND(ISNUMBER(J1283),ISNUMBER(I1283)), J1283-I1283,"")</f>
        <v/>
      </c>
    </row>
    <row r="1284" spans="1:36">
      <c r="A1284" s="5">
        <v>1453</v>
      </c>
      <c r="B1284" s="5" t="s">
        <v>1207</v>
      </c>
      <c r="C1284" s="10" t="s">
        <v>1122</v>
      </c>
      <c r="D1284" s="5" t="s">
        <v>1191</v>
      </c>
      <c r="E1284" s="5" t="s">
        <v>269</v>
      </c>
      <c r="F1284" s="5" t="str">
        <f t="shared" si="180"/>
        <v>IT-Manager</v>
      </c>
      <c r="G1284" s="5" t="s">
        <v>270</v>
      </c>
      <c r="H1284" s="9">
        <v>45022.57240740741</v>
      </c>
      <c r="I1284" s="9">
        <v>45024.57240740741</v>
      </c>
      <c r="J1284" s="9" t="e">
        <f>I1284+#REF!</f>
        <v>#REF!</v>
      </c>
      <c r="K1284" s="9" t="e">
        <f>J1284+#REF!</f>
        <v>#REF!</v>
      </c>
      <c r="L1284" s="10" t="s">
        <v>41</v>
      </c>
      <c r="M1284" s="11">
        <v>45033.57240740741</v>
      </c>
      <c r="N1284" s="5" t="s">
        <v>48</v>
      </c>
      <c r="O1284" s="5"/>
      <c r="P1284" s="9">
        <v>45040.57240740741</v>
      </c>
      <c r="Q1284" s="5" t="s">
        <v>48</v>
      </c>
      <c r="R1284" s="5"/>
      <c r="S1284" s="5"/>
      <c r="T1284" s="9">
        <v>45036.57240740741</v>
      </c>
      <c r="U1284" s="5"/>
      <c r="V1284" s="5">
        <v>0</v>
      </c>
      <c r="W1284" s="5"/>
      <c r="X1284" s="5"/>
      <c r="Y1284" s="5"/>
      <c r="Z1284" s="5"/>
      <c r="AA1284" s="5"/>
      <c r="AC1284">
        <f t="shared" si="181"/>
        <v>9</v>
      </c>
      <c r="AD1284" t="str">
        <f t="shared" si="182"/>
        <v/>
      </c>
      <c r="AE1284">
        <f t="shared" si="183"/>
        <v>3</v>
      </c>
      <c r="AF1284" t="str">
        <f t="shared" si="184"/>
        <v/>
      </c>
      <c r="AG1284" t="str">
        <f t="shared" si="185"/>
        <v/>
      </c>
      <c r="AH1284">
        <f t="shared" si="186"/>
        <v>2</v>
      </c>
      <c r="AI1284" t="str">
        <f t="shared" si="187"/>
        <v/>
      </c>
      <c r="AJ1284" t="str">
        <f t="shared" si="188"/>
        <v/>
      </c>
    </row>
    <row r="1285" spans="1:36">
      <c r="A1285" s="5">
        <v>1454</v>
      </c>
      <c r="B1285" s="5" t="s">
        <v>713</v>
      </c>
      <c r="C1285" s="10" t="s">
        <v>671</v>
      </c>
      <c r="D1285" s="5" t="s">
        <v>708</v>
      </c>
      <c r="E1285" s="5" t="s">
        <v>709</v>
      </c>
      <c r="F1285" s="5" t="str">
        <f t="shared" si="180"/>
        <v>Operations-Lead</v>
      </c>
      <c r="G1285" s="5" t="s">
        <v>56</v>
      </c>
      <c r="H1285" s="9">
        <v>45026.57240740741</v>
      </c>
      <c r="I1285" s="9">
        <v>45028.57240740741</v>
      </c>
      <c r="J1285" s="9" t="e">
        <f>I1285+#REF!</f>
        <v>#REF!</v>
      </c>
      <c r="K1285" s="9" t="e">
        <f>J1285+#REF!</f>
        <v>#REF!</v>
      </c>
      <c r="L1285" s="10" t="s">
        <v>52</v>
      </c>
      <c r="M1285" s="11"/>
      <c r="N1285" s="5"/>
      <c r="O1285" s="5"/>
      <c r="P1285" s="9"/>
      <c r="Q1285" s="5"/>
      <c r="R1285" s="5"/>
      <c r="S1285" s="5"/>
      <c r="T1285" s="9"/>
      <c r="U1285" s="5"/>
      <c r="V1285" s="5">
        <v>0</v>
      </c>
      <c r="W1285" s="5"/>
      <c r="X1285" s="5"/>
      <c r="Y1285" s="5"/>
      <c r="Z1285" s="5"/>
      <c r="AA1285" s="5"/>
      <c r="AC1285" t="str">
        <f t="shared" si="181"/>
        <v/>
      </c>
      <c r="AD1285" t="str">
        <f t="shared" si="182"/>
        <v/>
      </c>
      <c r="AE1285" t="str">
        <f t="shared" si="183"/>
        <v/>
      </c>
      <c r="AF1285" t="str">
        <f t="shared" si="184"/>
        <v/>
      </c>
      <c r="AG1285" t="str">
        <f t="shared" si="185"/>
        <v/>
      </c>
      <c r="AH1285">
        <f t="shared" si="186"/>
        <v>2</v>
      </c>
      <c r="AI1285" t="str">
        <f t="shared" si="187"/>
        <v/>
      </c>
      <c r="AJ1285" t="str">
        <f t="shared" si="188"/>
        <v/>
      </c>
    </row>
    <row r="1286" spans="1:36">
      <c r="A1286" s="5">
        <v>1455</v>
      </c>
      <c r="B1286" s="5" t="s">
        <v>1312</v>
      </c>
      <c r="C1286" s="10" t="s">
        <v>1215</v>
      </c>
      <c r="D1286" s="5" t="s">
        <v>1287</v>
      </c>
      <c r="E1286" s="5" t="s">
        <v>1146</v>
      </c>
      <c r="F1286" s="5" t="str">
        <f t="shared" si="180"/>
        <v>HR-Quality Assurance</v>
      </c>
      <c r="G1286" s="5" t="s">
        <v>47</v>
      </c>
      <c r="H1286" s="9">
        <v>45024.57240740741</v>
      </c>
      <c r="I1286" s="9">
        <v>45027.57240740741</v>
      </c>
      <c r="J1286" s="9" t="e">
        <f>I1286+#REF!</f>
        <v>#REF!</v>
      </c>
      <c r="K1286" s="9" t="e">
        <f>J1286+#REF!</f>
        <v>#REF!</v>
      </c>
      <c r="L1286" s="10" t="s">
        <v>41</v>
      </c>
      <c r="M1286" s="11">
        <v>45038.57240740741</v>
      </c>
      <c r="N1286" s="5" t="s">
        <v>42</v>
      </c>
      <c r="O1286" s="5" t="s">
        <v>113</v>
      </c>
      <c r="P1286" s="9"/>
      <c r="Q1286" s="5"/>
      <c r="R1286" s="5"/>
      <c r="S1286" s="5"/>
      <c r="T1286" s="9"/>
      <c r="U1286" s="5"/>
      <c r="V1286" s="5">
        <v>0</v>
      </c>
      <c r="W1286" s="5"/>
      <c r="X1286" s="5"/>
      <c r="Y1286" s="5"/>
      <c r="Z1286" s="5"/>
      <c r="AA1286" s="5" t="s">
        <v>62</v>
      </c>
      <c r="AC1286">
        <f t="shared" si="181"/>
        <v>11</v>
      </c>
      <c r="AD1286" t="str">
        <f t="shared" si="182"/>
        <v/>
      </c>
      <c r="AE1286" t="str">
        <f t="shared" si="183"/>
        <v/>
      </c>
      <c r="AF1286" t="str">
        <f t="shared" si="184"/>
        <v/>
      </c>
      <c r="AG1286" t="str">
        <f t="shared" si="185"/>
        <v/>
      </c>
      <c r="AH1286">
        <f t="shared" si="186"/>
        <v>3</v>
      </c>
      <c r="AI1286" t="str">
        <f t="shared" si="187"/>
        <v/>
      </c>
      <c r="AJ1286" t="str">
        <f t="shared" si="188"/>
        <v/>
      </c>
    </row>
    <row r="1287" spans="1:36">
      <c r="A1287" s="5">
        <v>1456</v>
      </c>
      <c r="B1287" s="5" t="s">
        <v>1171</v>
      </c>
      <c r="C1287" s="10" t="s">
        <v>1122</v>
      </c>
      <c r="D1287" s="5" t="s">
        <v>1145</v>
      </c>
      <c r="E1287" s="5" t="s">
        <v>39</v>
      </c>
      <c r="F1287" s="5" t="str">
        <f t="shared" si="180"/>
        <v>IT-Analyst</v>
      </c>
      <c r="G1287" s="5" t="s">
        <v>147</v>
      </c>
      <c r="H1287" s="9">
        <v>45020.57240740741</v>
      </c>
      <c r="I1287" s="9">
        <v>45024.57240740741</v>
      </c>
      <c r="J1287" s="9" t="e">
        <f>I1287+#REF!</f>
        <v>#REF!</v>
      </c>
      <c r="K1287" s="9" t="e">
        <f>J1287+#REF!</f>
        <v>#REF!</v>
      </c>
      <c r="L1287" s="10" t="s">
        <v>41</v>
      </c>
      <c r="M1287" s="11">
        <v>45040.57240740741</v>
      </c>
      <c r="N1287" s="5" t="s">
        <v>64</v>
      </c>
      <c r="O1287" s="5"/>
      <c r="P1287" s="9">
        <v>45048.57240740741</v>
      </c>
      <c r="Q1287" s="5" t="s">
        <v>64</v>
      </c>
      <c r="R1287" s="9">
        <v>45041.57240740741</v>
      </c>
      <c r="S1287" s="9">
        <v>45044.57240740741</v>
      </c>
      <c r="T1287" s="9">
        <v>45044.57240740741</v>
      </c>
      <c r="U1287" s="9">
        <v>45051.57240740741</v>
      </c>
      <c r="V1287" s="12">
        <v>1</v>
      </c>
      <c r="W1287" s="9">
        <v>45054.57240740741</v>
      </c>
      <c r="X1287" s="9">
        <v>45055.57240740741</v>
      </c>
      <c r="Y1287" s="9">
        <v>45057.57240740741</v>
      </c>
      <c r="Z1287" s="5"/>
      <c r="AA1287" s="5"/>
      <c r="AB1287" s="13">
        <v>45079.57240740741</v>
      </c>
      <c r="AC1287">
        <f t="shared" si="181"/>
        <v>16</v>
      </c>
      <c r="AD1287">
        <f t="shared" si="182"/>
        <v>20</v>
      </c>
      <c r="AE1287">
        <f t="shared" si="183"/>
        <v>4</v>
      </c>
      <c r="AF1287">
        <f t="shared" si="184"/>
        <v>4</v>
      </c>
      <c r="AG1287">
        <f t="shared" si="185"/>
        <v>3</v>
      </c>
      <c r="AH1287">
        <f t="shared" si="186"/>
        <v>4</v>
      </c>
      <c r="AI1287" t="str">
        <f t="shared" si="187"/>
        <v/>
      </c>
      <c r="AJ1287" t="str">
        <f t="shared" si="188"/>
        <v/>
      </c>
    </row>
    <row r="1288" spans="1:36">
      <c r="A1288" s="5">
        <v>1458</v>
      </c>
      <c r="B1288" s="5" t="s">
        <v>1311</v>
      </c>
      <c r="C1288" s="10" t="s">
        <v>1215</v>
      </c>
      <c r="D1288" s="5" t="s">
        <v>1287</v>
      </c>
      <c r="E1288" s="5" t="s">
        <v>1146</v>
      </c>
      <c r="F1288" s="5" t="str">
        <f t="shared" si="180"/>
        <v>HR-Quality Assurance</v>
      </c>
      <c r="G1288" s="5" t="s">
        <v>47</v>
      </c>
      <c r="H1288" s="9">
        <v>45024.57240740741</v>
      </c>
      <c r="I1288" s="9">
        <v>45025.57240740741</v>
      </c>
      <c r="J1288" s="9" t="e">
        <f>I1288+#REF!</f>
        <v>#REF!</v>
      </c>
      <c r="K1288" s="9" t="e">
        <f>J1288+#REF!</f>
        <v>#REF!</v>
      </c>
      <c r="L1288" s="10" t="s">
        <v>41</v>
      </c>
      <c r="M1288" s="11">
        <v>45038.57240740741</v>
      </c>
      <c r="N1288" s="5" t="s">
        <v>42</v>
      </c>
      <c r="O1288" s="5" t="s">
        <v>73</v>
      </c>
      <c r="P1288" s="9"/>
      <c r="Q1288" s="5"/>
      <c r="R1288" s="5"/>
      <c r="S1288" s="5"/>
      <c r="T1288" s="9"/>
      <c r="U1288" s="5"/>
      <c r="V1288" s="5">
        <v>0</v>
      </c>
      <c r="W1288" s="5"/>
      <c r="X1288" s="5"/>
      <c r="Y1288" s="5"/>
      <c r="Z1288" s="5"/>
      <c r="AA1288" s="5" t="s">
        <v>44</v>
      </c>
      <c r="AC1288">
        <f t="shared" si="181"/>
        <v>13</v>
      </c>
      <c r="AD1288" t="str">
        <f t="shared" si="182"/>
        <v/>
      </c>
      <c r="AE1288" t="str">
        <f t="shared" si="183"/>
        <v/>
      </c>
      <c r="AF1288" t="str">
        <f t="shared" si="184"/>
        <v/>
      </c>
      <c r="AG1288" t="str">
        <f t="shared" si="185"/>
        <v/>
      </c>
      <c r="AH1288">
        <f t="shared" si="186"/>
        <v>1</v>
      </c>
      <c r="AI1288" t="str">
        <f t="shared" si="187"/>
        <v/>
      </c>
      <c r="AJ1288" t="str">
        <f t="shared" si="188"/>
        <v/>
      </c>
    </row>
    <row r="1289" spans="1:36">
      <c r="A1289" s="5">
        <v>1459</v>
      </c>
      <c r="B1289" s="5" t="s">
        <v>1206</v>
      </c>
      <c r="C1289" s="10" t="s">
        <v>1122</v>
      </c>
      <c r="D1289" s="5" t="s">
        <v>1191</v>
      </c>
      <c r="E1289" s="5" t="s">
        <v>269</v>
      </c>
      <c r="F1289" s="5" t="str">
        <f t="shared" si="180"/>
        <v>IT-Manager</v>
      </c>
      <c r="G1289" s="5" t="s">
        <v>270</v>
      </c>
      <c r="H1289" s="9">
        <v>45023.57240740741</v>
      </c>
      <c r="I1289" s="9">
        <v>45024.57240740741</v>
      </c>
      <c r="J1289" s="9" t="e">
        <f>I1289+#REF!</f>
        <v>#REF!</v>
      </c>
      <c r="K1289" s="9" t="e">
        <f>J1289+#REF!</f>
        <v>#REF!</v>
      </c>
      <c r="L1289" s="10" t="s">
        <v>41</v>
      </c>
      <c r="M1289" s="11">
        <v>45040.57240740741</v>
      </c>
      <c r="N1289" s="5" t="s">
        <v>42</v>
      </c>
      <c r="O1289" s="5" t="s">
        <v>113</v>
      </c>
      <c r="P1289" s="9"/>
      <c r="Q1289" s="5"/>
      <c r="R1289" s="5"/>
      <c r="S1289" s="5"/>
      <c r="T1289" s="9">
        <v>45044.57240740741</v>
      </c>
      <c r="U1289" s="5"/>
      <c r="V1289" s="5">
        <v>0</v>
      </c>
      <c r="W1289" s="5"/>
      <c r="X1289" s="5"/>
      <c r="Y1289" s="5"/>
      <c r="Z1289" s="5"/>
      <c r="AA1289" s="5" t="s">
        <v>62</v>
      </c>
      <c r="AC1289">
        <f t="shared" si="181"/>
        <v>16</v>
      </c>
      <c r="AD1289" t="str">
        <f t="shared" si="182"/>
        <v/>
      </c>
      <c r="AE1289">
        <f t="shared" si="183"/>
        <v>4</v>
      </c>
      <c r="AF1289" t="str">
        <f t="shared" si="184"/>
        <v/>
      </c>
      <c r="AG1289" t="str">
        <f t="shared" si="185"/>
        <v/>
      </c>
      <c r="AH1289">
        <f t="shared" si="186"/>
        <v>1</v>
      </c>
      <c r="AI1289" t="str">
        <f t="shared" si="187"/>
        <v/>
      </c>
      <c r="AJ1289" t="str">
        <f t="shared" si="188"/>
        <v/>
      </c>
    </row>
    <row r="1290" spans="1:36">
      <c r="A1290" s="5">
        <v>1460</v>
      </c>
      <c r="B1290" s="5" t="s">
        <v>1170</v>
      </c>
      <c r="C1290" s="10" t="s">
        <v>1122</v>
      </c>
      <c r="D1290" s="5" t="s">
        <v>1145</v>
      </c>
      <c r="E1290" s="5" t="s">
        <v>39</v>
      </c>
      <c r="F1290" s="5" t="str">
        <f t="shared" si="180"/>
        <v>IT-Analyst</v>
      </c>
      <c r="G1290" s="5" t="s">
        <v>147</v>
      </c>
      <c r="H1290" s="9">
        <v>45022.57240740741</v>
      </c>
      <c r="I1290" s="9">
        <v>45024.57240740741</v>
      </c>
      <c r="J1290" s="9" t="e">
        <f>I1290+#REF!</f>
        <v>#REF!</v>
      </c>
      <c r="K1290" s="9" t="e">
        <f>J1290+#REF!</f>
        <v>#REF!</v>
      </c>
      <c r="L1290" s="10" t="s">
        <v>41</v>
      </c>
      <c r="M1290" s="11">
        <v>45040.57240740741</v>
      </c>
      <c r="N1290" s="5" t="s">
        <v>48</v>
      </c>
      <c r="O1290" s="5"/>
      <c r="P1290" s="9">
        <v>45045.57240740741</v>
      </c>
      <c r="Q1290" s="5" t="s">
        <v>48</v>
      </c>
      <c r="R1290" s="5"/>
      <c r="S1290" s="5"/>
      <c r="T1290" s="9">
        <v>45042.57240740741</v>
      </c>
      <c r="U1290" s="5"/>
      <c r="V1290" s="5">
        <v>0</v>
      </c>
      <c r="W1290" s="5"/>
      <c r="X1290" s="5"/>
      <c r="Y1290" s="5"/>
      <c r="Z1290" s="5"/>
      <c r="AA1290" s="5"/>
      <c r="AC1290">
        <f t="shared" si="181"/>
        <v>16</v>
      </c>
      <c r="AD1290" t="str">
        <f t="shared" si="182"/>
        <v/>
      </c>
      <c r="AE1290">
        <f t="shared" si="183"/>
        <v>2</v>
      </c>
      <c r="AF1290" t="str">
        <f t="shared" si="184"/>
        <v/>
      </c>
      <c r="AG1290" t="str">
        <f t="shared" si="185"/>
        <v/>
      </c>
      <c r="AH1290">
        <f t="shared" si="186"/>
        <v>2</v>
      </c>
      <c r="AI1290" t="str">
        <f t="shared" si="187"/>
        <v/>
      </c>
      <c r="AJ1290" t="str">
        <f t="shared" si="188"/>
        <v/>
      </c>
    </row>
    <row r="1291" spans="1:36">
      <c r="A1291" s="5">
        <v>1461</v>
      </c>
      <c r="B1291" s="5" t="s">
        <v>2318</v>
      </c>
      <c r="C1291" s="5" t="s">
        <v>2229</v>
      </c>
      <c r="D1291" s="5" t="s">
        <v>2302</v>
      </c>
      <c r="E1291" s="5" t="s">
        <v>269</v>
      </c>
      <c r="F1291" s="5" t="str">
        <f t="shared" si="180"/>
        <v>Capacity Building-Manager</v>
      </c>
      <c r="G1291" s="5" t="s">
        <v>270</v>
      </c>
      <c r="H1291" s="9">
        <v>45005.141805555555</v>
      </c>
      <c r="I1291" s="9">
        <v>45006.141805555555</v>
      </c>
      <c r="J1291" s="9" t="e">
        <f>I1291+#REF!</f>
        <v>#REF!</v>
      </c>
      <c r="K1291" s="9" t="e">
        <f>J1291+#REF!</f>
        <v>#REF!</v>
      </c>
      <c r="L1291" s="10" t="s">
        <v>41</v>
      </c>
      <c r="M1291" s="11">
        <v>45024.141805555555</v>
      </c>
      <c r="N1291" s="5" t="s">
        <v>64</v>
      </c>
      <c r="O1291" s="5"/>
      <c r="P1291" s="9">
        <v>45028.141805555555</v>
      </c>
      <c r="Q1291" s="5" t="s">
        <v>64</v>
      </c>
      <c r="R1291" s="9">
        <v>45025.141805555555</v>
      </c>
      <c r="S1291" s="9">
        <v>45029.141805555555</v>
      </c>
      <c r="T1291" s="9">
        <v>45025.141805555555</v>
      </c>
      <c r="U1291" s="9">
        <v>45030.141805555555</v>
      </c>
      <c r="V1291" s="12">
        <v>1</v>
      </c>
      <c r="W1291" s="9">
        <v>45034.141805555555</v>
      </c>
      <c r="X1291" s="9">
        <v>45035.141805555555</v>
      </c>
      <c r="Y1291" s="9">
        <v>45037.141805555555</v>
      </c>
      <c r="Z1291" s="5"/>
      <c r="AA1291" s="5"/>
      <c r="AB1291" s="13">
        <v>45053.141805555555</v>
      </c>
      <c r="AC1291">
        <f t="shared" si="181"/>
        <v>18</v>
      </c>
      <c r="AD1291">
        <f t="shared" si="182"/>
        <v>23</v>
      </c>
      <c r="AE1291">
        <f t="shared" si="183"/>
        <v>1</v>
      </c>
      <c r="AF1291">
        <f t="shared" si="184"/>
        <v>5</v>
      </c>
      <c r="AG1291">
        <f t="shared" si="185"/>
        <v>4</v>
      </c>
      <c r="AH1291">
        <f t="shared" si="186"/>
        <v>1</v>
      </c>
      <c r="AI1291" t="str">
        <f t="shared" si="187"/>
        <v/>
      </c>
      <c r="AJ1291" t="str">
        <f t="shared" si="188"/>
        <v/>
      </c>
    </row>
    <row r="1292" spans="1:36">
      <c r="A1292" s="5">
        <v>1462</v>
      </c>
      <c r="B1292" s="5" t="s">
        <v>1399</v>
      </c>
      <c r="C1292" s="5" t="s">
        <v>1332</v>
      </c>
      <c r="D1292" s="5" t="s">
        <v>1359</v>
      </c>
      <c r="E1292" s="5" t="s">
        <v>1360</v>
      </c>
      <c r="F1292" s="5" t="str">
        <f t="shared" si="180"/>
        <v>Fundraising-Fund Administrator</v>
      </c>
      <c r="G1292" s="5" t="s">
        <v>147</v>
      </c>
      <c r="H1292" s="9">
        <v>45004.141805555555</v>
      </c>
      <c r="I1292" s="9">
        <v>45006.141805555555</v>
      </c>
      <c r="J1292" s="9" t="e">
        <f>I1292+#REF!</f>
        <v>#REF!</v>
      </c>
      <c r="K1292" s="9" t="e">
        <f>J1292+#REF!</f>
        <v>#REF!</v>
      </c>
      <c r="L1292" s="10" t="s">
        <v>41</v>
      </c>
      <c r="M1292" s="11">
        <v>45015.141805555555</v>
      </c>
      <c r="N1292" s="5" t="s">
        <v>42</v>
      </c>
      <c r="O1292" s="5" t="s">
        <v>113</v>
      </c>
      <c r="P1292" s="9"/>
      <c r="Q1292" s="5"/>
      <c r="R1292" s="5"/>
      <c r="S1292" s="5"/>
      <c r="T1292" s="9"/>
      <c r="U1292" s="5"/>
      <c r="V1292" s="5">
        <v>0</v>
      </c>
      <c r="W1292" s="5"/>
      <c r="X1292" s="5"/>
      <c r="Y1292" s="5"/>
      <c r="Z1292" s="5"/>
      <c r="AA1292" s="5" t="s">
        <v>44</v>
      </c>
      <c r="AC1292">
        <f t="shared" si="181"/>
        <v>9</v>
      </c>
      <c r="AD1292" t="str">
        <f t="shared" si="182"/>
        <v/>
      </c>
      <c r="AE1292" t="str">
        <f t="shared" si="183"/>
        <v/>
      </c>
      <c r="AF1292" t="str">
        <f t="shared" si="184"/>
        <v/>
      </c>
      <c r="AG1292" t="str">
        <f t="shared" si="185"/>
        <v/>
      </c>
      <c r="AH1292">
        <f t="shared" si="186"/>
        <v>2</v>
      </c>
      <c r="AI1292" t="str">
        <f t="shared" si="187"/>
        <v/>
      </c>
      <c r="AJ1292" t="str">
        <f t="shared" si="188"/>
        <v/>
      </c>
    </row>
    <row r="1293" spans="1:36">
      <c r="A1293" s="5">
        <v>1465</v>
      </c>
      <c r="B1293" s="5" t="s">
        <v>1490</v>
      </c>
      <c r="C1293" s="5" t="s">
        <v>1332</v>
      </c>
      <c r="D1293" s="5" t="s">
        <v>1448</v>
      </c>
      <c r="E1293" s="5" t="s">
        <v>1484</v>
      </c>
      <c r="F1293" s="5" t="str">
        <f t="shared" si="180"/>
        <v>Fundraising-Review Associate</v>
      </c>
      <c r="G1293" s="5" t="s">
        <v>40</v>
      </c>
      <c r="H1293" s="9">
        <v>45005.141805555555</v>
      </c>
      <c r="I1293" s="9">
        <v>45007.141805555555</v>
      </c>
      <c r="J1293" s="9" t="e">
        <f>I1293+#REF!</f>
        <v>#REF!</v>
      </c>
      <c r="K1293" s="9" t="e">
        <f>J1293+#REF!</f>
        <v>#REF!</v>
      </c>
      <c r="L1293" s="10" t="s">
        <v>41</v>
      </c>
      <c r="M1293" s="11">
        <v>45016.141805555555</v>
      </c>
      <c r="N1293" s="5" t="s">
        <v>167</v>
      </c>
      <c r="O1293" s="5"/>
      <c r="P1293" s="9">
        <v>45020.141805555555</v>
      </c>
      <c r="Q1293" s="5" t="s">
        <v>167</v>
      </c>
      <c r="R1293" s="5"/>
      <c r="S1293" s="5"/>
      <c r="T1293" s="9">
        <v>45019.141805555555</v>
      </c>
      <c r="U1293" s="5"/>
      <c r="V1293" s="5">
        <v>0</v>
      </c>
      <c r="W1293" s="5"/>
      <c r="X1293" s="5"/>
      <c r="Y1293" s="5"/>
      <c r="Z1293" s="5"/>
      <c r="AA1293" s="5"/>
      <c r="AC1293">
        <f t="shared" si="181"/>
        <v>9</v>
      </c>
      <c r="AD1293" t="str">
        <f t="shared" si="182"/>
        <v/>
      </c>
      <c r="AE1293">
        <f t="shared" si="183"/>
        <v>3</v>
      </c>
      <c r="AF1293" t="str">
        <f t="shared" si="184"/>
        <v/>
      </c>
      <c r="AG1293" t="str">
        <f t="shared" si="185"/>
        <v/>
      </c>
      <c r="AH1293">
        <f t="shared" si="186"/>
        <v>2</v>
      </c>
      <c r="AI1293" t="str">
        <f t="shared" si="187"/>
        <v/>
      </c>
      <c r="AJ1293" t="str">
        <f t="shared" si="188"/>
        <v/>
      </c>
    </row>
    <row r="1294" spans="1:36">
      <c r="A1294" s="5">
        <v>1466</v>
      </c>
      <c r="B1294" s="5" t="s">
        <v>1347</v>
      </c>
      <c r="C1294" s="5" t="s">
        <v>1332</v>
      </c>
      <c r="D1294" s="5" t="s">
        <v>1333</v>
      </c>
      <c r="E1294" s="5" t="s">
        <v>102</v>
      </c>
      <c r="F1294" s="5" t="str">
        <f t="shared" si="180"/>
        <v>Fundraising-Senior Manager</v>
      </c>
      <c r="G1294" s="5" t="s">
        <v>103</v>
      </c>
      <c r="H1294" s="9">
        <v>45002.141805555555</v>
      </c>
      <c r="I1294" s="9">
        <v>45005.141805555555</v>
      </c>
      <c r="J1294" s="9" t="e">
        <f>I1294+#REF!</f>
        <v>#REF!</v>
      </c>
      <c r="K1294" s="9" t="e">
        <f>J1294+#REF!</f>
        <v>#REF!</v>
      </c>
      <c r="L1294" s="10" t="s">
        <v>41</v>
      </c>
      <c r="M1294" s="11">
        <v>45021.141805555555</v>
      </c>
      <c r="N1294" s="5" t="s">
        <v>42</v>
      </c>
      <c r="O1294" s="5" t="s">
        <v>58</v>
      </c>
      <c r="P1294" s="9"/>
      <c r="Q1294" s="5"/>
      <c r="R1294" s="5"/>
      <c r="S1294" s="5"/>
      <c r="T1294" s="9">
        <v>45024.141805555555</v>
      </c>
      <c r="U1294" s="5"/>
      <c r="V1294" s="5">
        <v>0</v>
      </c>
      <c r="W1294" s="5"/>
      <c r="X1294" s="5"/>
      <c r="Y1294" s="5"/>
      <c r="Z1294" s="5"/>
      <c r="AA1294" s="5" t="s">
        <v>62</v>
      </c>
      <c r="AC1294">
        <f t="shared" si="181"/>
        <v>16</v>
      </c>
      <c r="AD1294" t="str">
        <f t="shared" si="182"/>
        <v/>
      </c>
      <c r="AE1294">
        <f t="shared" si="183"/>
        <v>3</v>
      </c>
      <c r="AF1294" t="str">
        <f t="shared" si="184"/>
        <v/>
      </c>
      <c r="AG1294" t="str">
        <f t="shared" si="185"/>
        <v/>
      </c>
      <c r="AH1294">
        <f t="shared" si="186"/>
        <v>3</v>
      </c>
      <c r="AI1294" t="str">
        <f t="shared" si="187"/>
        <v/>
      </c>
      <c r="AJ1294" t="str">
        <f t="shared" si="188"/>
        <v/>
      </c>
    </row>
    <row r="1295" spans="1:36">
      <c r="A1295" s="5">
        <v>1468</v>
      </c>
      <c r="B1295" s="5" t="s">
        <v>1489</v>
      </c>
      <c r="C1295" s="5" t="s">
        <v>1332</v>
      </c>
      <c r="D1295" s="5" t="s">
        <v>1448</v>
      </c>
      <c r="E1295" s="5" t="s">
        <v>1484</v>
      </c>
      <c r="F1295" s="5" t="str">
        <f t="shared" si="180"/>
        <v>Fundraising-Review Associate</v>
      </c>
      <c r="G1295" s="5" t="s">
        <v>40</v>
      </c>
      <c r="H1295" s="9">
        <v>45000.141805555555</v>
      </c>
      <c r="I1295" s="9">
        <v>45004.141805555555</v>
      </c>
      <c r="J1295" s="9" t="e">
        <f>I1295+#REF!</f>
        <v>#REF!</v>
      </c>
      <c r="K1295" s="9" t="e">
        <f>J1295+#REF!</f>
        <v>#REF!</v>
      </c>
      <c r="L1295" s="10" t="s">
        <v>41</v>
      </c>
      <c r="M1295" s="11">
        <v>45019.141805555555</v>
      </c>
      <c r="N1295" s="5" t="s">
        <v>42</v>
      </c>
      <c r="O1295" s="5" t="s">
        <v>113</v>
      </c>
      <c r="P1295" s="9"/>
      <c r="Q1295" s="5"/>
      <c r="R1295" s="5"/>
      <c r="S1295" s="5"/>
      <c r="T1295" s="9"/>
      <c r="U1295" s="5"/>
      <c r="V1295" s="5">
        <v>0</v>
      </c>
      <c r="W1295" s="5"/>
      <c r="X1295" s="5"/>
      <c r="Y1295" s="5"/>
      <c r="Z1295" s="5"/>
      <c r="AA1295" s="5" t="s">
        <v>62</v>
      </c>
      <c r="AC1295">
        <f t="shared" si="181"/>
        <v>15</v>
      </c>
      <c r="AD1295" t="str">
        <f t="shared" si="182"/>
        <v/>
      </c>
      <c r="AE1295" t="str">
        <f t="shared" si="183"/>
        <v/>
      </c>
      <c r="AF1295" t="str">
        <f t="shared" si="184"/>
        <v/>
      </c>
      <c r="AG1295" t="str">
        <f t="shared" si="185"/>
        <v/>
      </c>
      <c r="AH1295">
        <f t="shared" si="186"/>
        <v>4</v>
      </c>
      <c r="AI1295" t="str">
        <f t="shared" si="187"/>
        <v/>
      </c>
      <c r="AJ1295" t="str">
        <f t="shared" si="188"/>
        <v/>
      </c>
    </row>
    <row r="1296" spans="1:36">
      <c r="A1296" s="5">
        <v>1469</v>
      </c>
      <c r="B1296" s="5" t="s">
        <v>1488</v>
      </c>
      <c r="C1296" s="5" t="s">
        <v>1332</v>
      </c>
      <c r="D1296" s="5" t="s">
        <v>1448</v>
      </c>
      <c r="E1296" s="5" t="s">
        <v>1484</v>
      </c>
      <c r="F1296" s="5" t="str">
        <f t="shared" si="180"/>
        <v>Fundraising-Review Associate</v>
      </c>
      <c r="G1296" s="5" t="s">
        <v>40</v>
      </c>
      <c r="H1296" s="9">
        <v>45004.141805555555</v>
      </c>
      <c r="I1296" s="9">
        <v>45007.141805555555</v>
      </c>
      <c r="J1296" s="9" t="e">
        <f>I1296+#REF!</f>
        <v>#REF!</v>
      </c>
      <c r="K1296" s="9" t="e">
        <f>J1296+#REF!</f>
        <v>#REF!</v>
      </c>
      <c r="L1296" s="10" t="s">
        <v>41</v>
      </c>
      <c r="M1296" s="11">
        <v>45015.141805555555</v>
      </c>
      <c r="N1296" s="5" t="s">
        <v>42</v>
      </c>
      <c r="O1296" s="5" t="s">
        <v>43</v>
      </c>
      <c r="P1296" s="9"/>
      <c r="Q1296" s="5"/>
      <c r="R1296" s="5"/>
      <c r="S1296" s="5"/>
      <c r="T1296" s="9"/>
      <c r="U1296" s="5"/>
      <c r="V1296" s="5">
        <v>0</v>
      </c>
      <c r="W1296" s="5"/>
      <c r="X1296" s="5"/>
      <c r="Y1296" s="5"/>
      <c r="Z1296" s="5"/>
      <c r="AA1296" s="5" t="s">
        <v>62</v>
      </c>
      <c r="AC1296">
        <f t="shared" si="181"/>
        <v>8</v>
      </c>
      <c r="AD1296" t="str">
        <f t="shared" si="182"/>
        <v/>
      </c>
      <c r="AE1296" t="str">
        <f t="shared" si="183"/>
        <v/>
      </c>
      <c r="AF1296" t="str">
        <f t="shared" si="184"/>
        <v/>
      </c>
      <c r="AG1296" t="str">
        <f t="shared" si="185"/>
        <v/>
      </c>
      <c r="AH1296">
        <f t="shared" si="186"/>
        <v>3</v>
      </c>
      <c r="AI1296" t="str">
        <f t="shared" si="187"/>
        <v/>
      </c>
      <c r="AJ1296" t="str">
        <f t="shared" si="188"/>
        <v/>
      </c>
    </row>
    <row r="1297" spans="1:36">
      <c r="A1297" s="5">
        <v>1470</v>
      </c>
      <c r="B1297" s="5" t="s">
        <v>1398</v>
      </c>
      <c r="C1297" s="5" t="s">
        <v>1332</v>
      </c>
      <c r="D1297" s="5" t="s">
        <v>1359</v>
      </c>
      <c r="E1297" s="5" t="s">
        <v>1360</v>
      </c>
      <c r="F1297" s="5" t="str">
        <f t="shared" si="180"/>
        <v>Fundraising-Fund Administrator</v>
      </c>
      <c r="G1297" s="5" t="s">
        <v>147</v>
      </c>
      <c r="H1297" s="9">
        <v>45001.141805555555</v>
      </c>
      <c r="I1297" s="9">
        <v>45004.141805555555</v>
      </c>
      <c r="J1297" s="9" t="e">
        <f>I1297+#REF!</f>
        <v>#REF!</v>
      </c>
      <c r="K1297" s="9" t="e">
        <f>J1297+#REF!</f>
        <v>#REF!</v>
      </c>
      <c r="L1297" s="10" t="s">
        <v>41</v>
      </c>
      <c r="M1297" s="11">
        <v>45012.141805555555</v>
      </c>
      <c r="N1297" s="5" t="s">
        <v>42</v>
      </c>
      <c r="O1297" s="5" t="s">
        <v>73</v>
      </c>
      <c r="P1297" s="9"/>
      <c r="Q1297" s="5"/>
      <c r="R1297" s="5"/>
      <c r="S1297" s="5"/>
      <c r="T1297" s="9"/>
      <c r="U1297" s="5"/>
      <c r="V1297" s="5">
        <v>0</v>
      </c>
      <c r="W1297" s="5"/>
      <c r="X1297" s="5"/>
      <c r="Y1297" s="5"/>
      <c r="Z1297" s="5"/>
      <c r="AA1297" s="5" t="s">
        <v>62</v>
      </c>
      <c r="AC1297">
        <f t="shared" si="181"/>
        <v>8</v>
      </c>
      <c r="AD1297" t="str">
        <f t="shared" si="182"/>
        <v/>
      </c>
      <c r="AE1297" t="str">
        <f t="shared" si="183"/>
        <v/>
      </c>
      <c r="AF1297" t="str">
        <f t="shared" si="184"/>
        <v/>
      </c>
      <c r="AG1297" t="str">
        <f t="shared" si="185"/>
        <v/>
      </c>
      <c r="AH1297">
        <f t="shared" si="186"/>
        <v>3</v>
      </c>
      <c r="AI1297" t="str">
        <f t="shared" si="187"/>
        <v/>
      </c>
      <c r="AJ1297" t="str">
        <f t="shared" si="188"/>
        <v/>
      </c>
    </row>
    <row r="1298" spans="1:36">
      <c r="A1298" s="5">
        <v>1471</v>
      </c>
      <c r="B1298" s="5" t="s">
        <v>867</v>
      </c>
      <c r="C1298" s="5" t="s">
        <v>796</v>
      </c>
      <c r="D1298" s="5" t="s">
        <v>814</v>
      </c>
      <c r="E1298" s="5" t="s">
        <v>597</v>
      </c>
      <c r="F1298" s="5" t="str">
        <f t="shared" si="180"/>
        <v>M and E-Business Partner</v>
      </c>
      <c r="G1298" s="5" t="s">
        <v>147</v>
      </c>
      <c r="H1298" s="9">
        <v>44944.278946759259</v>
      </c>
      <c r="I1298" s="9">
        <v>44948.278946759259</v>
      </c>
      <c r="J1298" s="9" t="e">
        <f>I1298+#REF!</f>
        <v>#REF!</v>
      </c>
      <c r="K1298" s="9" t="e">
        <f>J1298+#REF!</f>
        <v>#REF!</v>
      </c>
      <c r="L1298" s="10" t="s">
        <v>41</v>
      </c>
      <c r="M1298" s="11">
        <v>44969.278946759259</v>
      </c>
      <c r="N1298" s="5" t="s">
        <v>48</v>
      </c>
      <c r="O1298" s="5"/>
      <c r="P1298" s="9">
        <v>44973.278946759259</v>
      </c>
      <c r="Q1298" s="5" t="s">
        <v>48</v>
      </c>
      <c r="R1298" s="5"/>
      <c r="S1298" s="5"/>
      <c r="T1298" s="9">
        <v>44971.278946759259</v>
      </c>
      <c r="U1298" s="5"/>
      <c r="V1298" s="5">
        <v>0</v>
      </c>
      <c r="W1298" s="5"/>
      <c r="X1298" s="5"/>
      <c r="Y1298" s="5"/>
      <c r="Z1298" s="5"/>
      <c r="AA1298" s="5"/>
      <c r="AC1298">
        <f t="shared" si="181"/>
        <v>21</v>
      </c>
      <c r="AD1298" t="str">
        <f t="shared" si="182"/>
        <v/>
      </c>
      <c r="AE1298">
        <f t="shared" si="183"/>
        <v>2</v>
      </c>
      <c r="AF1298" t="str">
        <f t="shared" si="184"/>
        <v/>
      </c>
      <c r="AG1298" t="str">
        <f t="shared" si="185"/>
        <v/>
      </c>
      <c r="AH1298">
        <f t="shared" si="186"/>
        <v>4</v>
      </c>
      <c r="AI1298" t="str">
        <f t="shared" si="187"/>
        <v/>
      </c>
      <c r="AJ1298" t="str">
        <f t="shared" si="188"/>
        <v/>
      </c>
    </row>
    <row r="1299" spans="1:36">
      <c r="A1299" s="5">
        <v>1472</v>
      </c>
      <c r="B1299" s="5" t="s">
        <v>866</v>
      </c>
      <c r="C1299" s="5" t="s">
        <v>796</v>
      </c>
      <c r="D1299" s="5" t="s">
        <v>814</v>
      </c>
      <c r="E1299" s="5" t="s">
        <v>597</v>
      </c>
      <c r="F1299" s="5" t="str">
        <f t="shared" si="180"/>
        <v>M and E-Business Partner</v>
      </c>
      <c r="G1299" s="5" t="s">
        <v>147</v>
      </c>
      <c r="H1299" s="9">
        <v>44948.278946759259</v>
      </c>
      <c r="I1299" s="9">
        <v>44950.278946759259</v>
      </c>
      <c r="J1299" s="9" t="e">
        <f>I1299+#REF!</f>
        <v>#REF!</v>
      </c>
      <c r="K1299" s="9" t="e">
        <f>J1299+#REF!</f>
        <v>#REF!</v>
      </c>
      <c r="L1299" s="10" t="s">
        <v>41</v>
      </c>
      <c r="M1299" s="11">
        <v>44967.278946759259</v>
      </c>
      <c r="N1299" s="5" t="s">
        <v>167</v>
      </c>
      <c r="O1299" s="5"/>
      <c r="P1299" s="9">
        <v>44975.278946759259</v>
      </c>
      <c r="Q1299" s="5" t="s">
        <v>167</v>
      </c>
      <c r="R1299" s="5"/>
      <c r="S1299" s="5"/>
      <c r="T1299" s="9">
        <v>44971.278946759259</v>
      </c>
      <c r="U1299" s="5"/>
      <c r="V1299" s="5">
        <v>0</v>
      </c>
      <c r="W1299" s="5"/>
      <c r="X1299" s="5"/>
      <c r="Y1299" s="5"/>
      <c r="Z1299" s="5"/>
      <c r="AA1299" s="5"/>
      <c r="AC1299">
        <f t="shared" si="181"/>
        <v>17</v>
      </c>
      <c r="AD1299" t="str">
        <f t="shared" si="182"/>
        <v/>
      </c>
      <c r="AE1299">
        <f t="shared" si="183"/>
        <v>4</v>
      </c>
      <c r="AF1299" t="str">
        <f t="shared" si="184"/>
        <v/>
      </c>
      <c r="AG1299" t="str">
        <f t="shared" si="185"/>
        <v/>
      </c>
      <c r="AH1299">
        <f t="shared" si="186"/>
        <v>2</v>
      </c>
      <c r="AI1299" t="str">
        <f t="shared" si="187"/>
        <v/>
      </c>
      <c r="AJ1299" t="str">
        <f t="shared" si="188"/>
        <v/>
      </c>
    </row>
    <row r="1300" spans="1:36">
      <c r="A1300" s="5">
        <v>1474</v>
      </c>
      <c r="B1300" s="5" t="s">
        <v>865</v>
      </c>
      <c r="C1300" s="5" t="s">
        <v>796</v>
      </c>
      <c r="D1300" s="5" t="s">
        <v>814</v>
      </c>
      <c r="E1300" s="5" t="s">
        <v>597</v>
      </c>
      <c r="F1300" s="5" t="str">
        <f t="shared" si="180"/>
        <v>M and E-Business Partner</v>
      </c>
      <c r="G1300" s="5" t="s">
        <v>147</v>
      </c>
      <c r="H1300" s="9">
        <v>44949.278946759259</v>
      </c>
      <c r="I1300" s="9">
        <v>44952.278946759259</v>
      </c>
      <c r="J1300" s="9" t="e">
        <f>I1300+#REF!</f>
        <v>#REF!</v>
      </c>
      <c r="K1300" s="9" t="e">
        <f>J1300+#REF!</f>
        <v>#REF!</v>
      </c>
      <c r="L1300" s="10" t="s">
        <v>41</v>
      </c>
      <c r="M1300" s="11">
        <v>44967.278946759259</v>
      </c>
      <c r="N1300" s="5" t="s">
        <v>42</v>
      </c>
      <c r="O1300" s="5" t="s">
        <v>43</v>
      </c>
      <c r="P1300" s="9"/>
      <c r="Q1300" s="5"/>
      <c r="R1300" s="5"/>
      <c r="S1300" s="5"/>
      <c r="T1300" s="9">
        <v>44971.278946759259</v>
      </c>
      <c r="U1300" s="5"/>
      <c r="V1300" s="5">
        <v>0</v>
      </c>
      <c r="W1300" s="5"/>
      <c r="X1300" s="5"/>
      <c r="Y1300" s="5"/>
      <c r="Z1300" s="5"/>
      <c r="AA1300" s="5" t="s">
        <v>44</v>
      </c>
      <c r="AC1300">
        <f t="shared" si="181"/>
        <v>15</v>
      </c>
      <c r="AD1300" t="str">
        <f t="shared" si="182"/>
        <v/>
      </c>
      <c r="AE1300">
        <f t="shared" si="183"/>
        <v>4</v>
      </c>
      <c r="AF1300" t="str">
        <f t="shared" si="184"/>
        <v/>
      </c>
      <c r="AG1300" t="str">
        <f t="shared" si="185"/>
        <v/>
      </c>
      <c r="AH1300">
        <f t="shared" si="186"/>
        <v>3</v>
      </c>
      <c r="AI1300" t="str">
        <f t="shared" si="187"/>
        <v/>
      </c>
      <c r="AJ1300" t="str">
        <f t="shared" si="188"/>
        <v/>
      </c>
    </row>
    <row r="1301" spans="1:36">
      <c r="A1301" s="5">
        <v>1475</v>
      </c>
      <c r="B1301" s="5" t="s">
        <v>933</v>
      </c>
      <c r="C1301" s="5" t="s">
        <v>796</v>
      </c>
      <c r="D1301" s="5" t="s">
        <v>893</v>
      </c>
      <c r="E1301" s="5" t="s">
        <v>269</v>
      </c>
      <c r="F1301" s="5" t="str">
        <f t="shared" si="180"/>
        <v>M and E-Manager</v>
      </c>
      <c r="G1301" s="5" t="s">
        <v>270</v>
      </c>
      <c r="H1301" s="9">
        <v>44946.278946759259</v>
      </c>
      <c r="I1301" s="9">
        <v>44948.278946759259</v>
      </c>
      <c r="J1301" s="9" t="e">
        <f>I1301+#REF!</f>
        <v>#REF!</v>
      </c>
      <c r="K1301" s="9" t="e">
        <f>J1301+#REF!</f>
        <v>#REF!</v>
      </c>
      <c r="L1301" s="10" t="s">
        <v>41</v>
      </c>
      <c r="M1301" s="11">
        <v>44960.278946759259</v>
      </c>
      <c r="N1301" s="5" t="s">
        <v>167</v>
      </c>
      <c r="O1301" s="5"/>
      <c r="P1301" s="9">
        <v>44966.278946759259</v>
      </c>
      <c r="Q1301" s="5" t="s">
        <v>167</v>
      </c>
      <c r="R1301" s="5"/>
      <c r="S1301" s="5"/>
      <c r="T1301" s="9">
        <v>44962.278946759259</v>
      </c>
      <c r="U1301" s="5"/>
      <c r="V1301" s="5">
        <v>0</v>
      </c>
      <c r="W1301" s="5"/>
      <c r="X1301" s="5"/>
      <c r="Y1301" s="5"/>
      <c r="Z1301" s="5"/>
      <c r="AA1301" s="5"/>
      <c r="AC1301">
        <f t="shared" si="181"/>
        <v>12</v>
      </c>
      <c r="AD1301" t="str">
        <f t="shared" si="182"/>
        <v/>
      </c>
      <c r="AE1301">
        <f t="shared" si="183"/>
        <v>2</v>
      </c>
      <c r="AF1301" t="str">
        <f t="shared" si="184"/>
        <v/>
      </c>
      <c r="AG1301" t="str">
        <f t="shared" si="185"/>
        <v/>
      </c>
      <c r="AH1301">
        <f t="shared" si="186"/>
        <v>2</v>
      </c>
      <c r="AI1301" t="str">
        <f t="shared" si="187"/>
        <v/>
      </c>
      <c r="AJ1301" t="str">
        <f t="shared" si="188"/>
        <v/>
      </c>
    </row>
    <row r="1302" spans="1:36">
      <c r="A1302" s="5">
        <v>1476</v>
      </c>
      <c r="B1302" s="5" t="s">
        <v>864</v>
      </c>
      <c r="C1302" s="5" t="s">
        <v>796</v>
      </c>
      <c r="D1302" s="5" t="s">
        <v>814</v>
      </c>
      <c r="E1302" s="5" t="s">
        <v>597</v>
      </c>
      <c r="F1302" s="5" t="str">
        <f t="shared" si="180"/>
        <v>M and E-Business Partner</v>
      </c>
      <c r="G1302" s="5" t="s">
        <v>147</v>
      </c>
      <c r="H1302" s="9">
        <v>44948.278946759259</v>
      </c>
      <c r="I1302" s="9">
        <v>44952.278946759259</v>
      </c>
      <c r="J1302" s="9" t="e">
        <f>I1302+#REF!</f>
        <v>#REF!</v>
      </c>
      <c r="K1302" s="9" t="e">
        <f>J1302+#REF!</f>
        <v>#REF!</v>
      </c>
      <c r="L1302" s="10" t="s">
        <v>41</v>
      </c>
      <c r="M1302" s="11">
        <v>44956.278946759259</v>
      </c>
      <c r="N1302" s="5" t="s">
        <v>48</v>
      </c>
      <c r="O1302" s="5"/>
      <c r="P1302" s="9">
        <v>44961.278946759259</v>
      </c>
      <c r="Q1302" s="5" t="s">
        <v>48</v>
      </c>
      <c r="R1302" s="5"/>
      <c r="S1302" s="5"/>
      <c r="T1302" s="9">
        <v>44960.278946759259</v>
      </c>
      <c r="U1302" s="5"/>
      <c r="V1302" s="5">
        <v>0</v>
      </c>
      <c r="W1302" s="5"/>
      <c r="X1302" s="5"/>
      <c r="Y1302" s="5"/>
      <c r="Z1302" s="5"/>
      <c r="AA1302" s="5"/>
      <c r="AC1302">
        <f t="shared" si="181"/>
        <v>4</v>
      </c>
      <c r="AD1302" t="str">
        <f t="shared" si="182"/>
        <v/>
      </c>
      <c r="AE1302">
        <f t="shared" si="183"/>
        <v>4</v>
      </c>
      <c r="AF1302" t="str">
        <f t="shared" si="184"/>
        <v/>
      </c>
      <c r="AG1302" t="str">
        <f t="shared" si="185"/>
        <v/>
      </c>
      <c r="AH1302">
        <f t="shared" si="186"/>
        <v>4</v>
      </c>
      <c r="AI1302" t="str">
        <f t="shared" si="187"/>
        <v/>
      </c>
      <c r="AJ1302" t="str">
        <f t="shared" si="188"/>
        <v/>
      </c>
    </row>
    <row r="1303" spans="1:36">
      <c r="A1303" s="5">
        <v>1478</v>
      </c>
      <c r="B1303" s="5" t="s">
        <v>1096</v>
      </c>
      <c r="C1303" s="5" t="s">
        <v>796</v>
      </c>
      <c r="D1303" s="5" t="s">
        <v>1046</v>
      </c>
      <c r="E1303" s="5" t="s">
        <v>673</v>
      </c>
      <c r="F1303" s="5" t="str">
        <f t="shared" si="180"/>
        <v>M and E-Controller</v>
      </c>
      <c r="G1303" s="5" t="s">
        <v>47</v>
      </c>
      <c r="H1303" s="9">
        <v>44947.278946759259</v>
      </c>
      <c r="I1303" s="9">
        <v>44949.278946759259</v>
      </c>
      <c r="J1303" s="9" t="e">
        <f>I1303+#REF!</f>
        <v>#REF!</v>
      </c>
      <c r="K1303" s="9" t="e">
        <f>J1303+#REF!</f>
        <v>#REF!</v>
      </c>
      <c r="L1303" s="10" t="s">
        <v>41</v>
      </c>
      <c r="M1303" s="11">
        <v>44962.278946759259</v>
      </c>
      <c r="N1303" s="5" t="s">
        <v>64</v>
      </c>
      <c r="O1303" s="5"/>
      <c r="P1303" s="9">
        <v>44969.278946759259</v>
      </c>
      <c r="Q1303" s="5" t="s">
        <v>64</v>
      </c>
      <c r="R1303" s="9">
        <v>44963.278946759259</v>
      </c>
      <c r="S1303" s="9">
        <v>44965.278946759259</v>
      </c>
      <c r="T1303" s="9">
        <v>44966.278946759259</v>
      </c>
      <c r="U1303" s="9">
        <v>44971.278946759259</v>
      </c>
      <c r="V1303" s="12">
        <v>1</v>
      </c>
      <c r="W1303" s="9">
        <v>44973.278946759259</v>
      </c>
      <c r="X1303" s="9">
        <v>44976.278946759259</v>
      </c>
      <c r="Y1303" s="9">
        <v>44978.278946759259</v>
      </c>
      <c r="Z1303" s="5"/>
      <c r="AA1303" s="5"/>
      <c r="AB1303" s="13">
        <v>44988.278946759259</v>
      </c>
      <c r="AC1303">
        <f t="shared" si="181"/>
        <v>13</v>
      </c>
      <c r="AD1303">
        <f t="shared" si="182"/>
        <v>16</v>
      </c>
      <c r="AE1303">
        <f t="shared" si="183"/>
        <v>4</v>
      </c>
      <c r="AF1303">
        <f t="shared" si="184"/>
        <v>5</v>
      </c>
      <c r="AG1303">
        <f t="shared" si="185"/>
        <v>2</v>
      </c>
      <c r="AH1303">
        <f t="shared" si="186"/>
        <v>2</v>
      </c>
      <c r="AI1303" t="str">
        <f t="shared" si="187"/>
        <v/>
      </c>
      <c r="AJ1303" t="str">
        <f t="shared" si="188"/>
        <v/>
      </c>
    </row>
    <row r="1304" spans="1:36">
      <c r="A1304" s="5">
        <v>1479</v>
      </c>
      <c r="B1304" s="5" t="s">
        <v>1002</v>
      </c>
      <c r="C1304" s="5" t="s">
        <v>796</v>
      </c>
      <c r="D1304" s="5" t="s">
        <v>957</v>
      </c>
      <c r="E1304" s="5" t="s">
        <v>388</v>
      </c>
      <c r="F1304" s="5" t="str">
        <f t="shared" si="180"/>
        <v>M and E-Extension Officer</v>
      </c>
      <c r="G1304" s="5" t="s">
        <v>40</v>
      </c>
      <c r="H1304" s="9">
        <v>44951.278946759259</v>
      </c>
      <c r="I1304" s="9">
        <v>44952.278946759259</v>
      </c>
      <c r="J1304" s="9" t="e">
        <f>I1304+#REF!</f>
        <v>#REF!</v>
      </c>
      <c r="K1304" s="9" t="e">
        <f>J1304+#REF!</f>
        <v>#REF!</v>
      </c>
      <c r="L1304" s="10" t="s">
        <v>41</v>
      </c>
      <c r="M1304" s="11">
        <v>44958.278946759259</v>
      </c>
      <c r="N1304" s="5" t="s">
        <v>42</v>
      </c>
      <c r="O1304" s="5" t="s">
        <v>98</v>
      </c>
      <c r="P1304" s="9"/>
      <c r="Q1304" s="5"/>
      <c r="R1304" s="5"/>
      <c r="S1304" s="5"/>
      <c r="T1304" s="9"/>
      <c r="U1304" s="5"/>
      <c r="V1304" s="5">
        <v>0</v>
      </c>
      <c r="W1304" s="5"/>
      <c r="X1304" s="5"/>
      <c r="Y1304" s="5"/>
      <c r="Z1304" s="5"/>
      <c r="AA1304" s="5" t="s">
        <v>62</v>
      </c>
      <c r="AC1304">
        <f t="shared" si="181"/>
        <v>6</v>
      </c>
      <c r="AD1304" t="str">
        <f t="shared" si="182"/>
        <v/>
      </c>
      <c r="AE1304" t="str">
        <f t="shared" si="183"/>
        <v/>
      </c>
      <c r="AF1304" t="str">
        <f t="shared" si="184"/>
        <v/>
      </c>
      <c r="AG1304" t="str">
        <f t="shared" si="185"/>
        <v/>
      </c>
      <c r="AH1304">
        <f t="shared" si="186"/>
        <v>1</v>
      </c>
      <c r="AI1304" t="str">
        <f t="shared" si="187"/>
        <v/>
      </c>
      <c r="AJ1304" t="str">
        <f t="shared" si="188"/>
        <v/>
      </c>
    </row>
    <row r="1305" spans="1:36">
      <c r="A1305" s="5">
        <v>1480</v>
      </c>
      <c r="B1305" s="5" t="s">
        <v>863</v>
      </c>
      <c r="C1305" s="5" t="s">
        <v>796</v>
      </c>
      <c r="D1305" s="5" t="s">
        <v>814</v>
      </c>
      <c r="E1305" s="5" t="s">
        <v>597</v>
      </c>
      <c r="F1305" s="5" t="str">
        <f t="shared" si="180"/>
        <v>M and E-Business Partner</v>
      </c>
      <c r="G1305" s="5" t="s">
        <v>147</v>
      </c>
      <c r="H1305" s="9">
        <v>44945.278946759259</v>
      </c>
      <c r="I1305" s="9">
        <v>44948.278946759259</v>
      </c>
      <c r="J1305" s="9" t="e">
        <f>I1305+#REF!</f>
        <v>#REF!</v>
      </c>
      <c r="K1305" s="9" t="e">
        <f>J1305+#REF!</f>
        <v>#REF!</v>
      </c>
      <c r="L1305" s="10" t="s">
        <v>41</v>
      </c>
      <c r="M1305" s="11">
        <v>44959.278946759259</v>
      </c>
      <c r="N1305" s="5" t="s">
        <v>42</v>
      </c>
      <c r="O1305" s="5" t="s">
        <v>98</v>
      </c>
      <c r="P1305" s="9"/>
      <c r="Q1305" s="5"/>
      <c r="R1305" s="5"/>
      <c r="S1305" s="5"/>
      <c r="T1305" s="9">
        <v>44960.278946759259</v>
      </c>
      <c r="U1305" s="5"/>
      <c r="V1305" s="5">
        <v>0</v>
      </c>
      <c r="W1305" s="5"/>
      <c r="X1305" s="5"/>
      <c r="Y1305" s="5"/>
      <c r="Z1305" s="5"/>
      <c r="AA1305" s="5" t="s">
        <v>62</v>
      </c>
      <c r="AC1305">
        <f t="shared" si="181"/>
        <v>11</v>
      </c>
      <c r="AD1305" t="str">
        <f t="shared" si="182"/>
        <v/>
      </c>
      <c r="AE1305">
        <f t="shared" si="183"/>
        <v>1</v>
      </c>
      <c r="AF1305" t="str">
        <f t="shared" si="184"/>
        <v/>
      </c>
      <c r="AG1305" t="str">
        <f t="shared" si="185"/>
        <v/>
      </c>
      <c r="AH1305">
        <f t="shared" si="186"/>
        <v>3</v>
      </c>
      <c r="AI1305" t="str">
        <f t="shared" si="187"/>
        <v/>
      </c>
      <c r="AJ1305" t="str">
        <f t="shared" si="188"/>
        <v/>
      </c>
    </row>
    <row r="1306" spans="1:36">
      <c r="A1306" s="5">
        <v>1481</v>
      </c>
      <c r="B1306" s="5" t="s">
        <v>1346</v>
      </c>
      <c r="C1306" s="5" t="s">
        <v>1332</v>
      </c>
      <c r="D1306" s="5" t="s">
        <v>1333</v>
      </c>
      <c r="E1306" s="5" t="s">
        <v>102</v>
      </c>
      <c r="F1306" s="5" t="str">
        <f t="shared" si="180"/>
        <v>Fundraising-Senior Manager</v>
      </c>
      <c r="G1306" s="5" t="s">
        <v>103</v>
      </c>
      <c r="H1306" s="9">
        <v>45113.542164351849</v>
      </c>
      <c r="I1306" s="9">
        <v>45117.542164351849</v>
      </c>
      <c r="J1306" s="9" t="e">
        <f>I1306+#REF!</f>
        <v>#REF!</v>
      </c>
      <c r="K1306" s="9" t="e">
        <f>J1306+#REF!</f>
        <v>#REF!</v>
      </c>
      <c r="L1306" s="10" t="s">
        <v>41</v>
      </c>
      <c r="M1306" s="11">
        <v>45128.542164351849</v>
      </c>
      <c r="N1306" s="5" t="s">
        <v>42</v>
      </c>
      <c r="O1306" s="5" t="s">
        <v>43</v>
      </c>
      <c r="P1306" s="9"/>
      <c r="Q1306" s="5"/>
      <c r="R1306" s="5"/>
      <c r="S1306" s="5"/>
      <c r="T1306" s="9">
        <v>45130.542164351849</v>
      </c>
      <c r="U1306" s="5"/>
      <c r="V1306" s="5">
        <v>0</v>
      </c>
      <c r="W1306" s="5"/>
      <c r="X1306" s="5"/>
      <c r="Y1306" s="5"/>
      <c r="Z1306" s="5"/>
      <c r="AA1306" s="5" t="s">
        <v>44</v>
      </c>
      <c r="AC1306">
        <f t="shared" si="181"/>
        <v>11</v>
      </c>
      <c r="AD1306" t="str">
        <f t="shared" si="182"/>
        <v/>
      </c>
      <c r="AE1306">
        <f t="shared" si="183"/>
        <v>2</v>
      </c>
      <c r="AF1306" t="str">
        <f t="shared" si="184"/>
        <v/>
      </c>
      <c r="AG1306" t="str">
        <f t="shared" si="185"/>
        <v/>
      </c>
      <c r="AH1306">
        <f t="shared" si="186"/>
        <v>4</v>
      </c>
      <c r="AI1306" t="str">
        <f t="shared" si="187"/>
        <v/>
      </c>
      <c r="AJ1306" t="str">
        <f t="shared" si="188"/>
        <v/>
      </c>
    </row>
    <row r="1307" spans="1:36">
      <c r="A1307" s="5">
        <v>1483</v>
      </c>
      <c r="B1307" s="5" t="s">
        <v>1397</v>
      </c>
      <c r="C1307" s="5" t="s">
        <v>1332</v>
      </c>
      <c r="D1307" s="5" t="s">
        <v>1359</v>
      </c>
      <c r="E1307" s="5" t="s">
        <v>1360</v>
      </c>
      <c r="F1307" s="5" t="str">
        <f t="shared" si="180"/>
        <v>Fundraising-Fund Administrator</v>
      </c>
      <c r="G1307" s="5" t="s">
        <v>147</v>
      </c>
      <c r="H1307" s="9">
        <v>45115.542164351849</v>
      </c>
      <c r="I1307" s="9">
        <v>45116.542164351849</v>
      </c>
      <c r="J1307" s="9" t="e">
        <f>I1307+#REF!</f>
        <v>#REF!</v>
      </c>
      <c r="K1307" s="9" t="e">
        <f>J1307+#REF!</f>
        <v>#REF!</v>
      </c>
      <c r="L1307" s="10" t="s">
        <v>41</v>
      </c>
      <c r="M1307" s="11">
        <v>45136.542164351849</v>
      </c>
      <c r="N1307" s="5" t="s">
        <v>42</v>
      </c>
      <c r="O1307" s="5" t="s">
        <v>43</v>
      </c>
      <c r="P1307" s="9"/>
      <c r="Q1307" s="5"/>
      <c r="R1307" s="5"/>
      <c r="S1307" s="5"/>
      <c r="T1307" s="9">
        <v>45140.542164351849</v>
      </c>
      <c r="U1307" s="5"/>
      <c r="V1307" s="5">
        <v>0</v>
      </c>
      <c r="W1307" s="5"/>
      <c r="X1307" s="5"/>
      <c r="Y1307" s="5"/>
      <c r="Z1307" s="5"/>
      <c r="AA1307" s="5" t="s">
        <v>44</v>
      </c>
      <c r="AC1307">
        <f t="shared" si="181"/>
        <v>20</v>
      </c>
      <c r="AD1307" t="str">
        <f t="shared" si="182"/>
        <v/>
      </c>
      <c r="AE1307">
        <f t="shared" si="183"/>
        <v>4</v>
      </c>
      <c r="AF1307" t="str">
        <f t="shared" si="184"/>
        <v/>
      </c>
      <c r="AG1307" t="str">
        <f t="shared" si="185"/>
        <v/>
      </c>
      <c r="AH1307">
        <f t="shared" si="186"/>
        <v>1</v>
      </c>
      <c r="AI1307" t="str">
        <f t="shared" si="187"/>
        <v/>
      </c>
      <c r="AJ1307" t="str">
        <f t="shared" si="188"/>
        <v/>
      </c>
    </row>
    <row r="1308" spans="1:36">
      <c r="A1308" s="5">
        <v>1485</v>
      </c>
      <c r="B1308" s="5" t="s">
        <v>1487</v>
      </c>
      <c r="C1308" s="5" t="s">
        <v>1332</v>
      </c>
      <c r="D1308" s="5" t="s">
        <v>1448</v>
      </c>
      <c r="E1308" s="5" t="s">
        <v>1484</v>
      </c>
      <c r="F1308" s="5" t="str">
        <f t="shared" si="180"/>
        <v>Fundraising-Review Associate</v>
      </c>
      <c r="G1308" s="5" t="s">
        <v>40</v>
      </c>
      <c r="H1308" s="9">
        <v>45112.542164351849</v>
      </c>
      <c r="I1308" s="9">
        <v>45115.542164351849</v>
      </c>
      <c r="J1308" s="9" t="e">
        <f>I1308+#REF!</f>
        <v>#REF!</v>
      </c>
      <c r="K1308" s="9" t="e">
        <f>J1308+#REF!</f>
        <v>#REF!</v>
      </c>
      <c r="L1308" s="10" t="s">
        <v>41</v>
      </c>
      <c r="M1308" s="11">
        <v>45129.542164351849</v>
      </c>
      <c r="N1308" s="5" t="s">
        <v>42</v>
      </c>
      <c r="O1308" s="5" t="s">
        <v>43</v>
      </c>
      <c r="P1308" s="9"/>
      <c r="Q1308" s="5"/>
      <c r="R1308" s="5"/>
      <c r="S1308" s="5"/>
      <c r="T1308" s="9">
        <v>45132.542164351849</v>
      </c>
      <c r="U1308" s="5"/>
      <c r="V1308" s="5">
        <v>0</v>
      </c>
      <c r="W1308" s="5"/>
      <c r="X1308" s="5"/>
      <c r="Y1308" s="5"/>
      <c r="Z1308" s="5"/>
      <c r="AA1308" s="5" t="s">
        <v>44</v>
      </c>
      <c r="AC1308">
        <f t="shared" si="181"/>
        <v>14</v>
      </c>
      <c r="AD1308" t="str">
        <f t="shared" si="182"/>
        <v/>
      </c>
      <c r="AE1308">
        <f t="shared" si="183"/>
        <v>3</v>
      </c>
      <c r="AF1308" t="str">
        <f t="shared" si="184"/>
        <v/>
      </c>
      <c r="AG1308" t="str">
        <f t="shared" si="185"/>
        <v/>
      </c>
      <c r="AH1308">
        <f t="shared" si="186"/>
        <v>3</v>
      </c>
      <c r="AI1308" t="str">
        <f t="shared" si="187"/>
        <v/>
      </c>
      <c r="AJ1308" t="str">
        <f t="shared" si="188"/>
        <v/>
      </c>
    </row>
    <row r="1309" spans="1:36">
      <c r="A1309" s="5">
        <v>1486</v>
      </c>
      <c r="B1309" s="5" t="s">
        <v>1345</v>
      </c>
      <c r="C1309" s="5" t="s">
        <v>1332</v>
      </c>
      <c r="D1309" s="5" t="s">
        <v>1333</v>
      </c>
      <c r="E1309" s="5" t="s">
        <v>102</v>
      </c>
      <c r="F1309" s="5" t="str">
        <f t="shared" si="180"/>
        <v>Fundraising-Senior Manager</v>
      </c>
      <c r="G1309" s="5" t="s">
        <v>103</v>
      </c>
      <c r="H1309" s="9">
        <v>45111.542164351849</v>
      </c>
      <c r="I1309" s="9">
        <v>45114.542164351849</v>
      </c>
      <c r="J1309" s="9" t="e">
        <f>I1309+#REF!</f>
        <v>#REF!</v>
      </c>
      <c r="K1309" s="9" t="e">
        <f>J1309+#REF!</f>
        <v>#REF!</v>
      </c>
      <c r="L1309" s="10" t="s">
        <v>41</v>
      </c>
      <c r="M1309" s="11">
        <v>45128.542164351849</v>
      </c>
      <c r="N1309" s="5" t="s">
        <v>42</v>
      </c>
      <c r="O1309" s="5" t="s">
        <v>113</v>
      </c>
      <c r="P1309" s="9"/>
      <c r="Q1309" s="5"/>
      <c r="R1309" s="5"/>
      <c r="S1309" s="5"/>
      <c r="T1309" s="9">
        <v>45131.542164351849</v>
      </c>
      <c r="U1309" s="5"/>
      <c r="V1309" s="5">
        <v>0</v>
      </c>
      <c r="W1309" s="5"/>
      <c r="X1309" s="5"/>
      <c r="Y1309" s="5"/>
      <c r="Z1309" s="5"/>
      <c r="AA1309" s="5" t="s">
        <v>62</v>
      </c>
      <c r="AC1309">
        <f t="shared" si="181"/>
        <v>14</v>
      </c>
      <c r="AD1309" t="str">
        <f t="shared" si="182"/>
        <v/>
      </c>
      <c r="AE1309">
        <f t="shared" si="183"/>
        <v>3</v>
      </c>
      <c r="AF1309" t="str">
        <f t="shared" si="184"/>
        <v/>
      </c>
      <c r="AG1309" t="str">
        <f t="shared" si="185"/>
        <v/>
      </c>
      <c r="AH1309">
        <f t="shared" si="186"/>
        <v>3</v>
      </c>
      <c r="AI1309" t="str">
        <f t="shared" si="187"/>
        <v/>
      </c>
      <c r="AJ1309" t="str">
        <f t="shared" si="188"/>
        <v/>
      </c>
    </row>
    <row r="1310" spans="1:36">
      <c r="A1310" s="5">
        <v>1487</v>
      </c>
      <c r="B1310" s="5" t="s">
        <v>2367</v>
      </c>
      <c r="C1310" s="5" t="s">
        <v>2229</v>
      </c>
      <c r="D1310" s="5" t="s">
        <v>2350</v>
      </c>
      <c r="E1310" s="5" t="s">
        <v>2351</v>
      </c>
      <c r="F1310" s="5" t="str">
        <f t="shared" si="180"/>
        <v>Capacity Building-Training Associate</v>
      </c>
      <c r="G1310" s="5" t="s">
        <v>40</v>
      </c>
      <c r="H1310" s="9">
        <v>45115.542164351849</v>
      </c>
      <c r="I1310" s="9">
        <v>45117.542164351849</v>
      </c>
      <c r="J1310" s="9" t="e">
        <f>I1310+#REF!</f>
        <v>#REF!</v>
      </c>
      <c r="K1310" s="9" t="e">
        <f>J1310+#REF!</f>
        <v>#REF!</v>
      </c>
      <c r="L1310" s="10" t="s">
        <v>52</v>
      </c>
      <c r="M1310" s="11"/>
      <c r="N1310" s="5"/>
      <c r="O1310" s="5"/>
      <c r="P1310" s="9"/>
      <c r="Q1310" s="5"/>
      <c r="R1310" s="5"/>
      <c r="S1310" s="5"/>
      <c r="T1310" s="9"/>
      <c r="U1310" s="5"/>
      <c r="V1310" s="5">
        <v>0</v>
      </c>
      <c r="W1310" s="5"/>
      <c r="X1310" s="5"/>
      <c r="Y1310" s="5"/>
      <c r="Z1310" s="5"/>
      <c r="AA1310" s="5"/>
      <c r="AC1310" t="str">
        <f t="shared" si="181"/>
        <v/>
      </c>
      <c r="AD1310" t="str">
        <f t="shared" si="182"/>
        <v/>
      </c>
      <c r="AE1310" t="str">
        <f t="shared" si="183"/>
        <v/>
      </c>
      <c r="AF1310" t="str">
        <f t="shared" si="184"/>
        <v/>
      </c>
      <c r="AG1310" t="str">
        <f t="shared" si="185"/>
        <v/>
      </c>
      <c r="AH1310">
        <f t="shared" si="186"/>
        <v>2</v>
      </c>
      <c r="AI1310" t="str">
        <f t="shared" si="187"/>
        <v/>
      </c>
      <c r="AJ1310" t="str">
        <f t="shared" si="188"/>
        <v/>
      </c>
    </row>
    <row r="1311" spans="1:36">
      <c r="A1311" s="5">
        <v>1489</v>
      </c>
      <c r="B1311" s="5" t="s">
        <v>1344</v>
      </c>
      <c r="C1311" s="5" t="s">
        <v>1332</v>
      </c>
      <c r="D1311" s="5" t="s">
        <v>1333</v>
      </c>
      <c r="E1311" s="5" t="s">
        <v>102</v>
      </c>
      <c r="F1311" s="5" t="str">
        <f t="shared" si="180"/>
        <v>Fundraising-Senior Manager</v>
      </c>
      <c r="G1311" s="5" t="s">
        <v>103</v>
      </c>
      <c r="H1311" s="9">
        <v>45113.542164351849</v>
      </c>
      <c r="I1311" s="9">
        <v>45114.542164351849</v>
      </c>
      <c r="J1311" s="9" t="e">
        <f>I1311+#REF!</f>
        <v>#REF!</v>
      </c>
      <c r="K1311" s="9" t="e">
        <f>J1311+#REF!</f>
        <v>#REF!</v>
      </c>
      <c r="L1311" s="10" t="s">
        <v>41</v>
      </c>
      <c r="M1311" s="11">
        <v>45133.542164351849</v>
      </c>
      <c r="N1311" s="5" t="s">
        <v>42</v>
      </c>
      <c r="O1311" s="5" t="s">
        <v>43</v>
      </c>
      <c r="P1311" s="9"/>
      <c r="Q1311" s="5"/>
      <c r="R1311" s="5"/>
      <c r="S1311" s="5"/>
      <c r="T1311" s="9"/>
      <c r="U1311" s="5"/>
      <c r="V1311" s="5">
        <v>0</v>
      </c>
      <c r="W1311" s="5"/>
      <c r="X1311" s="5"/>
      <c r="Y1311" s="5"/>
      <c r="Z1311" s="5"/>
      <c r="AA1311" s="5" t="s">
        <v>44</v>
      </c>
      <c r="AC1311">
        <f t="shared" si="181"/>
        <v>19</v>
      </c>
      <c r="AD1311" t="str">
        <f t="shared" si="182"/>
        <v/>
      </c>
      <c r="AE1311" t="str">
        <f t="shared" si="183"/>
        <v/>
      </c>
      <c r="AF1311" t="str">
        <f t="shared" si="184"/>
        <v/>
      </c>
      <c r="AG1311" t="str">
        <f t="shared" si="185"/>
        <v/>
      </c>
      <c r="AH1311">
        <f t="shared" si="186"/>
        <v>1</v>
      </c>
      <c r="AI1311" t="str">
        <f t="shared" si="187"/>
        <v/>
      </c>
      <c r="AJ1311" t="str">
        <f t="shared" si="188"/>
        <v/>
      </c>
    </row>
    <row r="1312" spans="1:36">
      <c r="A1312" s="5">
        <v>1490</v>
      </c>
      <c r="B1312" s="5" t="s">
        <v>1396</v>
      </c>
      <c r="C1312" s="5" t="s">
        <v>1332</v>
      </c>
      <c r="D1312" s="5" t="s">
        <v>1359</v>
      </c>
      <c r="E1312" s="5" t="s">
        <v>1360</v>
      </c>
      <c r="F1312" s="5" t="str">
        <f t="shared" si="180"/>
        <v>Fundraising-Fund Administrator</v>
      </c>
      <c r="G1312" s="5" t="s">
        <v>147</v>
      </c>
      <c r="H1312" s="9">
        <v>45117.542164351849</v>
      </c>
      <c r="I1312" s="9">
        <v>45118.542164351849</v>
      </c>
      <c r="J1312" s="9" t="e">
        <f>I1312+#REF!</f>
        <v>#REF!</v>
      </c>
      <c r="K1312" s="9" t="e">
        <f>J1312+#REF!</f>
        <v>#REF!</v>
      </c>
      <c r="L1312" s="10" t="s">
        <v>41</v>
      </c>
      <c r="M1312" s="11">
        <v>45125.542164351849</v>
      </c>
      <c r="N1312" s="5" t="s">
        <v>42</v>
      </c>
      <c r="O1312" s="5" t="s">
        <v>98</v>
      </c>
      <c r="P1312" s="9"/>
      <c r="Q1312" s="5"/>
      <c r="R1312" s="5"/>
      <c r="S1312" s="5"/>
      <c r="T1312" s="9"/>
      <c r="U1312" s="5"/>
      <c r="V1312" s="5">
        <v>0</v>
      </c>
      <c r="W1312" s="5"/>
      <c r="X1312" s="5"/>
      <c r="Y1312" s="5"/>
      <c r="Z1312" s="5"/>
      <c r="AA1312" s="5" t="s">
        <v>62</v>
      </c>
      <c r="AC1312">
        <f t="shared" si="181"/>
        <v>7</v>
      </c>
      <c r="AD1312" t="str">
        <f t="shared" si="182"/>
        <v/>
      </c>
      <c r="AE1312" t="str">
        <f t="shared" si="183"/>
        <v/>
      </c>
      <c r="AF1312" t="str">
        <f t="shared" si="184"/>
        <v/>
      </c>
      <c r="AG1312" t="str">
        <f t="shared" si="185"/>
        <v/>
      </c>
      <c r="AH1312">
        <f t="shared" si="186"/>
        <v>1</v>
      </c>
      <c r="AI1312" t="str">
        <f t="shared" si="187"/>
        <v/>
      </c>
      <c r="AJ1312" t="str">
        <f t="shared" si="188"/>
        <v/>
      </c>
    </row>
    <row r="1313" spans="1:36">
      <c r="A1313" s="5">
        <v>1491</v>
      </c>
      <c r="B1313" s="5" t="s">
        <v>1169</v>
      </c>
      <c r="C1313" s="10" t="s">
        <v>1122</v>
      </c>
      <c r="D1313" s="5" t="s">
        <v>1145</v>
      </c>
      <c r="E1313" s="5" t="s">
        <v>39</v>
      </c>
      <c r="F1313" s="5" t="str">
        <f t="shared" si="180"/>
        <v>IT-Analyst</v>
      </c>
      <c r="G1313" s="5" t="s">
        <v>147</v>
      </c>
      <c r="H1313" s="9">
        <v>44693.569456018522</v>
      </c>
      <c r="I1313" s="9">
        <v>44697.569456018522</v>
      </c>
      <c r="J1313" s="9" t="e">
        <f>I1313+#REF!</f>
        <v>#REF!</v>
      </c>
      <c r="K1313" s="9" t="e">
        <f>J1313+#REF!</f>
        <v>#REF!</v>
      </c>
      <c r="L1313" s="10" t="s">
        <v>41</v>
      </c>
      <c r="M1313" s="11">
        <v>44710.569456018522</v>
      </c>
      <c r="N1313" s="5" t="s">
        <v>48</v>
      </c>
      <c r="O1313" s="5"/>
      <c r="P1313" s="9">
        <v>44713.569456018522</v>
      </c>
      <c r="Q1313" s="5" t="s">
        <v>48</v>
      </c>
      <c r="R1313" s="5"/>
      <c r="S1313" s="5"/>
      <c r="T1313" s="9">
        <v>44711.569456018522</v>
      </c>
      <c r="U1313" s="5"/>
      <c r="V1313" s="5">
        <v>0</v>
      </c>
      <c r="W1313" s="5"/>
      <c r="X1313" s="5"/>
      <c r="Y1313" s="5"/>
      <c r="Z1313" s="5"/>
      <c r="AA1313" s="5"/>
      <c r="AC1313">
        <f t="shared" si="181"/>
        <v>13</v>
      </c>
      <c r="AD1313" t="str">
        <f t="shared" si="182"/>
        <v/>
      </c>
      <c r="AE1313">
        <f t="shared" si="183"/>
        <v>1</v>
      </c>
      <c r="AF1313" t="str">
        <f t="shared" si="184"/>
        <v/>
      </c>
      <c r="AG1313" t="str">
        <f t="shared" si="185"/>
        <v/>
      </c>
      <c r="AH1313">
        <f t="shared" si="186"/>
        <v>4</v>
      </c>
      <c r="AI1313" t="str">
        <f t="shared" si="187"/>
        <v/>
      </c>
      <c r="AJ1313" t="str">
        <f t="shared" si="188"/>
        <v/>
      </c>
    </row>
    <row r="1314" spans="1:36">
      <c r="A1314" s="5">
        <v>1492</v>
      </c>
      <c r="B1314" s="5" t="s">
        <v>1240</v>
      </c>
      <c r="C1314" s="10" t="s">
        <v>1215</v>
      </c>
      <c r="D1314" s="5" t="s">
        <v>1216</v>
      </c>
      <c r="E1314" s="5" t="s">
        <v>269</v>
      </c>
      <c r="F1314" s="5" t="str">
        <f t="shared" si="180"/>
        <v>HR-Manager</v>
      </c>
      <c r="G1314" s="5" t="s">
        <v>270</v>
      </c>
      <c r="H1314" s="9">
        <v>44695.569456018522</v>
      </c>
      <c r="I1314" s="9">
        <v>44699.569456018522</v>
      </c>
      <c r="J1314" s="9" t="e">
        <f>I1314+#REF!</f>
        <v>#REF!</v>
      </c>
      <c r="K1314" s="9" t="e">
        <f>J1314+#REF!</f>
        <v>#REF!</v>
      </c>
      <c r="L1314" s="10" t="s">
        <v>41</v>
      </c>
      <c r="M1314" s="11">
        <v>44716.569456018522</v>
      </c>
      <c r="N1314" s="5" t="s">
        <v>42</v>
      </c>
      <c r="O1314" s="5" t="s">
        <v>43</v>
      </c>
      <c r="P1314" s="9"/>
      <c r="Q1314" s="5"/>
      <c r="R1314" s="5"/>
      <c r="S1314" s="5"/>
      <c r="T1314" s="9">
        <v>44719.569456018522</v>
      </c>
      <c r="U1314" s="5"/>
      <c r="V1314" s="5">
        <v>0</v>
      </c>
      <c r="W1314" s="5"/>
      <c r="X1314" s="5"/>
      <c r="Y1314" s="5"/>
      <c r="Z1314" s="5"/>
      <c r="AA1314" s="5" t="s">
        <v>44</v>
      </c>
      <c r="AC1314">
        <f t="shared" si="181"/>
        <v>17</v>
      </c>
      <c r="AD1314" t="str">
        <f t="shared" si="182"/>
        <v/>
      </c>
      <c r="AE1314">
        <f t="shared" si="183"/>
        <v>3</v>
      </c>
      <c r="AF1314" t="str">
        <f t="shared" si="184"/>
        <v/>
      </c>
      <c r="AG1314" t="str">
        <f t="shared" si="185"/>
        <v/>
      </c>
      <c r="AH1314">
        <f t="shared" si="186"/>
        <v>4</v>
      </c>
      <c r="AI1314" t="str">
        <f t="shared" si="187"/>
        <v/>
      </c>
      <c r="AJ1314" t="str">
        <f t="shared" si="188"/>
        <v/>
      </c>
    </row>
    <row r="1315" spans="1:36">
      <c r="A1315" s="5">
        <v>1493</v>
      </c>
      <c r="B1315" s="5" t="s">
        <v>1239</v>
      </c>
      <c r="C1315" s="10" t="s">
        <v>1215</v>
      </c>
      <c r="D1315" s="5" t="s">
        <v>1216</v>
      </c>
      <c r="E1315" s="5" t="s">
        <v>269</v>
      </c>
      <c r="F1315" s="5" t="str">
        <f t="shared" si="180"/>
        <v>HR-Manager</v>
      </c>
      <c r="G1315" s="5" t="s">
        <v>270</v>
      </c>
      <c r="H1315" s="9">
        <v>44697.569456018522</v>
      </c>
      <c r="I1315" s="9">
        <v>44698.569456018522</v>
      </c>
      <c r="J1315" s="9" t="e">
        <f>I1315+#REF!</f>
        <v>#REF!</v>
      </c>
      <c r="K1315" s="9" t="e">
        <f>J1315+#REF!</f>
        <v>#REF!</v>
      </c>
      <c r="L1315" s="10" t="s">
        <v>41</v>
      </c>
      <c r="M1315" s="11">
        <v>44708.569456018522</v>
      </c>
      <c r="N1315" s="5" t="s">
        <v>42</v>
      </c>
      <c r="O1315" s="5" t="s">
        <v>113</v>
      </c>
      <c r="P1315" s="9"/>
      <c r="Q1315" s="5"/>
      <c r="R1315" s="5"/>
      <c r="S1315" s="5"/>
      <c r="T1315" s="9"/>
      <c r="U1315" s="5"/>
      <c r="V1315" s="5">
        <v>0</v>
      </c>
      <c r="W1315" s="5"/>
      <c r="X1315" s="5"/>
      <c r="Y1315" s="5"/>
      <c r="Z1315" s="5"/>
      <c r="AA1315" s="5" t="s">
        <v>44</v>
      </c>
      <c r="AC1315">
        <f t="shared" si="181"/>
        <v>10</v>
      </c>
      <c r="AD1315" t="str">
        <f t="shared" si="182"/>
        <v/>
      </c>
      <c r="AE1315" t="str">
        <f t="shared" si="183"/>
        <v/>
      </c>
      <c r="AF1315" t="str">
        <f t="shared" si="184"/>
        <v/>
      </c>
      <c r="AG1315" t="str">
        <f t="shared" si="185"/>
        <v/>
      </c>
      <c r="AH1315">
        <f t="shared" si="186"/>
        <v>1</v>
      </c>
      <c r="AI1315" t="str">
        <f t="shared" si="187"/>
        <v/>
      </c>
      <c r="AJ1315" t="str">
        <f t="shared" si="188"/>
        <v/>
      </c>
    </row>
    <row r="1316" spans="1:36">
      <c r="A1316" s="5">
        <v>1494</v>
      </c>
      <c r="B1316" s="5" t="s">
        <v>2180</v>
      </c>
      <c r="C1316" s="10" t="s">
        <v>2089</v>
      </c>
      <c r="D1316" s="5" t="s">
        <v>2167</v>
      </c>
      <c r="E1316" s="5" t="s">
        <v>269</v>
      </c>
      <c r="F1316" s="5" t="str">
        <f t="shared" si="180"/>
        <v>Communication and Advocacy-Manager</v>
      </c>
      <c r="G1316" s="5" t="s">
        <v>270</v>
      </c>
      <c r="H1316" s="9">
        <v>44693.569456018522</v>
      </c>
      <c r="I1316" s="9">
        <v>44696.569456018522</v>
      </c>
      <c r="J1316" s="9" t="e">
        <f>I1316+#REF!</f>
        <v>#REF!</v>
      </c>
      <c r="K1316" s="9" t="e">
        <f>J1316+#REF!</f>
        <v>#REF!</v>
      </c>
      <c r="L1316" s="10" t="s">
        <v>41</v>
      </c>
      <c r="M1316" s="11">
        <v>44710.569456018522</v>
      </c>
      <c r="N1316" s="5" t="s">
        <v>64</v>
      </c>
      <c r="O1316" s="5"/>
      <c r="P1316" s="9">
        <v>44716.569456018522</v>
      </c>
      <c r="Q1316" s="5" t="s">
        <v>64</v>
      </c>
      <c r="R1316" s="9">
        <v>44712.569456018522</v>
      </c>
      <c r="S1316" s="9">
        <v>44715.569456018522</v>
      </c>
      <c r="T1316" s="9">
        <v>44713.569456018522</v>
      </c>
      <c r="U1316" s="9">
        <v>44716.569456018522</v>
      </c>
      <c r="V1316" s="12">
        <v>1</v>
      </c>
      <c r="W1316" s="9">
        <v>44717.569456018522</v>
      </c>
      <c r="X1316" s="9">
        <v>44719.569456018522</v>
      </c>
      <c r="Y1316" s="9">
        <v>44720.569456018522</v>
      </c>
      <c r="Z1316" s="5"/>
      <c r="AA1316" s="5"/>
      <c r="AB1316" s="13">
        <v>44732.569456018522</v>
      </c>
      <c r="AC1316">
        <f t="shared" si="181"/>
        <v>14</v>
      </c>
      <c r="AD1316">
        <f t="shared" si="182"/>
        <v>19</v>
      </c>
      <c r="AE1316">
        <f t="shared" si="183"/>
        <v>3</v>
      </c>
      <c r="AF1316">
        <f t="shared" si="184"/>
        <v>3</v>
      </c>
      <c r="AG1316">
        <f t="shared" si="185"/>
        <v>1</v>
      </c>
      <c r="AH1316">
        <f t="shared" si="186"/>
        <v>3</v>
      </c>
      <c r="AI1316" t="str">
        <f t="shared" si="187"/>
        <v/>
      </c>
      <c r="AJ1316" t="str">
        <f t="shared" si="188"/>
        <v/>
      </c>
    </row>
    <row r="1317" spans="1:36">
      <c r="A1317" s="5">
        <v>1495</v>
      </c>
      <c r="B1317" s="5" t="s">
        <v>1310</v>
      </c>
      <c r="C1317" s="10" t="s">
        <v>1215</v>
      </c>
      <c r="D1317" s="5" t="s">
        <v>1287</v>
      </c>
      <c r="E1317" s="5" t="s">
        <v>1146</v>
      </c>
      <c r="F1317" s="5" t="str">
        <f t="shared" si="180"/>
        <v>HR-Quality Assurance</v>
      </c>
      <c r="G1317" s="5" t="s">
        <v>47</v>
      </c>
      <c r="H1317" s="9">
        <v>44695.569456018522</v>
      </c>
      <c r="I1317" s="9">
        <v>44697.569456018522</v>
      </c>
      <c r="J1317" s="9" t="e">
        <f>I1317+#REF!</f>
        <v>#REF!</v>
      </c>
      <c r="K1317" s="9" t="e">
        <f>J1317+#REF!</f>
        <v>#REF!</v>
      </c>
      <c r="L1317" s="10" t="s">
        <v>41</v>
      </c>
      <c r="M1317" s="11">
        <v>44712.569456018522</v>
      </c>
      <c r="N1317" s="5" t="s">
        <v>42</v>
      </c>
      <c r="O1317" s="5" t="s">
        <v>43</v>
      </c>
      <c r="P1317" s="9"/>
      <c r="Q1317" s="5"/>
      <c r="R1317" s="5"/>
      <c r="S1317" s="5"/>
      <c r="T1317" s="9">
        <v>44715.569456018522</v>
      </c>
      <c r="U1317" s="5"/>
      <c r="V1317" s="5">
        <v>0</v>
      </c>
      <c r="W1317" s="5"/>
      <c r="X1317" s="5"/>
      <c r="Y1317" s="5"/>
      <c r="Z1317" s="5"/>
      <c r="AA1317" s="5" t="s">
        <v>62</v>
      </c>
      <c r="AC1317">
        <f t="shared" si="181"/>
        <v>15</v>
      </c>
      <c r="AD1317" t="str">
        <f t="shared" si="182"/>
        <v/>
      </c>
      <c r="AE1317">
        <f t="shared" si="183"/>
        <v>3</v>
      </c>
      <c r="AF1317" t="str">
        <f t="shared" si="184"/>
        <v/>
      </c>
      <c r="AG1317" t="str">
        <f t="shared" si="185"/>
        <v/>
      </c>
      <c r="AH1317">
        <f t="shared" si="186"/>
        <v>2</v>
      </c>
      <c r="AI1317" t="str">
        <f t="shared" si="187"/>
        <v/>
      </c>
      <c r="AJ1317" t="str">
        <f t="shared" si="188"/>
        <v/>
      </c>
    </row>
    <row r="1318" spans="1:36">
      <c r="A1318" s="5">
        <v>1496</v>
      </c>
      <c r="B1318" s="5" t="s">
        <v>1238</v>
      </c>
      <c r="C1318" s="10" t="s">
        <v>1215</v>
      </c>
      <c r="D1318" s="5" t="s">
        <v>1216</v>
      </c>
      <c r="E1318" s="5" t="s">
        <v>269</v>
      </c>
      <c r="F1318" s="5" t="str">
        <f t="shared" si="180"/>
        <v>HR-Manager</v>
      </c>
      <c r="G1318" s="5" t="s">
        <v>270</v>
      </c>
      <c r="H1318" s="9">
        <v>44695.569456018522</v>
      </c>
      <c r="I1318" s="9">
        <v>44696.569456018522</v>
      </c>
      <c r="J1318" s="9" t="e">
        <f>I1318+#REF!</f>
        <v>#REF!</v>
      </c>
      <c r="K1318" s="9" t="e">
        <f>J1318+#REF!</f>
        <v>#REF!</v>
      </c>
      <c r="L1318" s="10" t="s">
        <v>41</v>
      </c>
      <c r="M1318" s="11">
        <v>44704.569456018522</v>
      </c>
      <c r="N1318" s="5" t="s">
        <v>42</v>
      </c>
      <c r="O1318" s="5" t="s">
        <v>113</v>
      </c>
      <c r="P1318" s="9"/>
      <c r="Q1318" s="5"/>
      <c r="R1318" s="5"/>
      <c r="S1318" s="5"/>
      <c r="T1318" s="9">
        <v>44708.569456018522</v>
      </c>
      <c r="U1318" s="5"/>
      <c r="V1318" s="5">
        <v>0</v>
      </c>
      <c r="W1318" s="5"/>
      <c r="X1318" s="5"/>
      <c r="Y1318" s="5"/>
      <c r="Z1318" s="5"/>
      <c r="AA1318" s="5" t="s">
        <v>44</v>
      </c>
      <c r="AC1318">
        <f t="shared" si="181"/>
        <v>8</v>
      </c>
      <c r="AD1318" t="str">
        <f t="shared" si="182"/>
        <v/>
      </c>
      <c r="AE1318">
        <f t="shared" si="183"/>
        <v>4</v>
      </c>
      <c r="AF1318" t="str">
        <f t="shared" si="184"/>
        <v/>
      </c>
      <c r="AG1318" t="str">
        <f t="shared" si="185"/>
        <v/>
      </c>
      <c r="AH1318">
        <f t="shared" si="186"/>
        <v>1</v>
      </c>
      <c r="AI1318" t="str">
        <f t="shared" si="187"/>
        <v/>
      </c>
      <c r="AJ1318" t="str">
        <f t="shared" si="188"/>
        <v/>
      </c>
    </row>
    <row r="1319" spans="1:36">
      <c r="A1319" s="5">
        <v>1497</v>
      </c>
      <c r="B1319" s="5" t="s">
        <v>2128</v>
      </c>
      <c r="C1319" s="10" t="s">
        <v>2089</v>
      </c>
      <c r="D1319" s="5" t="s">
        <v>2114</v>
      </c>
      <c r="E1319" s="5" t="s">
        <v>388</v>
      </c>
      <c r="F1319" s="5" t="str">
        <f t="shared" si="180"/>
        <v>Communication and Advocacy-Extension Officer</v>
      </c>
      <c r="G1319" s="5" t="s">
        <v>147</v>
      </c>
      <c r="H1319" s="9">
        <v>44696.569456018522</v>
      </c>
      <c r="I1319" s="9">
        <v>44699.569456018522</v>
      </c>
      <c r="J1319" s="9" t="e">
        <f>I1319+#REF!</f>
        <v>#REF!</v>
      </c>
      <c r="K1319" s="9" t="e">
        <f>J1319+#REF!</f>
        <v>#REF!</v>
      </c>
      <c r="L1319" s="10" t="s">
        <v>41</v>
      </c>
      <c r="M1319" s="11">
        <v>44703.569456018522</v>
      </c>
      <c r="N1319" s="5" t="s">
        <v>64</v>
      </c>
      <c r="O1319" s="5"/>
      <c r="P1319" s="9">
        <v>44708.569456018522</v>
      </c>
      <c r="Q1319" s="5" t="s">
        <v>64</v>
      </c>
      <c r="R1319" s="9">
        <v>44705.569456018522</v>
      </c>
      <c r="S1319" s="9">
        <v>44709.569456018522</v>
      </c>
      <c r="T1319" s="9">
        <v>44707.569456018522</v>
      </c>
      <c r="U1319" s="9">
        <v>44711.569456018522</v>
      </c>
      <c r="V1319" s="12">
        <v>1</v>
      </c>
      <c r="W1319" s="9">
        <v>44713.569456018522</v>
      </c>
      <c r="X1319" s="9">
        <v>44714.569456018522</v>
      </c>
      <c r="Y1319" s="9">
        <v>44715.569456018522</v>
      </c>
      <c r="Z1319" s="5"/>
      <c r="AA1319" s="5"/>
      <c r="AB1319" s="13">
        <v>44737.569456018522</v>
      </c>
      <c r="AC1319">
        <f t="shared" si="181"/>
        <v>4</v>
      </c>
      <c r="AD1319">
        <f t="shared" si="182"/>
        <v>10</v>
      </c>
      <c r="AE1319">
        <f t="shared" si="183"/>
        <v>4</v>
      </c>
      <c r="AF1319">
        <f t="shared" si="184"/>
        <v>3</v>
      </c>
      <c r="AG1319">
        <f t="shared" si="185"/>
        <v>2</v>
      </c>
      <c r="AH1319">
        <f t="shared" si="186"/>
        <v>3</v>
      </c>
      <c r="AI1319" t="str">
        <f t="shared" si="187"/>
        <v/>
      </c>
      <c r="AJ1319" t="str">
        <f t="shared" si="188"/>
        <v/>
      </c>
    </row>
    <row r="1320" spans="1:36">
      <c r="A1320" s="5">
        <v>1499</v>
      </c>
      <c r="B1320" s="5" t="s">
        <v>1269</v>
      </c>
      <c r="C1320" s="10" t="s">
        <v>1215</v>
      </c>
      <c r="D1320" s="5" t="s">
        <v>1249</v>
      </c>
      <c r="E1320" s="5" t="s">
        <v>1250</v>
      </c>
      <c r="F1320" s="5" t="str">
        <f t="shared" si="180"/>
        <v>HR-Screening Associate</v>
      </c>
      <c r="G1320" s="5" t="s">
        <v>40</v>
      </c>
      <c r="H1320" s="9">
        <v>44698.569456018522</v>
      </c>
      <c r="I1320" s="9">
        <v>44700.569456018522</v>
      </c>
      <c r="J1320" s="9" t="e">
        <f>I1320+#REF!</f>
        <v>#REF!</v>
      </c>
      <c r="K1320" s="9" t="e">
        <f>J1320+#REF!</f>
        <v>#REF!</v>
      </c>
      <c r="L1320" s="10" t="s">
        <v>41</v>
      </c>
      <c r="M1320" s="11">
        <v>44709.569456018522</v>
      </c>
      <c r="N1320" s="5" t="s">
        <v>42</v>
      </c>
      <c r="O1320" s="5" t="s">
        <v>113</v>
      </c>
      <c r="P1320" s="9"/>
      <c r="Q1320" s="5"/>
      <c r="R1320" s="5"/>
      <c r="S1320" s="5"/>
      <c r="T1320" s="9">
        <v>44711.569456018522</v>
      </c>
      <c r="U1320" s="5"/>
      <c r="V1320" s="5">
        <v>0</v>
      </c>
      <c r="W1320" s="5"/>
      <c r="X1320" s="5"/>
      <c r="Y1320" s="5"/>
      <c r="Z1320" s="5"/>
      <c r="AA1320" s="5" t="s">
        <v>62</v>
      </c>
      <c r="AC1320">
        <f t="shared" si="181"/>
        <v>9</v>
      </c>
      <c r="AD1320" t="str">
        <f t="shared" si="182"/>
        <v/>
      </c>
      <c r="AE1320">
        <f t="shared" si="183"/>
        <v>2</v>
      </c>
      <c r="AF1320" t="str">
        <f t="shared" si="184"/>
        <v/>
      </c>
      <c r="AG1320" t="str">
        <f t="shared" si="185"/>
        <v/>
      </c>
      <c r="AH1320">
        <f t="shared" si="186"/>
        <v>2</v>
      </c>
      <c r="AI1320" t="str">
        <f t="shared" si="187"/>
        <v/>
      </c>
      <c r="AJ1320" t="str">
        <f t="shared" si="188"/>
        <v/>
      </c>
    </row>
    <row r="1321" spans="1:36">
      <c r="A1321" s="5">
        <v>1500</v>
      </c>
      <c r="B1321" s="5" t="s">
        <v>1268</v>
      </c>
      <c r="C1321" s="10" t="s">
        <v>1215</v>
      </c>
      <c r="D1321" s="5" t="s">
        <v>1249</v>
      </c>
      <c r="E1321" s="5" t="s">
        <v>1250</v>
      </c>
      <c r="F1321" s="5" t="str">
        <f t="shared" si="180"/>
        <v>HR-Screening Associate</v>
      </c>
      <c r="G1321" s="5" t="s">
        <v>40</v>
      </c>
      <c r="H1321" s="9">
        <v>44694.569456018522</v>
      </c>
      <c r="I1321" s="9">
        <v>44698.569456018522</v>
      </c>
      <c r="J1321" s="9" t="e">
        <f>I1321+#REF!</f>
        <v>#REF!</v>
      </c>
      <c r="K1321" s="9" t="e">
        <f>J1321+#REF!</f>
        <v>#REF!</v>
      </c>
      <c r="L1321" s="10" t="s">
        <v>41</v>
      </c>
      <c r="M1321" s="11">
        <v>44709.569456018522</v>
      </c>
      <c r="N1321" s="5" t="s">
        <v>42</v>
      </c>
      <c r="O1321" s="5" t="s">
        <v>73</v>
      </c>
      <c r="P1321" s="9"/>
      <c r="Q1321" s="5"/>
      <c r="R1321" s="5"/>
      <c r="S1321" s="5"/>
      <c r="T1321" s="9">
        <v>44711.569456018522</v>
      </c>
      <c r="U1321" s="5"/>
      <c r="V1321" s="5">
        <v>0</v>
      </c>
      <c r="W1321" s="5"/>
      <c r="X1321" s="5"/>
      <c r="Y1321" s="5"/>
      <c r="Z1321" s="5"/>
      <c r="AA1321" s="5" t="s">
        <v>44</v>
      </c>
      <c r="AC1321">
        <f t="shared" si="181"/>
        <v>11</v>
      </c>
      <c r="AD1321" t="str">
        <f t="shared" si="182"/>
        <v/>
      </c>
      <c r="AE1321">
        <f t="shared" si="183"/>
        <v>2</v>
      </c>
      <c r="AF1321" t="str">
        <f t="shared" si="184"/>
        <v/>
      </c>
      <c r="AG1321" t="str">
        <f t="shared" si="185"/>
        <v/>
      </c>
      <c r="AH1321">
        <f t="shared" si="186"/>
        <v>4</v>
      </c>
      <c r="AI1321" t="str">
        <f t="shared" si="187"/>
        <v/>
      </c>
      <c r="AJ1321" t="str">
        <f t="shared" si="188"/>
        <v/>
      </c>
    </row>
    <row r="1322" spans="1:36">
      <c r="A1322" s="5">
        <v>1501</v>
      </c>
      <c r="B1322" s="5" t="s">
        <v>1309</v>
      </c>
      <c r="C1322" s="10" t="s">
        <v>1215</v>
      </c>
      <c r="D1322" s="5" t="s">
        <v>1287</v>
      </c>
      <c r="E1322" s="5" t="s">
        <v>1146</v>
      </c>
      <c r="F1322" s="5" t="str">
        <f t="shared" si="180"/>
        <v>HR-Quality Assurance</v>
      </c>
      <c r="G1322" s="5" t="s">
        <v>47</v>
      </c>
      <c r="H1322" s="9">
        <v>44753.346215277779</v>
      </c>
      <c r="I1322" s="9">
        <v>44757.346215277779</v>
      </c>
      <c r="J1322" s="9" t="e">
        <f>I1322+#REF!</f>
        <v>#REF!</v>
      </c>
      <c r="K1322" s="9" t="e">
        <f>J1322+#REF!</f>
        <v>#REF!</v>
      </c>
      <c r="L1322" s="10" t="s">
        <v>41</v>
      </c>
      <c r="M1322" s="11">
        <v>44778.346215277779</v>
      </c>
      <c r="N1322" s="5" t="s">
        <v>42</v>
      </c>
      <c r="O1322" s="5" t="s">
        <v>73</v>
      </c>
      <c r="P1322" s="9"/>
      <c r="Q1322" s="5"/>
      <c r="R1322" s="5"/>
      <c r="S1322" s="5"/>
      <c r="T1322" s="9">
        <v>44780.346215277779</v>
      </c>
      <c r="U1322" s="5"/>
      <c r="V1322" s="5">
        <v>0</v>
      </c>
      <c r="W1322" s="5"/>
      <c r="X1322" s="5"/>
      <c r="Y1322" s="5"/>
      <c r="Z1322" s="5"/>
      <c r="AA1322" s="5" t="s">
        <v>62</v>
      </c>
      <c r="AC1322">
        <f t="shared" si="181"/>
        <v>21</v>
      </c>
      <c r="AD1322" t="str">
        <f t="shared" si="182"/>
        <v/>
      </c>
      <c r="AE1322">
        <f t="shared" si="183"/>
        <v>2</v>
      </c>
      <c r="AF1322" t="str">
        <f t="shared" si="184"/>
        <v/>
      </c>
      <c r="AG1322" t="str">
        <f t="shared" si="185"/>
        <v/>
      </c>
      <c r="AH1322">
        <f t="shared" si="186"/>
        <v>4</v>
      </c>
      <c r="AI1322" t="str">
        <f t="shared" si="187"/>
        <v/>
      </c>
      <c r="AJ1322" t="str">
        <f t="shared" si="188"/>
        <v/>
      </c>
    </row>
    <row r="1323" spans="1:36">
      <c r="A1323" s="5">
        <v>1502</v>
      </c>
      <c r="B1323" s="5" t="s">
        <v>1308</v>
      </c>
      <c r="C1323" s="10" t="s">
        <v>1215</v>
      </c>
      <c r="D1323" s="5" t="s">
        <v>1287</v>
      </c>
      <c r="E1323" s="5" t="s">
        <v>1146</v>
      </c>
      <c r="F1323" s="5" t="str">
        <f t="shared" si="180"/>
        <v>HR-Quality Assurance</v>
      </c>
      <c r="G1323" s="5" t="s">
        <v>47</v>
      </c>
      <c r="H1323" s="9">
        <v>44759.346215277779</v>
      </c>
      <c r="I1323" s="9">
        <v>44760.346215277779</v>
      </c>
      <c r="J1323" s="9" t="e">
        <f>I1323+#REF!</f>
        <v>#REF!</v>
      </c>
      <c r="K1323" s="9" t="e">
        <f>J1323+#REF!</f>
        <v>#REF!</v>
      </c>
      <c r="L1323" s="10" t="s">
        <v>41</v>
      </c>
      <c r="M1323" s="11">
        <v>44767.346215277779</v>
      </c>
      <c r="N1323" s="5" t="s">
        <v>42</v>
      </c>
      <c r="O1323" s="5" t="s">
        <v>43</v>
      </c>
      <c r="P1323" s="9"/>
      <c r="Q1323" s="5"/>
      <c r="R1323" s="5"/>
      <c r="S1323" s="5"/>
      <c r="T1323" s="9"/>
      <c r="U1323" s="5"/>
      <c r="V1323" s="5">
        <v>0</v>
      </c>
      <c r="W1323" s="5"/>
      <c r="X1323" s="5"/>
      <c r="Y1323" s="5"/>
      <c r="Z1323" s="5"/>
      <c r="AA1323" s="5" t="s">
        <v>62</v>
      </c>
      <c r="AC1323">
        <f t="shared" si="181"/>
        <v>7</v>
      </c>
      <c r="AD1323" t="str">
        <f t="shared" si="182"/>
        <v/>
      </c>
      <c r="AE1323" t="str">
        <f t="shared" si="183"/>
        <v/>
      </c>
      <c r="AF1323" t="str">
        <f t="shared" si="184"/>
        <v/>
      </c>
      <c r="AG1323" t="str">
        <f t="shared" si="185"/>
        <v/>
      </c>
      <c r="AH1323">
        <f t="shared" si="186"/>
        <v>1</v>
      </c>
      <c r="AI1323" t="str">
        <f t="shared" si="187"/>
        <v/>
      </c>
      <c r="AJ1323" t="str">
        <f t="shared" si="188"/>
        <v/>
      </c>
    </row>
    <row r="1324" spans="1:36">
      <c r="A1324" s="5">
        <v>1503</v>
      </c>
      <c r="B1324" s="5" t="s">
        <v>2127</v>
      </c>
      <c r="C1324" s="10" t="s">
        <v>2089</v>
      </c>
      <c r="D1324" s="5" t="s">
        <v>2114</v>
      </c>
      <c r="E1324" s="5" t="s">
        <v>388</v>
      </c>
      <c r="F1324" s="5" t="str">
        <f t="shared" si="180"/>
        <v>Communication and Advocacy-Extension Officer</v>
      </c>
      <c r="G1324" s="5" t="s">
        <v>147</v>
      </c>
      <c r="H1324" s="9">
        <v>44757.346215277779</v>
      </c>
      <c r="I1324" s="9">
        <v>44761.346215277779</v>
      </c>
      <c r="J1324" s="9" t="e">
        <f>I1324+#REF!</f>
        <v>#REF!</v>
      </c>
      <c r="K1324" s="9" t="e">
        <f>J1324+#REF!</f>
        <v>#REF!</v>
      </c>
      <c r="L1324" s="10" t="s">
        <v>52</v>
      </c>
      <c r="M1324" s="11"/>
      <c r="N1324" s="5"/>
      <c r="O1324" s="5"/>
      <c r="P1324" s="9"/>
      <c r="Q1324" s="5"/>
      <c r="R1324" s="5"/>
      <c r="S1324" s="5"/>
      <c r="T1324" s="9"/>
      <c r="U1324" s="5"/>
      <c r="V1324" s="5">
        <v>0</v>
      </c>
      <c r="W1324" s="5"/>
      <c r="X1324" s="5"/>
      <c r="Y1324" s="5"/>
      <c r="Z1324" s="5"/>
      <c r="AA1324" s="5"/>
      <c r="AC1324" t="str">
        <f t="shared" si="181"/>
        <v/>
      </c>
      <c r="AD1324" t="str">
        <f t="shared" si="182"/>
        <v/>
      </c>
      <c r="AE1324" t="str">
        <f t="shared" si="183"/>
        <v/>
      </c>
      <c r="AF1324" t="str">
        <f t="shared" si="184"/>
        <v/>
      </c>
      <c r="AG1324" t="str">
        <f t="shared" si="185"/>
        <v/>
      </c>
      <c r="AH1324">
        <f t="shared" si="186"/>
        <v>4</v>
      </c>
      <c r="AI1324" t="str">
        <f t="shared" si="187"/>
        <v/>
      </c>
      <c r="AJ1324" t="str">
        <f t="shared" si="188"/>
        <v/>
      </c>
    </row>
    <row r="1325" spans="1:36">
      <c r="A1325" s="5">
        <v>1504</v>
      </c>
      <c r="B1325" s="5" t="s">
        <v>2179</v>
      </c>
      <c r="C1325" s="10" t="s">
        <v>2089</v>
      </c>
      <c r="D1325" s="5" t="s">
        <v>2167</v>
      </c>
      <c r="E1325" s="5" t="s">
        <v>269</v>
      </c>
      <c r="F1325" s="5" t="str">
        <f t="shared" si="180"/>
        <v>Communication and Advocacy-Manager</v>
      </c>
      <c r="G1325" s="5" t="s">
        <v>270</v>
      </c>
      <c r="H1325" s="9">
        <v>44752.346215277779</v>
      </c>
      <c r="I1325" s="9">
        <v>44756.346215277779</v>
      </c>
      <c r="J1325" s="9" t="e">
        <f>I1325+#REF!</f>
        <v>#REF!</v>
      </c>
      <c r="K1325" s="9" t="e">
        <f>J1325+#REF!</f>
        <v>#REF!</v>
      </c>
      <c r="L1325" s="10" t="s">
        <v>41</v>
      </c>
      <c r="M1325" s="11">
        <v>44766.346215277779</v>
      </c>
      <c r="N1325" s="5" t="s">
        <v>64</v>
      </c>
      <c r="O1325" s="5"/>
      <c r="P1325" s="9">
        <v>44773.346215277779</v>
      </c>
      <c r="Q1325" s="5" t="s">
        <v>64</v>
      </c>
      <c r="R1325" s="9">
        <v>44768.346215277779</v>
      </c>
      <c r="S1325" s="9">
        <v>44770.346215277779</v>
      </c>
      <c r="T1325" s="9">
        <v>44770.346215277779</v>
      </c>
      <c r="U1325" s="9">
        <v>44772.346215277779</v>
      </c>
      <c r="V1325" s="12">
        <v>1</v>
      </c>
      <c r="W1325" s="9">
        <v>44776.346215277779</v>
      </c>
      <c r="X1325" s="9">
        <v>44778.346215277779</v>
      </c>
      <c r="Y1325" s="9">
        <v>44780.346215277779</v>
      </c>
      <c r="Z1325" s="5"/>
      <c r="AA1325" s="5"/>
      <c r="AB1325" s="13">
        <v>44797.346215277779</v>
      </c>
      <c r="AC1325">
        <f t="shared" si="181"/>
        <v>10</v>
      </c>
      <c r="AD1325">
        <f t="shared" si="182"/>
        <v>14</v>
      </c>
      <c r="AE1325">
        <f t="shared" si="183"/>
        <v>4</v>
      </c>
      <c r="AF1325">
        <f t="shared" si="184"/>
        <v>6</v>
      </c>
      <c r="AG1325">
        <f t="shared" si="185"/>
        <v>4</v>
      </c>
      <c r="AH1325">
        <f t="shared" si="186"/>
        <v>4</v>
      </c>
      <c r="AI1325" t="str">
        <f t="shared" si="187"/>
        <v/>
      </c>
      <c r="AJ1325" t="str">
        <f t="shared" si="188"/>
        <v/>
      </c>
    </row>
    <row r="1326" spans="1:36">
      <c r="A1326" s="5">
        <v>1505</v>
      </c>
      <c r="B1326" s="5" t="s">
        <v>1267</v>
      </c>
      <c r="C1326" s="10" t="s">
        <v>1215</v>
      </c>
      <c r="D1326" s="5" t="s">
        <v>1249</v>
      </c>
      <c r="E1326" s="5" t="s">
        <v>1250</v>
      </c>
      <c r="F1326" s="5" t="str">
        <f t="shared" si="180"/>
        <v>HR-Screening Associate</v>
      </c>
      <c r="G1326" s="5" t="s">
        <v>40</v>
      </c>
      <c r="H1326" s="9">
        <v>44756.346215277779</v>
      </c>
      <c r="I1326" s="9">
        <v>44759.346215277779</v>
      </c>
      <c r="J1326" s="9" t="e">
        <f>I1326+#REF!</f>
        <v>#REF!</v>
      </c>
      <c r="K1326" s="9" t="e">
        <f>J1326+#REF!</f>
        <v>#REF!</v>
      </c>
      <c r="L1326" s="10" t="s">
        <v>41</v>
      </c>
      <c r="M1326" s="11">
        <v>44774.346215277779</v>
      </c>
      <c r="N1326" s="5" t="s">
        <v>42</v>
      </c>
      <c r="O1326" s="5" t="s">
        <v>73</v>
      </c>
      <c r="P1326" s="9"/>
      <c r="Q1326" s="5"/>
      <c r="R1326" s="5"/>
      <c r="S1326" s="5"/>
      <c r="T1326" s="9">
        <v>44776.346215277779</v>
      </c>
      <c r="U1326" s="5"/>
      <c r="V1326" s="5">
        <v>0</v>
      </c>
      <c r="W1326" s="5"/>
      <c r="X1326" s="5"/>
      <c r="Y1326" s="5"/>
      <c r="Z1326" s="5"/>
      <c r="AA1326" s="5" t="s">
        <v>44</v>
      </c>
      <c r="AC1326">
        <f t="shared" si="181"/>
        <v>15</v>
      </c>
      <c r="AD1326" t="str">
        <f t="shared" si="182"/>
        <v/>
      </c>
      <c r="AE1326">
        <f t="shared" si="183"/>
        <v>2</v>
      </c>
      <c r="AF1326" t="str">
        <f t="shared" si="184"/>
        <v/>
      </c>
      <c r="AG1326" t="str">
        <f t="shared" si="185"/>
        <v/>
      </c>
      <c r="AH1326">
        <f t="shared" si="186"/>
        <v>3</v>
      </c>
      <c r="AI1326" t="str">
        <f t="shared" si="187"/>
        <v/>
      </c>
      <c r="AJ1326" t="str">
        <f t="shared" si="188"/>
        <v/>
      </c>
    </row>
    <row r="1327" spans="1:36">
      <c r="A1327" s="5">
        <v>1507</v>
      </c>
      <c r="B1327" s="5" t="s">
        <v>684</v>
      </c>
      <c r="C1327" s="10" t="s">
        <v>671</v>
      </c>
      <c r="D1327" s="5" t="s">
        <v>672</v>
      </c>
      <c r="E1327" s="5" t="s">
        <v>673</v>
      </c>
      <c r="F1327" s="5" t="str">
        <f t="shared" si="180"/>
        <v>Operations-Controller</v>
      </c>
      <c r="G1327" s="5" t="s">
        <v>40</v>
      </c>
      <c r="H1327" s="9">
        <v>44756.346215277779</v>
      </c>
      <c r="I1327" s="9">
        <v>44760.346215277779</v>
      </c>
      <c r="J1327" s="9" t="e">
        <f>I1327+#REF!</f>
        <v>#REF!</v>
      </c>
      <c r="K1327" s="9" t="e">
        <f>J1327+#REF!</f>
        <v>#REF!</v>
      </c>
      <c r="L1327" s="10" t="s">
        <v>52</v>
      </c>
      <c r="M1327" s="11"/>
      <c r="N1327" s="5"/>
      <c r="O1327" s="5"/>
      <c r="P1327" s="9"/>
      <c r="Q1327" s="5"/>
      <c r="R1327" s="5"/>
      <c r="S1327" s="5"/>
      <c r="T1327" s="9"/>
      <c r="U1327" s="5"/>
      <c r="V1327" s="5">
        <v>0</v>
      </c>
      <c r="W1327" s="5"/>
      <c r="X1327" s="5"/>
      <c r="Y1327" s="5"/>
      <c r="Z1327" s="5"/>
      <c r="AA1327" s="5"/>
      <c r="AC1327" t="str">
        <f t="shared" si="181"/>
        <v/>
      </c>
      <c r="AD1327" t="str">
        <f t="shared" si="182"/>
        <v/>
      </c>
      <c r="AE1327" t="str">
        <f t="shared" si="183"/>
        <v/>
      </c>
      <c r="AF1327" t="str">
        <f t="shared" si="184"/>
        <v/>
      </c>
      <c r="AG1327" t="str">
        <f t="shared" si="185"/>
        <v/>
      </c>
      <c r="AH1327">
        <f t="shared" si="186"/>
        <v>4</v>
      </c>
      <c r="AI1327" t="str">
        <f t="shared" si="187"/>
        <v/>
      </c>
      <c r="AJ1327" t="str">
        <f t="shared" si="188"/>
        <v/>
      </c>
    </row>
    <row r="1328" spans="1:36">
      <c r="A1328" s="5">
        <v>1508</v>
      </c>
      <c r="B1328" s="5" t="s">
        <v>1266</v>
      </c>
      <c r="C1328" s="10" t="s">
        <v>1215</v>
      </c>
      <c r="D1328" s="5" t="s">
        <v>1249</v>
      </c>
      <c r="E1328" s="5" t="s">
        <v>1250</v>
      </c>
      <c r="F1328" s="5" t="str">
        <f t="shared" si="180"/>
        <v>HR-Screening Associate</v>
      </c>
      <c r="G1328" s="5" t="s">
        <v>40</v>
      </c>
      <c r="H1328" s="9">
        <v>44756.346215277779</v>
      </c>
      <c r="I1328" s="9">
        <v>44757.346215277779</v>
      </c>
      <c r="J1328" s="9" t="e">
        <f>I1328+#REF!</f>
        <v>#REF!</v>
      </c>
      <c r="K1328" s="9" t="e">
        <f>J1328+#REF!</f>
        <v>#REF!</v>
      </c>
      <c r="L1328" s="10" t="s">
        <v>41</v>
      </c>
      <c r="M1328" s="11">
        <v>44777.346215277779</v>
      </c>
      <c r="N1328" s="5" t="s">
        <v>42</v>
      </c>
      <c r="O1328" s="5" t="s">
        <v>58</v>
      </c>
      <c r="P1328" s="9"/>
      <c r="Q1328" s="5"/>
      <c r="R1328" s="5"/>
      <c r="S1328" s="5"/>
      <c r="T1328" s="9"/>
      <c r="U1328" s="5"/>
      <c r="V1328" s="5">
        <v>0</v>
      </c>
      <c r="W1328" s="5"/>
      <c r="X1328" s="5"/>
      <c r="Y1328" s="5"/>
      <c r="Z1328" s="5"/>
      <c r="AA1328" s="5" t="s">
        <v>62</v>
      </c>
      <c r="AC1328">
        <f t="shared" si="181"/>
        <v>20</v>
      </c>
      <c r="AD1328" t="str">
        <f t="shared" si="182"/>
        <v/>
      </c>
      <c r="AE1328" t="str">
        <f t="shared" si="183"/>
        <v/>
      </c>
      <c r="AF1328" t="str">
        <f t="shared" si="184"/>
        <v/>
      </c>
      <c r="AG1328" t="str">
        <f t="shared" si="185"/>
        <v/>
      </c>
      <c r="AH1328">
        <f t="shared" si="186"/>
        <v>1</v>
      </c>
      <c r="AI1328" t="str">
        <f t="shared" si="187"/>
        <v/>
      </c>
      <c r="AJ1328" t="str">
        <f t="shared" si="188"/>
        <v/>
      </c>
    </row>
    <row r="1329" spans="1:36">
      <c r="A1329" s="5">
        <v>1510</v>
      </c>
      <c r="B1329" s="5" t="s">
        <v>1168</v>
      </c>
      <c r="C1329" s="10" t="s">
        <v>1122</v>
      </c>
      <c r="D1329" s="5" t="s">
        <v>1145</v>
      </c>
      <c r="E1329" s="5" t="s">
        <v>39</v>
      </c>
      <c r="F1329" s="5" t="str">
        <f t="shared" si="180"/>
        <v>IT-Analyst</v>
      </c>
      <c r="G1329" s="5" t="s">
        <v>147</v>
      </c>
      <c r="H1329" s="9">
        <v>44759.346215277779</v>
      </c>
      <c r="I1329" s="9">
        <v>44760.346215277779</v>
      </c>
      <c r="J1329" s="9" t="e">
        <f>I1329+#REF!</f>
        <v>#REF!</v>
      </c>
      <c r="K1329" s="9" t="e">
        <f>J1329+#REF!</f>
        <v>#REF!</v>
      </c>
      <c r="L1329" s="10" t="s">
        <v>41</v>
      </c>
      <c r="M1329" s="11">
        <v>44778.346215277779</v>
      </c>
      <c r="N1329" s="5" t="s">
        <v>64</v>
      </c>
      <c r="O1329" s="5"/>
      <c r="P1329" s="9">
        <v>44782.346215277779</v>
      </c>
      <c r="Q1329" s="5" t="s">
        <v>64</v>
      </c>
      <c r="R1329" s="9">
        <v>44779.346215277779</v>
      </c>
      <c r="S1329" s="9">
        <v>44783.346215277779</v>
      </c>
      <c r="T1329" s="9">
        <v>44780.346215277779</v>
      </c>
      <c r="U1329" s="9">
        <v>44788.346215277779</v>
      </c>
      <c r="V1329" s="12">
        <v>1</v>
      </c>
      <c r="W1329" s="9">
        <v>44789.346215277779</v>
      </c>
      <c r="X1329" s="9">
        <v>44791.346215277779</v>
      </c>
      <c r="Y1329" s="9">
        <v>44793.346215277779</v>
      </c>
      <c r="Z1329" s="5"/>
      <c r="AA1329" s="5"/>
      <c r="AB1329" s="13">
        <v>44804.346215277779</v>
      </c>
      <c r="AC1329">
        <f t="shared" si="181"/>
        <v>18</v>
      </c>
      <c r="AD1329">
        <f t="shared" si="182"/>
        <v>23</v>
      </c>
      <c r="AE1329">
        <f t="shared" si="183"/>
        <v>2</v>
      </c>
      <c r="AF1329">
        <f t="shared" si="184"/>
        <v>3</v>
      </c>
      <c r="AG1329">
        <f t="shared" si="185"/>
        <v>1</v>
      </c>
      <c r="AH1329">
        <f t="shared" si="186"/>
        <v>1</v>
      </c>
      <c r="AI1329" t="str">
        <f t="shared" si="187"/>
        <v/>
      </c>
      <c r="AJ1329" t="str">
        <f t="shared" si="188"/>
        <v/>
      </c>
    </row>
    <row r="1330" spans="1:36">
      <c r="A1330" s="5">
        <v>1511</v>
      </c>
      <c r="B1330" s="5" t="s">
        <v>1877</v>
      </c>
      <c r="C1330" s="5" t="s">
        <v>1540</v>
      </c>
      <c r="D1330" s="5" t="s">
        <v>1820</v>
      </c>
      <c r="E1330" s="5" t="s">
        <v>1862</v>
      </c>
      <c r="F1330" s="5" t="str">
        <f t="shared" si="180"/>
        <v>Finance-Billing Officer</v>
      </c>
      <c r="G1330" s="5" t="s">
        <v>40</v>
      </c>
      <c r="H1330" s="9">
        <v>44918.208773148152</v>
      </c>
      <c r="I1330" s="9">
        <v>44922.208773148152</v>
      </c>
      <c r="J1330" s="9" t="e">
        <f>I1330+#REF!</f>
        <v>#REF!</v>
      </c>
      <c r="K1330" s="9" t="e">
        <f>J1330+#REF!</f>
        <v>#REF!</v>
      </c>
      <c r="L1330" s="10" t="s">
        <v>41</v>
      </c>
      <c r="M1330" s="11">
        <v>44941.208773148152</v>
      </c>
      <c r="N1330" s="5" t="s">
        <v>64</v>
      </c>
      <c r="O1330" s="5"/>
      <c r="P1330" s="9">
        <v>44944.208773148152</v>
      </c>
      <c r="Q1330" s="5" t="s">
        <v>64</v>
      </c>
      <c r="R1330" s="9">
        <v>44942.208773148152</v>
      </c>
      <c r="S1330" s="9">
        <v>44946.208773148152</v>
      </c>
      <c r="T1330" s="9">
        <v>44943.208773148152</v>
      </c>
      <c r="U1330" s="9">
        <v>44951.208773148152</v>
      </c>
      <c r="V1330" s="12">
        <v>1</v>
      </c>
      <c r="W1330" s="9">
        <v>44955.208773148152</v>
      </c>
      <c r="X1330" s="9">
        <v>44957.208773148152</v>
      </c>
      <c r="Y1330" s="9">
        <v>44960.208773148152</v>
      </c>
      <c r="Z1330" s="5"/>
      <c r="AA1330" s="5"/>
      <c r="AB1330" s="13">
        <v>44967.208773148152</v>
      </c>
      <c r="AC1330">
        <f t="shared" si="181"/>
        <v>19</v>
      </c>
      <c r="AD1330">
        <f t="shared" si="182"/>
        <v>24</v>
      </c>
      <c r="AE1330">
        <f t="shared" si="183"/>
        <v>2</v>
      </c>
      <c r="AF1330">
        <f t="shared" si="184"/>
        <v>6</v>
      </c>
      <c r="AG1330">
        <f t="shared" si="185"/>
        <v>4</v>
      </c>
      <c r="AH1330">
        <f t="shared" si="186"/>
        <v>4</v>
      </c>
      <c r="AI1330" t="str">
        <f t="shared" si="187"/>
        <v/>
      </c>
      <c r="AJ1330" t="str">
        <f t="shared" si="188"/>
        <v/>
      </c>
    </row>
    <row r="1331" spans="1:36">
      <c r="A1331" s="5">
        <v>1513</v>
      </c>
      <c r="B1331" s="5" t="s">
        <v>2036</v>
      </c>
      <c r="C1331" s="5" t="s">
        <v>1540</v>
      </c>
      <c r="D1331" s="5" t="s">
        <v>1985</v>
      </c>
      <c r="E1331" s="5" t="s">
        <v>1862</v>
      </c>
      <c r="F1331" s="5" t="str">
        <f t="shared" si="180"/>
        <v>Finance-Billing Officer</v>
      </c>
      <c r="G1331" s="5" t="s">
        <v>47</v>
      </c>
      <c r="H1331" s="9">
        <v>44925.208773148152</v>
      </c>
      <c r="I1331" s="9">
        <v>44926.208773148152</v>
      </c>
      <c r="J1331" s="9" t="e">
        <f>I1331+#REF!</f>
        <v>#REF!</v>
      </c>
      <c r="K1331" s="9" t="e">
        <f>J1331+#REF!</f>
        <v>#REF!</v>
      </c>
      <c r="L1331" s="10" t="s">
        <v>41</v>
      </c>
      <c r="M1331" s="11">
        <v>44937.208773148152</v>
      </c>
      <c r="N1331" s="5" t="s">
        <v>42</v>
      </c>
      <c r="O1331" s="5" t="s">
        <v>113</v>
      </c>
      <c r="P1331" s="9"/>
      <c r="Q1331" s="5"/>
      <c r="R1331" s="5"/>
      <c r="S1331" s="5"/>
      <c r="T1331" s="9"/>
      <c r="U1331" s="5"/>
      <c r="V1331" s="5">
        <v>0</v>
      </c>
      <c r="W1331" s="5"/>
      <c r="X1331" s="5"/>
      <c r="Y1331" s="5"/>
      <c r="Z1331" s="5"/>
      <c r="AA1331" s="5" t="s">
        <v>44</v>
      </c>
      <c r="AC1331">
        <f t="shared" si="181"/>
        <v>11</v>
      </c>
      <c r="AD1331" t="str">
        <f t="shared" si="182"/>
        <v/>
      </c>
      <c r="AE1331" t="str">
        <f t="shared" si="183"/>
        <v/>
      </c>
      <c r="AF1331" t="str">
        <f t="shared" si="184"/>
        <v/>
      </c>
      <c r="AG1331" t="str">
        <f t="shared" si="185"/>
        <v/>
      </c>
      <c r="AH1331">
        <f t="shared" si="186"/>
        <v>1</v>
      </c>
      <c r="AI1331" t="str">
        <f t="shared" si="187"/>
        <v/>
      </c>
      <c r="AJ1331" t="str">
        <f t="shared" si="188"/>
        <v/>
      </c>
    </row>
    <row r="1332" spans="1:36">
      <c r="A1332" s="5">
        <v>1514</v>
      </c>
      <c r="B1332" s="5" t="s">
        <v>1562</v>
      </c>
      <c r="C1332" s="5" t="s">
        <v>1540</v>
      </c>
      <c r="D1332" s="5" t="s">
        <v>1541</v>
      </c>
      <c r="E1332" s="5" t="s">
        <v>102</v>
      </c>
      <c r="F1332" s="5" t="str">
        <f t="shared" si="180"/>
        <v>Finance-Senior Manager</v>
      </c>
      <c r="G1332" s="5" t="s">
        <v>103</v>
      </c>
      <c r="H1332" s="9">
        <v>44920.208773148152</v>
      </c>
      <c r="I1332" s="9">
        <v>44923.208773148152</v>
      </c>
      <c r="J1332" s="9" t="e">
        <f>I1332+#REF!</f>
        <v>#REF!</v>
      </c>
      <c r="K1332" s="9" t="e">
        <f>J1332+#REF!</f>
        <v>#REF!</v>
      </c>
      <c r="L1332" s="10" t="s">
        <v>41</v>
      </c>
      <c r="M1332" s="11">
        <v>44934.208773148152</v>
      </c>
      <c r="N1332" s="5" t="s">
        <v>42</v>
      </c>
      <c r="O1332" s="5" t="s">
        <v>43</v>
      </c>
      <c r="P1332" s="9"/>
      <c r="Q1332" s="5"/>
      <c r="R1332" s="5"/>
      <c r="S1332" s="5"/>
      <c r="T1332" s="9">
        <v>44938.208773148152</v>
      </c>
      <c r="U1332" s="5"/>
      <c r="V1332" s="5">
        <v>0</v>
      </c>
      <c r="W1332" s="5"/>
      <c r="X1332" s="5"/>
      <c r="Y1332" s="5"/>
      <c r="Z1332" s="5"/>
      <c r="AA1332" s="5" t="s">
        <v>62</v>
      </c>
      <c r="AC1332">
        <f t="shared" si="181"/>
        <v>11</v>
      </c>
      <c r="AD1332" t="str">
        <f t="shared" si="182"/>
        <v/>
      </c>
      <c r="AE1332">
        <f t="shared" si="183"/>
        <v>4</v>
      </c>
      <c r="AF1332" t="str">
        <f t="shared" si="184"/>
        <v/>
      </c>
      <c r="AG1332" t="str">
        <f t="shared" si="185"/>
        <v/>
      </c>
      <c r="AH1332">
        <f t="shared" si="186"/>
        <v>3</v>
      </c>
      <c r="AI1332" t="str">
        <f t="shared" si="187"/>
        <v/>
      </c>
      <c r="AJ1332" t="str">
        <f t="shared" si="188"/>
        <v/>
      </c>
    </row>
    <row r="1333" spans="1:36">
      <c r="A1333" s="5">
        <v>1515</v>
      </c>
      <c r="B1333" s="5" t="s">
        <v>2035</v>
      </c>
      <c r="C1333" s="5" t="s">
        <v>1540</v>
      </c>
      <c r="D1333" s="5" t="s">
        <v>1985</v>
      </c>
      <c r="E1333" s="5" t="s">
        <v>1862</v>
      </c>
      <c r="F1333" s="5" t="str">
        <f t="shared" si="180"/>
        <v>Finance-Billing Officer</v>
      </c>
      <c r="G1333" s="5" t="s">
        <v>47</v>
      </c>
      <c r="H1333" s="9">
        <v>44920.208773148152</v>
      </c>
      <c r="I1333" s="9">
        <v>44924.208773148152</v>
      </c>
      <c r="J1333" s="9" t="e">
        <f>I1333+#REF!</f>
        <v>#REF!</v>
      </c>
      <c r="K1333" s="9" t="e">
        <f>J1333+#REF!</f>
        <v>#REF!</v>
      </c>
      <c r="L1333" s="10" t="s">
        <v>41</v>
      </c>
      <c r="M1333" s="11">
        <v>44928.208773148152</v>
      </c>
      <c r="N1333" s="5" t="s">
        <v>48</v>
      </c>
      <c r="O1333" s="5"/>
      <c r="P1333" s="9">
        <v>44931.208773148152</v>
      </c>
      <c r="Q1333" s="5" t="s">
        <v>48</v>
      </c>
      <c r="R1333" s="5"/>
      <c r="S1333" s="5"/>
      <c r="T1333" s="9">
        <v>44929.208773148152</v>
      </c>
      <c r="U1333" s="5"/>
      <c r="V1333" s="5">
        <v>0</v>
      </c>
      <c r="W1333" s="5"/>
      <c r="X1333" s="5"/>
      <c r="Y1333" s="5"/>
      <c r="Z1333" s="5"/>
      <c r="AA1333" s="5"/>
      <c r="AC1333">
        <f t="shared" si="181"/>
        <v>4</v>
      </c>
      <c r="AD1333" t="str">
        <f t="shared" si="182"/>
        <v/>
      </c>
      <c r="AE1333">
        <f t="shared" si="183"/>
        <v>1</v>
      </c>
      <c r="AF1333" t="str">
        <f t="shared" si="184"/>
        <v/>
      </c>
      <c r="AG1333" t="str">
        <f t="shared" si="185"/>
        <v/>
      </c>
      <c r="AH1333">
        <f t="shared" si="186"/>
        <v>4</v>
      </c>
      <c r="AI1333" t="str">
        <f t="shared" si="187"/>
        <v/>
      </c>
      <c r="AJ1333" t="str">
        <f t="shared" si="188"/>
        <v/>
      </c>
    </row>
    <row r="1334" spans="1:36">
      <c r="A1334" s="5">
        <v>1516</v>
      </c>
      <c r="B1334" s="5" t="s">
        <v>1930</v>
      </c>
      <c r="C1334" s="5" t="s">
        <v>1540</v>
      </c>
      <c r="D1334" s="5" t="s">
        <v>1925</v>
      </c>
      <c r="E1334" s="5" t="s">
        <v>1039</v>
      </c>
      <c r="F1334" s="5" t="str">
        <f t="shared" si="180"/>
        <v>Finance-Associate Director</v>
      </c>
      <c r="G1334" s="5" t="s">
        <v>56</v>
      </c>
      <c r="H1334" s="9">
        <v>44925.208773148152</v>
      </c>
      <c r="I1334" s="9">
        <v>44926.208773148152</v>
      </c>
      <c r="J1334" s="9" t="e">
        <f>I1334+#REF!</f>
        <v>#REF!</v>
      </c>
      <c r="K1334" s="9" t="e">
        <f>J1334+#REF!</f>
        <v>#REF!</v>
      </c>
      <c r="L1334" s="10" t="s">
        <v>52</v>
      </c>
      <c r="M1334" s="11"/>
      <c r="N1334" s="5"/>
      <c r="O1334" s="5"/>
      <c r="P1334" s="9"/>
      <c r="Q1334" s="5"/>
      <c r="R1334" s="5"/>
      <c r="S1334" s="5"/>
      <c r="T1334" s="9"/>
      <c r="U1334" s="5"/>
      <c r="V1334" s="5">
        <v>0</v>
      </c>
      <c r="W1334" s="5"/>
      <c r="X1334" s="5"/>
      <c r="Y1334" s="5"/>
      <c r="Z1334" s="5"/>
      <c r="AA1334" s="5"/>
      <c r="AC1334" t="str">
        <f t="shared" si="181"/>
        <v/>
      </c>
      <c r="AD1334" t="str">
        <f t="shared" si="182"/>
        <v/>
      </c>
      <c r="AE1334" t="str">
        <f t="shared" si="183"/>
        <v/>
      </c>
      <c r="AF1334" t="str">
        <f t="shared" si="184"/>
        <v/>
      </c>
      <c r="AG1334" t="str">
        <f t="shared" si="185"/>
        <v/>
      </c>
      <c r="AH1334">
        <f t="shared" si="186"/>
        <v>1</v>
      </c>
      <c r="AI1334" t="str">
        <f t="shared" si="187"/>
        <v/>
      </c>
      <c r="AJ1334" t="str">
        <f t="shared" si="188"/>
        <v/>
      </c>
    </row>
    <row r="1335" spans="1:36">
      <c r="A1335" s="5">
        <v>1517</v>
      </c>
      <c r="B1335" s="5" t="s">
        <v>1644</v>
      </c>
      <c r="C1335" s="5" t="s">
        <v>1540</v>
      </c>
      <c r="D1335" s="5" t="s">
        <v>1588</v>
      </c>
      <c r="E1335" s="5" t="s">
        <v>1360</v>
      </c>
      <c r="F1335" s="5" t="str">
        <f t="shared" si="180"/>
        <v>Finance-Fund Administrator</v>
      </c>
      <c r="G1335" s="5" t="s">
        <v>147</v>
      </c>
      <c r="H1335" s="9">
        <v>44922.208773148152</v>
      </c>
      <c r="I1335" s="9">
        <v>44925.208773148152</v>
      </c>
      <c r="J1335" s="9" t="e">
        <f>I1335+#REF!</f>
        <v>#REF!</v>
      </c>
      <c r="K1335" s="9" t="e">
        <f>J1335+#REF!</f>
        <v>#REF!</v>
      </c>
      <c r="L1335" s="10" t="s">
        <v>41</v>
      </c>
      <c r="M1335" s="11">
        <v>44932.208773148152</v>
      </c>
      <c r="N1335" s="5" t="s">
        <v>64</v>
      </c>
      <c r="O1335" s="5"/>
      <c r="P1335" s="9">
        <v>44938.208773148152</v>
      </c>
      <c r="Q1335" s="5" t="s">
        <v>64</v>
      </c>
      <c r="R1335" s="9">
        <v>44933.208773148152</v>
      </c>
      <c r="S1335" s="9">
        <v>44936.208773148152</v>
      </c>
      <c r="T1335" s="9">
        <v>44934.208773148152</v>
      </c>
      <c r="U1335" s="9">
        <v>44935.208773148152</v>
      </c>
      <c r="V1335" s="12">
        <v>1</v>
      </c>
      <c r="W1335" s="9">
        <v>44938.208773148152</v>
      </c>
      <c r="X1335" s="9">
        <v>44941.208773148152</v>
      </c>
      <c r="Y1335" s="9">
        <v>44942.208773148152</v>
      </c>
      <c r="Z1335" s="5"/>
      <c r="AA1335" s="5"/>
      <c r="AB1335" s="13">
        <v>44957.208773148152</v>
      </c>
      <c r="AC1335">
        <f t="shared" si="181"/>
        <v>7</v>
      </c>
      <c r="AD1335">
        <f t="shared" si="182"/>
        <v>11</v>
      </c>
      <c r="AE1335">
        <f t="shared" si="183"/>
        <v>2</v>
      </c>
      <c r="AF1335">
        <f t="shared" si="184"/>
        <v>6</v>
      </c>
      <c r="AG1335">
        <f t="shared" si="185"/>
        <v>3</v>
      </c>
      <c r="AH1335">
        <f t="shared" si="186"/>
        <v>3</v>
      </c>
      <c r="AI1335" t="str">
        <f t="shared" si="187"/>
        <v/>
      </c>
      <c r="AJ1335" t="str">
        <f t="shared" si="188"/>
        <v/>
      </c>
    </row>
    <row r="1336" spans="1:36">
      <c r="A1336" s="5">
        <v>1520</v>
      </c>
      <c r="B1336" s="5" t="s">
        <v>1876</v>
      </c>
      <c r="C1336" s="5" t="s">
        <v>1540</v>
      </c>
      <c r="D1336" s="5" t="s">
        <v>1820</v>
      </c>
      <c r="E1336" s="5" t="s">
        <v>1862</v>
      </c>
      <c r="F1336" s="5" t="str">
        <f t="shared" si="180"/>
        <v>Finance-Billing Officer</v>
      </c>
      <c r="G1336" s="5" t="s">
        <v>40</v>
      </c>
      <c r="H1336" s="9">
        <v>44919.208773148152</v>
      </c>
      <c r="I1336" s="9">
        <v>44922.208773148152</v>
      </c>
      <c r="J1336" s="9" t="e">
        <f>I1336+#REF!</f>
        <v>#REF!</v>
      </c>
      <c r="K1336" s="9" t="e">
        <f>J1336+#REF!</f>
        <v>#REF!</v>
      </c>
      <c r="L1336" s="10" t="s">
        <v>41</v>
      </c>
      <c r="M1336" s="11">
        <v>44928.208773148152</v>
      </c>
      <c r="N1336" s="5" t="s">
        <v>42</v>
      </c>
      <c r="O1336" s="5" t="s">
        <v>73</v>
      </c>
      <c r="P1336" s="9"/>
      <c r="Q1336" s="5"/>
      <c r="R1336" s="5"/>
      <c r="S1336" s="5"/>
      <c r="T1336" s="9"/>
      <c r="U1336" s="5"/>
      <c r="V1336" s="5">
        <v>0</v>
      </c>
      <c r="W1336" s="5"/>
      <c r="X1336" s="5"/>
      <c r="Y1336" s="5"/>
      <c r="Z1336" s="5"/>
      <c r="AA1336" s="5" t="s">
        <v>62</v>
      </c>
      <c r="AC1336">
        <f t="shared" si="181"/>
        <v>6</v>
      </c>
      <c r="AD1336" t="str">
        <f t="shared" si="182"/>
        <v/>
      </c>
      <c r="AE1336" t="str">
        <f t="shared" si="183"/>
        <v/>
      </c>
      <c r="AF1336" t="str">
        <f t="shared" si="184"/>
        <v/>
      </c>
      <c r="AG1336" t="str">
        <f t="shared" si="185"/>
        <v/>
      </c>
      <c r="AH1336">
        <f t="shared" si="186"/>
        <v>3</v>
      </c>
      <c r="AI1336" t="str">
        <f t="shared" si="187"/>
        <v/>
      </c>
      <c r="AJ1336" t="str">
        <f t="shared" si="188"/>
        <v/>
      </c>
    </row>
    <row r="1337" spans="1:36">
      <c r="A1337" s="5">
        <v>1521</v>
      </c>
      <c r="B1337" s="5" t="s">
        <v>1643</v>
      </c>
      <c r="C1337" s="5" t="s">
        <v>1540</v>
      </c>
      <c r="D1337" s="5" t="s">
        <v>1588</v>
      </c>
      <c r="E1337" s="5" t="s">
        <v>1360</v>
      </c>
      <c r="F1337" s="5" t="str">
        <f t="shared" si="180"/>
        <v>Finance-Fund Administrator</v>
      </c>
      <c r="G1337" s="5" t="s">
        <v>147</v>
      </c>
      <c r="H1337" s="9">
        <v>44925.025208333333</v>
      </c>
      <c r="I1337" s="9">
        <v>44927.025208333333</v>
      </c>
      <c r="J1337" s="9" t="e">
        <f>I1337+#REF!</f>
        <v>#REF!</v>
      </c>
      <c r="K1337" s="9" t="e">
        <f>J1337+#REF!</f>
        <v>#REF!</v>
      </c>
      <c r="L1337" s="10" t="s">
        <v>41</v>
      </c>
      <c r="M1337" s="11">
        <v>44936.025208333333</v>
      </c>
      <c r="N1337" s="5" t="s">
        <v>42</v>
      </c>
      <c r="O1337" s="5" t="s">
        <v>98</v>
      </c>
      <c r="P1337" s="9"/>
      <c r="Q1337" s="5"/>
      <c r="R1337" s="5"/>
      <c r="S1337" s="5"/>
      <c r="T1337" s="9"/>
      <c r="U1337" s="5"/>
      <c r="V1337" s="5">
        <v>0</v>
      </c>
      <c r="W1337" s="5"/>
      <c r="X1337" s="5"/>
      <c r="Y1337" s="5"/>
      <c r="Z1337" s="5"/>
      <c r="AA1337" s="5" t="s">
        <v>44</v>
      </c>
      <c r="AC1337">
        <f t="shared" si="181"/>
        <v>9</v>
      </c>
      <c r="AD1337" t="str">
        <f t="shared" si="182"/>
        <v/>
      </c>
      <c r="AE1337" t="str">
        <f t="shared" si="183"/>
        <v/>
      </c>
      <c r="AF1337" t="str">
        <f t="shared" si="184"/>
        <v/>
      </c>
      <c r="AG1337" t="str">
        <f t="shared" si="185"/>
        <v/>
      </c>
      <c r="AH1337">
        <f t="shared" si="186"/>
        <v>2</v>
      </c>
      <c r="AI1337" t="str">
        <f t="shared" si="187"/>
        <v/>
      </c>
      <c r="AJ1337" t="str">
        <f t="shared" si="188"/>
        <v/>
      </c>
    </row>
    <row r="1338" spans="1:36">
      <c r="A1338" s="5">
        <v>1523</v>
      </c>
      <c r="B1338" s="5" t="s">
        <v>2034</v>
      </c>
      <c r="C1338" s="5" t="s">
        <v>1540</v>
      </c>
      <c r="D1338" s="5" t="s">
        <v>1985</v>
      </c>
      <c r="E1338" s="5" t="s">
        <v>1862</v>
      </c>
      <c r="F1338" s="5" t="str">
        <f t="shared" si="180"/>
        <v>Finance-Billing Officer</v>
      </c>
      <c r="G1338" s="5" t="s">
        <v>47</v>
      </c>
      <c r="H1338" s="9">
        <v>44927.025208333333</v>
      </c>
      <c r="I1338" s="9">
        <v>44930.025208333333</v>
      </c>
      <c r="J1338" s="9" t="e">
        <f>I1338+#REF!</f>
        <v>#REF!</v>
      </c>
      <c r="K1338" s="9" t="e">
        <f>J1338+#REF!</f>
        <v>#REF!</v>
      </c>
      <c r="L1338" s="10" t="s">
        <v>41</v>
      </c>
      <c r="M1338" s="11">
        <v>44945.025208333333</v>
      </c>
      <c r="N1338" s="5" t="s">
        <v>48</v>
      </c>
      <c r="O1338" s="5"/>
      <c r="P1338" s="9">
        <v>44949.025208333333</v>
      </c>
      <c r="Q1338" s="5" t="s">
        <v>48</v>
      </c>
      <c r="R1338" s="5"/>
      <c r="S1338" s="5"/>
      <c r="T1338" s="9">
        <v>44948.025208333333</v>
      </c>
      <c r="U1338" s="5"/>
      <c r="V1338" s="5">
        <v>0</v>
      </c>
      <c r="W1338" s="5"/>
      <c r="X1338" s="5"/>
      <c r="Y1338" s="5"/>
      <c r="Z1338" s="5"/>
      <c r="AA1338" s="5"/>
      <c r="AC1338">
        <f t="shared" si="181"/>
        <v>15</v>
      </c>
      <c r="AD1338" t="str">
        <f t="shared" si="182"/>
        <v/>
      </c>
      <c r="AE1338">
        <f t="shared" si="183"/>
        <v>3</v>
      </c>
      <c r="AF1338" t="str">
        <f t="shared" si="184"/>
        <v/>
      </c>
      <c r="AG1338" t="str">
        <f t="shared" si="185"/>
        <v/>
      </c>
      <c r="AH1338">
        <f t="shared" si="186"/>
        <v>3</v>
      </c>
      <c r="AI1338" t="str">
        <f t="shared" si="187"/>
        <v/>
      </c>
      <c r="AJ1338" t="str">
        <f t="shared" si="188"/>
        <v/>
      </c>
    </row>
    <row r="1339" spans="1:36">
      <c r="A1339" s="5">
        <v>1524</v>
      </c>
      <c r="B1339" s="5" t="s">
        <v>1561</v>
      </c>
      <c r="C1339" s="5" t="s">
        <v>1540</v>
      </c>
      <c r="D1339" s="5" t="s">
        <v>1541</v>
      </c>
      <c r="E1339" s="5" t="s">
        <v>102</v>
      </c>
      <c r="F1339" s="5" t="str">
        <f t="shared" si="180"/>
        <v>Finance-Senior Manager</v>
      </c>
      <c r="G1339" s="5" t="s">
        <v>103</v>
      </c>
      <c r="H1339" s="9">
        <v>44928.025208333333</v>
      </c>
      <c r="I1339" s="9">
        <v>44931.025208333333</v>
      </c>
      <c r="J1339" s="9" t="e">
        <f>I1339+#REF!</f>
        <v>#REF!</v>
      </c>
      <c r="K1339" s="9" t="e">
        <f>J1339+#REF!</f>
        <v>#REF!</v>
      </c>
      <c r="L1339" s="10" t="s">
        <v>41</v>
      </c>
      <c r="M1339" s="11">
        <v>44938.025208333333</v>
      </c>
      <c r="N1339" s="5" t="s">
        <v>42</v>
      </c>
      <c r="O1339" s="5" t="s">
        <v>58</v>
      </c>
      <c r="P1339" s="9"/>
      <c r="Q1339" s="5"/>
      <c r="R1339" s="5"/>
      <c r="S1339" s="5"/>
      <c r="T1339" s="9"/>
      <c r="U1339" s="5"/>
      <c r="V1339" s="5">
        <v>0</v>
      </c>
      <c r="W1339" s="5"/>
      <c r="X1339" s="5"/>
      <c r="Y1339" s="5"/>
      <c r="Z1339" s="5"/>
      <c r="AA1339" s="5" t="s">
        <v>44</v>
      </c>
      <c r="AC1339">
        <f t="shared" si="181"/>
        <v>7</v>
      </c>
      <c r="AD1339" t="str">
        <f t="shared" si="182"/>
        <v/>
      </c>
      <c r="AE1339" t="str">
        <f t="shared" si="183"/>
        <v/>
      </c>
      <c r="AF1339" t="str">
        <f t="shared" si="184"/>
        <v/>
      </c>
      <c r="AG1339" t="str">
        <f t="shared" si="185"/>
        <v/>
      </c>
      <c r="AH1339">
        <f t="shared" si="186"/>
        <v>3</v>
      </c>
      <c r="AI1339" t="str">
        <f t="shared" si="187"/>
        <v/>
      </c>
      <c r="AJ1339" t="str">
        <f t="shared" si="188"/>
        <v/>
      </c>
    </row>
    <row r="1340" spans="1:36">
      <c r="A1340" s="5">
        <v>1525</v>
      </c>
      <c r="B1340" s="5" t="s">
        <v>2033</v>
      </c>
      <c r="C1340" s="5" t="s">
        <v>1540</v>
      </c>
      <c r="D1340" s="5" t="s">
        <v>1985</v>
      </c>
      <c r="E1340" s="5" t="s">
        <v>1862</v>
      </c>
      <c r="F1340" s="5" t="str">
        <f t="shared" si="180"/>
        <v>Finance-Billing Officer</v>
      </c>
      <c r="G1340" s="5" t="s">
        <v>47</v>
      </c>
      <c r="H1340" s="9">
        <v>44928.025208333333</v>
      </c>
      <c r="I1340" s="9">
        <v>44932.025208333333</v>
      </c>
      <c r="J1340" s="9" t="e">
        <f>I1340+#REF!</f>
        <v>#REF!</v>
      </c>
      <c r="K1340" s="9" t="e">
        <f>J1340+#REF!</f>
        <v>#REF!</v>
      </c>
      <c r="L1340" s="10" t="s">
        <v>41</v>
      </c>
      <c r="M1340" s="11">
        <v>44945.025208333333</v>
      </c>
      <c r="N1340" s="5" t="s">
        <v>42</v>
      </c>
      <c r="O1340" s="5" t="s">
        <v>73</v>
      </c>
      <c r="P1340" s="9"/>
      <c r="Q1340" s="5"/>
      <c r="R1340" s="5"/>
      <c r="S1340" s="5"/>
      <c r="T1340" s="9">
        <v>44946.025208333333</v>
      </c>
      <c r="U1340" s="5"/>
      <c r="V1340" s="5">
        <v>0</v>
      </c>
      <c r="W1340" s="5"/>
      <c r="X1340" s="5"/>
      <c r="Y1340" s="5"/>
      <c r="Z1340" s="5"/>
      <c r="AA1340" s="5" t="s">
        <v>44</v>
      </c>
      <c r="AC1340">
        <f t="shared" si="181"/>
        <v>13</v>
      </c>
      <c r="AD1340" t="str">
        <f t="shared" si="182"/>
        <v/>
      </c>
      <c r="AE1340">
        <f t="shared" si="183"/>
        <v>1</v>
      </c>
      <c r="AF1340" t="str">
        <f t="shared" si="184"/>
        <v/>
      </c>
      <c r="AG1340" t="str">
        <f t="shared" si="185"/>
        <v/>
      </c>
      <c r="AH1340">
        <f t="shared" si="186"/>
        <v>4</v>
      </c>
      <c r="AI1340" t="str">
        <f t="shared" si="187"/>
        <v/>
      </c>
      <c r="AJ1340" t="str">
        <f t="shared" si="188"/>
        <v/>
      </c>
    </row>
    <row r="1341" spans="1:36">
      <c r="A1341" s="5">
        <v>1526</v>
      </c>
      <c r="B1341" s="5" t="s">
        <v>1642</v>
      </c>
      <c r="C1341" s="5" t="s">
        <v>1540</v>
      </c>
      <c r="D1341" s="5" t="s">
        <v>1588</v>
      </c>
      <c r="E1341" s="5" t="s">
        <v>1360</v>
      </c>
      <c r="F1341" s="5" t="str">
        <f t="shared" si="180"/>
        <v>Finance-Fund Administrator</v>
      </c>
      <c r="G1341" s="5" t="s">
        <v>147</v>
      </c>
      <c r="H1341" s="9">
        <v>44928.025208333333</v>
      </c>
      <c r="I1341" s="9">
        <v>44931.025208333333</v>
      </c>
      <c r="J1341" s="9" t="e">
        <f>I1341+#REF!</f>
        <v>#REF!</v>
      </c>
      <c r="K1341" s="9" t="e">
        <f>J1341+#REF!</f>
        <v>#REF!</v>
      </c>
      <c r="L1341" s="10" t="s">
        <v>41</v>
      </c>
      <c r="M1341" s="11">
        <v>44940.025208333333</v>
      </c>
      <c r="N1341" s="5" t="s">
        <v>48</v>
      </c>
      <c r="O1341" s="5"/>
      <c r="P1341" s="9">
        <v>44945.025208333333</v>
      </c>
      <c r="Q1341" s="5" t="s">
        <v>48</v>
      </c>
      <c r="R1341" s="5"/>
      <c r="S1341" s="5"/>
      <c r="T1341" s="9">
        <v>44941.025208333333</v>
      </c>
      <c r="U1341" s="5"/>
      <c r="V1341" s="5">
        <v>0</v>
      </c>
      <c r="W1341" s="5"/>
      <c r="X1341" s="5"/>
      <c r="Y1341" s="5"/>
      <c r="Z1341" s="5"/>
      <c r="AA1341" s="5"/>
      <c r="AC1341">
        <f t="shared" si="181"/>
        <v>9</v>
      </c>
      <c r="AD1341" t="str">
        <f t="shared" si="182"/>
        <v/>
      </c>
      <c r="AE1341">
        <f t="shared" si="183"/>
        <v>1</v>
      </c>
      <c r="AF1341" t="str">
        <f t="shared" si="184"/>
        <v/>
      </c>
      <c r="AG1341" t="str">
        <f t="shared" si="185"/>
        <v/>
      </c>
      <c r="AH1341">
        <f t="shared" si="186"/>
        <v>3</v>
      </c>
      <c r="AI1341" t="str">
        <f t="shared" si="187"/>
        <v/>
      </c>
      <c r="AJ1341" t="str">
        <f t="shared" si="188"/>
        <v/>
      </c>
    </row>
    <row r="1342" spans="1:36">
      <c r="A1342" s="5">
        <v>1528</v>
      </c>
      <c r="B1342" s="5" t="s">
        <v>2032</v>
      </c>
      <c r="C1342" s="5" t="s">
        <v>1540</v>
      </c>
      <c r="D1342" s="5" t="s">
        <v>1985</v>
      </c>
      <c r="E1342" s="5" t="s">
        <v>1862</v>
      </c>
      <c r="F1342" s="5" t="str">
        <f t="shared" si="180"/>
        <v>Finance-Billing Officer</v>
      </c>
      <c r="G1342" s="5" t="s">
        <v>47</v>
      </c>
      <c r="H1342" s="9">
        <v>44928.025208333333</v>
      </c>
      <c r="I1342" s="9">
        <v>44929.025208333333</v>
      </c>
      <c r="J1342" s="9" t="e">
        <f>I1342+#REF!</f>
        <v>#REF!</v>
      </c>
      <c r="K1342" s="9" t="e">
        <f>J1342+#REF!</f>
        <v>#REF!</v>
      </c>
      <c r="L1342" s="10" t="s">
        <v>41</v>
      </c>
      <c r="M1342" s="11">
        <v>44943.025208333333</v>
      </c>
      <c r="N1342" s="5" t="s">
        <v>64</v>
      </c>
      <c r="O1342" s="5"/>
      <c r="P1342" s="9">
        <v>44948.025208333333</v>
      </c>
      <c r="Q1342" s="5" t="s">
        <v>64</v>
      </c>
      <c r="R1342" s="9">
        <v>44944.025208333333</v>
      </c>
      <c r="S1342" s="9">
        <v>44946.025208333333</v>
      </c>
      <c r="T1342" s="9">
        <v>44945.025208333333</v>
      </c>
      <c r="U1342" s="9">
        <v>44952.025208333333</v>
      </c>
      <c r="V1342" s="12">
        <v>1</v>
      </c>
      <c r="W1342" s="9">
        <v>44956.025208333333</v>
      </c>
      <c r="X1342" s="9">
        <v>44959.025208333333</v>
      </c>
      <c r="Y1342" s="9">
        <v>44960.025208333333</v>
      </c>
      <c r="Z1342" s="5"/>
      <c r="AA1342" s="5"/>
      <c r="AB1342" s="13">
        <v>44974.025208333333</v>
      </c>
      <c r="AC1342">
        <f t="shared" si="181"/>
        <v>14</v>
      </c>
      <c r="AD1342">
        <f t="shared" si="182"/>
        <v>17</v>
      </c>
      <c r="AE1342">
        <f t="shared" si="183"/>
        <v>2</v>
      </c>
      <c r="AF1342">
        <f t="shared" si="184"/>
        <v>7</v>
      </c>
      <c r="AG1342">
        <f t="shared" si="185"/>
        <v>4</v>
      </c>
      <c r="AH1342">
        <f t="shared" si="186"/>
        <v>1</v>
      </c>
      <c r="AI1342" t="str">
        <f t="shared" si="187"/>
        <v/>
      </c>
      <c r="AJ1342" t="str">
        <f t="shared" si="188"/>
        <v/>
      </c>
    </row>
    <row r="1343" spans="1:36">
      <c r="A1343" s="5">
        <v>1530</v>
      </c>
      <c r="B1343" s="5" t="s">
        <v>1758</v>
      </c>
      <c r="C1343" s="5" t="s">
        <v>1540</v>
      </c>
      <c r="D1343" s="5" t="s">
        <v>1706</v>
      </c>
      <c r="E1343" s="5" t="s">
        <v>269</v>
      </c>
      <c r="F1343" s="5" t="str">
        <f t="shared" si="180"/>
        <v>Finance-Manager</v>
      </c>
      <c r="G1343" s="5" t="s">
        <v>270</v>
      </c>
      <c r="H1343" s="9">
        <v>44928.025208333333</v>
      </c>
      <c r="I1343" s="9">
        <v>44931.025208333333</v>
      </c>
      <c r="J1343" s="9" t="e">
        <f>I1343+#REF!</f>
        <v>#REF!</v>
      </c>
      <c r="K1343" s="9" t="e">
        <f>J1343+#REF!</f>
        <v>#REF!</v>
      </c>
      <c r="L1343" s="10" t="s">
        <v>41</v>
      </c>
      <c r="M1343" s="11">
        <v>44937.025208333333</v>
      </c>
      <c r="N1343" s="5" t="s">
        <v>48</v>
      </c>
      <c r="O1343" s="5"/>
      <c r="P1343" s="9">
        <v>44944.025208333333</v>
      </c>
      <c r="Q1343" s="5" t="s">
        <v>48</v>
      </c>
      <c r="R1343" s="5"/>
      <c r="S1343" s="5"/>
      <c r="T1343" s="9">
        <v>44940.025208333333</v>
      </c>
      <c r="U1343" s="5"/>
      <c r="V1343" s="5">
        <v>0</v>
      </c>
      <c r="W1343" s="5"/>
      <c r="X1343" s="5"/>
      <c r="Y1343" s="5"/>
      <c r="Z1343" s="5"/>
      <c r="AA1343" s="5"/>
      <c r="AC1343">
        <f t="shared" si="181"/>
        <v>6</v>
      </c>
      <c r="AD1343" t="str">
        <f t="shared" si="182"/>
        <v/>
      </c>
      <c r="AE1343">
        <f t="shared" si="183"/>
        <v>3</v>
      </c>
      <c r="AF1343" t="str">
        <f t="shared" si="184"/>
        <v/>
      </c>
      <c r="AG1343" t="str">
        <f t="shared" si="185"/>
        <v/>
      </c>
      <c r="AH1343">
        <f t="shared" si="186"/>
        <v>3</v>
      </c>
      <c r="AI1343" t="str">
        <f t="shared" si="187"/>
        <v/>
      </c>
      <c r="AJ1343" t="str">
        <f t="shared" si="188"/>
        <v/>
      </c>
    </row>
    <row r="1344" spans="1:36">
      <c r="A1344" s="5">
        <v>1531</v>
      </c>
      <c r="B1344" s="5" t="s">
        <v>1167</v>
      </c>
      <c r="C1344" s="10" t="s">
        <v>1122</v>
      </c>
      <c r="D1344" s="5" t="s">
        <v>1145</v>
      </c>
      <c r="E1344" s="5" t="s">
        <v>39</v>
      </c>
      <c r="F1344" s="5" t="str">
        <f t="shared" si="180"/>
        <v>IT-Analyst</v>
      </c>
      <c r="G1344" s="5" t="s">
        <v>147</v>
      </c>
      <c r="H1344" s="9">
        <v>45057.546423611115</v>
      </c>
      <c r="I1344" s="9">
        <v>45058.546423611115</v>
      </c>
      <c r="J1344" s="9" t="e">
        <f>I1344+#REF!</f>
        <v>#REF!</v>
      </c>
      <c r="K1344" s="9" t="e">
        <f>J1344+#REF!</f>
        <v>#REF!</v>
      </c>
      <c r="L1344" s="10" t="s">
        <v>41</v>
      </c>
      <c r="M1344" s="11">
        <v>45072.546423611115</v>
      </c>
      <c r="N1344" s="5" t="s">
        <v>42</v>
      </c>
      <c r="O1344" s="5" t="s">
        <v>98</v>
      </c>
      <c r="P1344" s="9"/>
      <c r="Q1344" s="5"/>
      <c r="R1344" s="5"/>
      <c r="S1344" s="5"/>
      <c r="T1344" s="9">
        <v>45075.546423611115</v>
      </c>
      <c r="U1344" s="5"/>
      <c r="V1344" s="5">
        <v>0</v>
      </c>
      <c r="W1344" s="5"/>
      <c r="X1344" s="5"/>
      <c r="Y1344" s="5"/>
      <c r="Z1344" s="5"/>
      <c r="AA1344" s="5" t="s">
        <v>62</v>
      </c>
      <c r="AC1344">
        <f t="shared" si="181"/>
        <v>14</v>
      </c>
      <c r="AD1344" t="str">
        <f t="shared" si="182"/>
        <v/>
      </c>
      <c r="AE1344">
        <f t="shared" si="183"/>
        <v>3</v>
      </c>
      <c r="AF1344" t="str">
        <f t="shared" si="184"/>
        <v/>
      </c>
      <c r="AG1344" t="str">
        <f t="shared" si="185"/>
        <v/>
      </c>
      <c r="AH1344">
        <f t="shared" si="186"/>
        <v>1</v>
      </c>
      <c r="AI1344" t="str">
        <f t="shared" si="187"/>
        <v/>
      </c>
      <c r="AJ1344" t="str">
        <f t="shared" si="188"/>
        <v/>
      </c>
    </row>
    <row r="1345" spans="1:36">
      <c r="A1345" s="5">
        <v>1532</v>
      </c>
      <c r="B1345" s="5" t="s">
        <v>1205</v>
      </c>
      <c r="C1345" s="10" t="s">
        <v>1122</v>
      </c>
      <c r="D1345" s="5" t="s">
        <v>1191</v>
      </c>
      <c r="E1345" s="5" t="s">
        <v>269</v>
      </c>
      <c r="F1345" s="5" t="str">
        <f t="shared" si="180"/>
        <v>IT-Manager</v>
      </c>
      <c r="G1345" s="5" t="s">
        <v>270</v>
      </c>
      <c r="H1345" s="9">
        <v>45055.546423611115</v>
      </c>
      <c r="I1345" s="9">
        <v>45058.546423611115</v>
      </c>
      <c r="J1345" s="9" t="e">
        <f>I1345+#REF!</f>
        <v>#REF!</v>
      </c>
      <c r="K1345" s="9" t="e">
        <f>J1345+#REF!</f>
        <v>#REF!</v>
      </c>
      <c r="L1345" s="10" t="s">
        <v>41</v>
      </c>
      <c r="M1345" s="11">
        <v>45074.546423611115</v>
      </c>
      <c r="N1345" s="5" t="s">
        <v>167</v>
      </c>
      <c r="O1345" s="5"/>
      <c r="P1345" s="9">
        <v>45077.546423611115</v>
      </c>
      <c r="Q1345" s="5" t="s">
        <v>167</v>
      </c>
      <c r="R1345" s="5"/>
      <c r="S1345" s="5"/>
      <c r="T1345" s="9">
        <v>45075.546423611115</v>
      </c>
      <c r="U1345" s="5"/>
      <c r="V1345" s="5">
        <v>0</v>
      </c>
      <c r="W1345" s="5"/>
      <c r="X1345" s="5"/>
      <c r="Y1345" s="5"/>
      <c r="Z1345" s="5"/>
      <c r="AA1345" s="5"/>
      <c r="AC1345">
        <f t="shared" si="181"/>
        <v>16</v>
      </c>
      <c r="AD1345" t="str">
        <f t="shared" si="182"/>
        <v/>
      </c>
      <c r="AE1345">
        <f t="shared" si="183"/>
        <v>1</v>
      </c>
      <c r="AF1345" t="str">
        <f t="shared" si="184"/>
        <v/>
      </c>
      <c r="AG1345" t="str">
        <f t="shared" si="185"/>
        <v/>
      </c>
      <c r="AH1345">
        <f t="shared" si="186"/>
        <v>3</v>
      </c>
      <c r="AI1345" t="str">
        <f t="shared" si="187"/>
        <v/>
      </c>
      <c r="AJ1345" t="str">
        <f t="shared" si="188"/>
        <v/>
      </c>
    </row>
    <row r="1346" spans="1:36">
      <c r="A1346" s="5">
        <v>1533</v>
      </c>
      <c r="B1346" s="5" t="s">
        <v>2126</v>
      </c>
      <c r="C1346" s="10" t="s">
        <v>2089</v>
      </c>
      <c r="D1346" s="5" t="s">
        <v>2114</v>
      </c>
      <c r="E1346" s="5" t="s">
        <v>388</v>
      </c>
      <c r="F1346" s="5" t="str">
        <f t="shared" ref="F1346:F1409" si="189">_xlfn.CONCAT(C1346,"-",E1346)</f>
        <v>Communication and Advocacy-Extension Officer</v>
      </c>
      <c r="G1346" s="5" t="s">
        <v>147</v>
      </c>
      <c r="H1346" s="9">
        <v>45055.546423611115</v>
      </c>
      <c r="I1346" s="9">
        <v>45059.546423611115</v>
      </c>
      <c r="J1346" s="9" t="e">
        <f>I1346+#REF!</f>
        <v>#REF!</v>
      </c>
      <c r="K1346" s="9" t="e">
        <f>J1346+#REF!</f>
        <v>#REF!</v>
      </c>
      <c r="L1346" s="10" t="s">
        <v>41</v>
      </c>
      <c r="M1346" s="11">
        <v>45076.546423611115</v>
      </c>
      <c r="N1346" s="5" t="s">
        <v>64</v>
      </c>
      <c r="O1346" s="5"/>
      <c r="P1346" s="9">
        <v>45083.546423611115</v>
      </c>
      <c r="Q1346" s="5" t="s">
        <v>64</v>
      </c>
      <c r="R1346" s="9">
        <v>45077.546423611115</v>
      </c>
      <c r="S1346" s="9">
        <v>45079.546423611115</v>
      </c>
      <c r="T1346" s="9">
        <v>45079.546423611115</v>
      </c>
      <c r="U1346" s="9">
        <v>45089.546423611115</v>
      </c>
      <c r="V1346" s="12">
        <v>1</v>
      </c>
      <c r="W1346" s="9">
        <v>45092.546423611115</v>
      </c>
      <c r="X1346" s="9">
        <v>45095.546423611115</v>
      </c>
      <c r="Y1346" s="9">
        <v>45098.546423611115</v>
      </c>
      <c r="Z1346" s="5"/>
      <c r="AA1346" s="5"/>
      <c r="AB1346" s="13">
        <v>45114.546423611115</v>
      </c>
      <c r="AC1346">
        <f t="shared" ref="AC1346:AC1409" si="190">IF(AND(ISNUMBER(M1346), ISNUMBER(I1346)), M1346 - I1346, "")</f>
        <v>17</v>
      </c>
      <c r="AD1346">
        <f t="shared" si="182"/>
        <v>20</v>
      </c>
      <c r="AE1346">
        <f t="shared" si="183"/>
        <v>3</v>
      </c>
      <c r="AF1346">
        <f t="shared" si="184"/>
        <v>6</v>
      </c>
      <c r="AG1346">
        <f t="shared" si="185"/>
        <v>3</v>
      </c>
      <c r="AH1346">
        <f t="shared" si="186"/>
        <v>4</v>
      </c>
      <c r="AI1346" t="str">
        <f t="shared" si="187"/>
        <v/>
      </c>
      <c r="AJ1346" t="str">
        <f t="shared" si="188"/>
        <v/>
      </c>
    </row>
    <row r="1347" spans="1:36">
      <c r="A1347" s="5">
        <v>1535</v>
      </c>
      <c r="B1347" s="5" t="s">
        <v>1237</v>
      </c>
      <c r="C1347" s="10" t="s">
        <v>1215</v>
      </c>
      <c r="D1347" s="5" t="s">
        <v>1216</v>
      </c>
      <c r="E1347" s="5" t="s">
        <v>269</v>
      </c>
      <c r="F1347" s="5" t="str">
        <f t="shared" si="189"/>
        <v>HR-Manager</v>
      </c>
      <c r="G1347" s="5" t="s">
        <v>270</v>
      </c>
      <c r="H1347" s="9">
        <v>45056.546423611115</v>
      </c>
      <c r="I1347" s="9">
        <v>45059.546423611115</v>
      </c>
      <c r="J1347" s="9" t="e">
        <f>I1347+#REF!</f>
        <v>#REF!</v>
      </c>
      <c r="K1347" s="9" t="e">
        <f>J1347+#REF!</f>
        <v>#REF!</v>
      </c>
      <c r="L1347" s="10" t="s">
        <v>41</v>
      </c>
      <c r="M1347" s="11">
        <v>45071.546423611115</v>
      </c>
      <c r="N1347" s="5" t="s">
        <v>42</v>
      </c>
      <c r="O1347" s="5" t="s">
        <v>73</v>
      </c>
      <c r="P1347" s="9"/>
      <c r="Q1347" s="5"/>
      <c r="R1347" s="5"/>
      <c r="S1347" s="5"/>
      <c r="T1347" s="9">
        <v>45073.546423611115</v>
      </c>
      <c r="U1347" s="5"/>
      <c r="V1347" s="5">
        <v>0</v>
      </c>
      <c r="W1347" s="5"/>
      <c r="X1347" s="5"/>
      <c r="Y1347" s="5"/>
      <c r="Z1347" s="5"/>
      <c r="AA1347" s="5" t="s">
        <v>62</v>
      </c>
      <c r="AC1347">
        <f t="shared" si="190"/>
        <v>12</v>
      </c>
      <c r="AD1347" t="str">
        <f t="shared" ref="AD1347:AD1410" si="191">IF(AND(ISNUMBER(S1347), ISNUMBER(I1347)), S1347 - I1347, "")</f>
        <v/>
      </c>
      <c r="AE1347">
        <f t="shared" ref="AE1347:AE1410" si="192">IF(AND(ISNUMBER(T1347), ISNUMBER(M1347)), T1347-M1347, "")</f>
        <v>2</v>
      </c>
      <c r="AF1347" t="str">
        <f t="shared" ref="AF1347:AF1410" si="193">IF(AND(ISNUMBER(X1347), ISNUMBER(U1347)), X1347-U1347,"")</f>
        <v/>
      </c>
      <c r="AG1347" t="str">
        <f t="shared" ref="AG1347:AG1410" si="194">IF(AND(ISNUMBER(W1347), ISNUMBER(U1347)), W1347-U1347, "")</f>
        <v/>
      </c>
      <c r="AH1347">
        <f t="shared" ref="AH1347:AH1410" si="195">IF(AND(ISNUMBER(I1347), ISNUMBER(H1347)), I1347-H1347,"")</f>
        <v>3</v>
      </c>
      <c r="AI1347" t="str">
        <f t="shared" ref="AI1347:AI1410" si="196">IF(AND(ISNUMBER(J1347),ISNUMBER(K1347)),K1347-J1347,"")</f>
        <v/>
      </c>
      <c r="AJ1347" t="str">
        <f t="shared" ref="AJ1347:AJ1410" si="197">IF(AND(ISNUMBER(J1347),ISNUMBER(I1347)), J1347-I1347,"")</f>
        <v/>
      </c>
    </row>
    <row r="1348" spans="1:36">
      <c r="A1348" s="5">
        <v>1536</v>
      </c>
      <c r="B1348" s="5" t="s">
        <v>1307</v>
      </c>
      <c r="C1348" s="10" t="s">
        <v>1215</v>
      </c>
      <c r="D1348" s="5" t="s">
        <v>1287</v>
      </c>
      <c r="E1348" s="5" t="s">
        <v>1146</v>
      </c>
      <c r="F1348" s="5" t="str">
        <f t="shared" si="189"/>
        <v>HR-Quality Assurance</v>
      </c>
      <c r="G1348" s="5" t="s">
        <v>47</v>
      </c>
      <c r="H1348" s="9">
        <v>45055.546423611115</v>
      </c>
      <c r="I1348" s="9">
        <v>45057.546423611115</v>
      </c>
      <c r="J1348" s="9" t="e">
        <f>I1348+#REF!</f>
        <v>#REF!</v>
      </c>
      <c r="K1348" s="9" t="e">
        <f>J1348+#REF!</f>
        <v>#REF!</v>
      </c>
      <c r="L1348" s="10" t="s">
        <v>41</v>
      </c>
      <c r="M1348" s="11">
        <v>45075.546423611115</v>
      </c>
      <c r="N1348" s="5" t="s">
        <v>42</v>
      </c>
      <c r="O1348" s="5" t="s">
        <v>113</v>
      </c>
      <c r="P1348" s="9"/>
      <c r="Q1348" s="5"/>
      <c r="R1348" s="5"/>
      <c r="S1348" s="5"/>
      <c r="T1348" s="9"/>
      <c r="U1348" s="5"/>
      <c r="V1348" s="5">
        <v>0</v>
      </c>
      <c r="W1348" s="5"/>
      <c r="X1348" s="5"/>
      <c r="Y1348" s="5"/>
      <c r="Z1348" s="5"/>
      <c r="AA1348" s="5" t="s">
        <v>44</v>
      </c>
      <c r="AC1348">
        <f t="shared" si="190"/>
        <v>18</v>
      </c>
      <c r="AD1348" t="str">
        <f t="shared" si="191"/>
        <v/>
      </c>
      <c r="AE1348" t="str">
        <f t="shared" si="192"/>
        <v/>
      </c>
      <c r="AF1348" t="str">
        <f t="shared" si="193"/>
        <v/>
      </c>
      <c r="AG1348" t="str">
        <f t="shared" si="194"/>
        <v/>
      </c>
      <c r="AH1348">
        <f t="shared" si="195"/>
        <v>2</v>
      </c>
      <c r="AI1348" t="str">
        <f t="shared" si="196"/>
        <v/>
      </c>
      <c r="AJ1348" t="str">
        <f t="shared" si="197"/>
        <v/>
      </c>
    </row>
    <row r="1349" spans="1:36">
      <c r="A1349" s="5">
        <v>1537</v>
      </c>
      <c r="B1349" s="5" t="s">
        <v>1236</v>
      </c>
      <c r="C1349" s="10" t="s">
        <v>1215</v>
      </c>
      <c r="D1349" s="5" t="s">
        <v>1216</v>
      </c>
      <c r="E1349" s="5" t="s">
        <v>269</v>
      </c>
      <c r="F1349" s="5" t="str">
        <f t="shared" si="189"/>
        <v>HR-Manager</v>
      </c>
      <c r="G1349" s="5" t="s">
        <v>270</v>
      </c>
      <c r="H1349" s="9">
        <v>45050.546423611115</v>
      </c>
      <c r="I1349" s="9">
        <v>45054.546423611115</v>
      </c>
      <c r="J1349" s="9" t="e">
        <f>I1349+#REF!</f>
        <v>#REF!</v>
      </c>
      <c r="K1349" s="9" t="e">
        <f>J1349+#REF!</f>
        <v>#REF!</v>
      </c>
      <c r="L1349" s="10" t="s">
        <v>41</v>
      </c>
      <c r="M1349" s="11">
        <v>45065.546423611115</v>
      </c>
      <c r="N1349" s="5" t="s">
        <v>42</v>
      </c>
      <c r="O1349" s="5" t="s">
        <v>58</v>
      </c>
      <c r="P1349" s="9"/>
      <c r="Q1349" s="5"/>
      <c r="R1349" s="5"/>
      <c r="S1349" s="5"/>
      <c r="T1349" s="9">
        <v>45068.546423611115</v>
      </c>
      <c r="U1349" s="5"/>
      <c r="V1349" s="5">
        <v>0</v>
      </c>
      <c r="W1349" s="5"/>
      <c r="X1349" s="5"/>
      <c r="Y1349" s="5"/>
      <c r="Z1349" s="5"/>
      <c r="AA1349" s="5" t="s">
        <v>62</v>
      </c>
      <c r="AC1349">
        <f t="shared" si="190"/>
        <v>11</v>
      </c>
      <c r="AD1349" t="str">
        <f t="shared" si="191"/>
        <v/>
      </c>
      <c r="AE1349">
        <f t="shared" si="192"/>
        <v>3</v>
      </c>
      <c r="AF1349" t="str">
        <f t="shared" si="193"/>
        <v/>
      </c>
      <c r="AG1349" t="str">
        <f t="shared" si="194"/>
        <v/>
      </c>
      <c r="AH1349">
        <f t="shared" si="195"/>
        <v>4</v>
      </c>
      <c r="AI1349" t="str">
        <f t="shared" si="196"/>
        <v/>
      </c>
      <c r="AJ1349" t="str">
        <f t="shared" si="197"/>
        <v/>
      </c>
    </row>
    <row r="1350" spans="1:36">
      <c r="A1350" s="5">
        <v>1539</v>
      </c>
      <c r="B1350" s="5" t="s">
        <v>712</v>
      </c>
      <c r="C1350" s="10" t="s">
        <v>671</v>
      </c>
      <c r="D1350" s="5" t="s">
        <v>708</v>
      </c>
      <c r="E1350" s="5" t="s">
        <v>709</v>
      </c>
      <c r="F1350" s="5" t="str">
        <f t="shared" si="189"/>
        <v>Operations-Lead</v>
      </c>
      <c r="G1350" s="5" t="s">
        <v>56</v>
      </c>
      <c r="H1350" s="9">
        <v>45052.546423611115</v>
      </c>
      <c r="I1350" s="9">
        <v>45054.546423611115</v>
      </c>
      <c r="J1350" s="9" t="e">
        <f>I1350+#REF!</f>
        <v>#REF!</v>
      </c>
      <c r="K1350" s="9" t="e">
        <f>J1350+#REF!</f>
        <v>#REF!</v>
      </c>
      <c r="L1350" s="10" t="s">
        <v>52</v>
      </c>
      <c r="M1350" s="11"/>
      <c r="N1350" s="5"/>
      <c r="O1350" s="5"/>
      <c r="P1350" s="9"/>
      <c r="Q1350" s="5"/>
      <c r="R1350" s="5"/>
      <c r="S1350" s="5"/>
      <c r="T1350" s="9"/>
      <c r="U1350" s="5"/>
      <c r="V1350" s="5">
        <v>0</v>
      </c>
      <c r="W1350" s="5"/>
      <c r="X1350" s="5"/>
      <c r="Y1350" s="5"/>
      <c r="Z1350" s="5"/>
      <c r="AA1350" s="5"/>
      <c r="AC1350" t="str">
        <f t="shared" si="190"/>
        <v/>
      </c>
      <c r="AD1350" t="str">
        <f t="shared" si="191"/>
        <v/>
      </c>
      <c r="AE1350" t="str">
        <f t="shared" si="192"/>
        <v/>
      </c>
      <c r="AF1350" t="str">
        <f t="shared" si="193"/>
        <v/>
      </c>
      <c r="AG1350" t="str">
        <f t="shared" si="194"/>
        <v/>
      </c>
      <c r="AH1350">
        <f t="shared" si="195"/>
        <v>2</v>
      </c>
      <c r="AI1350" t="str">
        <f t="shared" si="196"/>
        <v/>
      </c>
      <c r="AJ1350" t="str">
        <f t="shared" si="197"/>
        <v/>
      </c>
    </row>
    <row r="1351" spans="1:36">
      <c r="A1351" s="5">
        <v>1540</v>
      </c>
      <c r="B1351" s="5" t="s">
        <v>1265</v>
      </c>
      <c r="C1351" s="10" t="s">
        <v>1215</v>
      </c>
      <c r="D1351" s="5" t="s">
        <v>1249</v>
      </c>
      <c r="E1351" s="5" t="s">
        <v>1250</v>
      </c>
      <c r="F1351" s="5" t="str">
        <f t="shared" si="189"/>
        <v>HR-Screening Associate</v>
      </c>
      <c r="G1351" s="5" t="s">
        <v>40</v>
      </c>
      <c r="H1351" s="9">
        <v>45053.546423611115</v>
      </c>
      <c r="I1351" s="9">
        <v>45056.546423611115</v>
      </c>
      <c r="J1351" s="9" t="e">
        <f>I1351+#REF!</f>
        <v>#REF!</v>
      </c>
      <c r="K1351" s="9" t="e">
        <f>J1351+#REF!</f>
        <v>#REF!</v>
      </c>
      <c r="L1351" s="10" t="s">
        <v>41</v>
      </c>
      <c r="M1351" s="11">
        <v>45069.546423611115</v>
      </c>
      <c r="N1351" s="5" t="s">
        <v>48</v>
      </c>
      <c r="O1351" s="5"/>
      <c r="P1351" s="9">
        <v>45073.546423611115</v>
      </c>
      <c r="Q1351" s="5" t="s">
        <v>48</v>
      </c>
      <c r="R1351" s="5"/>
      <c r="S1351" s="5"/>
      <c r="T1351" s="9">
        <v>45072.546423611115</v>
      </c>
      <c r="U1351" s="5"/>
      <c r="V1351" s="5">
        <v>0</v>
      </c>
      <c r="W1351" s="5"/>
      <c r="X1351" s="5"/>
      <c r="Y1351" s="5"/>
      <c r="Z1351" s="5"/>
      <c r="AA1351" s="5"/>
      <c r="AC1351">
        <f t="shared" si="190"/>
        <v>13</v>
      </c>
      <c r="AD1351" t="str">
        <f t="shared" si="191"/>
        <v/>
      </c>
      <c r="AE1351">
        <f t="shared" si="192"/>
        <v>3</v>
      </c>
      <c r="AF1351" t="str">
        <f t="shared" si="193"/>
        <v/>
      </c>
      <c r="AG1351" t="str">
        <f t="shared" si="194"/>
        <v/>
      </c>
      <c r="AH1351">
        <f t="shared" si="195"/>
        <v>3</v>
      </c>
      <c r="AI1351" t="str">
        <f t="shared" si="196"/>
        <v/>
      </c>
      <c r="AJ1351" t="str">
        <f t="shared" si="197"/>
        <v/>
      </c>
    </row>
    <row r="1352" spans="1:36">
      <c r="A1352" s="5">
        <v>1541</v>
      </c>
      <c r="B1352" s="5" t="s">
        <v>1757</v>
      </c>
      <c r="C1352" s="5" t="s">
        <v>1540</v>
      </c>
      <c r="D1352" s="5" t="s">
        <v>1706</v>
      </c>
      <c r="E1352" s="5" t="s">
        <v>269</v>
      </c>
      <c r="F1352" s="5" t="str">
        <f t="shared" si="189"/>
        <v>Finance-Manager</v>
      </c>
      <c r="G1352" s="5" t="s">
        <v>270</v>
      </c>
      <c r="H1352" s="9">
        <v>45074.849814814814</v>
      </c>
      <c r="I1352" s="9">
        <v>45075.849814814814</v>
      </c>
      <c r="J1352" s="9" t="e">
        <f>I1352+#REF!</f>
        <v>#REF!</v>
      </c>
      <c r="K1352" s="9" t="e">
        <f>J1352+#REF!</f>
        <v>#REF!</v>
      </c>
      <c r="L1352" s="10" t="s">
        <v>52</v>
      </c>
      <c r="M1352" s="11"/>
      <c r="N1352" s="5"/>
      <c r="O1352" s="5"/>
      <c r="P1352" s="9"/>
      <c r="Q1352" s="5"/>
      <c r="R1352" s="5"/>
      <c r="S1352" s="5"/>
      <c r="T1352" s="9"/>
      <c r="U1352" s="5"/>
      <c r="V1352" s="5">
        <v>0</v>
      </c>
      <c r="W1352" s="5"/>
      <c r="X1352" s="5"/>
      <c r="Y1352" s="5"/>
      <c r="Z1352" s="5"/>
      <c r="AA1352" s="5"/>
      <c r="AC1352" t="str">
        <f t="shared" si="190"/>
        <v/>
      </c>
      <c r="AD1352" t="str">
        <f t="shared" si="191"/>
        <v/>
      </c>
      <c r="AE1352" t="str">
        <f t="shared" si="192"/>
        <v/>
      </c>
      <c r="AF1352" t="str">
        <f t="shared" si="193"/>
        <v/>
      </c>
      <c r="AG1352" t="str">
        <f t="shared" si="194"/>
        <v/>
      </c>
      <c r="AH1352">
        <f t="shared" si="195"/>
        <v>1</v>
      </c>
      <c r="AI1352" t="str">
        <f t="shared" si="196"/>
        <v/>
      </c>
      <c r="AJ1352" t="str">
        <f t="shared" si="197"/>
        <v/>
      </c>
    </row>
    <row r="1353" spans="1:36">
      <c r="A1353" s="5">
        <v>1542</v>
      </c>
      <c r="B1353" s="5" t="s">
        <v>1641</v>
      </c>
      <c r="C1353" s="5" t="s">
        <v>1540</v>
      </c>
      <c r="D1353" s="5" t="s">
        <v>1588</v>
      </c>
      <c r="E1353" s="5" t="s">
        <v>1360</v>
      </c>
      <c r="F1353" s="5" t="str">
        <f t="shared" si="189"/>
        <v>Finance-Fund Administrator</v>
      </c>
      <c r="G1353" s="5" t="s">
        <v>147</v>
      </c>
      <c r="H1353" s="9">
        <v>45069.849814814814</v>
      </c>
      <c r="I1353" s="9">
        <v>45073.849814814814</v>
      </c>
      <c r="J1353" s="9" t="e">
        <f>I1353+#REF!</f>
        <v>#REF!</v>
      </c>
      <c r="K1353" s="9" t="e">
        <f>J1353+#REF!</f>
        <v>#REF!</v>
      </c>
      <c r="L1353" s="10" t="s">
        <v>41</v>
      </c>
      <c r="M1353" s="11">
        <v>45094.849814814814</v>
      </c>
      <c r="N1353" s="5" t="s">
        <v>42</v>
      </c>
      <c r="O1353" s="5" t="s">
        <v>43</v>
      </c>
      <c r="P1353" s="9"/>
      <c r="Q1353" s="5"/>
      <c r="R1353" s="5"/>
      <c r="S1353" s="5"/>
      <c r="T1353" s="9">
        <v>45097.849814814814</v>
      </c>
      <c r="U1353" s="5"/>
      <c r="V1353" s="5">
        <v>0</v>
      </c>
      <c r="W1353" s="5"/>
      <c r="X1353" s="5"/>
      <c r="Y1353" s="5"/>
      <c r="Z1353" s="5"/>
      <c r="AA1353" s="5" t="s">
        <v>62</v>
      </c>
      <c r="AC1353">
        <f t="shared" si="190"/>
        <v>21</v>
      </c>
      <c r="AD1353" t="str">
        <f t="shared" si="191"/>
        <v/>
      </c>
      <c r="AE1353">
        <f t="shared" si="192"/>
        <v>3</v>
      </c>
      <c r="AF1353" t="str">
        <f t="shared" si="193"/>
        <v/>
      </c>
      <c r="AG1353" t="str">
        <f t="shared" si="194"/>
        <v/>
      </c>
      <c r="AH1353">
        <f t="shared" si="195"/>
        <v>4</v>
      </c>
      <c r="AI1353" t="str">
        <f t="shared" si="196"/>
        <v/>
      </c>
      <c r="AJ1353" t="str">
        <f t="shared" si="197"/>
        <v/>
      </c>
    </row>
    <row r="1354" spans="1:36">
      <c r="A1354" s="5">
        <v>1543</v>
      </c>
      <c r="B1354" s="5" t="s">
        <v>1875</v>
      </c>
      <c r="C1354" s="5" t="s">
        <v>1540</v>
      </c>
      <c r="D1354" s="5" t="s">
        <v>1820</v>
      </c>
      <c r="E1354" s="5" t="s">
        <v>1862</v>
      </c>
      <c r="F1354" s="5" t="str">
        <f t="shared" si="189"/>
        <v>Finance-Billing Officer</v>
      </c>
      <c r="G1354" s="5" t="s">
        <v>40</v>
      </c>
      <c r="H1354" s="9">
        <v>45073.849814814814</v>
      </c>
      <c r="I1354" s="9">
        <v>45077.849814814814</v>
      </c>
      <c r="J1354" s="9" t="e">
        <f>I1354+#REF!</f>
        <v>#REF!</v>
      </c>
      <c r="K1354" s="9" t="e">
        <f>J1354+#REF!</f>
        <v>#REF!</v>
      </c>
      <c r="L1354" s="10" t="s">
        <v>52</v>
      </c>
      <c r="M1354" s="11"/>
      <c r="N1354" s="5"/>
      <c r="O1354" s="5"/>
      <c r="P1354" s="9"/>
      <c r="Q1354" s="5"/>
      <c r="R1354" s="5"/>
      <c r="S1354" s="5"/>
      <c r="T1354" s="9"/>
      <c r="U1354" s="5"/>
      <c r="V1354" s="5">
        <v>0</v>
      </c>
      <c r="W1354" s="5"/>
      <c r="X1354" s="5"/>
      <c r="Y1354" s="5"/>
      <c r="Z1354" s="5"/>
      <c r="AA1354" s="5"/>
      <c r="AC1354" t="str">
        <f t="shared" si="190"/>
        <v/>
      </c>
      <c r="AD1354" t="str">
        <f t="shared" si="191"/>
        <v/>
      </c>
      <c r="AE1354" t="str">
        <f t="shared" si="192"/>
        <v/>
      </c>
      <c r="AF1354" t="str">
        <f t="shared" si="193"/>
        <v/>
      </c>
      <c r="AG1354" t="str">
        <f t="shared" si="194"/>
        <v/>
      </c>
      <c r="AH1354">
        <f t="shared" si="195"/>
        <v>4</v>
      </c>
      <c r="AI1354" t="str">
        <f t="shared" si="196"/>
        <v/>
      </c>
      <c r="AJ1354" t="str">
        <f t="shared" si="197"/>
        <v/>
      </c>
    </row>
    <row r="1355" spans="1:36">
      <c r="A1355" s="5">
        <v>1545</v>
      </c>
      <c r="B1355" s="5" t="s">
        <v>2031</v>
      </c>
      <c r="C1355" s="5" t="s">
        <v>1540</v>
      </c>
      <c r="D1355" s="5" t="s">
        <v>1985</v>
      </c>
      <c r="E1355" s="5" t="s">
        <v>1986</v>
      </c>
      <c r="F1355" s="5" t="str">
        <f t="shared" si="189"/>
        <v>Finance-Revenue Recorgnition</v>
      </c>
      <c r="G1355" s="5" t="s">
        <v>47</v>
      </c>
      <c r="H1355" s="9">
        <v>45073.849814814814</v>
      </c>
      <c r="I1355" s="9">
        <v>45075.849814814814</v>
      </c>
      <c r="J1355" s="9" t="e">
        <f>I1355+#REF!</f>
        <v>#REF!</v>
      </c>
      <c r="K1355" s="9" t="e">
        <f>J1355+#REF!</f>
        <v>#REF!</v>
      </c>
      <c r="L1355" s="10" t="s">
        <v>41</v>
      </c>
      <c r="M1355" s="11">
        <v>45092.849814814814</v>
      </c>
      <c r="N1355" s="5" t="s">
        <v>42</v>
      </c>
      <c r="O1355" s="5" t="s">
        <v>43</v>
      </c>
      <c r="P1355" s="9"/>
      <c r="Q1355" s="5"/>
      <c r="R1355" s="5"/>
      <c r="S1355" s="5"/>
      <c r="T1355" s="9">
        <v>45096.849814814814</v>
      </c>
      <c r="U1355" s="5"/>
      <c r="V1355" s="5">
        <v>0</v>
      </c>
      <c r="W1355" s="5"/>
      <c r="X1355" s="5"/>
      <c r="Y1355" s="5"/>
      <c r="Z1355" s="5"/>
      <c r="AA1355" s="5" t="s">
        <v>62</v>
      </c>
      <c r="AC1355">
        <f t="shared" si="190"/>
        <v>17</v>
      </c>
      <c r="AD1355" t="str">
        <f t="shared" si="191"/>
        <v/>
      </c>
      <c r="AE1355">
        <f t="shared" si="192"/>
        <v>4</v>
      </c>
      <c r="AF1355" t="str">
        <f t="shared" si="193"/>
        <v/>
      </c>
      <c r="AG1355" t="str">
        <f t="shared" si="194"/>
        <v/>
      </c>
      <c r="AH1355">
        <f t="shared" si="195"/>
        <v>2</v>
      </c>
      <c r="AI1355" t="str">
        <f t="shared" si="196"/>
        <v/>
      </c>
      <c r="AJ1355" t="str">
        <f t="shared" si="197"/>
        <v/>
      </c>
    </row>
    <row r="1356" spans="1:36">
      <c r="A1356" s="5">
        <v>1548</v>
      </c>
      <c r="B1356" s="5" t="s">
        <v>1874</v>
      </c>
      <c r="C1356" s="5" t="s">
        <v>1540</v>
      </c>
      <c r="D1356" s="5" t="s">
        <v>1820</v>
      </c>
      <c r="E1356" s="5" t="s">
        <v>1862</v>
      </c>
      <c r="F1356" s="5" t="str">
        <f t="shared" si="189"/>
        <v>Finance-Billing Officer</v>
      </c>
      <c r="G1356" s="5" t="s">
        <v>40</v>
      </c>
      <c r="H1356" s="9">
        <v>45073.849814814814</v>
      </c>
      <c r="I1356" s="9">
        <v>45075.849814814814</v>
      </c>
      <c r="J1356" s="9" t="e">
        <f>I1356+#REF!</f>
        <v>#REF!</v>
      </c>
      <c r="K1356" s="9" t="e">
        <f>J1356+#REF!</f>
        <v>#REF!</v>
      </c>
      <c r="L1356" s="10" t="s">
        <v>41</v>
      </c>
      <c r="M1356" s="11">
        <v>45089.849814814814</v>
      </c>
      <c r="N1356" s="5" t="s">
        <v>48</v>
      </c>
      <c r="O1356" s="5"/>
      <c r="P1356" s="9">
        <v>45094.849814814814</v>
      </c>
      <c r="Q1356" s="5" t="s">
        <v>48</v>
      </c>
      <c r="R1356" s="5"/>
      <c r="S1356" s="5"/>
      <c r="T1356" s="9">
        <v>45092.849814814814</v>
      </c>
      <c r="U1356" s="5"/>
      <c r="V1356" s="5">
        <v>0</v>
      </c>
      <c r="W1356" s="5"/>
      <c r="X1356" s="5"/>
      <c r="Y1356" s="5"/>
      <c r="Z1356" s="5"/>
      <c r="AA1356" s="5"/>
      <c r="AC1356">
        <f t="shared" si="190"/>
        <v>14</v>
      </c>
      <c r="AD1356" t="str">
        <f t="shared" si="191"/>
        <v/>
      </c>
      <c r="AE1356">
        <f t="shared" si="192"/>
        <v>3</v>
      </c>
      <c r="AF1356" t="str">
        <f t="shared" si="193"/>
        <v/>
      </c>
      <c r="AG1356" t="str">
        <f t="shared" si="194"/>
        <v/>
      </c>
      <c r="AH1356">
        <f t="shared" si="195"/>
        <v>2</v>
      </c>
      <c r="AI1356" t="str">
        <f t="shared" si="196"/>
        <v/>
      </c>
      <c r="AJ1356" t="str">
        <f t="shared" si="197"/>
        <v/>
      </c>
    </row>
    <row r="1357" spans="1:36">
      <c r="A1357" s="5">
        <v>1549</v>
      </c>
      <c r="B1357" s="5" t="s">
        <v>1640</v>
      </c>
      <c r="C1357" s="5" t="s">
        <v>1540</v>
      </c>
      <c r="D1357" s="5" t="s">
        <v>1588</v>
      </c>
      <c r="E1357" s="5" t="s">
        <v>1360</v>
      </c>
      <c r="F1357" s="5" t="str">
        <f t="shared" si="189"/>
        <v>Finance-Fund Administrator</v>
      </c>
      <c r="G1357" s="5" t="s">
        <v>147</v>
      </c>
      <c r="H1357" s="9">
        <v>45071.849814814814</v>
      </c>
      <c r="I1357" s="9">
        <v>45075.849814814814</v>
      </c>
      <c r="J1357" s="9" t="e">
        <f>I1357+#REF!</f>
        <v>#REF!</v>
      </c>
      <c r="K1357" s="9" t="e">
        <f>J1357+#REF!</f>
        <v>#REF!</v>
      </c>
      <c r="L1357" s="10" t="s">
        <v>41</v>
      </c>
      <c r="M1357" s="11">
        <v>45088.849814814814</v>
      </c>
      <c r="N1357" s="5" t="s">
        <v>42</v>
      </c>
      <c r="O1357" s="5" t="s">
        <v>113</v>
      </c>
      <c r="P1357" s="9"/>
      <c r="Q1357" s="5"/>
      <c r="R1357" s="5"/>
      <c r="S1357" s="5"/>
      <c r="T1357" s="9"/>
      <c r="U1357" s="5"/>
      <c r="V1357" s="5">
        <v>0</v>
      </c>
      <c r="W1357" s="5"/>
      <c r="X1357" s="5"/>
      <c r="Y1357" s="5"/>
      <c r="Z1357" s="5"/>
      <c r="AA1357" s="5" t="s">
        <v>62</v>
      </c>
      <c r="AC1357">
        <f t="shared" si="190"/>
        <v>13</v>
      </c>
      <c r="AD1357" t="str">
        <f t="shared" si="191"/>
        <v/>
      </c>
      <c r="AE1357" t="str">
        <f t="shared" si="192"/>
        <v/>
      </c>
      <c r="AF1357" t="str">
        <f t="shared" si="193"/>
        <v/>
      </c>
      <c r="AG1357" t="str">
        <f t="shared" si="194"/>
        <v/>
      </c>
      <c r="AH1357">
        <f t="shared" si="195"/>
        <v>4</v>
      </c>
      <c r="AI1357" t="str">
        <f t="shared" si="196"/>
        <v/>
      </c>
      <c r="AJ1357" t="str">
        <f t="shared" si="197"/>
        <v/>
      </c>
    </row>
    <row r="1358" spans="1:36">
      <c r="A1358" s="5">
        <v>1550</v>
      </c>
      <c r="B1358" s="5" t="s">
        <v>2030</v>
      </c>
      <c r="C1358" s="5" t="s">
        <v>1540</v>
      </c>
      <c r="D1358" s="5" t="s">
        <v>1985</v>
      </c>
      <c r="E1358" s="5" t="s">
        <v>1986</v>
      </c>
      <c r="F1358" s="5" t="str">
        <f t="shared" si="189"/>
        <v>Finance-Revenue Recorgnition</v>
      </c>
      <c r="G1358" s="5" t="s">
        <v>47</v>
      </c>
      <c r="H1358" s="9">
        <v>45072.849814814814</v>
      </c>
      <c r="I1358" s="9">
        <v>45074.849814814814</v>
      </c>
      <c r="J1358" s="9" t="e">
        <f>I1358+#REF!</f>
        <v>#REF!</v>
      </c>
      <c r="K1358" s="9" t="e">
        <f>J1358+#REF!</f>
        <v>#REF!</v>
      </c>
      <c r="L1358" s="10" t="s">
        <v>41</v>
      </c>
      <c r="M1358" s="11">
        <v>45082.849814814814</v>
      </c>
      <c r="N1358" s="5" t="s">
        <v>64</v>
      </c>
      <c r="O1358" s="5"/>
      <c r="P1358" s="9">
        <v>45088.849814814814</v>
      </c>
      <c r="Q1358" s="5" t="s">
        <v>64</v>
      </c>
      <c r="R1358" s="9">
        <v>45084.849814814814</v>
      </c>
      <c r="S1358" s="9">
        <v>45086.849814814814</v>
      </c>
      <c r="T1358" s="9">
        <v>45084.849814814814</v>
      </c>
      <c r="U1358" s="9">
        <v>45086.849814814814</v>
      </c>
      <c r="V1358" s="12">
        <v>1</v>
      </c>
      <c r="W1358" s="9">
        <v>45087.849814814814</v>
      </c>
      <c r="X1358" s="9">
        <v>45089.849814814814</v>
      </c>
      <c r="Y1358" s="9">
        <v>45092.849814814814</v>
      </c>
      <c r="Z1358" s="5"/>
      <c r="AA1358" s="5"/>
      <c r="AB1358" s="13">
        <v>45106.849814814814</v>
      </c>
      <c r="AC1358">
        <f t="shared" si="190"/>
        <v>8</v>
      </c>
      <c r="AD1358">
        <f t="shared" si="191"/>
        <v>12</v>
      </c>
      <c r="AE1358">
        <f t="shared" si="192"/>
        <v>2</v>
      </c>
      <c r="AF1358">
        <f t="shared" si="193"/>
        <v>3</v>
      </c>
      <c r="AG1358">
        <f t="shared" si="194"/>
        <v>1</v>
      </c>
      <c r="AH1358">
        <f t="shared" si="195"/>
        <v>2</v>
      </c>
      <c r="AI1358" t="str">
        <f t="shared" si="196"/>
        <v/>
      </c>
      <c r="AJ1358" t="str">
        <f t="shared" si="197"/>
        <v/>
      </c>
    </row>
    <row r="1359" spans="1:36">
      <c r="A1359" s="5">
        <v>1551</v>
      </c>
      <c r="B1359" s="5" t="s">
        <v>1343</v>
      </c>
      <c r="C1359" s="5" t="s">
        <v>1332</v>
      </c>
      <c r="D1359" s="5" t="s">
        <v>1333</v>
      </c>
      <c r="E1359" s="5" t="s">
        <v>102</v>
      </c>
      <c r="F1359" s="5" t="str">
        <f t="shared" si="189"/>
        <v>Fundraising-Senior Manager</v>
      </c>
      <c r="G1359" s="5" t="s">
        <v>103</v>
      </c>
      <c r="H1359" s="9">
        <v>44903.597222222219</v>
      </c>
      <c r="I1359" s="9">
        <v>44905.597222222219</v>
      </c>
      <c r="J1359" s="9" t="e">
        <f>I1359+#REF!</f>
        <v>#REF!</v>
      </c>
      <c r="K1359" s="9" t="e">
        <f>J1359+#REF!</f>
        <v>#REF!</v>
      </c>
      <c r="L1359" s="10" t="s">
        <v>41</v>
      </c>
      <c r="M1359" s="11">
        <v>44917.597222222219</v>
      </c>
      <c r="N1359" s="5" t="s">
        <v>42</v>
      </c>
      <c r="O1359" s="5" t="s">
        <v>113</v>
      </c>
      <c r="P1359" s="9"/>
      <c r="Q1359" s="5"/>
      <c r="R1359" s="5"/>
      <c r="S1359" s="5"/>
      <c r="T1359" s="9"/>
      <c r="U1359" s="5"/>
      <c r="V1359" s="5">
        <v>0</v>
      </c>
      <c r="W1359" s="5"/>
      <c r="X1359" s="5"/>
      <c r="Y1359" s="5"/>
      <c r="Z1359" s="5"/>
      <c r="AA1359" s="5" t="s">
        <v>44</v>
      </c>
      <c r="AC1359">
        <f t="shared" si="190"/>
        <v>12</v>
      </c>
      <c r="AD1359" t="str">
        <f t="shared" si="191"/>
        <v/>
      </c>
      <c r="AE1359" t="str">
        <f t="shared" si="192"/>
        <v/>
      </c>
      <c r="AF1359" t="str">
        <f t="shared" si="193"/>
        <v/>
      </c>
      <c r="AG1359" t="str">
        <f t="shared" si="194"/>
        <v/>
      </c>
      <c r="AH1359">
        <f t="shared" si="195"/>
        <v>2</v>
      </c>
      <c r="AI1359" t="str">
        <f t="shared" si="196"/>
        <v/>
      </c>
      <c r="AJ1359" t="str">
        <f t="shared" si="197"/>
        <v/>
      </c>
    </row>
    <row r="1360" spans="1:36">
      <c r="A1360" s="5">
        <v>1552</v>
      </c>
      <c r="B1360" s="5" t="s">
        <v>2262</v>
      </c>
      <c r="C1360" s="5" t="s">
        <v>2229</v>
      </c>
      <c r="D1360" s="5" t="s">
        <v>2250</v>
      </c>
      <c r="E1360" s="5" t="s">
        <v>388</v>
      </c>
      <c r="F1360" s="5" t="str">
        <f t="shared" si="189"/>
        <v>Capacity Building-Extension Officer</v>
      </c>
      <c r="G1360" s="5" t="s">
        <v>147</v>
      </c>
      <c r="H1360" s="9">
        <v>44902.597222222219</v>
      </c>
      <c r="I1360" s="9">
        <v>44903.597222222219</v>
      </c>
      <c r="J1360" s="9" t="e">
        <f>I1360+#REF!</f>
        <v>#REF!</v>
      </c>
      <c r="K1360" s="9" t="e">
        <f>J1360+#REF!</f>
        <v>#REF!</v>
      </c>
      <c r="L1360" s="10" t="s">
        <v>52</v>
      </c>
      <c r="M1360" s="11"/>
      <c r="N1360" s="5"/>
      <c r="O1360" s="5"/>
      <c r="P1360" s="9"/>
      <c r="Q1360" s="5"/>
      <c r="R1360" s="5"/>
      <c r="S1360" s="5"/>
      <c r="T1360" s="9"/>
      <c r="U1360" s="5"/>
      <c r="V1360" s="5">
        <v>0</v>
      </c>
      <c r="W1360" s="5"/>
      <c r="X1360" s="5"/>
      <c r="Y1360" s="5"/>
      <c r="Z1360" s="5"/>
      <c r="AA1360" s="5"/>
      <c r="AC1360" t="str">
        <f t="shared" si="190"/>
        <v/>
      </c>
      <c r="AD1360" t="str">
        <f t="shared" si="191"/>
        <v/>
      </c>
      <c r="AE1360" t="str">
        <f t="shared" si="192"/>
        <v/>
      </c>
      <c r="AF1360" t="str">
        <f t="shared" si="193"/>
        <v/>
      </c>
      <c r="AG1360" t="str">
        <f t="shared" si="194"/>
        <v/>
      </c>
      <c r="AH1360">
        <f t="shared" si="195"/>
        <v>1</v>
      </c>
      <c r="AI1360" t="str">
        <f t="shared" si="196"/>
        <v/>
      </c>
      <c r="AJ1360" t="str">
        <f t="shared" si="197"/>
        <v/>
      </c>
    </row>
    <row r="1361" spans="1:36">
      <c r="A1361" s="5">
        <v>1553</v>
      </c>
      <c r="B1361" s="5" t="s">
        <v>1395</v>
      </c>
      <c r="C1361" s="5" t="s">
        <v>1332</v>
      </c>
      <c r="D1361" s="5" t="s">
        <v>1359</v>
      </c>
      <c r="E1361" s="5" t="s">
        <v>1360</v>
      </c>
      <c r="F1361" s="5" t="str">
        <f t="shared" si="189"/>
        <v>Fundraising-Fund Administrator</v>
      </c>
      <c r="G1361" s="5" t="s">
        <v>147</v>
      </c>
      <c r="H1361" s="9">
        <v>44901.597222222219</v>
      </c>
      <c r="I1361" s="9">
        <v>44903.597222222219</v>
      </c>
      <c r="J1361" s="9" t="e">
        <f>I1361+#REF!</f>
        <v>#REF!</v>
      </c>
      <c r="K1361" s="9" t="e">
        <f>J1361+#REF!</f>
        <v>#REF!</v>
      </c>
      <c r="L1361" s="10" t="s">
        <v>41</v>
      </c>
      <c r="M1361" s="11">
        <v>44921.597222222219</v>
      </c>
      <c r="N1361" s="5" t="s">
        <v>42</v>
      </c>
      <c r="O1361" s="5" t="s">
        <v>113</v>
      </c>
      <c r="P1361" s="9"/>
      <c r="Q1361" s="5"/>
      <c r="R1361" s="5"/>
      <c r="S1361" s="5"/>
      <c r="T1361" s="9"/>
      <c r="U1361" s="5"/>
      <c r="V1361" s="5">
        <v>0</v>
      </c>
      <c r="W1361" s="5"/>
      <c r="X1361" s="5"/>
      <c r="Y1361" s="5"/>
      <c r="Z1361" s="5"/>
      <c r="AA1361" s="5" t="s">
        <v>44</v>
      </c>
      <c r="AC1361">
        <f t="shared" si="190"/>
        <v>18</v>
      </c>
      <c r="AD1361" t="str">
        <f t="shared" si="191"/>
        <v/>
      </c>
      <c r="AE1361" t="str">
        <f t="shared" si="192"/>
        <v/>
      </c>
      <c r="AF1361" t="str">
        <f t="shared" si="193"/>
        <v/>
      </c>
      <c r="AG1361" t="str">
        <f t="shared" si="194"/>
        <v/>
      </c>
      <c r="AH1361">
        <f t="shared" si="195"/>
        <v>2</v>
      </c>
      <c r="AI1361" t="str">
        <f t="shared" si="196"/>
        <v/>
      </c>
      <c r="AJ1361" t="str">
        <f t="shared" si="197"/>
        <v/>
      </c>
    </row>
    <row r="1362" spans="1:36">
      <c r="A1362" s="5">
        <v>1554</v>
      </c>
      <c r="B1362" s="5" t="s">
        <v>1434</v>
      </c>
      <c r="C1362" s="5" t="s">
        <v>1332</v>
      </c>
      <c r="D1362" s="5" t="s">
        <v>1413</v>
      </c>
      <c r="E1362" s="5" t="s">
        <v>269</v>
      </c>
      <c r="F1362" s="5" t="str">
        <f t="shared" si="189"/>
        <v>Fundraising-Manager</v>
      </c>
      <c r="G1362" s="5" t="s">
        <v>270</v>
      </c>
      <c r="H1362" s="9">
        <v>44899.597222222219</v>
      </c>
      <c r="I1362" s="9">
        <v>44903.597222222219</v>
      </c>
      <c r="J1362" s="9" t="e">
        <f>I1362+#REF!</f>
        <v>#REF!</v>
      </c>
      <c r="K1362" s="9" t="e">
        <f>J1362+#REF!</f>
        <v>#REF!</v>
      </c>
      <c r="L1362" s="10" t="s">
        <v>41</v>
      </c>
      <c r="M1362" s="11">
        <v>44910.597222222219</v>
      </c>
      <c r="N1362" s="5" t="s">
        <v>42</v>
      </c>
      <c r="O1362" s="5" t="s">
        <v>58</v>
      </c>
      <c r="P1362" s="9"/>
      <c r="Q1362" s="5"/>
      <c r="R1362" s="5"/>
      <c r="S1362" s="5"/>
      <c r="T1362" s="9"/>
      <c r="U1362" s="5"/>
      <c r="V1362" s="5">
        <v>0</v>
      </c>
      <c r="W1362" s="5"/>
      <c r="X1362" s="5"/>
      <c r="Y1362" s="5"/>
      <c r="Z1362" s="5"/>
      <c r="AA1362" s="5" t="s">
        <v>62</v>
      </c>
      <c r="AC1362">
        <f t="shared" si="190"/>
        <v>7</v>
      </c>
      <c r="AD1362" t="str">
        <f t="shared" si="191"/>
        <v/>
      </c>
      <c r="AE1362" t="str">
        <f t="shared" si="192"/>
        <v/>
      </c>
      <c r="AF1362" t="str">
        <f t="shared" si="193"/>
        <v/>
      </c>
      <c r="AG1362" t="str">
        <f t="shared" si="194"/>
        <v/>
      </c>
      <c r="AH1362">
        <f t="shared" si="195"/>
        <v>4</v>
      </c>
      <c r="AI1362" t="str">
        <f t="shared" si="196"/>
        <v/>
      </c>
      <c r="AJ1362" t="str">
        <f t="shared" si="197"/>
        <v/>
      </c>
    </row>
    <row r="1363" spans="1:36">
      <c r="A1363" s="5">
        <v>1555</v>
      </c>
      <c r="B1363" s="5" t="s">
        <v>1525</v>
      </c>
      <c r="C1363" s="5" t="s">
        <v>1332</v>
      </c>
      <c r="D1363" s="5" t="s">
        <v>1500</v>
      </c>
      <c r="E1363" s="5" t="s">
        <v>815</v>
      </c>
      <c r="F1363" s="5" t="str">
        <f t="shared" si="189"/>
        <v>Fundraising-Auditor</v>
      </c>
      <c r="G1363" s="5" t="s">
        <v>47</v>
      </c>
      <c r="H1363" s="9">
        <v>44897.597222222219</v>
      </c>
      <c r="I1363" s="9">
        <v>44901.597222222219</v>
      </c>
      <c r="J1363" s="9" t="e">
        <f>I1363+#REF!</f>
        <v>#REF!</v>
      </c>
      <c r="K1363" s="9" t="e">
        <f>J1363+#REF!</f>
        <v>#REF!</v>
      </c>
      <c r="L1363" s="10" t="s">
        <v>41</v>
      </c>
      <c r="M1363" s="11">
        <v>44913.597222222219</v>
      </c>
      <c r="N1363" s="5" t="s">
        <v>42</v>
      </c>
      <c r="O1363" s="5" t="s">
        <v>43</v>
      </c>
      <c r="P1363" s="9"/>
      <c r="Q1363" s="5"/>
      <c r="R1363" s="5"/>
      <c r="S1363" s="5"/>
      <c r="T1363" s="9">
        <v>44915.597222222219</v>
      </c>
      <c r="U1363" s="5"/>
      <c r="V1363" s="5">
        <v>0</v>
      </c>
      <c r="W1363" s="5"/>
      <c r="X1363" s="5"/>
      <c r="Y1363" s="5"/>
      <c r="Z1363" s="5"/>
      <c r="AA1363" s="5" t="s">
        <v>44</v>
      </c>
      <c r="AC1363">
        <f t="shared" si="190"/>
        <v>12</v>
      </c>
      <c r="AD1363" t="str">
        <f t="shared" si="191"/>
        <v/>
      </c>
      <c r="AE1363">
        <f t="shared" si="192"/>
        <v>2</v>
      </c>
      <c r="AF1363" t="str">
        <f t="shared" si="193"/>
        <v/>
      </c>
      <c r="AG1363" t="str">
        <f t="shared" si="194"/>
        <v/>
      </c>
      <c r="AH1363">
        <f t="shared" si="195"/>
        <v>4</v>
      </c>
      <c r="AI1363" t="str">
        <f t="shared" si="196"/>
        <v/>
      </c>
      <c r="AJ1363" t="str">
        <f t="shared" si="197"/>
        <v/>
      </c>
    </row>
    <row r="1364" spans="1:36">
      <c r="A1364" s="5">
        <v>1556</v>
      </c>
      <c r="B1364" s="5" t="s">
        <v>2462</v>
      </c>
      <c r="C1364" s="5" t="s">
        <v>2229</v>
      </c>
      <c r="D1364" s="5" t="s">
        <v>2445</v>
      </c>
      <c r="E1364" s="5" t="s">
        <v>388</v>
      </c>
      <c r="F1364" s="5" t="str">
        <f t="shared" si="189"/>
        <v>Capacity Building-Extension Officer</v>
      </c>
      <c r="G1364" s="5" t="s">
        <v>47</v>
      </c>
      <c r="H1364" s="9">
        <v>44903.597222222219</v>
      </c>
      <c r="I1364" s="9">
        <v>44904.597222222219</v>
      </c>
      <c r="J1364" s="9" t="e">
        <f>I1364+#REF!</f>
        <v>#REF!</v>
      </c>
      <c r="K1364" s="9" t="e">
        <f>J1364+#REF!</f>
        <v>#REF!</v>
      </c>
      <c r="L1364" s="10" t="s">
        <v>52</v>
      </c>
      <c r="M1364" s="11"/>
      <c r="N1364" s="5"/>
      <c r="O1364" s="5"/>
      <c r="P1364" s="9"/>
      <c r="Q1364" s="5"/>
      <c r="R1364" s="5"/>
      <c r="S1364" s="5"/>
      <c r="T1364" s="9"/>
      <c r="U1364" s="5"/>
      <c r="V1364" s="5">
        <v>0</v>
      </c>
      <c r="W1364" s="5"/>
      <c r="X1364" s="5"/>
      <c r="Y1364" s="5"/>
      <c r="Z1364" s="5"/>
      <c r="AA1364" s="5"/>
      <c r="AC1364" t="str">
        <f t="shared" si="190"/>
        <v/>
      </c>
      <c r="AD1364" t="str">
        <f t="shared" si="191"/>
        <v/>
      </c>
      <c r="AE1364" t="str">
        <f t="shared" si="192"/>
        <v/>
      </c>
      <c r="AF1364" t="str">
        <f t="shared" si="193"/>
        <v/>
      </c>
      <c r="AG1364" t="str">
        <f t="shared" si="194"/>
        <v/>
      </c>
      <c r="AH1364">
        <f t="shared" si="195"/>
        <v>1</v>
      </c>
      <c r="AI1364" t="str">
        <f t="shared" si="196"/>
        <v/>
      </c>
      <c r="AJ1364" t="str">
        <f t="shared" si="197"/>
        <v/>
      </c>
    </row>
    <row r="1365" spans="1:36">
      <c r="A1365" s="5">
        <v>1557</v>
      </c>
      <c r="B1365" s="5" t="s">
        <v>1394</v>
      </c>
      <c r="C1365" s="5" t="s">
        <v>1332</v>
      </c>
      <c r="D1365" s="5" t="s">
        <v>1359</v>
      </c>
      <c r="E1365" s="5" t="s">
        <v>1360</v>
      </c>
      <c r="F1365" s="5" t="str">
        <f t="shared" si="189"/>
        <v>Fundraising-Fund Administrator</v>
      </c>
      <c r="G1365" s="5" t="s">
        <v>147</v>
      </c>
      <c r="H1365" s="9">
        <v>44904.597222222219</v>
      </c>
      <c r="I1365" s="9">
        <v>44905.597222222219</v>
      </c>
      <c r="J1365" s="9" t="e">
        <f>I1365+#REF!</f>
        <v>#REF!</v>
      </c>
      <c r="K1365" s="9" t="e">
        <f>J1365+#REF!</f>
        <v>#REF!</v>
      </c>
      <c r="L1365" s="10" t="s">
        <v>41</v>
      </c>
      <c r="M1365" s="11">
        <v>44920.597222222219</v>
      </c>
      <c r="N1365" s="5" t="s">
        <v>42</v>
      </c>
      <c r="O1365" s="5" t="s">
        <v>43</v>
      </c>
      <c r="P1365" s="9"/>
      <c r="Q1365" s="5"/>
      <c r="R1365" s="5"/>
      <c r="S1365" s="5"/>
      <c r="T1365" s="9">
        <v>44923.597222222219</v>
      </c>
      <c r="U1365" s="5"/>
      <c r="V1365" s="5">
        <v>0</v>
      </c>
      <c r="W1365" s="5"/>
      <c r="X1365" s="5"/>
      <c r="Y1365" s="5"/>
      <c r="Z1365" s="5"/>
      <c r="AA1365" s="5" t="s">
        <v>44</v>
      </c>
      <c r="AC1365">
        <f t="shared" si="190"/>
        <v>15</v>
      </c>
      <c r="AD1365" t="str">
        <f t="shared" si="191"/>
        <v/>
      </c>
      <c r="AE1365">
        <f t="shared" si="192"/>
        <v>3</v>
      </c>
      <c r="AF1365" t="str">
        <f t="shared" si="193"/>
        <v/>
      </c>
      <c r="AG1365" t="str">
        <f t="shared" si="194"/>
        <v/>
      </c>
      <c r="AH1365">
        <f t="shared" si="195"/>
        <v>1</v>
      </c>
      <c r="AI1365" t="str">
        <f t="shared" si="196"/>
        <v/>
      </c>
      <c r="AJ1365" t="str">
        <f t="shared" si="197"/>
        <v/>
      </c>
    </row>
    <row r="1366" spans="1:36">
      <c r="A1366" s="5">
        <v>1559</v>
      </c>
      <c r="B1366" s="5" t="s">
        <v>1393</v>
      </c>
      <c r="C1366" s="5" t="s">
        <v>1332</v>
      </c>
      <c r="D1366" s="5" t="s">
        <v>1359</v>
      </c>
      <c r="E1366" s="5" t="s">
        <v>1360</v>
      </c>
      <c r="F1366" s="5" t="str">
        <f t="shared" si="189"/>
        <v>Fundraising-Fund Administrator</v>
      </c>
      <c r="G1366" s="5" t="s">
        <v>147</v>
      </c>
      <c r="H1366" s="9">
        <v>44902.597222222219</v>
      </c>
      <c r="I1366" s="9">
        <v>44904.597222222219</v>
      </c>
      <c r="J1366" s="9" t="e">
        <f>I1366+#REF!</f>
        <v>#REF!</v>
      </c>
      <c r="K1366" s="9" t="e">
        <f>J1366+#REF!</f>
        <v>#REF!</v>
      </c>
      <c r="L1366" s="10" t="s">
        <v>41</v>
      </c>
      <c r="M1366" s="11">
        <v>44918.597222222219</v>
      </c>
      <c r="N1366" s="5" t="s">
        <v>42</v>
      </c>
      <c r="O1366" s="5" t="s">
        <v>98</v>
      </c>
      <c r="P1366" s="9"/>
      <c r="Q1366" s="5"/>
      <c r="R1366" s="5"/>
      <c r="S1366" s="5"/>
      <c r="T1366" s="9">
        <v>44922.597222222219</v>
      </c>
      <c r="U1366" s="5"/>
      <c r="V1366" s="5">
        <v>0</v>
      </c>
      <c r="W1366" s="5"/>
      <c r="X1366" s="5"/>
      <c r="Y1366" s="5"/>
      <c r="Z1366" s="5"/>
      <c r="AA1366" s="5" t="s">
        <v>62</v>
      </c>
      <c r="AC1366">
        <f t="shared" si="190"/>
        <v>14</v>
      </c>
      <c r="AD1366" t="str">
        <f t="shared" si="191"/>
        <v/>
      </c>
      <c r="AE1366">
        <f t="shared" si="192"/>
        <v>4</v>
      </c>
      <c r="AF1366" t="str">
        <f t="shared" si="193"/>
        <v/>
      </c>
      <c r="AG1366" t="str">
        <f t="shared" si="194"/>
        <v/>
      </c>
      <c r="AH1366">
        <f t="shared" si="195"/>
        <v>2</v>
      </c>
      <c r="AI1366" t="str">
        <f t="shared" si="196"/>
        <v/>
      </c>
      <c r="AJ1366" t="str">
        <f t="shared" si="197"/>
        <v/>
      </c>
    </row>
    <row r="1367" spans="1:36">
      <c r="A1367" s="5">
        <v>1561</v>
      </c>
      <c r="B1367" s="5" t="s">
        <v>1756</v>
      </c>
      <c r="C1367" s="5" t="s">
        <v>1540</v>
      </c>
      <c r="D1367" s="5" t="s">
        <v>1706</v>
      </c>
      <c r="E1367" s="5" t="s">
        <v>269</v>
      </c>
      <c r="F1367" s="5" t="str">
        <f t="shared" si="189"/>
        <v>Finance-Manager</v>
      </c>
      <c r="G1367" s="5" t="s">
        <v>270</v>
      </c>
      <c r="H1367" s="9">
        <v>44640.490486111114</v>
      </c>
      <c r="I1367" s="9">
        <v>44641.490486111114</v>
      </c>
      <c r="J1367" s="9" t="e">
        <f>I1367+#REF!</f>
        <v>#REF!</v>
      </c>
      <c r="K1367" s="9" t="e">
        <f>J1367+#REF!</f>
        <v>#REF!</v>
      </c>
      <c r="L1367" s="10" t="s">
        <v>41</v>
      </c>
      <c r="M1367" s="11">
        <v>44656.490486111114</v>
      </c>
      <c r="N1367" s="5" t="s">
        <v>48</v>
      </c>
      <c r="O1367" s="5"/>
      <c r="P1367" s="9">
        <v>44663.490486111114</v>
      </c>
      <c r="Q1367" s="5" t="s">
        <v>48</v>
      </c>
      <c r="R1367" s="5"/>
      <c r="S1367" s="5"/>
      <c r="T1367" s="9">
        <v>44660.490486111114</v>
      </c>
      <c r="U1367" s="5"/>
      <c r="V1367" s="5">
        <v>0</v>
      </c>
      <c r="W1367" s="5"/>
      <c r="X1367" s="5"/>
      <c r="Y1367" s="5"/>
      <c r="Z1367" s="5"/>
      <c r="AA1367" s="5"/>
      <c r="AC1367">
        <f t="shared" si="190"/>
        <v>15</v>
      </c>
      <c r="AD1367" t="str">
        <f t="shared" si="191"/>
        <v/>
      </c>
      <c r="AE1367">
        <f t="shared" si="192"/>
        <v>4</v>
      </c>
      <c r="AF1367" t="str">
        <f t="shared" si="193"/>
        <v/>
      </c>
      <c r="AG1367" t="str">
        <f t="shared" si="194"/>
        <v/>
      </c>
      <c r="AH1367">
        <f t="shared" si="195"/>
        <v>1</v>
      </c>
      <c r="AI1367" t="str">
        <f t="shared" si="196"/>
        <v/>
      </c>
      <c r="AJ1367" t="str">
        <f t="shared" si="197"/>
        <v/>
      </c>
    </row>
    <row r="1368" spans="1:36">
      <c r="A1368" s="5">
        <v>1562</v>
      </c>
      <c r="B1368" s="5" t="s">
        <v>1639</v>
      </c>
      <c r="C1368" s="5" t="s">
        <v>1540</v>
      </c>
      <c r="D1368" s="5" t="s">
        <v>1588</v>
      </c>
      <c r="E1368" s="5" t="s">
        <v>1360</v>
      </c>
      <c r="F1368" s="5" t="str">
        <f t="shared" si="189"/>
        <v>Finance-Fund Administrator</v>
      </c>
      <c r="G1368" s="5" t="s">
        <v>147</v>
      </c>
      <c r="H1368" s="9">
        <v>44638.490486111114</v>
      </c>
      <c r="I1368" s="9">
        <v>44642.490486111114</v>
      </c>
      <c r="J1368" s="9" t="e">
        <f>I1368+#REF!</f>
        <v>#REF!</v>
      </c>
      <c r="K1368" s="9" t="e">
        <f>J1368+#REF!</f>
        <v>#REF!</v>
      </c>
      <c r="L1368" s="10" t="s">
        <v>41</v>
      </c>
      <c r="M1368" s="11">
        <v>44650.490486111114</v>
      </c>
      <c r="N1368" s="5" t="s">
        <v>64</v>
      </c>
      <c r="O1368" s="5"/>
      <c r="P1368" s="9">
        <v>44654.490486111114</v>
      </c>
      <c r="Q1368" s="5" t="s">
        <v>64</v>
      </c>
      <c r="R1368" s="9">
        <v>44651.490486111114</v>
      </c>
      <c r="S1368" s="9">
        <v>44654.490486111114</v>
      </c>
      <c r="T1368" s="9">
        <v>44652.490486111114</v>
      </c>
      <c r="U1368" s="9">
        <v>44658.490486111114</v>
      </c>
      <c r="V1368" s="12">
        <v>1</v>
      </c>
      <c r="W1368" s="9">
        <v>44661.490486111114</v>
      </c>
      <c r="X1368" s="9">
        <v>44663.490486111114</v>
      </c>
      <c r="Y1368" s="9">
        <v>44664.490486111114</v>
      </c>
      <c r="Z1368" s="5"/>
      <c r="AA1368" s="5"/>
      <c r="AB1368" s="13">
        <v>44675.490486111114</v>
      </c>
      <c r="AC1368">
        <f t="shared" si="190"/>
        <v>8</v>
      </c>
      <c r="AD1368">
        <f t="shared" si="191"/>
        <v>12</v>
      </c>
      <c r="AE1368">
        <f t="shared" si="192"/>
        <v>2</v>
      </c>
      <c r="AF1368">
        <f t="shared" si="193"/>
        <v>5</v>
      </c>
      <c r="AG1368">
        <f t="shared" si="194"/>
        <v>3</v>
      </c>
      <c r="AH1368">
        <f t="shared" si="195"/>
        <v>4</v>
      </c>
      <c r="AI1368" t="str">
        <f t="shared" si="196"/>
        <v/>
      </c>
      <c r="AJ1368" t="str">
        <f t="shared" si="197"/>
        <v/>
      </c>
    </row>
    <row r="1369" spans="1:36">
      <c r="A1369" s="5">
        <v>1563</v>
      </c>
      <c r="B1369" s="5" t="s">
        <v>2029</v>
      </c>
      <c r="C1369" s="5" t="s">
        <v>1540</v>
      </c>
      <c r="D1369" s="5" t="s">
        <v>1985</v>
      </c>
      <c r="E1369" s="5" t="s">
        <v>1986</v>
      </c>
      <c r="F1369" s="5" t="str">
        <f t="shared" si="189"/>
        <v>Finance-Revenue Recorgnition</v>
      </c>
      <c r="G1369" s="5" t="s">
        <v>47</v>
      </c>
      <c r="H1369" s="9">
        <v>44641.490486111114</v>
      </c>
      <c r="I1369" s="9">
        <v>44643.490486111114</v>
      </c>
      <c r="J1369" s="9" t="e">
        <f>I1369+#REF!</f>
        <v>#REF!</v>
      </c>
      <c r="K1369" s="9" t="e">
        <f>J1369+#REF!</f>
        <v>#REF!</v>
      </c>
      <c r="L1369" s="10" t="s">
        <v>52</v>
      </c>
      <c r="M1369" s="11"/>
      <c r="N1369" s="5"/>
      <c r="O1369" s="5"/>
      <c r="P1369" s="9"/>
      <c r="Q1369" s="5"/>
      <c r="R1369" s="5"/>
      <c r="S1369" s="5"/>
      <c r="T1369" s="9"/>
      <c r="U1369" s="5"/>
      <c r="V1369" s="5">
        <v>0</v>
      </c>
      <c r="W1369" s="5"/>
      <c r="X1369" s="5"/>
      <c r="Y1369" s="5"/>
      <c r="Z1369" s="5"/>
      <c r="AA1369" s="5"/>
      <c r="AC1369" t="str">
        <f t="shared" si="190"/>
        <v/>
      </c>
      <c r="AD1369" t="str">
        <f t="shared" si="191"/>
        <v/>
      </c>
      <c r="AE1369" t="str">
        <f t="shared" si="192"/>
        <v/>
      </c>
      <c r="AF1369" t="str">
        <f t="shared" si="193"/>
        <v/>
      </c>
      <c r="AG1369" t="str">
        <f t="shared" si="194"/>
        <v/>
      </c>
      <c r="AH1369">
        <f t="shared" si="195"/>
        <v>2</v>
      </c>
      <c r="AI1369" t="str">
        <f t="shared" si="196"/>
        <v/>
      </c>
      <c r="AJ1369" t="str">
        <f t="shared" si="197"/>
        <v/>
      </c>
    </row>
    <row r="1370" spans="1:36">
      <c r="A1370" s="5">
        <v>1564</v>
      </c>
      <c r="B1370" s="5" t="s">
        <v>1638</v>
      </c>
      <c r="C1370" s="5" t="s">
        <v>1540</v>
      </c>
      <c r="D1370" s="5" t="s">
        <v>1588</v>
      </c>
      <c r="E1370" s="5" t="s">
        <v>1360</v>
      </c>
      <c r="F1370" s="5" t="str">
        <f t="shared" si="189"/>
        <v>Finance-Fund Administrator</v>
      </c>
      <c r="G1370" s="5" t="s">
        <v>147</v>
      </c>
      <c r="H1370" s="9">
        <v>44635.490486111114</v>
      </c>
      <c r="I1370" s="9">
        <v>44639.490486111114</v>
      </c>
      <c r="J1370" s="9" t="e">
        <f>I1370+#REF!</f>
        <v>#REF!</v>
      </c>
      <c r="K1370" s="9" t="e">
        <f>J1370+#REF!</f>
        <v>#REF!</v>
      </c>
      <c r="L1370" s="10" t="s">
        <v>52</v>
      </c>
      <c r="M1370" s="11"/>
      <c r="N1370" s="5"/>
      <c r="O1370" s="5"/>
      <c r="P1370" s="9"/>
      <c r="Q1370" s="5"/>
      <c r="R1370" s="5"/>
      <c r="S1370" s="5"/>
      <c r="T1370" s="9"/>
      <c r="U1370" s="5"/>
      <c r="V1370" s="5">
        <v>0</v>
      </c>
      <c r="W1370" s="5"/>
      <c r="X1370" s="5"/>
      <c r="Y1370" s="5"/>
      <c r="Z1370" s="5"/>
      <c r="AA1370" s="5"/>
      <c r="AC1370" t="str">
        <f t="shared" si="190"/>
        <v/>
      </c>
      <c r="AD1370" t="str">
        <f t="shared" si="191"/>
        <v/>
      </c>
      <c r="AE1370" t="str">
        <f t="shared" si="192"/>
        <v/>
      </c>
      <c r="AF1370" t="str">
        <f t="shared" si="193"/>
        <v/>
      </c>
      <c r="AG1370" t="str">
        <f t="shared" si="194"/>
        <v/>
      </c>
      <c r="AH1370">
        <f t="shared" si="195"/>
        <v>4</v>
      </c>
      <c r="AI1370" t="str">
        <f t="shared" si="196"/>
        <v/>
      </c>
      <c r="AJ1370" t="str">
        <f t="shared" si="197"/>
        <v/>
      </c>
    </row>
    <row r="1371" spans="1:36">
      <c r="A1371" s="5">
        <v>1565</v>
      </c>
      <c r="B1371" s="5" t="s">
        <v>1755</v>
      </c>
      <c r="C1371" s="5" t="s">
        <v>1540</v>
      </c>
      <c r="D1371" s="5" t="s">
        <v>1706</v>
      </c>
      <c r="E1371" s="5" t="s">
        <v>269</v>
      </c>
      <c r="F1371" s="5" t="str">
        <f t="shared" si="189"/>
        <v>Finance-Manager</v>
      </c>
      <c r="G1371" s="5" t="s">
        <v>270</v>
      </c>
      <c r="H1371" s="9">
        <v>44635.490486111114</v>
      </c>
      <c r="I1371" s="9">
        <v>44639.490486111114</v>
      </c>
      <c r="J1371" s="9" t="e">
        <f>I1371+#REF!</f>
        <v>#REF!</v>
      </c>
      <c r="K1371" s="9" t="e">
        <f>J1371+#REF!</f>
        <v>#REF!</v>
      </c>
      <c r="L1371" s="10" t="s">
        <v>41</v>
      </c>
      <c r="M1371" s="11">
        <v>44651.490486111114</v>
      </c>
      <c r="N1371" s="5" t="s">
        <v>167</v>
      </c>
      <c r="O1371" s="5"/>
      <c r="P1371" s="9">
        <v>44655.490486111114</v>
      </c>
      <c r="Q1371" s="5" t="s">
        <v>167</v>
      </c>
      <c r="R1371" s="5"/>
      <c r="S1371" s="5"/>
      <c r="T1371" s="9">
        <v>44652.490486111114</v>
      </c>
      <c r="U1371" s="5"/>
      <c r="V1371" s="5">
        <v>0</v>
      </c>
      <c r="W1371" s="5"/>
      <c r="X1371" s="5"/>
      <c r="Y1371" s="5"/>
      <c r="Z1371" s="5"/>
      <c r="AA1371" s="5"/>
      <c r="AC1371">
        <f t="shared" si="190"/>
        <v>12</v>
      </c>
      <c r="AD1371" t="str">
        <f t="shared" si="191"/>
        <v/>
      </c>
      <c r="AE1371">
        <f t="shared" si="192"/>
        <v>1</v>
      </c>
      <c r="AF1371" t="str">
        <f t="shared" si="193"/>
        <v/>
      </c>
      <c r="AG1371" t="str">
        <f t="shared" si="194"/>
        <v/>
      </c>
      <c r="AH1371">
        <f t="shared" si="195"/>
        <v>4</v>
      </c>
      <c r="AI1371" t="str">
        <f t="shared" si="196"/>
        <v/>
      </c>
      <c r="AJ1371" t="str">
        <f t="shared" si="197"/>
        <v/>
      </c>
    </row>
    <row r="1372" spans="1:36">
      <c r="A1372" s="5">
        <v>1566</v>
      </c>
      <c r="B1372" s="5" t="s">
        <v>1754</v>
      </c>
      <c r="C1372" s="5" t="s">
        <v>1540</v>
      </c>
      <c r="D1372" s="5" t="s">
        <v>1706</v>
      </c>
      <c r="E1372" s="5" t="s">
        <v>269</v>
      </c>
      <c r="F1372" s="5" t="str">
        <f t="shared" si="189"/>
        <v>Finance-Manager</v>
      </c>
      <c r="G1372" s="5" t="s">
        <v>270</v>
      </c>
      <c r="H1372" s="9">
        <v>44638.490486111114</v>
      </c>
      <c r="I1372" s="9">
        <v>44641.490486111114</v>
      </c>
      <c r="J1372" s="9" t="e">
        <f>I1372+#REF!</f>
        <v>#REF!</v>
      </c>
      <c r="K1372" s="9" t="e">
        <f>J1372+#REF!</f>
        <v>#REF!</v>
      </c>
      <c r="L1372" s="10" t="s">
        <v>41</v>
      </c>
      <c r="M1372" s="11">
        <v>44652.490486111114</v>
      </c>
      <c r="N1372" s="5" t="s">
        <v>48</v>
      </c>
      <c r="O1372" s="5"/>
      <c r="P1372" s="9">
        <v>44657.490486111114</v>
      </c>
      <c r="Q1372" s="5" t="s">
        <v>48</v>
      </c>
      <c r="R1372" s="5"/>
      <c r="S1372" s="5"/>
      <c r="T1372" s="9">
        <v>44654.490486111114</v>
      </c>
      <c r="U1372" s="5"/>
      <c r="V1372" s="5">
        <v>0</v>
      </c>
      <c r="W1372" s="5"/>
      <c r="X1372" s="5"/>
      <c r="Y1372" s="5"/>
      <c r="Z1372" s="5"/>
      <c r="AA1372" s="5"/>
      <c r="AC1372">
        <f t="shared" si="190"/>
        <v>11</v>
      </c>
      <c r="AD1372" t="str">
        <f t="shared" si="191"/>
        <v/>
      </c>
      <c r="AE1372">
        <f t="shared" si="192"/>
        <v>2</v>
      </c>
      <c r="AF1372" t="str">
        <f t="shared" si="193"/>
        <v/>
      </c>
      <c r="AG1372" t="str">
        <f t="shared" si="194"/>
        <v/>
      </c>
      <c r="AH1372">
        <f t="shared" si="195"/>
        <v>3</v>
      </c>
      <c r="AI1372" t="str">
        <f t="shared" si="196"/>
        <v/>
      </c>
      <c r="AJ1372" t="str">
        <f t="shared" si="197"/>
        <v/>
      </c>
    </row>
    <row r="1373" spans="1:36">
      <c r="A1373" s="5">
        <v>1567</v>
      </c>
      <c r="B1373" s="5" t="s">
        <v>1637</v>
      </c>
      <c r="C1373" s="5" t="s">
        <v>1540</v>
      </c>
      <c r="D1373" s="5" t="s">
        <v>1588</v>
      </c>
      <c r="E1373" s="5" t="s">
        <v>1360</v>
      </c>
      <c r="F1373" s="5" t="str">
        <f t="shared" si="189"/>
        <v>Finance-Fund Administrator</v>
      </c>
      <c r="G1373" s="5" t="s">
        <v>147</v>
      </c>
      <c r="H1373" s="9">
        <v>44638.490486111114</v>
      </c>
      <c r="I1373" s="9">
        <v>44640.490486111114</v>
      </c>
      <c r="J1373" s="9" t="e">
        <f>I1373+#REF!</f>
        <v>#REF!</v>
      </c>
      <c r="K1373" s="9" t="e">
        <f>J1373+#REF!</f>
        <v>#REF!</v>
      </c>
      <c r="L1373" s="10" t="s">
        <v>41</v>
      </c>
      <c r="M1373" s="11">
        <v>44660.490486111114</v>
      </c>
      <c r="N1373" s="5" t="s">
        <v>64</v>
      </c>
      <c r="O1373" s="5"/>
      <c r="P1373" s="9">
        <v>44663.490486111114</v>
      </c>
      <c r="Q1373" s="5" t="s">
        <v>64</v>
      </c>
      <c r="R1373" s="9">
        <v>44661.490486111114</v>
      </c>
      <c r="S1373" s="9">
        <v>44663.490486111114</v>
      </c>
      <c r="T1373" s="9">
        <v>44662.490486111114</v>
      </c>
      <c r="U1373" s="9">
        <v>44670.490486111114</v>
      </c>
      <c r="V1373" s="12">
        <v>1</v>
      </c>
      <c r="W1373" s="9">
        <v>44673.490486111114</v>
      </c>
      <c r="X1373" s="9">
        <v>44676.490486111114</v>
      </c>
      <c r="Y1373" s="9">
        <v>44678.490486111114</v>
      </c>
      <c r="Z1373" s="5"/>
      <c r="AA1373" s="5"/>
      <c r="AB1373" s="13">
        <v>44687.490486111114</v>
      </c>
      <c r="AC1373">
        <f t="shared" si="190"/>
        <v>20</v>
      </c>
      <c r="AD1373">
        <f t="shared" si="191"/>
        <v>23</v>
      </c>
      <c r="AE1373">
        <f t="shared" si="192"/>
        <v>2</v>
      </c>
      <c r="AF1373">
        <f t="shared" si="193"/>
        <v>6</v>
      </c>
      <c r="AG1373">
        <f t="shared" si="194"/>
        <v>3</v>
      </c>
      <c r="AH1373">
        <f t="shared" si="195"/>
        <v>2</v>
      </c>
      <c r="AI1373" t="str">
        <f t="shared" si="196"/>
        <v/>
      </c>
      <c r="AJ1373" t="str">
        <f t="shared" si="197"/>
        <v/>
      </c>
    </row>
    <row r="1374" spans="1:36">
      <c r="A1374" s="5">
        <v>1568</v>
      </c>
      <c r="B1374" s="5" t="s">
        <v>1560</v>
      </c>
      <c r="C1374" s="5" t="s">
        <v>1540</v>
      </c>
      <c r="D1374" s="5" t="s">
        <v>1541</v>
      </c>
      <c r="E1374" s="5" t="s">
        <v>102</v>
      </c>
      <c r="F1374" s="5" t="str">
        <f t="shared" si="189"/>
        <v>Finance-Senior Manager</v>
      </c>
      <c r="G1374" s="5" t="s">
        <v>103</v>
      </c>
      <c r="H1374" s="9">
        <v>44640.490486111114</v>
      </c>
      <c r="I1374" s="9">
        <v>44641.490486111114</v>
      </c>
      <c r="J1374" s="9" t="e">
        <f>I1374+#REF!</f>
        <v>#REF!</v>
      </c>
      <c r="K1374" s="9" t="e">
        <f>J1374+#REF!</f>
        <v>#REF!</v>
      </c>
      <c r="L1374" s="10" t="s">
        <v>41</v>
      </c>
      <c r="M1374" s="11">
        <v>44654.490486111114</v>
      </c>
      <c r="N1374" s="5" t="s">
        <v>42</v>
      </c>
      <c r="O1374" s="5" t="s">
        <v>58</v>
      </c>
      <c r="P1374" s="9"/>
      <c r="Q1374" s="5"/>
      <c r="R1374" s="5"/>
      <c r="S1374" s="5"/>
      <c r="T1374" s="9"/>
      <c r="U1374" s="5"/>
      <c r="V1374" s="5">
        <v>0</v>
      </c>
      <c r="W1374" s="5"/>
      <c r="X1374" s="5"/>
      <c r="Y1374" s="5"/>
      <c r="Z1374" s="5"/>
      <c r="AA1374" s="5" t="s">
        <v>44</v>
      </c>
      <c r="AC1374">
        <f t="shared" si="190"/>
        <v>13</v>
      </c>
      <c r="AD1374" t="str">
        <f t="shared" si="191"/>
        <v/>
      </c>
      <c r="AE1374" t="str">
        <f t="shared" si="192"/>
        <v/>
      </c>
      <c r="AF1374" t="str">
        <f t="shared" si="193"/>
        <v/>
      </c>
      <c r="AG1374" t="str">
        <f t="shared" si="194"/>
        <v/>
      </c>
      <c r="AH1374">
        <f t="shared" si="195"/>
        <v>1</v>
      </c>
      <c r="AI1374" t="str">
        <f t="shared" si="196"/>
        <v/>
      </c>
      <c r="AJ1374" t="str">
        <f t="shared" si="197"/>
        <v/>
      </c>
    </row>
    <row r="1375" spans="1:36">
      <c r="A1375" s="5">
        <v>1570</v>
      </c>
      <c r="B1375" s="5" t="s">
        <v>1873</v>
      </c>
      <c r="C1375" s="5" t="s">
        <v>1540</v>
      </c>
      <c r="D1375" s="5" t="s">
        <v>1820</v>
      </c>
      <c r="E1375" s="5" t="s">
        <v>1862</v>
      </c>
      <c r="F1375" s="5" t="str">
        <f t="shared" si="189"/>
        <v>Finance-Billing Officer</v>
      </c>
      <c r="G1375" s="5" t="s">
        <v>40</v>
      </c>
      <c r="H1375" s="9">
        <v>44637.490486111114</v>
      </c>
      <c r="I1375" s="9">
        <v>44641.490486111114</v>
      </c>
      <c r="J1375" s="9" t="e">
        <f>I1375+#REF!</f>
        <v>#REF!</v>
      </c>
      <c r="K1375" s="9" t="e">
        <f>J1375+#REF!</f>
        <v>#REF!</v>
      </c>
      <c r="L1375" s="10" t="s">
        <v>41</v>
      </c>
      <c r="M1375" s="11">
        <v>44647.490486111114</v>
      </c>
      <c r="N1375" s="5" t="s">
        <v>42</v>
      </c>
      <c r="O1375" s="5" t="s">
        <v>98</v>
      </c>
      <c r="P1375" s="9"/>
      <c r="Q1375" s="5"/>
      <c r="R1375" s="5"/>
      <c r="S1375" s="5"/>
      <c r="T1375" s="9">
        <v>44651.490486111114</v>
      </c>
      <c r="U1375" s="5"/>
      <c r="V1375" s="5">
        <v>0</v>
      </c>
      <c r="W1375" s="5"/>
      <c r="X1375" s="5"/>
      <c r="Y1375" s="5"/>
      <c r="Z1375" s="5"/>
      <c r="AA1375" s="5" t="s">
        <v>62</v>
      </c>
      <c r="AC1375">
        <f t="shared" si="190"/>
        <v>6</v>
      </c>
      <c r="AD1375" t="str">
        <f t="shared" si="191"/>
        <v/>
      </c>
      <c r="AE1375">
        <f t="shared" si="192"/>
        <v>4</v>
      </c>
      <c r="AF1375" t="str">
        <f t="shared" si="193"/>
        <v/>
      </c>
      <c r="AG1375" t="str">
        <f t="shared" si="194"/>
        <v/>
      </c>
      <c r="AH1375">
        <f t="shared" si="195"/>
        <v>4</v>
      </c>
      <c r="AI1375" t="str">
        <f t="shared" si="196"/>
        <v/>
      </c>
      <c r="AJ1375" t="str">
        <f t="shared" si="197"/>
        <v/>
      </c>
    </row>
    <row r="1376" spans="1:36">
      <c r="A1376" s="5">
        <v>1571</v>
      </c>
      <c r="B1376" s="5" t="s">
        <v>1235</v>
      </c>
      <c r="C1376" s="10" t="s">
        <v>1215</v>
      </c>
      <c r="D1376" s="5" t="s">
        <v>1216</v>
      </c>
      <c r="E1376" s="5" t="s">
        <v>269</v>
      </c>
      <c r="F1376" s="5" t="str">
        <f t="shared" si="189"/>
        <v>HR-Manager</v>
      </c>
      <c r="G1376" s="5" t="s">
        <v>270</v>
      </c>
      <c r="H1376" s="9">
        <v>44808.733078703706</v>
      </c>
      <c r="I1376" s="9">
        <v>44812.733078703706</v>
      </c>
      <c r="J1376" s="9" t="e">
        <f>I1376+#REF!</f>
        <v>#REF!</v>
      </c>
      <c r="K1376" s="9" t="e">
        <f>J1376+#REF!</f>
        <v>#REF!</v>
      </c>
      <c r="L1376" s="10" t="s">
        <v>41</v>
      </c>
      <c r="M1376" s="11">
        <v>44827.733078703706</v>
      </c>
      <c r="N1376" s="5" t="s">
        <v>42</v>
      </c>
      <c r="O1376" s="5" t="s">
        <v>58</v>
      </c>
      <c r="P1376" s="9"/>
      <c r="Q1376" s="5"/>
      <c r="R1376" s="5"/>
      <c r="S1376" s="5"/>
      <c r="T1376" s="9"/>
      <c r="U1376" s="5"/>
      <c r="V1376" s="5">
        <v>0</v>
      </c>
      <c r="W1376" s="5"/>
      <c r="X1376" s="5"/>
      <c r="Y1376" s="5"/>
      <c r="Z1376" s="5"/>
      <c r="AA1376" s="5" t="s">
        <v>44</v>
      </c>
      <c r="AC1376">
        <f t="shared" si="190"/>
        <v>15</v>
      </c>
      <c r="AD1376" t="str">
        <f t="shared" si="191"/>
        <v/>
      </c>
      <c r="AE1376" t="str">
        <f t="shared" si="192"/>
        <v/>
      </c>
      <c r="AF1376" t="str">
        <f t="shared" si="193"/>
        <v/>
      </c>
      <c r="AG1376" t="str">
        <f t="shared" si="194"/>
        <v/>
      </c>
      <c r="AH1376">
        <f t="shared" si="195"/>
        <v>4</v>
      </c>
      <c r="AI1376" t="str">
        <f t="shared" si="196"/>
        <v/>
      </c>
      <c r="AJ1376" t="str">
        <f t="shared" si="197"/>
        <v/>
      </c>
    </row>
    <row r="1377" spans="1:36">
      <c r="A1377" s="5">
        <v>1574</v>
      </c>
      <c r="B1377" s="5" t="s">
        <v>1204</v>
      </c>
      <c r="C1377" s="10" t="s">
        <v>1122</v>
      </c>
      <c r="D1377" s="5" t="s">
        <v>1191</v>
      </c>
      <c r="E1377" s="5" t="s">
        <v>269</v>
      </c>
      <c r="F1377" s="5" t="str">
        <f t="shared" si="189"/>
        <v>IT-Manager</v>
      </c>
      <c r="G1377" s="5" t="s">
        <v>270</v>
      </c>
      <c r="H1377" s="9">
        <v>44809.733078703706</v>
      </c>
      <c r="I1377" s="9">
        <v>44810.733078703706</v>
      </c>
      <c r="J1377" s="9" t="e">
        <f>I1377+#REF!</f>
        <v>#REF!</v>
      </c>
      <c r="K1377" s="9" t="e">
        <f>J1377+#REF!</f>
        <v>#REF!</v>
      </c>
      <c r="L1377" s="10" t="s">
        <v>41</v>
      </c>
      <c r="M1377" s="11">
        <v>44824.733078703706</v>
      </c>
      <c r="N1377" s="5" t="s">
        <v>48</v>
      </c>
      <c r="O1377" s="5"/>
      <c r="P1377" s="9">
        <v>44831.733078703706</v>
      </c>
      <c r="Q1377" s="5" t="s">
        <v>48</v>
      </c>
      <c r="R1377" s="5"/>
      <c r="S1377" s="5"/>
      <c r="T1377" s="9">
        <v>44828.733078703706</v>
      </c>
      <c r="U1377" s="5"/>
      <c r="V1377" s="5">
        <v>0</v>
      </c>
      <c r="W1377" s="5"/>
      <c r="X1377" s="5"/>
      <c r="Y1377" s="5"/>
      <c r="Z1377" s="5"/>
      <c r="AA1377" s="5"/>
      <c r="AC1377">
        <f t="shared" si="190"/>
        <v>14</v>
      </c>
      <c r="AD1377" t="str">
        <f t="shared" si="191"/>
        <v/>
      </c>
      <c r="AE1377">
        <f t="shared" si="192"/>
        <v>4</v>
      </c>
      <c r="AF1377" t="str">
        <f t="shared" si="193"/>
        <v/>
      </c>
      <c r="AG1377" t="str">
        <f t="shared" si="194"/>
        <v/>
      </c>
      <c r="AH1377">
        <f t="shared" si="195"/>
        <v>1</v>
      </c>
      <c r="AI1377" t="str">
        <f t="shared" si="196"/>
        <v/>
      </c>
      <c r="AJ1377" t="str">
        <f t="shared" si="197"/>
        <v/>
      </c>
    </row>
    <row r="1378" spans="1:36">
      <c r="A1378" s="5">
        <v>1576</v>
      </c>
      <c r="B1378" s="5" t="s">
        <v>2178</v>
      </c>
      <c r="C1378" s="10" t="s">
        <v>2089</v>
      </c>
      <c r="D1378" s="5" t="s">
        <v>2167</v>
      </c>
      <c r="E1378" s="5" t="s">
        <v>269</v>
      </c>
      <c r="F1378" s="5" t="str">
        <f t="shared" si="189"/>
        <v>Communication and Advocacy-Manager</v>
      </c>
      <c r="G1378" s="5" t="s">
        <v>270</v>
      </c>
      <c r="H1378" s="9">
        <v>44805.733078703706</v>
      </c>
      <c r="I1378" s="9">
        <v>44807.733078703706</v>
      </c>
      <c r="J1378" s="9" t="e">
        <f>I1378+#REF!</f>
        <v>#REF!</v>
      </c>
      <c r="K1378" s="9" t="e">
        <f>J1378+#REF!</f>
        <v>#REF!</v>
      </c>
      <c r="L1378" s="10" t="s">
        <v>41</v>
      </c>
      <c r="M1378" s="11">
        <v>44828.733078703706</v>
      </c>
      <c r="N1378" s="5" t="s">
        <v>64</v>
      </c>
      <c r="O1378" s="5"/>
      <c r="P1378" s="9">
        <v>44833.733078703706</v>
      </c>
      <c r="Q1378" s="5" t="s">
        <v>64</v>
      </c>
      <c r="R1378" s="9">
        <v>44830.733078703706</v>
      </c>
      <c r="S1378" s="9">
        <v>44832.733078703706</v>
      </c>
      <c r="T1378" s="9">
        <v>44831.733078703706</v>
      </c>
      <c r="U1378" s="9">
        <v>44834.733078703706</v>
      </c>
      <c r="V1378" s="12">
        <v>1</v>
      </c>
      <c r="W1378" s="9">
        <v>44836.733078703706</v>
      </c>
      <c r="X1378" s="9">
        <v>44837.733078703706</v>
      </c>
      <c r="Y1378" s="9">
        <v>44840.733078703706</v>
      </c>
      <c r="Z1378" s="5"/>
      <c r="AA1378" s="5"/>
      <c r="AB1378" s="13">
        <v>44858.733078703706</v>
      </c>
      <c r="AC1378">
        <f t="shared" si="190"/>
        <v>21</v>
      </c>
      <c r="AD1378">
        <f t="shared" si="191"/>
        <v>25</v>
      </c>
      <c r="AE1378">
        <f t="shared" si="192"/>
        <v>3</v>
      </c>
      <c r="AF1378">
        <f t="shared" si="193"/>
        <v>3</v>
      </c>
      <c r="AG1378">
        <f t="shared" si="194"/>
        <v>2</v>
      </c>
      <c r="AH1378">
        <f t="shared" si="195"/>
        <v>2</v>
      </c>
      <c r="AI1378" t="str">
        <f t="shared" si="196"/>
        <v/>
      </c>
      <c r="AJ1378" t="str">
        <f t="shared" si="197"/>
        <v/>
      </c>
    </row>
    <row r="1379" spans="1:36">
      <c r="A1379" s="5">
        <v>1577</v>
      </c>
      <c r="B1379" s="5" t="s">
        <v>683</v>
      </c>
      <c r="C1379" s="10" t="s">
        <v>671</v>
      </c>
      <c r="D1379" s="5" t="s">
        <v>672</v>
      </c>
      <c r="E1379" s="5" t="s">
        <v>673</v>
      </c>
      <c r="F1379" s="5" t="str">
        <f t="shared" si="189"/>
        <v>Operations-Controller</v>
      </c>
      <c r="G1379" s="5" t="s">
        <v>40</v>
      </c>
      <c r="H1379" s="9">
        <v>44805.733078703706</v>
      </c>
      <c r="I1379" s="9">
        <v>44807.733078703706</v>
      </c>
      <c r="J1379" s="9" t="e">
        <f>I1379+#REF!</f>
        <v>#REF!</v>
      </c>
      <c r="K1379" s="9" t="e">
        <f>J1379+#REF!</f>
        <v>#REF!</v>
      </c>
      <c r="L1379" s="10" t="s">
        <v>52</v>
      </c>
      <c r="M1379" s="11"/>
      <c r="N1379" s="5"/>
      <c r="O1379" s="5"/>
      <c r="P1379" s="9"/>
      <c r="Q1379" s="5"/>
      <c r="R1379" s="5"/>
      <c r="S1379" s="5"/>
      <c r="T1379" s="9"/>
      <c r="U1379" s="5"/>
      <c r="V1379" s="5">
        <v>0</v>
      </c>
      <c r="W1379" s="5"/>
      <c r="X1379" s="5"/>
      <c r="Y1379" s="5"/>
      <c r="Z1379" s="5"/>
      <c r="AA1379" s="5"/>
      <c r="AC1379" t="str">
        <f t="shared" si="190"/>
        <v/>
      </c>
      <c r="AD1379" t="str">
        <f t="shared" si="191"/>
        <v/>
      </c>
      <c r="AE1379" t="str">
        <f t="shared" si="192"/>
        <v/>
      </c>
      <c r="AF1379" t="str">
        <f t="shared" si="193"/>
        <v/>
      </c>
      <c r="AG1379" t="str">
        <f t="shared" si="194"/>
        <v/>
      </c>
      <c r="AH1379">
        <f t="shared" si="195"/>
        <v>2</v>
      </c>
      <c r="AI1379" t="str">
        <f t="shared" si="196"/>
        <v/>
      </c>
      <c r="AJ1379" t="str">
        <f t="shared" si="197"/>
        <v/>
      </c>
    </row>
    <row r="1380" spans="1:36">
      <c r="A1380" s="5">
        <v>1579</v>
      </c>
      <c r="B1380" s="5" t="s">
        <v>2177</v>
      </c>
      <c r="C1380" s="10" t="s">
        <v>2089</v>
      </c>
      <c r="D1380" s="5" t="s">
        <v>2167</v>
      </c>
      <c r="E1380" s="5" t="s">
        <v>269</v>
      </c>
      <c r="F1380" s="5" t="str">
        <f t="shared" si="189"/>
        <v>Communication and Advocacy-Manager</v>
      </c>
      <c r="G1380" s="5" t="s">
        <v>270</v>
      </c>
      <c r="H1380" s="9">
        <v>44809.733078703706</v>
      </c>
      <c r="I1380" s="9">
        <v>44812.733078703706</v>
      </c>
      <c r="J1380" s="9" t="e">
        <f>I1380+#REF!</f>
        <v>#REF!</v>
      </c>
      <c r="K1380" s="9" t="e">
        <f>J1380+#REF!</f>
        <v>#REF!</v>
      </c>
      <c r="L1380" s="10" t="s">
        <v>41</v>
      </c>
      <c r="M1380" s="11">
        <v>44820.733078703706</v>
      </c>
      <c r="N1380" s="5" t="s">
        <v>64</v>
      </c>
      <c r="O1380" s="5"/>
      <c r="P1380" s="9">
        <v>44823.733078703706</v>
      </c>
      <c r="Q1380" s="5" t="s">
        <v>64</v>
      </c>
      <c r="R1380" s="9">
        <v>44822.733078703706</v>
      </c>
      <c r="S1380" s="9">
        <v>44826.733078703706</v>
      </c>
      <c r="T1380" s="9">
        <v>44822.733078703706</v>
      </c>
      <c r="U1380" s="9">
        <v>44830.733078703706</v>
      </c>
      <c r="V1380" s="12">
        <v>1</v>
      </c>
      <c r="W1380" s="9">
        <v>44833.733078703706</v>
      </c>
      <c r="X1380" s="9">
        <v>44836.733078703706</v>
      </c>
      <c r="Y1380" s="9">
        <v>44838.733078703706</v>
      </c>
      <c r="Z1380" s="5"/>
      <c r="AA1380" s="5"/>
      <c r="AB1380" s="13">
        <v>44854.733078703706</v>
      </c>
      <c r="AC1380">
        <f t="shared" si="190"/>
        <v>8</v>
      </c>
      <c r="AD1380">
        <f t="shared" si="191"/>
        <v>14</v>
      </c>
      <c r="AE1380">
        <f t="shared" si="192"/>
        <v>2</v>
      </c>
      <c r="AF1380">
        <f t="shared" si="193"/>
        <v>6</v>
      </c>
      <c r="AG1380">
        <f t="shared" si="194"/>
        <v>3</v>
      </c>
      <c r="AH1380">
        <f t="shared" si="195"/>
        <v>3</v>
      </c>
      <c r="AI1380" t="str">
        <f t="shared" si="196"/>
        <v/>
      </c>
      <c r="AJ1380" t="str">
        <f t="shared" si="197"/>
        <v/>
      </c>
    </row>
    <row r="1381" spans="1:36">
      <c r="A1381" s="5">
        <v>1580</v>
      </c>
      <c r="B1381" s="5" t="s">
        <v>1234</v>
      </c>
      <c r="C1381" s="10" t="s">
        <v>1215</v>
      </c>
      <c r="D1381" s="5" t="s">
        <v>1216</v>
      </c>
      <c r="E1381" s="5" t="s">
        <v>269</v>
      </c>
      <c r="F1381" s="5" t="str">
        <f t="shared" si="189"/>
        <v>HR-Manager</v>
      </c>
      <c r="G1381" s="5" t="s">
        <v>270</v>
      </c>
      <c r="H1381" s="9">
        <v>44807.733078703706</v>
      </c>
      <c r="I1381" s="9">
        <v>44811.733078703706</v>
      </c>
      <c r="J1381" s="9" t="e">
        <f>I1381+#REF!</f>
        <v>#REF!</v>
      </c>
      <c r="K1381" s="9" t="e">
        <f>J1381+#REF!</f>
        <v>#REF!</v>
      </c>
      <c r="L1381" s="10" t="s">
        <v>41</v>
      </c>
      <c r="M1381" s="11">
        <v>44818.733078703706</v>
      </c>
      <c r="N1381" s="5" t="s">
        <v>42</v>
      </c>
      <c r="O1381" s="5" t="s">
        <v>113</v>
      </c>
      <c r="P1381" s="9"/>
      <c r="Q1381" s="5"/>
      <c r="R1381" s="5"/>
      <c r="S1381" s="5"/>
      <c r="T1381" s="9">
        <v>44820.733078703706</v>
      </c>
      <c r="U1381" s="5"/>
      <c r="V1381" s="5">
        <v>0</v>
      </c>
      <c r="W1381" s="5"/>
      <c r="X1381" s="5"/>
      <c r="Y1381" s="5"/>
      <c r="Z1381" s="5"/>
      <c r="AA1381" s="5" t="s">
        <v>62</v>
      </c>
      <c r="AC1381">
        <f t="shared" si="190"/>
        <v>7</v>
      </c>
      <c r="AD1381" t="str">
        <f t="shared" si="191"/>
        <v/>
      </c>
      <c r="AE1381">
        <f t="shared" si="192"/>
        <v>2</v>
      </c>
      <c r="AF1381" t="str">
        <f t="shared" si="193"/>
        <v/>
      </c>
      <c r="AG1381" t="str">
        <f t="shared" si="194"/>
        <v/>
      </c>
      <c r="AH1381">
        <f t="shared" si="195"/>
        <v>4</v>
      </c>
      <c r="AI1381" t="str">
        <f t="shared" si="196"/>
        <v/>
      </c>
      <c r="AJ1381" t="str">
        <f t="shared" si="197"/>
        <v/>
      </c>
    </row>
    <row r="1382" spans="1:36">
      <c r="A1382" s="5">
        <v>1581</v>
      </c>
      <c r="B1382" s="5" t="s">
        <v>1559</v>
      </c>
      <c r="C1382" s="5" t="s">
        <v>1540</v>
      </c>
      <c r="D1382" s="5" t="s">
        <v>1541</v>
      </c>
      <c r="E1382" s="5" t="s">
        <v>102</v>
      </c>
      <c r="F1382" s="5" t="str">
        <f t="shared" si="189"/>
        <v>Finance-Senior Manager</v>
      </c>
      <c r="G1382" s="5" t="s">
        <v>103</v>
      </c>
      <c r="H1382" s="9">
        <v>45180.840821759259</v>
      </c>
      <c r="I1382" s="9">
        <v>45184.840821759259</v>
      </c>
      <c r="J1382" s="9" t="e">
        <f>I1382+#REF!</f>
        <v>#REF!</v>
      </c>
      <c r="K1382" s="9" t="e">
        <f>J1382+#REF!</f>
        <v>#REF!</v>
      </c>
      <c r="L1382" s="10" t="s">
        <v>41</v>
      </c>
      <c r="M1382" s="11">
        <v>45198.840821759259</v>
      </c>
      <c r="N1382" s="5" t="s">
        <v>42</v>
      </c>
      <c r="O1382" s="5" t="s">
        <v>58</v>
      </c>
      <c r="P1382" s="9"/>
      <c r="Q1382" s="5"/>
      <c r="R1382" s="5"/>
      <c r="S1382" s="5"/>
      <c r="T1382" s="9"/>
      <c r="U1382" s="5"/>
      <c r="V1382" s="5">
        <v>0</v>
      </c>
      <c r="W1382" s="5"/>
      <c r="X1382" s="5"/>
      <c r="Y1382" s="5"/>
      <c r="Z1382" s="5"/>
      <c r="AA1382" s="5" t="s">
        <v>44</v>
      </c>
      <c r="AC1382">
        <f t="shared" si="190"/>
        <v>14</v>
      </c>
      <c r="AD1382" t="str">
        <f t="shared" si="191"/>
        <v/>
      </c>
      <c r="AE1382" t="str">
        <f t="shared" si="192"/>
        <v/>
      </c>
      <c r="AF1382" t="str">
        <f t="shared" si="193"/>
        <v/>
      </c>
      <c r="AG1382" t="str">
        <f t="shared" si="194"/>
        <v/>
      </c>
      <c r="AH1382">
        <f t="shared" si="195"/>
        <v>4</v>
      </c>
      <c r="AI1382" t="str">
        <f t="shared" si="196"/>
        <v/>
      </c>
      <c r="AJ1382" t="str">
        <f t="shared" si="197"/>
        <v/>
      </c>
    </row>
    <row r="1383" spans="1:36">
      <c r="A1383" s="5">
        <v>1582</v>
      </c>
      <c r="B1383" s="5" t="s">
        <v>1872</v>
      </c>
      <c r="C1383" s="5" t="s">
        <v>1540</v>
      </c>
      <c r="D1383" s="5" t="s">
        <v>1820</v>
      </c>
      <c r="E1383" s="5" t="s">
        <v>1862</v>
      </c>
      <c r="F1383" s="5" t="str">
        <f t="shared" si="189"/>
        <v>Finance-Billing Officer</v>
      </c>
      <c r="G1383" s="5" t="s">
        <v>40</v>
      </c>
      <c r="H1383" s="9">
        <v>45184.840821759259</v>
      </c>
      <c r="I1383" s="9">
        <v>45187.840821759259</v>
      </c>
      <c r="J1383" s="9" t="e">
        <f>I1383+#REF!</f>
        <v>#REF!</v>
      </c>
      <c r="K1383" s="9" t="e">
        <f>J1383+#REF!</f>
        <v>#REF!</v>
      </c>
      <c r="L1383" s="10" t="s">
        <v>41</v>
      </c>
      <c r="M1383" s="11">
        <v>45199.840821759259</v>
      </c>
      <c r="N1383" s="5" t="s">
        <v>42</v>
      </c>
      <c r="O1383" s="5" t="s">
        <v>43</v>
      </c>
      <c r="P1383" s="9"/>
      <c r="Q1383" s="5"/>
      <c r="R1383" s="5"/>
      <c r="S1383" s="5"/>
      <c r="T1383" s="9"/>
      <c r="U1383" s="5"/>
      <c r="V1383" s="5">
        <v>0</v>
      </c>
      <c r="W1383" s="5"/>
      <c r="X1383" s="5"/>
      <c r="Y1383" s="5"/>
      <c r="Z1383" s="5"/>
      <c r="AA1383" s="5" t="s">
        <v>62</v>
      </c>
      <c r="AC1383">
        <f t="shared" si="190"/>
        <v>12</v>
      </c>
      <c r="AD1383" t="str">
        <f t="shared" si="191"/>
        <v/>
      </c>
      <c r="AE1383" t="str">
        <f t="shared" si="192"/>
        <v/>
      </c>
      <c r="AF1383" t="str">
        <f t="shared" si="193"/>
        <v/>
      </c>
      <c r="AG1383" t="str">
        <f t="shared" si="194"/>
        <v/>
      </c>
      <c r="AH1383">
        <f t="shared" si="195"/>
        <v>3</v>
      </c>
      <c r="AI1383" t="str">
        <f t="shared" si="196"/>
        <v/>
      </c>
      <c r="AJ1383" t="str">
        <f t="shared" si="197"/>
        <v/>
      </c>
    </row>
    <row r="1384" spans="1:36">
      <c r="A1384" s="5">
        <v>1583</v>
      </c>
      <c r="B1384" s="5" t="s">
        <v>2028</v>
      </c>
      <c r="C1384" s="5" t="s">
        <v>1540</v>
      </c>
      <c r="D1384" s="5" t="s">
        <v>1985</v>
      </c>
      <c r="E1384" s="5" t="s">
        <v>1986</v>
      </c>
      <c r="F1384" s="5" t="str">
        <f t="shared" si="189"/>
        <v>Finance-Revenue Recorgnition</v>
      </c>
      <c r="G1384" s="5" t="s">
        <v>47</v>
      </c>
      <c r="H1384" s="9">
        <v>45182.840821759259</v>
      </c>
      <c r="I1384" s="9">
        <v>45184.840821759259</v>
      </c>
      <c r="J1384" s="9" t="e">
        <f>I1384+#REF!</f>
        <v>#REF!</v>
      </c>
      <c r="K1384" s="9" t="e">
        <f>J1384+#REF!</f>
        <v>#REF!</v>
      </c>
      <c r="L1384" s="10" t="s">
        <v>41</v>
      </c>
      <c r="M1384" s="11">
        <v>45198.840821759259</v>
      </c>
      <c r="N1384" s="5" t="s">
        <v>42</v>
      </c>
      <c r="O1384" s="5" t="s">
        <v>113</v>
      </c>
      <c r="P1384" s="9"/>
      <c r="Q1384" s="5"/>
      <c r="R1384" s="5"/>
      <c r="S1384" s="5"/>
      <c r="T1384" s="9"/>
      <c r="U1384" s="5"/>
      <c r="V1384" s="5">
        <v>0</v>
      </c>
      <c r="W1384" s="5"/>
      <c r="X1384" s="5"/>
      <c r="Y1384" s="5"/>
      <c r="Z1384" s="5"/>
      <c r="AA1384" s="5" t="s">
        <v>44</v>
      </c>
      <c r="AC1384">
        <f t="shared" si="190"/>
        <v>14</v>
      </c>
      <c r="AD1384" t="str">
        <f t="shared" si="191"/>
        <v/>
      </c>
      <c r="AE1384" t="str">
        <f t="shared" si="192"/>
        <v/>
      </c>
      <c r="AF1384" t="str">
        <f t="shared" si="193"/>
        <v/>
      </c>
      <c r="AG1384" t="str">
        <f t="shared" si="194"/>
        <v/>
      </c>
      <c r="AH1384">
        <f t="shared" si="195"/>
        <v>2</v>
      </c>
      <c r="AI1384" t="str">
        <f t="shared" si="196"/>
        <v/>
      </c>
      <c r="AJ1384" t="str">
        <f t="shared" si="197"/>
        <v/>
      </c>
    </row>
    <row r="1385" spans="1:36">
      <c r="A1385" s="5">
        <v>1584</v>
      </c>
      <c r="B1385" s="5" t="s">
        <v>2027</v>
      </c>
      <c r="C1385" s="5" t="s">
        <v>1540</v>
      </c>
      <c r="D1385" s="5" t="s">
        <v>1985</v>
      </c>
      <c r="E1385" s="5" t="s">
        <v>1986</v>
      </c>
      <c r="F1385" s="5" t="str">
        <f t="shared" si="189"/>
        <v>Finance-Revenue Recorgnition</v>
      </c>
      <c r="G1385" s="5" t="s">
        <v>47</v>
      </c>
      <c r="H1385" s="9">
        <v>45181.840821759259</v>
      </c>
      <c r="I1385" s="9">
        <v>45184.840821759259</v>
      </c>
      <c r="J1385" s="9" t="e">
        <f>I1385+#REF!</f>
        <v>#REF!</v>
      </c>
      <c r="K1385" s="9" t="e">
        <f>J1385+#REF!</f>
        <v>#REF!</v>
      </c>
      <c r="L1385" s="10" t="s">
        <v>41</v>
      </c>
      <c r="M1385" s="11">
        <v>45191.840821759259</v>
      </c>
      <c r="N1385" s="5" t="s">
        <v>167</v>
      </c>
      <c r="O1385" s="5"/>
      <c r="P1385" s="9">
        <v>45197.840821759259</v>
      </c>
      <c r="Q1385" s="5" t="s">
        <v>167</v>
      </c>
      <c r="R1385" s="5"/>
      <c r="S1385" s="5"/>
      <c r="T1385" s="9">
        <v>45193.840821759259</v>
      </c>
      <c r="U1385" s="5"/>
      <c r="V1385" s="5">
        <v>0</v>
      </c>
      <c r="W1385" s="5"/>
      <c r="X1385" s="5"/>
      <c r="Y1385" s="5"/>
      <c r="Z1385" s="5"/>
      <c r="AA1385" s="5"/>
      <c r="AC1385">
        <f t="shared" si="190"/>
        <v>7</v>
      </c>
      <c r="AD1385" t="str">
        <f t="shared" si="191"/>
        <v/>
      </c>
      <c r="AE1385">
        <f t="shared" si="192"/>
        <v>2</v>
      </c>
      <c r="AF1385" t="str">
        <f t="shared" si="193"/>
        <v/>
      </c>
      <c r="AG1385" t="str">
        <f t="shared" si="194"/>
        <v/>
      </c>
      <c r="AH1385">
        <f t="shared" si="195"/>
        <v>3</v>
      </c>
      <c r="AI1385" t="str">
        <f t="shared" si="196"/>
        <v/>
      </c>
      <c r="AJ1385" t="str">
        <f t="shared" si="197"/>
        <v/>
      </c>
    </row>
    <row r="1386" spans="1:36">
      <c r="A1386" s="5">
        <v>1585</v>
      </c>
      <c r="B1386" s="5" t="s">
        <v>1558</v>
      </c>
      <c r="C1386" s="5" t="s">
        <v>1540</v>
      </c>
      <c r="D1386" s="5" t="s">
        <v>1541</v>
      </c>
      <c r="E1386" s="5" t="s">
        <v>102</v>
      </c>
      <c r="F1386" s="5" t="str">
        <f t="shared" si="189"/>
        <v>Finance-Senior Manager</v>
      </c>
      <c r="G1386" s="5" t="s">
        <v>103</v>
      </c>
      <c r="H1386" s="9">
        <v>45184.840821759259</v>
      </c>
      <c r="I1386" s="9">
        <v>45186.840821759259</v>
      </c>
      <c r="J1386" s="9" t="e">
        <f>I1386+#REF!</f>
        <v>#REF!</v>
      </c>
      <c r="K1386" s="9" t="e">
        <f>J1386+#REF!</f>
        <v>#REF!</v>
      </c>
      <c r="L1386" s="10" t="s">
        <v>41</v>
      </c>
      <c r="M1386" s="11">
        <v>45202.840821759259</v>
      </c>
      <c r="N1386" s="5" t="s">
        <v>42</v>
      </c>
      <c r="O1386" s="5" t="s">
        <v>73</v>
      </c>
      <c r="P1386" s="9"/>
      <c r="Q1386" s="5"/>
      <c r="R1386" s="5"/>
      <c r="S1386" s="5"/>
      <c r="T1386" s="9">
        <v>45204.840821759259</v>
      </c>
      <c r="U1386" s="5"/>
      <c r="V1386" s="5">
        <v>0</v>
      </c>
      <c r="W1386" s="5"/>
      <c r="X1386" s="5"/>
      <c r="Y1386" s="5"/>
      <c r="Z1386" s="5"/>
      <c r="AA1386" s="5" t="s">
        <v>44</v>
      </c>
      <c r="AC1386">
        <f t="shared" si="190"/>
        <v>16</v>
      </c>
      <c r="AD1386" t="str">
        <f t="shared" si="191"/>
        <v/>
      </c>
      <c r="AE1386">
        <f t="shared" si="192"/>
        <v>2</v>
      </c>
      <c r="AF1386" t="str">
        <f t="shared" si="193"/>
        <v/>
      </c>
      <c r="AG1386" t="str">
        <f t="shared" si="194"/>
        <v/>
      </c>
      <c r="AH1386">
        <f t="shared" si="195"/>
        <v>2</v>
      </c>
      <c r="AI1386" t="str">
        <f t="shared" si="196"/>
        <v/>
      </c>
      <c r="AJ1386" t="str">
        <f t="shared" si="197"/>
        <v/>
      </c>
    </row>
    <row r="1387" spans="1:36">
      <c r="A1387" s="5">
        <v>1587</v>
      </c>
      <c r="B1387" s="5" t="s">
        <v>1753</v>
      </c>
      <c r="C1387" s="5" t="s">
        <v>1540</v>
      </c>
      <c r="D1387" s="5" t="s">
        <v>1706</v>
      </c>
      <c r="E1387" s="5" t="s">
        <v>269</v>
      </c>
      <c r="F1387" s="5" t="str">
        <f t="shared" si="189"/>
        <v>Finance-Manager</v>
      </c>
      <c r="G1387" s="5" t="s">
        <v>270</v>
      </c>
      <c r="H1387" s="9">
        <v>45186.840821759259</v>
      </c>
      <c r="I1387" s="9">
        <v>45187.840821759259</v>
      </c>
      <c r="J1387" s="9" t="e">
        <f>I1387+#REF!</f>
        <v>#REF!</v>
      </c>
      <c r="K1387" s="9" t="e">
        <f>J1387+#REF!</f>
        <v>#REF!</v>
      </c>
      <c r="L1387" s="10" t="s">
        <v>41</v>
      </c>
      <c r="M1387" s="11">
        <v>45192.840821759259</v>
      </c>
      <c r="N1387" s="5" t="s">
        <v>64</v>
      </c>
      <c r="O1387" s="5"/>
      <c r="P1387" s="9">
        <v>45197.840821759259</v>
      </c>
      <c r="Q1387" s="5" t="s">
        <v>64</v>
      </c>
      <c r="R1387" s="9">
        <v>45193.840821759259</v>
      </c>
      <c r="S1387" s="9">
        <v>45197.840821759259</v>
      </c>
      <c r="T1387" s="9">
        <v>45195.840821759259</v>
      </c>
      <c r="U1387" s="9">
        <v>45204.840821759259</v>
      </c>
      <c r="V1387" s="12">
        <v>1</v>
      </c>
      <c r="W1387" s="9">
        <v>45207.840821759259</v>
      </c>
      <c r="X1387" s="9">
        <v>45210.840821759259</v>
      </c>
      <c r="Y1387" s="9">
        <v>45212.840821759259</v>
      </c>
      <c r="Z1387" s="5"/>
      <c r="AA1387" s="5"/>
      <c r="AB1387" s="13">
        <v>45226.840821759259</v>
      </c>
      <c r="AC1387">
        <f t="shared" si="190"/>
        <v>5</v>
      </c>
      <c r="AD1387">
        <f t="shared" si="191"/>
        <v>10</v>
      </c>
      <c r="AE1387">
        <f t="shared" si="192"/>
        <v>3</v>
      </c>
      <c r="AF1387">
        <f t="shared" si="193"/>
        <v>6</v>
      </c>
      <c r="AG1387">
        <f t="shared" si="194"/>
        <v>3</v>
      </c>
      <c r="AH1387">
        <f t="shared" si="195"/>
        <v>1</v>
      </c>
      <c r="AI1387" t="str">
        <f t="shared" si="196"/>
        <v/>
      </c>
      <c r="AJ1387" t="str">
        <f t="shared" si="197"/>
        <v/>
      </c>
    </row>
    <row r="1388" spans="1:36">
      <c r="A1388" s="5">
        <v>1588</v>
      </c>
      <c r="B1388" s="5" t="s">
        <v>2026</v>
      </c>
      <c r="C1388" s="5" t="s">
        <v>1540</v>
      </c>
      <c r="D1388" s="5" t="s">
        <v>1985</v>
      </c>
      <c r="E1388" s="5" t="s">
        <v>1986</v>
      </c>
      <c r="F1388" s="5" t="str">
        <f t="shared" si="189"/>
        <v>Finance-Revenue Recorgnition</v>
      </c>
      <c r="G1388" s="5" t="s">
        <v>47</v>
      </c>
      <c r="H1388" s="9">
        <v>45182.840821759259</v>
      </c>
      <c r="I1388" s="9">
        <v>45184.840821759259</v>
      </c>
      <c r="J1388" s="9" t="e">
        <f>I1388+#REF!</f>
        <v>#REF!</v>
      </c>
      <c r="K1388" s="9" t="e">
        <f>J1388+#REF!</f>
        <v>#REF!</v>
      </c>
      <c r="L1388" s="10" t="s">
        <v>41</v>
      </c>
      <c r="M1388" s="11">
        <v>45193.840821759259</v>
      </c>
      <c r="N1388" s="5" t="s">
        <v>42</v>
      </c>
      <c r="O1388" s="5" t="s">
        <v>98</v>
      </c>
      <c r="P1388" s="9"/>
      <c r="Q1388" s="5"/>
      <c r="R1388" s="5"/>
      <c r="S1388" s="5"/>
      <c r="T1388" s="9"/>
      <c r="U1388" s="5"/>
      <c r="V1388" s="5">
        <v>0</v>
      </c>
      <c r="W1388" s="5"/>
      <c r="X1388" s="5"/>
      <c r="Y1388" s="5"/>
      <c r="Z1388" s="5"/>
      <c r="AA1388" s="5" t="s">
        <v>44</v>
      </c>
      <c r="AC1388">
        <f t="shared" si="190"/>
        <v>9</v>
      </c>
      <c r="AD1388" t="str">
        <f t="shared" si="191"/>
        <v/>
      </c>
      <c r="AE1388" t="str">
        <f t="shared" si="192"/>
        <v/>
      </c>
      <c r="AF1388" t="str">
        <f t="shared" si="193"/>
        <v/>
      </c>
      <c r="AG1388" t="str">
        <f t="shared" si="194"/>
        <v/>
      </c>
      <c r="AH1388">
        <f t="shared" si="195"/>
        <v>2</v>
      </c>
      <c r="AI1388" t="str">
        <f t="shared" si="196"/>
        <v/>
      </c>
      <c r="AJ1388" t="str">
        <f t="shared" si="197"/>
        <v/>
      </c>
    </row>
    <row r="1389" spans="1:36">
      <c r="A1389" s="5">
        <v>1589</v>
      </c>
      <c r="B1389" s="5" t="s">
        <v>1871</v>
      </c>
      <c r="C1389" s="5" t="s">
        <v>1540</v>
      </c>
      <c r="D1389" s="5" t="s">
        <v>1820</v>
      </c>
      <c r="E1389" s="5" t="s">
        <v>1862</v>
      </c>
      <c r="F1389" s="5" t="str">
        <f t="shared" si="189"/>
        <v>Finance-Billing Officer</v>
      </c>
      <c r="G1389" s="5" t="s">
        <v>40</v>
      </c>
      <c r="H1389" s="9">
        <v>45180.840821759259</v>
      </c>
      <c r="I1389" s="9">
        <v>45182.840821759259</v>
      </c>
      <c r="J1389" s="9" t="e">
        <f>I1389+#REF!</f>
        <v>#REF!</v>
      </c>
      <c r="K1389" s="9" t="e">
        <f>J1389+#REF!</f>
        <v>#REF!</v>
      </c>
      <c r="L1389" s="10" t="s">
        <v>41</v>
      </c>
      <c r="M1389" s="11">
        <v>45197.840821759259</v>
      </c>
      <c r="N1389" s="5" t="s">
        <v>48</v>
      </c>
      <c r="O1389" s="5"/>
      <c r="P1389" s="9">
        <v>45202.840821759259</v>
      </c>
      <c r="Q1389" s="5" t="s">
        <v>48</v>
      </c>
      <c r="R1389" s="5"/>
      <c r="S1389" s="5"/>
      <c r="T1389" s="9">
        <v>45199.840821759259</v>
      </c>
      <c r="U1389" s="5"/>
      <c r="V1389" s="5">
        <v>0</v>
      </c>
      <c r="W1389" s="5"/>
      <c r="X1389" s="5"/>
      <c r="Y1389" s="5"/>
      <c r="Z1389" s="5"/>
      <c r="AA1389" s="5"/>
      <c r="AC1389">
        <f t="shared" si="190"/>
        <v>15</v>
      </c>
      <c r="AD1389" t="str">
        <f t="shared" si="191"/>
        <v/>
      </c>
      <c r="AE1389">
        <f t="shared" si="192"/>
        <v>2</v>
      </c>
      <c r="AF1389" t="str">
        <f t="shared" si="193"/>
        <v/>
      </c>
      <c r="AG1389" t="str">
        <f t="shared" si="194"/>
        <v/>
      </c>
      <c r="AH1389">
        <f t="shared" si="195"/>
        <v>2</v>
      </c>
      <c r="AI1389" t="str">
        <f t="shared" si="196"/>
        <v/>
      </c>
      <c r="AJ1389" t="str">
        <f t="shared" si="197"/>
        <v/>
      </c>
    </row>
    <row r="1390" spans="1:36">
      <c r="A1390" s="5">
        <v>1590</v>
      </c>
      <c r="B1390" s="5" t="s">
        <v>2025</v>
      </c>
      <c r="C1390" s="5" t="s">
        <v>1540</v>
      </c>
      <c r="D1390" s="5" t="s">
        <v>1985</v>
      </c>
      <c r="E1390" s="5" t="s">
        <v>1986</v>
      </c>
      <c r="F1390" s="5" t="str">
        <f t="shared" si="189"/>
        <v>Finance-Revenue Recorgnition</v>
      </c>
      <c r="G1390" s="5" t="s">
        <v>47</v>
      </c>
      <c r="H1390" s="9">
        <v>45185.840821759259</v>
      </c>
      <c r="I1390" s="9">
        <v>45187.840821759259</v>
      </c>
      <c r="J1390" s="9" t="e">
        <f>I1390+#REF!</f>
        <v>#REF!</v>
      </c>
      <c r="K1390" s="9" t="e">
        <f>J1390+#REF!</f>
        <v>#REF!</v>
      </c>
      <c r="L1390" s="10" t="s">
        <v>41</v>
      </c>
      <c r="M1390" s="11">
        <v>45202.840821759259</v>
      </c>
      <c r="N1390" s="5" t="s">
        <v>48</v>
      </c>
      <c r="O1390" s="5"/>
      <c r="P1390" s="9">
        <v>45208.840821759259</v>
      </c>
      <c r="Q1390" s="5" t="s">
        <v>48</v>
      </c>
      <c r="R1390" s="5"/>
      <c r="S1390" s="5"/>
      <c r="T1390" s="9">
        <v>45205.840821759259</v>
      </c>
      <c r="U1390" s="5"/>
      <c r="V1390" s="5">
        <v>0</v>
      </c>
      <c r="W1390" s="5"/>
      <c r="X1390" s="5"/>
      <c r="Y1390" s="5"/>
      <c r="Z1390" s="5"/>
      <c r="AA1390" s="5"/>
      <c r="AC1390">
        <f t="shared" si="190"/>
        <v>15</v>
      </c>
      <c r="AD1390" t="str">
        <f t="shared" si="191"/>
        <v/>
      </c>
      <c r="AE1390">
        <f t="shared" si="192"/>
        <v>3</v>
      </c>
      <c r="AF1390" t="str">
        <f t="shared" si="193"/>
        <v/>
      </c>
      <c r="AG1390" t="str">
        <f t="shared" si="194"/>
        <v/>
      </c>
      <c r="AH1390">
        <f t="shared" si="195"/>
        <v>2</v>
      </c>
      <c r="AI1390" t="str">
        <f t="shared" si="196"/>
        <v/>
      </c>
      <c r="AJ1390" t="str">
        <f t="shared" si="197"/>
        <v/>
      </c>
    </row>
    <row r="1391" spans="1:36">
      <c r="A1391" s="5">
        <v>1591</v>
      </c>
      <c r="B1391" s="5" t="s">
        <v>1166</v>
      </c>
      <c r="C1391" s="10" t="s">
        <v>1122</v>
      </c>
      <c r="D1391" s="5" t="s">
        <v>1145</v>
      </c>
      <c r="E1391" s="5" t="s">
        <v>39</v>
      </c>
      <c r="F1391" s="5" t="str">
        <f t="shared" si="189"/>
        <v>IT-Analyst</v>
      </c>
      <c r="G1391" s="5" t="s">
        <v>147</v>
      </c>
      <c r="H1391" s="9">
        <v>44993.164201388892</v>
      </c>
      <c r="I1391" s="9">
        <v>44994.164201388892</v>
      </c>
      <c r="J1391" s="9" t="e">
        <f>I1391+#REF!</f>
        <v>#REF!</v>
      </c>
      <c r="K1391" s="9" t="e">
        <f>J1391+#REF!</f>
        <v>#REF!</v>
      </c>
      <c r="L1391" s="10" t="s">
        <v>41</v>
      </c>
      <c r="M1391" s="11">
        <v>45013.164201388892</v>
      </c>
      <c r="N1391" s="5" t="s">
        <v>42</v>
      </c>
      <c r="O1391" s="5" t="s">
        <v>73</v>
      </c>
      <c r="P1391" s="9"/>
      <c r="Q1391" s="5"/>
      <c r="R1391" s="5"/>
      <c r="S1391" s="5"/>
      <c r="T1391" s="9">
        <v>45015.164201388892</v>
      </c>
      <c r="U1391" s="5"/>
      <c r="V1391" s="5">
        <v>0</v>
      </c>
      <c r="W1391" s="5"/>
      <c r="X1391" s="5"/>
      <c r="Y1391" s="5"/>
      <c r="Z1391" s="5"/>
      <c r="AA1391" s="5" t="s">
        <v>44</v>
      </c>
      <c r="AC1391">
        <f t="shared" si="190"/>
        <v>19</v>
      </c>
      <c r="AD1391" t="str">
        <f t="shared" si="191"/>
        <v/>
      </c>
      <c r="AE1391">
        <f t="shared" si="192"/>
        <v>2</v>
      </c>
      <c r="AF1391" t="str">
        <f t="shared" si="193"/>
        <v/>
      </c>
      <c r="AG1391" t="str">
        <f t="shared" si="194"/>
        <v/>
      </c>
      <c r="AH1391">
        <f t="shared" si="195"/>
        <v>1</v>
      </c>
      <c r="AI1391" t="str">
        <f t="shared" si="196"/>
        <v/>
      </c>
      <c r="AJ1391" t="str">
        <f t="shared" si="197"/>
        <v/>
      </c>
    </row>
    <row r="1392" spans="1:36">
      <c r="A1392" s="5">
        <v>1593</v>
      </c>
      <c r="B1392" s="5" t="s">
        <v>1306</v>
      </c>
      <c r="C1392" s="10" t="s">
        <v>1215</v>
      </c>
      <c r="D1392" s="5" t="s">
        <v>1287</v>
      </c>
      <c r="E1392" s="5" t="s">
        <v>1146</v>
      </c>
      <c r="F1392" s="5" t="str">
        <f t="shared" si="189"/>
        <v>HR-Quality Assurance</v>
      </c>
      <c r="G1392" s="5" t="s">
        <v>47</v>
      </c>
      <c r="H1392" s="9">
        <v>44996.164201388892</v>
      </c>
      <c r="I1392" s="9">
        <v>44997.164201388892</v>
      </c>
      <c r="J1392" s="9" t="e">
        <f>I1392+#REF!</f>
        <v>#REF!</v>
      </c>
      <c r="K1392" s="9" t="e">
        <f>J1392+#REF!</f>
        <v>#REF!</v>
      </c>
      <c r="L1392" s="10" t="s">
        <v>41</v>
      </c>
      <c r="M1392" s="11">
        <v>45011.164201388892</v>
      </c>
      <c r="N1392" s="5" t="s">
        <v>167</v>
      </c>
      <c r="O1392" s="5"/>
      <c r="P1392" s="9">
        <v>45019.164201388892</v>
      </c>
      <c r="Q1392" s="5" t="s">
        <v>167</v>
      </c>
      <c r="R1392" s="5"/>
      <c r="S1392" s="5"/>
      <c r="T1392" s="9">
        <v>45015.164201388892</v>
      </c>
      <c r="U1392" s="5"/>
      <c r="V1392" s="5">
        <v>0</v>
      </c>
      <c r="W1392" s="5"/>
      <c r="X1392" s="5"/>
      <c r="Y1392" s="5"/>
      <c r="Z1392" s="5"/>
      <c r="AA1392" s="5"/>
      <c r="AC1392">
        <f t="shared" si="190"/>
        <v>14</v>
      </c>
      <c r="AD1392" t="str">
        <f t="shared" si="191"/>
        <v/>
      </c>
      <c r="AE1392">
        <f t="shared" si="192"/>
        <v>4</v>
      </c>
      <c r="AF1392" t="str">
        <f t="shared" si="193"/>
        <v/>
      </c>
      <c r="AG1392" t="str">
        <f t="shared" si="194"/>
        <v/>
      </c>
      <c r="AH1392">
        <f t="shared" si="195"/>
        <v>1</v>
      </c>
      <c r="AI1392" t="str">
        <f t="shared" si="196"/>
        <v/>
      </c>
      <c r="AJ1392" t="str">
        <f t="shared" si="197"/>
        <v/>
      </c>
    </row>
    <row r="1393" spans="1:36">
      <c r="A1393" s="5">
        <v>1597</v>
      </c>
      <c r="B1393" s="5" t="s">
        <v>2176</v>
      </c>
      <c r="C1393" s="10" t="s">
        <v>2089</v>
      </c>
      <c r="D1393" s="5" t="s">
        <v>2167</v>
      </c>
      <c r="E1393" s="5" t="s">
        <v>269</v>
      </c>
      <c r="F1393" s="5" t="str">
        <f t="shared" si="189"/>
        <v>Communication and Advocacy-Manager</v>
      </c>
      <c r="G1393" s="5" t="s">
        <v>270</v>
      </c>
      <c r="H1393" s="9">
        <v>44991.164201388892</v>
      </c>
      <c r="I1393" s="9">
        <v>44994.164201388892</v>
      </c>
      <c r="J1393" s="9" t="e">
        <f>I1393+#REF!</f>
        <v>#REF!</v>
      </c>
      <c r="K1393" s="9" t="e">
        <f>J1393+#REF!</f>
        <v>#REF!</v>
      </c>
      <c r="L1393" s="10" t="s">
        <v>52</v>
      </c>
      <c r="M1393" s="11"/>
      <c r="N1393" s="5"/>
      <c r="O1393" s="5"/>
      <c r="P1393" s="9"/>
      <c r="Q1393" s="5"/>
      <c r="R1393" s="5"/>
      <c r="S1393" s="5"/>
      <c r="T1393" s="9"/>
      <c r="U1393" s="5"/>
      <c r="V1393" s="5">
        <v>0</v>
      </c>
      <c r="W1393" s="5"/>
      <c r="X1393" s="5"/>
      <c r="Y1393" s="5"/>
      <c r="Z1393" s="5"/>
      <c r="AA1393" s="5"/>
      <c r="AC1393" t="str">
        <f t="shared" si="190"/>
        <v/>
      </c>
      <c r="AD1393" t="str">
        <f t="shared" si="191"/>
        <v/>
      </c>
      <c r="AE1393" t="str">
        <f t="shared" si="192"/>
        <v/>
      </c>
      <c r="AF1393" t="str">
        <f t="shared" si="193"/>
        <v/>
      </c>
      <c r="AG1393" t="str">
        <f t="shared" si="194"/>
        <v/>
      </c>
      <c r="AH1393">
        <f t="shared" si="195"/>
        <v>3</v>
      </c>
      <c r="AI1393" t="str">
        <f t="shared" si="196"/>
        <v/>
      </c>
      <c r="AJ1393" t="str">
        <f t="shared" si="197"/>
        <v/>
      </c>
    </row>
    <row r="1394" spans="1:36">
      <c r="A1394" s="5">
        <v>1598</v>
      </c>
      <c r="B1394" s="5" t="s">
        <v>1233</v>
      </c>
      <c r="C1394" s="10" t="s">
        <v>1215</v>
      </c>
      <c r="D1394" s="5" t="s">
        <v>1216</v>
      </c>
      <c r="E1394" s="5" t="s">
        <v>269</v>
      </c>
      <c r="F1394" s="5" t="str">
        <f t="shared" si="189"/>
        <v>HR-Manager</v>
      </c>
      <c r="G1394" s="5" t="s">
        <v>270</v>
      </c>
      <c r="H1394" s="9">
        <v>44995.164201388892</v>
      </c>
      <c r="I1394" s="9">
        <v>44998.164201388892</v>
      </c>
      <c r="J1394" s="9" t="e">
        <f>I1394+#REF!</f>
        <v>#REF!</v>
      </c>
      <c r="K1394" s="9" t="e">
        <f>J1394+#REF!</f>
        <v>#REF!</v>
      </c>
      <c r="L1394" s="10" t="s">
        <v>41</v>
      </c>
      <c r="M1394" s="11">
        <v>45011.164201388892</v>
      </c>
      <c r="N1394" s="5" t="s">
        <v>42</v>
      </c>
      <c r="O1394" s="5" t="s">
        <v>43</v>
      </c>
      <c r="P1394" s="9"/>
      <c r="Q1394" s="5"/>
      <c r="R1394" s="5"/>
      <c r="S1394" s="5"/>
      <c r="T1394" s="9">
        <v>45014.164201388892</v>
      </c>
      <c r="U1394" s="5"/>
      <c r="V1394" s="5">
        <v>0</v>
      </c>
      <c r="W1394" s="5"/>
      <c r="X1394" s="5"/>
      <c r="Y1394" s="5"/>
      <c r="Z1394" s="5"/>
      <c r="AA1394" s="5" t="s">
        <v>44</v>
      </c>
      <c r="AC1394">
        <f t="shared" si="190"/>
        <v>13</v>
      </c>
      <c r="AD1394" t="str">
        <f t="shared" si="191"/>
        <v/>
      </c>
      <c r="AE1394">
        <f t="shared" si="192"/>
        <v>3</v>
      </c>
      <c r="AF1394" t="str">
        <f t="shared" si="193"/>
        <v/>
      </c>
      <c r="AG1394" t="str">
        <f t="shared" si="194"/>
        <v/>
      </c>
      <c r="AH1394">
        <f t="shared" si="195"/>
        <v>3</v>
      </c>
      <c r="AI1394" t="str">
        <f t="shared" si="196"/>
        <v/>
      </c>
      <c r="AJ1394" t="str">
        <f t="shared" si="197"/>
        <v/>
      </c>
    </row>
    <row r="1395" spans="1:36">
      <c r="A1395" s="5">
        <v>1600</v>
      </c>
      <c r="B1395" s="5" t="s">
        <v>1232</v>
      </c>
      <c r="C1395" s="10" t="s">
        <v>1215</v>
      </c>
      <c r="D1395" s="5" t="s">
        <v>1216</v>
      </c>
      <c r="E1395" s="5" t="s">
        <v>269</v>
      </c>
      <c r="F1395" s="5" t="str">
        <f t="shared" si="189"/>
        <v>HR-Manager</v>
      </c>
      <c r="G1395" s="5" t="s">
        <v>270</v>
      </c>
      <c r="H1395" s="9">
        <v>44993.164201388892</v>
      </c>
      <c r="I1395" s="9">
        <v>44997.164201388892</v>
      </c>
      <c r="J1395" s="9" t="e">
        <f>I1395+#REF!</f>
        <v>#REF!</v>
      </c>
      <c r="K1395" s="9" t="e">
        <f>J1395+#REF!</f>
        <v>#REF!</v>
      </c>
      <c r="L1395" s="10" t="s">
        <v>41</v>
      </c>
      <c r="M1395" s="11">
        <v>45012.164201388892</v>
      </c>
      <c r="N1395" s="5" t="s">
        <v>42</v>
      </c>
      <c r="O1395" s="5" t="s">
        <v>98</v>
      </c>
      <c r="P1395" s="9"/>
      <c r="Q1395" s="5"/>
      <c r="R1395" s="5"/>
      <c r="S1395" s="5"/>
      <c r="T1395" s="9">
        <v>45015.164201388892</v>
      </c>
      <c r="U1395" s="5"/>
      <c r="V1395" s="5">
        <v>0</v>
      </c>
      <c r="W1395" s="5"/>
      <c r="X1395" s="5"/>
      <c r="Y1395" s="5"/>
      <c r="Z1395" s="5"/>
      <c r="AA1395" s="5" t="s">
        <v>62</v>
      </c>
      <c r="AC1395">
        <f t="shared" si="190"/>
        <v>15</v>
      </c>
      <c r="AD1395" t="str">
        <f t="shared" si="191"/>
        <v/>
      </c>
      <c r="AE1395">
        <f t="shared" si="192"/>
        <v>3</v>
      </c>
      <c r="AF1395" t="str">
        <f t="shared" si="193"/>
        <v/>
      </c>
      <c r="AG1395" t="str">
        <f t="shared" si="194"/>
        <v/>
      </c>
      <c r="AH1395">
        <f t="shared" si="195"/>
        <v>4</v>
      </c>
      <c r="AI1395" t="str">
        <f t="shared" si="196"/>
        <v/>
      </c>
      <c r="AJ1395" t="str">
        <f t="shared" si="197"/>
        <v/>
      </c>
    </row>
    <row r="1396" spans="1:36">
      <c r="A1396" s="5">
        <v>1601</v>
      </c>
      <c r="B1396" s="5" t="s">
        <v>1001</v>
      </c>
      <c r="C1396" s="5" t="s">
        <v>796</v>
      </c>
      <c r="D1396" s="5" t="s">
        <v>957</v>
      </c>
      <c r="E1396" s="5" t="s">
        <v>388</v>
      </c>
      <c r="F1396" s="5" t="str">
        <f t="shared" si="189"/>
        <v>M and E-Extension Officer</v>
      </c>
      <c r="G1396" s="5" t="s">
        <v>40</v>
      </c>
      <c r="H1396" s="9">
        <v>44563.819027777776</v>
      </c>
      <c r="I1396" s="9">
        <v>44565.819027777776</v>
      </c>
      <c r="J1396" s="9" t="e">
        <f>I1396+#REF!</f>
        <v>#REF!</v>
      </c>
      <c r="K1396" s="9" t="e">
        <f>J1396+#REF!</f>
        <v>#REF!</v>
      </c>
      <c r="L1396" s="10" t="s">
        <v>41</v>
      </c>
      <c r="M1396" s="11">
        <v>44583.819027777776</v>
      </c>
      <c r="N1396" s="5" t="s">
        <v>42</v>
      </c>
      <c r="O1396" s="5" t="s">
        <v>43</v>
      </c>
      <c r="P1396" s="9"/>
      <c r="Q1396" s="5"/>
      <c r="R1396" s="5"/>
      <c r="S1396" s="5"/>
      <c r="T1396" s="9">
        <v>44587.819027777776</v>
      </c>
      <c r="U1396" s="5"/>
      <c r="V1396" s="5">
        <v>0</v>
      </c>
      <c r="W1396" s="5"/>
      <c r="X1396" s="5"/>
      <c r="Y1396" s="5"/>
      <c r="Z1396" s="5"/>
      <c r="AA1396" s="5" t="s">
        <v>44</v>
      </c>
      <c r="AC1396">
        <f t="shared" si="190"/>
        <v>18</v>
      </c>
      <c r="AD1396" t="str">
        <f t="shared" si="191"/>
        <v/>
      </c>
      <c r="AE1396">
        <f t="shared" si="192"/>
        <v>4</v>
      </c>
      <c r="AF1396" t="str">
        <f t="shared" si="193"/>
        <v/>
      </c>
      <c r="AG1396" t="str">
        <f t="shared" si="194"/>
        <v/>
      </c>
      <c r="AH1396">
        <f t="shared" si="195"/>
        <v>2</v>
      </c>
      <c r="AI1396" t="str">
        <f t="shared" si="196"/>
        <v/>
      </c>
      <c r="AJ1396" t="str">
        <f t="shared" si="197"/>
        <v/>
      </c>
    </row>
    <row r="1397" spans="1:36">
      <c r="A1397" s="5">
        <v>1602</v>
      </c>
      <c r="B1397" s="5" t="s">
        <v>1095</v>
      </c>
      <c r="C1397" s="5" t="s">
        <v>796</v>
      </c>
      <c r="D1397" s="5" t="s">
        <v>1046</v>
      </c>
      <c r="E1397" s="5" t="s">
        <v>673</v>
      </c>
      <c r="F1397" s="5" t="str">
        <f t="shared" si="189"/>
        <v>M and E-Controller</v>
      </c>
      <c r="G1397" s="5" t="s">
        <v>47</v>
      </c>
      <c r="H1397" s="9">
        <v>44564.819027777776</v>
      </c>
      <c r="I1397" s="9">
        <v>44566.819027777776</v>
      </c>
      <c r="J1397" s="9" t="e">
        <f>I1397+#REF!</f>
        <v>#REF!</v>
      </c>
      <c r="K1397" s="9" t="e">
        <f>J1397+#REF!</f>
        <v>#REF!</v>
      </c>
      <c r="L1397" s="10" t="s">
        <v>41</v>
      </c>
      <c r="M1397" s="11">
        <v>44571.819027777776</v>
      </c>
      <c r="N1397" s="5" t="s">
        <v>64</v>
      </c>
      <c r="O1397" s="5"/>
      <c r="P1397" s="9">
        <v>44575.819027777776</v>
      </c>
      <c r="Q1397" s="5" t="s">
        <v>64</v>
      </c>
      <c r="R1397" s="9">
        <v>44573.819027777776</v>
      </c>
      <c r="S1397" s="9">
        <v>44577.819027777776</v>
      </c>
      <c r="T1397" s="9">
        <v>44574.819027777776</v>
      </c>
      <c r="U1397" s="9">
        <v>44583.819027777776</v>
      </c>
      <c r="V1397" s="12">
        <v>1</v>
      </c>
      <c r="W1397" s="9">
        <v>44587.819027777776</v>
      </c>
      <c r="X1397" s="9">
        <v>44589.819027777776</v>
      </c>
      <c r="Y1397" s="9">
        <v>44592.819027777776</v>
      </c>
      <c r="Z1397" s="5"/>
      <c r="AA1397" s="5"/>
      <c r="AB1397" s="13">
        <v>44604.819027777776</v>
      </c>
      <c r="AC1397">
        <f t="shared" si="190"/>
        <v>5</v>
      </c>
      <c r="AD1397">
        <f t="shared" si="191"/>
        <v>11</v>
      </c>
      <c r="AE1397">
        <f t="shared" si="192"/>
        <v>3</v>
      </c>
      <c r="AF1397">
        <f t="shared" si="193"/>
        <v>6</v>
      </c>
      <c r="AG1397">
        <f t="shared" si="194"/>
        <v>4</v>
      </c>
      <c r="AH1397">
        <f t="shared" si="195"/>
        <v>2</v>
      </c>
      <c r="AI1397" t="str">
        <f t="shared" si="196"/>
        <v/>
      </c>
      <c r="AJ1397" t="str">
        <f t="shared" si="197"/>
        <v/>
      </c>
    </row>
    <row r="1398" spans="1:36">
      <c r="A1398" s="5">
        <v>1604</v>
      </c>
      <c r="B1398" s="5" t="s">
        <v>932</v>
      </c>
      <c r="C1398" s="5" t="s">
        <v>796</v>
      </c>
      <c r="D1398" s="5" t="s">
        <v>893</v>
      </c>
      <c r="E1398" s="5" t="s">
        <v>269</v>
      </c>
      <c r="F1398" s="5" t="str">
        <f t="shared" si="189"/>
        <v>M and E-Manager</v>
      </c>
      <c r="G1398" s="5" t="s">
        <v>270</v>
      </c>
      <c r="H1398" s="9">
        <v>44561.819027777776</v>
      </c>
      <c r="I1398" s="9">
        <v>44564.819027777776</v>
      </c>
      <c r="J1398" s="9" t="e">
        <f>I1398+#REF!</f>
        <v>#REF!</v>
      </c>
      <c r="K1398" s="9" t="e">
        <f>J1398+#REF!</f>
        <v>#REF!</v>
      </c>
      <c r="L1398" s="10" t="s">
        <v>41</v>
      </c>
      <c r="M1398" s="11">
        <v>44575.819027777776</v>
      </c>
      <c r="N1398" s="5" t="s">
        <v>42</v>
      </c>
      <c r="O1398" s="5" t="s">
        <v>98</v>
      </c>
      <c r="P1398" s="9"/>
      <c r="Q1398" s="5"/>
      <c r="R1398" s="5"/>
      <c r="S1398" s="5"/>
      <c r="T1398" s="9"/>
      <c r="U1398" s="5"/>
      <c r="V1398" s="5">
        <v>0</v>
      </c>
      <c r="W1398" s="5"/>
      <c r="X1398" s="5"/>
      <c r="Y1398" s="5"/>
      <c r="Z1398" s="5"/>
      <c r="AA1398" s="5" t="s">
        <v>62</v>
      </c>
      <c r="AC1398">
        <f t="shared" si="190"/>
        <v>11</v>
      </c>
      <c r="AD1398" t="str">
        <f t="shared" si="191"/>
        <v/>
      </c>
      <c r="AE1398" t="str">
        <f t="shared" si="192"/>
        <v/>
      </c>
      <c r="AF1398" t="str">
        <f t="shared" si="193"/>
        <v/>
      </c>
      <c r="AG1398" t="str">
        <f t="shared" si="194"/>
        <v/>
      </c>
      <c r="AH1398">
        <f t="shared" si="195"/>
        <v>3</v>
      </c>
      <c r="AI1398" t="str">
        <f t="shared" si="196"/>
        <v/>
      </c>
      <c r="AJ1398" t="str">
        <f t="shared" si="197"/>
        <v/>
      </c>
    </row>
    <row r="1399" spans="1:36">
      <c r="A1399" s="5">
        <v>1605</v>
      </c>
      <c r="B1399" s="5" t="s">
        <v>1000</v>
      </c>
      <c r="C1399" s="5" t="s">
        <v>796</v>
      </c>
      <c r="D1399" s="5" t="s">
        <v>957</v>
      </c>
      <c r="E1399" s="5" t="s">
        <v>388</v>
      </c>
      <c r="F1399" s="5" t="str">
        <f t="shared" si="189"/>
        <v>M and E-Extension Officer</v>
      </c>
      <c r="G1399" s="5" t="s">
        <v>40</v>
      </c>
      <c r="H1399" s="9">
        <v>44560.819027777776</v>
      </c>
      <c r="I1399" s="9">
        <v>44564.819027777776</v>
      </c>
      <c r="J1399" s="9" t="e">
        <f>I1399+#REF!</f>
        <v>#REF!</v>
      </c>
      <c r="K1399" s="9" t="e">
        <f>J1399+#REF!</f>
        <v>#REF!</v>
      </c>
      <c r="L1399" s="10" t="s">
        <v>52</v>
      </c>
      <c r="M1399" s="11"/>
      <c r="N1399" s="5"/>
      <c r="O1399" s="5"/>
      <c r="P1399" s="9"/>
      <c r="Q1399" s="5"/>
      <c r="R1399" s="5"/>
      <c r="S1399" s="5"/>
      <c r="T1399" s="9"/>
      <c r="U1399" s="5"/>
      <c r="V1399" s="5">
        <v>0</v>
      </c>
      <c r="W1399" s="5"/>
      <c r="X1399" s="5"/>
      <c r="Y1399" s="5"/>
      <c r="Z1399" s="5"/>
      <c r="AA1399" s="5"/>
      <c r="AC1399" t="str">
        <f t="shared" si="190"/>
        <v/>
      </c>
      <c r="AD1399" t="str">
        <f t="shared" si="191"/>
        <v/>
      </c>
      <c r="AE1399" t="str">
        <f t="shared" si="192"/>
        <v/>
      </c>
      <c r="AF1399" t="str">
        <f t="shared" si="193"/>
        <v/>
      </c>
      <c r="AG1399" t="str">
        <f t="shared" si="194"/>
        <v/>
      </c>
      <c r="AH1399">
        <f t="shared" si="195"/>
        <v>4</v>
      </c>
      <c r="AI1399" t="str">
        <f t="shared" si="196"/>
        <v/>
      </c>
      <c r="AJ1399" t="str">
        <f t="shared" si="197"/>
        <v/>
      </c>
    </row>
    <row r="1400" spans="1:36">
      <c r="A1400" s="5">
        <v>1606</v>
      </c>
      <c r="B1400" s="5" t="s">
        <v>999</v>
      </c>
      <c r="C1400" s="5" t="s">
        <v>796</v>
      </c>
      <c r="D1400" s="5" t="s">
        <v>957</v>
      </c>
      <c r="E1400" s="5" t="s">
        <v>388</v>
      </c>
      <c r="F1400" s="5" t="str">
        <f t="shared" si="189"/>
        <v>M and E-Extension Officer</v>
      </c>
      <c r="G1400" s="5" t="s">
        <v>40</v>
      </c>
      <c r="H1400" s="9">
        <v>44563.819027777776</v>
      </c>
      <c r="I1400" s="9">
        <v>44565.819027777776</v>
      </c>
      <c r="J1400" s="9" t="e">
        <f>I1400+#REF!</f>
        <v>#REF!</v>
      </c>
      <c r="K1400" s="9" t="e">
        <f>J1400+#REF!</f>
        <v>#REF!</v>
      </c>
      <c r="L1400" s="10" t="s">
        <v>41</v>
      </c>
      <c r="M1400" s="11">
        <v>44572.819027777776</v>
      </c>
      <c r="N1400" s="5" t="s">
        <v>48</v>
      </c>
      <c r="O1400" s="5"/>
      <c r="P1400" s="9">
        <v>44574.819027777776</v>
      </c>
      <c r="Q1400" s="5" t="s">
        <v>48</v>
      </c>
      <c r="R1400" s="5"/>
      <c r="S1400" s="5"/>
      <c r="T1400" s="9">
        <v>44573.819027777776</v>
      </c>
      <c r="U1400" s="5"/>
      <c r="V1400" s="5">
        <v>0</v>
      </c>
      <c r="W1400" s="5"/>
      <c r="X1400" s="5"/>
      <c r="Y1400" s="5"/>
      <c r="Z1400" s="5"/>
      <c r="AA1400" s="5"/>
      <c r="AC1400">
        <f t="shared" si="190"/>
        <v>7</v>
      </c>
      <c r="AD1400" t="str">
        <f t="shared" si="191"/>
        <v/>
      </c>
      <c r="AE1400">
        <f t="shared" si="192"/>
        <v>1</v>
      </c>
      <c r="AF1400" t="str">
        <f t="shared" si="193"/>
        <v/>
      </c>
      <c r="AG1400" t="str">
        <f t="shared" si="194"/>
        <v/>
      </c>
      <c r="AH1400">
        <f t="shared" si="195"/>
        <v>2</v>
      </c>
      <c r="AI1400" t="str">
        <f t="shared" si="196"/>
        <v/>
      </c>
      <c r="AJ1400" t="str">
        <f t="shared" si="197"/>
        <v/>
      </c>
    </row>
    <row r="1401" spans="1:36">
      <c r="A1401" s="5">
        <v>1607</v>
      </c>
      <c r="B1401" s="5" t="s">
        <v>998</v>
      </c>
      <c r="C1401" s="5" t="s">
        <v>796</v>
      </c>
      <c r="D1401" s="5" t="s">
        <v>957</v>
      </c>
      <c r="E1401" s="5" t="s">
        <v>388</v>
      </c>
      <c r="F1401" s="5" t="str">
        <f t="shared" si="189"/>
        <v>M and E-Extension Officer</v>
      </c>
      <c r="G1401" s="5" t="s">
        <v>40</v>
      </c>
      <c r="H1401" s="9">
        <v>44561.819027777776</v>
      </c>
      <c r="I1401" s="9">
        <v>44564.819027777776</v>
      </c>
      <c r="J1401" s="9" t="e">
        <f>I1401+#REF!</f>
        <v>#REF!</v>
      </c>
      <c r="K1401" s="9" t="e">
        <f>J1401+#REF!</f>
        <v>#REF!</v>
      </c>
      <c r="L1401" s="10" t="s">
        <v>41</v>
      </c>
      <c r="M1401" s="11">
        <v>44581.819027777776</v>
      </c>
      <c r="N1401" s="5" t="s">
        <v>42</v>
      </c>
      <c r="O1401" s="5" t="s">
        <v>98</v>
      </c>
      <c r="P1401" s="9"/>
      <c r="Q1401" s="5"/>
      <c r="R1401" s="5"/>
      <c r="S1401" s="5"/>
      <c r="T1401" s="9">
        <v>44584.819027777776</v>
      </c>
      <c r="U1401" s="5"/>
      <c r="V1401" s="5">
        <v>0</v>
      </c>
      <c r="W1401" s="5"/>
      <c r="X1401" s="5"/>
      <c r="Y1401" s="5"/>
      <c r="Z1401" s="5"/>
      <c r="AA1401" s="5" t="s">
        <v>62</v>
      </c>
      <c r="AC1401">
        <f t="shared" si="190"/>
        <v>17</v>
      </c>
      <c r="AD1401" t="str">
        <f t="shared" si="191"/>
        <v/>
      </c>
      <c r="AE1401">
        <f t="shared" si="192"/>
        <v>3</v>
      </c>
      <c r="AF1401" t="str">
        <f t="shared" si="193"/>
        <v/>
      </c>
      <c r="AG1401" t="str">
        <f t="shared" si="194"/>
        <v/>
      </c>
      <c r="AH1401">
        <f t="shared" si="195"/>
        <v>3</v>
      </c>
      <c r="AI1401" t="str">
        <f t="shared" si="196"/>
        <v/>
      </c>
      <c r="AJ1401" t="str">
        <f t="shared" si="197"/>
        <v/>
      </c>
    </row>
    <row r="1402" spans="1:36">
      <c r="A1402" s="5">
        <v>1608</v>
      </c>
      <c r="B1402" s="5" t="s">
        <v>931</v>
      </c>
      <c r="C1402" s="5" t="s">
        <v>796</v>
      </c>
      <c r="D1402" s="5" t="s">
        <v>893</v>
      </c>
      <c r="E1402" s="5" t="s">
        <v>269</v>
      </c>
      <c r="F1402" s="5" t="str">
        <f t="shared" si="189"/>
        <v>M and E-Manager</v>
      </c>
      <c r="G1402" s="5" t="s">
        <v>270</v>
      </c>
      <c r="H1402" s="9">
        <v>44562.819027777776</v>
      </c>
      <c r="I1402" s="9">
        <v>44564.819027777776</v>
      </c>
      <c r="J1402" s="9" t="e">
        <f>I1402+#REF!</f>
        <v>#REF!</v>
      </c>
      <c r="K1402" s="9" t="e">
        <f>J1402+#REF!</f>
        <v>#REF!</v>
      </c>
      <c r="L1402" s="10" t="s">
        <v>41</v>
      </c>
      <c r="M1402" s="11">
        <v>44573.819027777776</v>
      </c>
      <c r="N1402" s="5" t="s">
        <v>42</v>
      </c>
      <c r="O1402" s="5" t="s">
        <v>58</v>
      </c>
      <c r="P1402" s="9"/>
      <c r="Q1402" s="5"/>
      <c r="R1402" s="5"/>
      <c r="S1402" s="5"/>
      <c r="T1402" s="9">
        <v>44577.819027777776</v>
      </c>
      <c r="U1402" s="5"/>
      <c r="V1402" s="5">
        <v>0</v>
      </c>
      <c r="W1402" s="5"/>
      <c r="X1402" s="5"/>
      <c r="Y1402" s="5"/>
      <c r="Z1402" s="5"/>
      <c r="AA1402" s="5" t="s">
        <v>44</v>
      </c>
      <c r="AC1402">
        <f t="shared" si="190"/>
        <v>9</v>
      </c>
      <c r="AD1402" t="str">
        <f t="shared" si="191"/>
        <v/>
      </c>
      <c r="AE1402">
        <f t="shared" si="192"/>
        <v>4</v>
      </c>
      <c r="AF1402" t="str">
        <f t="shared" si="193"/>
        <v/>
      </c>
      <c r="AG1402" t="str">
        <f t="shared" si="194"/>
        <v/>
      </c>
      <c r="AH1402">
        <f t="shared" si="195"/>
        <v>2</v>
      </c>
      <c r="AI1402" t="str">
        <f t="shared" si="196"/>
        <v/>
      </c>
      <c r="AJ1402" t="str">
        <f t="shared" si="197"/>
        <v/>
      </c>
    </row>
    <row r="1403" spans="1:36">
      <c r="A1403" s="5">
        <v>1609</v>
      </c>
      <c r="B1403" s="5" t="s">
        <v>930</v>
      </c>
      <c r="C1403" s="5" t="s">
        <v>796</v>
      </c>
      <c r="D1403" s="5" t="s">
        <v>893</v>
      </c>
      <c r="E1403" s="5" t="s">
        <v>269</v>
      </c>
      <c r="F1403" s="5" t="str">
        <f t="shared" si="189"/>
        <v>M and E-Manager</v>
      </c>
      <c r="G1403" s="5" t="s">
        <v>270</v>
      </c>
      <c r="H1403" s="9">
        <v>44562.819027777776</v>
      </c>
      <c r="I1403" s="9">
        <v>44564.819027777776</v>
      </c>
      <c r="J1403" s="9" t="e">
        <f>I1403+#REF!</f>
        <v>#REF!</v>
      </c>
      <c r="K1403" s="9" t="e">
        <f>J1403+#REF!</f>
        <v>#REF!</v>
      </c>
      <c r="L1403" s="10" t="s">
        <v>52</v>
      </c>
      <c r="M1403" s="11"/>
      <c r="N1403" s="5"/>
      <c r="O1403" s="5"/>
      <c r="P1403" s="9"/>
      <c r="Q1403" s="5"/>
      <c r="R1403" s="5"/>
      <c r="S1403" s="5"/>
      <c r="T1403" s="9"/>
      <c r="U1403" s="5"/>
      <c r="V1403" s="5">
        <v>0</v>
      </c>
      <c r="W1403" s="5"/>
      <c r="X1403" s="5"/>
      <c r="Y1403" s="5"/>
      <c r="Z1403" s="5"/>
      <c r="AA1403" s="5"/>
      <c r="AC1403" t="str">
        <f t="shared" si="190"/>
        <v/>
      </c>
      <c r="AD1403" t="str">
        <f t="shared" si="191"/>
        <v/>
      </c>
      <c r="AE1403" t="str">
        <f t="shared" si="192"/>
        <v/>
      </c>
      <c r="AF1403" t="str">
        <f t="shared" si="193"/>
        <v/>
      </c>
      <c r="AG1403" t="str">
        <f t="shared" si="194"/>
        <v/>
      </c>
      <c r="AH1403">
        <f t="shared" si="195"/>
        <v>2</v>
      </c>
      <c r="AI1403" t="str">
        <f t="shared" si="196"/>
        <v/>
      </c>
      <c r="AJ1403" t="str">
        <f t="shared" si="197"/>
        <v/>
      </c>
    </row>
    <row r="1404" spans="1:36">
      <c r="A1404" s="5">
        <v>1610</v>
      </c>
      <c r="B1404" s="5" t="s">
        <v>929</v>
      </c>
      <c r="C1404" s="5" t="s">
        <v>796</v>
      </c>
      <c r="D1404" s="5" t="s">
        <v>893</v>
      </c>
      <c r="E1404" s="5" t="s">
        <v>269</v>
      </c>
      <c r="F1404" s="5" t="str">
        <f t="shared" si="189"/>
        <v>M and E-Manager</v>
      </c>
      <c r="G1404" s="5" t="s">
        <v>270</v>
      </c>
      <c r="H1404" s="9">
        <v>44564.819027777776</v>
      </c>
      <c r="I1404" s="9">
        <v>44566.819027777776</v>
      </c>
      <c r="J1404" s="9" t="e">
        <f>I1404+#REF!</f>
        <v>#REF!</v>
      </c>
      <c r="K1404" s="9" t="e">
        <f>J1404+#REF!</f>
        <v>#REF!</v>
      </c>
      <c r="L1404" s="10" t="s">
        <v>41</v>
      </c>
      <c r="M1404" s="11">
        <v>44578.819027777776</v>
      </c>
      <c r="N1404" s="5" t="s">
        <v>48</v>
      </c>
      <c r="O1404" s="5"/>
      <c r="P1404" s="9">
        <v>44581.819027777776</v>
      </c>
      <c r="Q1404" s="5" t="s">
        <v>48</v>
      </c>
      <c r="R1404" s="5"/>
      <c r="S1404" s="5"/>
      <c r="T1404" s="9">
        <v>44579.819027777776</v>
      </c>
      <c r="U1404" s="5"/>
      <c r="V1404" s="5">
        <v>0</v>
      </c>
      <c r="W1404" s="5"/>
      <c r="X1404" s="5"/>
      <c r="Y1404" s="5"/>
      <c r="Z1404" s="5"/>
      <c r="AA1404" s="5"/>
      <c r="AC1404">
        <f t="shared" si="190"/>
        <v>12</v>
      </c>
      <c r="AD1404" t="str">
        <f t="shared" si="191"/>
        <v/>
      </c>
      <c r="AE1404">
        <f t="shared" si="192"/>
        <v>1</v>
      </c>
      <c r="AF1404" t="str">
        <f t="shared" si="193"/>
        <v/>
      </c>
      <c r="AG1404" t="str">
        <f t="shared" si="194"/>
        <v/>
      </c>
      <c r="AH1404">
        <f t="shared" si="195"/>
        <v>2</v>
      </c>
      <c r="AI1404" t="str">
        <f t="shared" si="196"/>
        <v/>
      </c>
      <c r="AJ1404" t="str">
        <f t="shared" si="197"/>
        <v/>
      </c>
    </row>
    <row r="1405" spans="1:36">
      <c r="A1405" s="5">
        <v>1611</v>
      </c>
      <c r="B1405" s="5" t="s">
        <v>1264</v>
      </c>
      <c r="C1405" s="10" t="s">
        <v>1215</v>
      </c>
      <c r="D1405" s="5" t="s">
        <v>1249</v>
      </c>
      <c r="E1405" s="5" t="s">
        <v>1250</v>
      </c>
      <c r="F1405" s="5" t="str">
        <f t="shared" si="189"/>
        <v>HR-Screening Associate</v>
      </c>
      <c r="G1405" s="5" t="s">
        <v>40</v>
      </c>
      <c r="H1405" s="9">
        <v>44851.951192129629</v>
      </c>
      <c r="I1405" s="9">
        <v>44854.951192129629</v>
      </c>
      <c r="J1405" s="9" t="e">
        <f>I1405+#REF!</f>
        <v>#REF!</v>
      </c>
      <c r="K1405" s="9" t="e">
        <f>J1405+#REF!</f>
        <v>#REF!</v>
      </c>
      <c r="L1405" s="10" t="s">
        <v>41</v>
      </c>
      <c r="M1405" s="11">
        <v>44870.951192129629</v>
      </c>
      <c r="N1405" s="5" t="s">
        <v>42</v>
      </c>
      <c r="O1405" s="5" t="s">
        <v>73</v>
      </c>
      <c r="P1405" s="9"/>
      <c r="Q1405" s="5"/>
      <c r="R1405" s="5"/>
      <c r="S1405" s="5"/>
      <c r="T1405" s="9">
        <v>44872.951192129629</v>
      </c>
      <c r="U1405" s="5"/>
      <c r="V1405" s="5">
        <v>0</v>
      </c>
      <c r="W1405" s="5"/>
      <c r="X1405" s="5"/>
      <c r="Y1405" s="5"/>
      <c r="Z1405" s="5"/>
      <c r="AA1405" s="5" t="s">
        <v>62</v>
      </c>
      <c r="AC1405">
        <f t="shared" si="190"/>
        <v>16</v>
      </c>
      <c r="AD1405" t="str">
        <f t="shared" si="191"/>
        <v/>
      </c>
      <c r="AE1405">
        <f t="shared" si="192"/>
        <v>2</v>
      </c>
      <c r="AF1405" t="str">
        <f t="shared" si="193"/>
        <v/>
      </c>
      <c r="AG1405" t="str">
        <f t="shared" si="194"/>
        <v/>
      </c>
      <c r="AH1405">
        <f t="shared" si="195"/>
        <v>3</v>
      </c>
      <c r="AI1405" t="str">
        <f t="shared" si="196"/>
        <v/>
      </c>
      <c r="AJ1405" t="str">
        <f t="shared" si="197"/>
        <v/>
      </c>
    </row>
    <row r="1406" spans="1:36">
      <c r="A1406" s="5">
        <v>1614</v>
      </c>
      <c r="B1406" s="5" t="s">
        <v>1231</v>
      </c>
      <c r="C1406" s="10" t="s">
        <v>1215</v>
      </c>
      <c r="D1406" s="5" t="s">
        <v>1216</v>
      </c>
      <c r="E1406" s="5" t="s">
        <v>1217</v>
      </c>
      <c r="F1406" s="5" t="str">
        <f t="shared" si="189"/>
        <v>HR-Specialist</v>
      </c>
      <c r="G1406" s="5" t="s">
        <v>270</v>
      </c>
      <c r="H1406" s="9">
        <v>44848.951192129629</v>
      </c>
      <c r="I1406" s="9">
        <v>44852.951192129629</v>
      </c>
      <c r="J1406" s="9" t="e">
        <f>I1406+#REF!</f>
        <v>#REF!</v>
      </c>
      <c r="K1406" s="9" t="e">
        <f>J1406+#REF!</f>
        <v>#REF!</v>
      </c>
      <c r="L1406" s="10" t="s">
        <v>41</v>
      </c>
      <c r="M1406" s="11">
        <v>44863.951192129629</v>
      </c>
      <c r="N1406" s="5" t="s">
        <v>42</v>
      </c>
      <c r="O1406" s="5" t="s">
        <v>58</v>
      </c>
      <c r="P1406" s="9"/>
      <c r="Q1406" s="5"/>
      <c r="R1406" s="5"/>
      <c r="S1406" s="5"/>
      <c r="T1406" s="9">
        <v>44867.951192129629</v>
      </c>
      <c r="U1406" s="5"/>
      <c r="V1406" s="5">
        <v>0</v>
      </c>
      <c r="W1406" s="5"/>
      <c r="X1406" s="5"/>
      <c r="Y1406" s="5"/>
      <c r="Z1406" s="5"/>
      <c r="AA1406" s="5" t="s">
        <v>44</v>
      </c>
      <c r="AC1406">
        <f t="shared" si="190"/>
        <v>11</v>
      </c>
      <c r="AD1406" t="str">
        <f t="shared" si="191"/>
        <v/>
      </c>
      <c r="AE1406">
        <f t="shared" si="192"/>
        <v>4</v>
      </c>
      <c r="AF1406" t="str">
        <f t="shared" si="193"/>
        <v/>
      </c>
      <c r="AG1406" t="str">
        <f t="shared" si="194"/>
        <v/>
      </c>
      <c r="AH1406">
        <f t="shared" si="195"/>
        <v>4</v>
      </c>
      <c r="AI1406" t="str">
        <f t="shared" si="196"/>
        <v/>
      </c>
      <c r="AJ1406" t="str">
        <f t="shared" si="197"/>
        <v/>
      </c>
    </row>
    <row r="1407" spans="1:36">
      <c r="A1407" s="5">
        <v>1617</v>
      </c>
      <c r="B1407" s="5" t="s">
        <v>1230</v>
      </c>
      <c r="C1407" s="10" t="s">
        <v>1215</v>
      </c>
      <c r="D1407" s="5" t="s">
        <v>1216</v>
      </c>
      <c r="E1407" s="5" t="s">
        <v>1217</v>
      </c>
      <c r="F1407" s="5" t="str">
        <f t="shared" si="189"/>
        <v>HR-Specialist</v>
      </c>
      <c r="G1407" s="5" t="s">
        <v>270</v>
      </c>
      <c r="H1407" s="9">
        <v>44852.951192129629</v>
      </c>
      <c r="I1407" s="9">
        <v>44853.951192129629</v>
      </c>
      <c r="J1407" s="9" t="e">
        <f>I1407+#REF!</f>
        <v>#REF!</v>
      </c>
      <c r="K1407" s="9" t="e">
        <f>J1407+#REF!</f>
        <v>#REF!</v>
      </c>
      <c r="L1407" s="10" t="s">
        <v>41</v>
      </c>
      <c r="M1407" s="11">
        <v>44873.951192129629</v>
      </c>
      <c r="N1407" s="5" t="s">
        <v>42</v>
      </c>
      <c r="O1407" s="5" t="s">
        <v>73</v>
      </c>
      <c r="P1407" s="9"/>
      <c r="Q1407" s="5"/>
      <c r="R1407" s="5"/>
      <c r="S1407" s="5"/>
      <c r="T1407" s="9">
        <v>44875.951192129629</v>
      </c>
      <c r="U1407" s="5"/>
      <c r="V1407" s="5">
        <v>0</v>
      </c>
      <c r="W1407" s="5"/>
      <c r="X1407" s="5"/>
      <c r="Y1407" s="5"/>
      <c r="Z1407" s="5"/>
      <c r="AA1407" s="5" t="s">
        <v>44</v>
      </c>
      <c r="AC1407">
        <f t="shared" si="190"/>
        <v>20</v>
      </c>
      <c r="AD1407" t="str">
        <f t="shared" si="191"/>
        <v/>
      </c>
      <c r="AE1407">
        <f t="shared" si="192"/>
        <v>2</v>
      </c>
      <c r="AF1407" t="str">
        <f t="shared" si="193"/>
        <v/>
      </c>
      <c r="AG1407" t="str">
        <f t="shared" si="194"/>
        <v/>
      </c>
      <c r="AH1407">
        <f t="shared" si="195"/>
        <v>1</v>
      </c>
      <c r="AI1407" t="str">
        <f t="shared" si="196"/>
        <v/>
      </c>
      <c r="AJ1407" t="str">
        <f t="shared" si="197"/>
        <v/>
      </c>
    </row>
    <row r="1408" spans="1:36">
      <c r="A1408" s="5">
        <v>1618</v>
      </c>
      <c r="B1408" s="5" t="s">
        <v>1305</v>
      </c>
      <c r="C1408" s="10" t="s">
        <v>1215</v>
      </c>
      <c r="D1408" s="5" t="s">
        <v>1287</v>
      </c>
      <c r="E1408" s="5" t="s">
        <v>1146</v>
      </c>
      <c r="F1408" s="5" t="str">
        <f t="shared" si="189"/>
        <v>HR-Quality Assurance</v>
      </c>
      <c r="G1408" s="5" t="s">
        <v>47</v>
      </c>
      <c r="H1408" s="9">
        <v>44850.951192129629</v>
      </c>
      <c r="I1408" s="9">
        <v>44854.951192129629</v>
      </c>
      <c r="J1408" s="9" t="e">
        <f>I1408+#REF!</f>
        <v>#REF!</v>
      </c>
      <c r="K1408" s="9" t="e">
        <f>J1408+#REF!</f>
        <v>#REF!</v>
      </c>
      <c r="L1408" s="10" t="s">
        <v>41</v>
      </c>
      <c r="M1408" s="11">
        <v>44871.951192129629</v>
      </c>
      <c r="N1408" s="5" t="s">
        <v>42</v>
      </c>
      <c r="O1408" s="5" t="s">
        <v>73</v>
      </c>
      <c r="P1408" s="9"/>
      <c r="Q1408" s="5"/>
      <c r="R1408" s="5"/>
      <c r="S1408" s="5"/>
      <c r="T1408" s="9"/>
      <c r="U1408" s="5"/>
      <c r="V1408" s="5">
        <v>0</v>
      </c>
      <c r="W1408" s="5"/>
      <c r="X1408" s="5"/>
      <c r="Y1408" s="5"/>
      <c r="Z1408" s="5"/>
      <c r="AA1408" s="5" t="s">
        <v>62</v>
      </c>
      <c r="AC1408">
        <f t="shared" si="190"/>
        <v>17</v>
      </c>
      <c r="AD1408" t="str">
        <f t="shared" si="191"/>
        <v/>
      </c>
      <c r="AE1408" t="str">
        <f t="shared" si="192"/>
        <v/>
      </c>
      <c r="AF1408" t="str">
        <f t="shared" si="193"/>
        <v/>
      </c>
      <c r="AG1408" t="str">
        <f t="shared" si="194"/>
        <v/>
      </c>
      <c r="AH1408">
        <f t="shared" si="195"/>
        <v>4</v>
      </c>
      <c r="AI1408" t="str">
        <f t="shared" si="196"/>
        <v/>
      </c>
      <c r="AJ1408" t="str">
        <f t="shared" si="197"/>
        <v/>
      </c>
    </row>
    <row r="1409" spans="1:36">
      <c r="A1409" s="5">
        <v>1619</v>
      </c>
      <c r="B1409" s="5" t="s">
        <v>1203</v>
      </c>
      <c r="C1409" s="10" t="s">
        <v>1122</v>
      </c>
      <c r="D1409" s="5" t="s">
        <v>1191</v>
      </c>
      <c r="E1409" s="5" t="s">
        <v>269</v>
      </c>
      <c r="F1409" s="5" t="str">
        <f t="shared" si="189"/>
        <v>IT-Manager</v>
      </c>
      <c r="G1409" s="5" t="s">
        <v>270</v>
      </c>
      <c r="H1409" s="9">
        <v>44848.951192129629</v>
      </c>
      <c r="I1409" s="9">
        <v>44852.951192129629</v>
      </c>
      <c r="J1409" s="9" t="e">
        <f>I1409+#REF!</f>
        <v>#REF!</v>
      </c>
      <c r="K1409" s="9" t="e">
        <f>J1409+#REF!</f>
        <v>#REF!</v>
      </c>
      <c r="L1409" s="10" t="s">
        <v>41</v>
      </c>
      <c r="M1409" s="11">
        <v>44863.951192129629</v>
      </c>
      <c r="N1409" s="5" t="s">
        <v>42</v>
      </c>
      <c r="O1409" s="5" t="s">
        <v>73</v>
      </c>
      <c r="P1409" s="9"/>
      <c r="Q1409" s="5"/>
      <c r="R1409" s="5"/>
      <c r="S1409" s="5"/>
      <c r="T1409" s="9">
        <v>44864.951192129629</v>
      </c>
      <c r="U1409" s="5"/>
      <c r="V1409" s="5">
        <v>0</v>
      </c>
      <c r="W1409" s="5"/>
      <c r="X1409" s="5"/>
      <c r="Y1409" s="5"/>
      <c r="Z1409" s="5"/>
      <c r="AA1409" s="5" t="s">
        <v>62</v>
      </c>
      <c r="AC1409">
        <f t="shared" si="190"/>
        <v>11</v>
      </c>
      <c r="AD1409" t="str">
        <f t="shared" si="191"/>
        <v/>
      </c>
      <c r="AE1409">
        <f t="shared" si="192"/>
        <v>1</v>
      </c>
      <c r="AF1409" t="str">
        <f t="shared" si="193"/>
        <v/>
      </c>
      <c r="AG1409" t="str">
        <f t="shared" si="194"/>
        <v/>
      </c>
      <c r="AH1409">
        <f t="shared" si="195"/>
        <v>4</v>
      </c>
      <c r="AI1409" t="str">
        <f t="shared" si="196"/>
        <v/>
      </c>
      <c r="AJ1409" t="str">
        <f t="shared" si="197"/>
        <v/>
      </c>
    </row>
    <row r="1410" spans="1:36">
      <c r="A1410" s="5">
        <v>1620</v>
      </c>
      <c r="B1410" s="5" t="s">
        <v>1229</v>
      </c>
      <c r="C1410" s="10" t="s">
        <v>1215</v>
      </c>
      <c r="D1410" s="5" t="s">
        <v>1216</v>
      </c>
      <c r="E1410" s="5" t="s">
        <v>1217</v>
      </c>
      <c r="F1410" s="5" t="str">
        <f t="shared" ref="F1410:F1473" si="198">_xlfn.CONCAT(C1410,"-",E1410)</f>
        <v>HR-Specialist</v>
      </c>
      <c r="G1410" s="5" t="s">
        <v>270</v>
      </c>
      <c r="H1410" s="9">
        <v>44856.951192129629</v>
      </c>
      <c r="I1410" s="9">
        <v>44857.951192129629</v>
      </c>
      <c r="J1410" s="9" t="e">
        <f>I1410+#REF!</f>
        <v>#REF!</v>
      </c>
      <c r="K1410" s="9" t="e">
        <f>J1410+#REF!</f>
        <v>#REF!</v>
      </c>
      <c r="L1410" s="10" t="s">
        <v>41</v>
      </c>
      <c r="M1410" s="11">
        <v>44871.951192129629</v>
      </c>
      <c r="N1410" s="5" t="s">
        <v>42</v>
      </c>
      <c r="O1410" s="5" t="s">
        <v>58</v>
      </c>
      <c r="P1410" s="9"/>
      <c r="Q1410" s="5"/>
      <c r="R1410" s="5"/>
      <c r="S1410" s="5"/>
      <c r="T1410" s="9">
        <v>44875.951192129629</v>
      </c>
      <c r="U1410" s="5"/>
      <c r="V1410" s="5">
        <v>0</v>
      </c>
      <c r="W1410" s="5"/>
      <c r="X1410" s="5"/>
      <c r="Y1410" s="5"/>
      <c r="Z1410" s="5"/>
      <c r="AA1410" s="5" t="s">
        <v>44</v>
      </c>
      <c r="AC1410">
        <f t="shared" ref="AC1410:AC1473" si="199">IF(AND(ISNUMBER(M1410), ISNUMBER(I1410)), M1410 - I1410, "")</f>
        <v>14</v>
      </c>
      <c r="AD1410" t="str">
        <f t="shared" si="191"/>
        <v/>
      </c>
      <c r="AE1410">
        <f t="shared" si="192"/>
        <v>4</v>
      </c>
      <c r="AF1410" t="str">
        <f t="shared" si="193"/>
        <v/>
      </c>
      <c r="AG1410" t="str">
        <f t="shared" si="194"/>
        <v/>
      </c>
      <c r="AH1410">
        <f t="shared" si="195"/>
        <v>1</v>
      </c>
      <c r="AI1410" t="str">
        <f t="shared" si="196"/>
        <v/>
      </c>
      <c r="AJ1410" t="str">
        <f t="shared" si="197"/>
        <v/>
      </c>
    </row>
    <row r="1411" spans="1:36">
      <c r="A1411" s="5">
        <v>1622</v>
      </c>
      <c r="B1411" s="5" t="s">
        <v>997</v>
      </c>
      <c r="C1411" s="5" t="s">
        <v>796</v>
      </c>
      <c r="D1411" s="5" t="s">
        <v>957</v>
      </c>
      <c r="E1411" s="5" t="s">
        <v>388</v>
      </c>
      <c r="F1411" s="5" t="str">
        <f t="shared" si="198"/>
        <v>M and E-Extension Officer</v>
      </c>
      <c r="G1411" s="5" t="s">
        <v>40</v>
      </c>
      <c r="H1411" s="9">
        <v>44639.297905092593</v>
      </c>
      <c r="I1411" s="9">
        <v>44640.297905092593</v>
      </c>
      <c r="J1411" s="9" t="e">
        <f>I1411+#REF!</f>
        <v>#REF!</v>
      </c>
      <c r="K1411" s="9" t="e">
        <f>J1411+#REF!</f>
        <v>#REF!</v>
      </c>
      <c r="L1411" s="10" t="s">
        <v>41</v>
      </c>
      <c r="M1411" s="11">
        <v>44655.297905092593</v>
      </c>
      <c r="N1411" s="5" t="s">
        <v>167</v>
      </c>
      <c r="O1411" s="5"/>
      <c r="P1411" s="9">
        <v>44658.297905092593</v>
      </c>
      <c r="Q1411" s="5" t="s">
        <v>167</v>
      </c>
      <c r="R1411" s="5"/>
      <c r="S1411" s="5"/>
      <c r="T1411" s="9">
        <v>44657.297905092593</v>
      </c>
      <c r="U1411" s="5"/>
      <c r="V1411" s="5">
        <v>0</v>
      </c>
      <c r="W1411" s="5"/>
      <c r="X1411" s="5"/>
      <c r="Y1411" s="5"/>
      <c r="Z1411" s="5"/>
      <c r="AA1411" s="5"/>
      <c r="AC1411">
        <f t="shared" si="199"/>
        <v>15</v>
      </c>
      <c r="AD1411" t="str">
        <f t="shared" ref="AD1411:AD1474" si="200">IF(AND(ISNUMBER(S1411), ISNUMBER(I1411)), S1411 - I1411, "")</f>
        <v/>
      </c>
      <c r="AE1411">
        <f t="shared" ref="AE1411:AE1474" si="201">IF(AND(ISNUMBER(T1411), ISNUMBER(M1411)), T1411-M1411, "")</f>
        <v>2</v>
      </c>
      <c r="AF1411" t="str">
        <f t="shared" ref="AF1411:AF1474" si="202">IF(AND(ISNUMBER(X1411), ISNUMBER(U1411)), X1411-U1411,"")</f>
        <v/>
      </c>
      <c r="AG1411" t="str">
        <f t="shared" ref="AG1411:AG1474" si="203">IF(AND(ISNUMBER(W1411), ISNUMBER(U1411)), W1411-U1411, "")</f>
        <v/>
      </c>
      <c r="AH1411">
        <f t="shared" ref="AH1411:AH1474" si="204">IF(AND(ISNUMBER(I1411), ISNUMBER(H1411)), I1411-H1411,"")</f>
        <v>1</v>
      </c>
      <c r="AI1411" t="str">
        <f t="shared" ref="AI1411:AI1474" si="205">IF(AND(ISNUMBER(J1411),ISNUMBER(K1411)),K1411-J1411,"")</f>
        <v/>
      </c>
      <c r="AJ1411" t="str">
        <f t="shared" ref="AJ1411:AJ1474" si="206">IF(AND(ISNUMBER(J1411),ISNUMBER(I1411)), J1411-I1411,"")</f>
        <v/>
      </c>
    </row>
    <row r="1412" spans="1:36">
      <c r="A1412" s="5">
        <v>1623</v>
      </c>
      <c r="B1412" s="5" t="s">
        <v>1094</v>
      </c>
      <c r="C1412" s="5" t="s">
        <v>796</v>
      </c>
      <c r="D1412" s="5" t="s">
        <v>1046</v>
      </c>
      <c r="E1412" s="5" t="s">
        <v>673</v>
      </c>
      <c r="F1412" s="5" t="str">
        <f t="shared" si="198"/>
        <v>M and E-Controller</v>
      </c>
      <c r="G1412" s="5" t="s">
        <v>47</v>
      </c>
      <c r="H1412" s="9">
        <v>44639.297905092593</v>
      </c>
      <c r="I1412" s="9">
        <v>44643.297905092593</v>
      </c>
      <c r="J1412" s="9" t="e">
        <f>I1412+#REF!</f>
        <v>#REF!</v>
      </c>
      <c r="K1412" s="9" t="e">
        <f>J1412+#REF!</f>
        <v>#REF!</v>
      </c>
      <c r="L1412" s="10" t="s">
        <v>41</v>
      </c>
      <c r="M1412" s="11">
        <v>44661.297905092593</v>
      </c>
      <c r="N1412" s="5" t="s">
        <v>48</v>
      </c>
      <c r="O1412" s="5"/>
      <c r="P1412" s="9">
        <v>44665.297905092593</v>
      </c>
      <c r="Q1412" s="5" t="s">
        <v>48</v>
      </c>
      <c r="R1412" s="5"/>
      <c r="S1412" s="5"/>
      <c r="T1412" s="9">
        <v>44663.297905092593</v>
      </c>
      <c r="U1412" s="5"/>
      <c r="V1412" s="5">
        <v>0</v>
      </c>
      <c r="W1412" s="5"/>
      <c r="X1412" s="5"/>
      <c r="Y1412" s="5"/>
      <c r="Z1412" s="5"/>
      <c r="AA1412" s="5"/>
      <c r="AC1412">
        <f t="shared" si="199"/>
        <v>18</v>
      </c>
      <c r="AD1412" t="str">
        <f t="shared" si="200"/>
        <v/>
      </c>
      <c r="AE1412">
        <f t="shared" si="201"/>
        <v>2</v>
      </c>
      <c r="AF1412" t="str">
        <f t="shared" si="202"/>
        <v/>
      </c>
      <c r="AG1412" t="str">
        <f t="shared" si="203"/>
        <v/>
      </c>
      <c r="AH1412">
        <f t="shared" si="204"/>
        <v>4</v>
      </c>
      <c r="AI1412" t="str">
        <f t="shared" si="205"/>
        <v/>
      </c>
      <c r="AJ1412" t="str">
        <f t="shared" si="206"/>
        <v/>
      </c>
    </row>
    <row r="1413" spans="1:36">
      <c r="A1413" s="5">
        <v>1625</v>
      </c>
      <c r="B1413" s="5" t="s">
        <v>1093</v>
      </c>
      <c r="C1413" s="5" t="s">
        <v>796</v>
      </c>
      <c r="D1413" s="5" t="s">
        <v>1046</v>
      </c>
      <c r="E1413" s="5" t="s">
        <v>673</v>
      </c>
      <c r="F1413" s="5" t="str">
        <f t="shared" si="198"/>
        <v>M and E-Controller</v>
      </c>
      <c r="G1413" s="5" t="s">
        <v>47</v>
      </c>
      <c r="H1413" s="9">
        <v>44639.297905092593</v>
      </c>
      <c r="I1413" s="9">
        <v>44643.297905092593</v>
      </c>
      <c r="J1413" s="9" t="e">
        <f>I1413+#REF!</f>
        <v>#REF!</v>
      </c>
      <c r="K1413" s="9" t="e">
        <f>J1413+#REF!</f>
        <v>#REF!</v>
      </c>
      <c r="L1413" s="10" t="s">
        <v>41</v>
      </c>
      <c r="M1413" s="11">
        <v>44649.297905092593</v>
      </c>
      <c r="N1413" s="5" t="s">
        <v>42</v>
      </c>
      <c r="O1413" s="5" t="s">
        <v>73</v>
      </c>
      <c r="P1413" s="9"/>
      <c r="Q1413" s="5"/>
      <c r="R1413" s="5"/>
      <c r="S1413" s="5"/>
      <c r="T1413" s="9"/>
      <c r="U1413" s="5"/>
      <c r="V1413" s="5">
        <v>0</v>
      </c>
      <c r="W1413" s="5"/>
      <c r="X1413" s="5"/>
      <c r="Y1413" s="5"/>
      <c r="Z1413" s="5"/>
      <c r="AA1413" s="5" t="s">
        <v>62</v>
      </c>
      <c r="AC1413">
        <f t="shared" si="199"/>
        <v>6</v>
      </c>
      <c r="AD1413" t="str">
        <f t="shared" si="200"/>
        <v/>
      </c>
      <c r="AE1413" t="str">
        <f t="shared" si="201"/>
        <v/>
      </c>
      <c r="AF1413" t="str">
        <f t="shared" si="202"/>
        <v/>
      </c>
      <c r="AG1413" t="str">
        <f t="shared" si="203"/>
        <v/>
      </c>
      <c r="AH1413">
        <f t="shared" si="204"/>
        <v>4</v>
      </c>
      <c r="AI1413" t="str">
        <f t="shared" si="205"/>
        <v/>
      </c>
      <c r="AJ1413" t="str">
        <f t="shared" si="206"/>
        <v/>
      </c>
    </row>
    <row r="1414" spans="1:36">
      <c r="A1414" s="5">
        <v>1626</v>
      </c>
      <c r="B1414" s="5" t="s">
        <v>928</v>
      </c>
      <c r="C1414" s="5" t="s">
        <v>796</v>
      </c>
      <c r="D1414" s="5" t="s">
        <v>893</v>
      </c>
      <c r="E1414" s="5" t="s">
        <v>269</v>
      </c>
      <c r="F1414" s="5" t="str">
        <f t="shared" si="198"/>
        <v>M and E-Manager</v>
      </c>
      <c r="G1414" s="5" t="s">
        <v>270</v>
      </c>
      <c r="H1414" s="9">
        <v>44639.297905092593</v>
      </c>
      <c r="I1414" s="9">
        <v>44643.297905092593</v>
      </c>
      <c r="J1414" s="9" t="e">
        <f>I1414+#REF!</f>
        <v>#REF!</v>
      </c>
      <c r="K1414" s="9" t="e">
        <f>J1414+#REF!</f>
        <v>#REF!</v>
      </c>
      <c r="L1414" s="10" t="s">
        <v>41</v>
      </c>
      <c r="M1414" s="11">
        <v>44653.297905092593</v>
      </c>
      <c r="N1414" s="5" t="s">
        <v>48</v>
      </c>
      <c r="O1414" s="5"/>
      <c r="P1414" s="9">
        <v>44656.297905092593</v>
      </c>
      <c r="Q1414" s="5" t="s">
        <v>48</v>
      </c>
      <c r="R1414" s="5"/>
      <c r="S1414" s="5"/>
      <c r="T1414" s="9">
        <v>44655.297905092593</v>
      </c>
      <c r="U1414" s="5"/>
      <c r="V1414" s="5">
        <v>0</v>
      </c>
      <c r="W1414" s="5"/>
      <c r="X1414" s="5"/>
      <c r="Y1414" s="5"/>
      <c r="Z1414" s="5"/>
      <c r="AA1414" s="5"/>
      <c r="AC1414">
        <f t="shared" si="199"/>
        <v>10</v>
      </c>
      <c r="AD1414" t="str">
        <f t="shared" si="200"/>
        <v/>
      </c>
      <c r="AE1414">
        <f t="shared" si="201"/>
        <v>2</v>
      </c>
      <c r="AF1414" t="str">
        <f t="shared" si="202"/>
        <v/>
      </c>
      <c r="AG1414" t="str">
        <f t="shared" si="203"/>
        <v/>
      </c>
      <c r="AH1414">
        <f t="shared" si="204"/>
        <v>4</v>
      </c>
      <c r="AI1414" t="str">
        <f t="shared" si="205"/>
        <v/>
      </c>
      <c r="AJ1414" t="str">
        <f t="shared" si="206"/>
        <v/>
      </c>
    </row>
    <row r="1415" spans="1:36">
      <c r="A1415" s="5">
        <v>1627</v>
      </c>
      <c r="B1415" s="5" t="s">
        <v>862</v>
      </c>
      <c r="C1415" s="5" t="s">
        <v>796</v>
      </c>
      <c r="D1415" s="5" t="s">
        <v>814</v>
      </c>
      <c r="E1415" s="5" t="s">
        <v>597</v>
      </c>
      <c r="F1415" s="5" t="str">
        <f t="shared" si="198"/>
        <v>M and E-Business Partner</v>
      </c>
      <c r="G1415" s="5" t="s">
        <v>147</v>
      </c>
      <c r="H1415" s="9">
        <v>44638.297905092593</v>
      </c>
      <c r="I1415" s="9">
        <v>44640.297905092593</v>
      </c>
      <c r="J1415" s="9" t="e">
        <f>I1415+#REF!</f>
        <v>#REF!</v>
      </c>
      <c r="K1415" s="9" t="e">
        <f>J1415+#REF!</f>
        <v>#REF!</v>
      </c>
      <c r="L1415" s="10" t="s">
        <v>41</v>
      </c>
      <c r="M1415" s="11">
        <v>44661.297905092593</v>
      </c>
      <c r="N1415" s="5" t="s">
        <v>42</v>
      </c>
      <c r="O1415" s="5" t="s">
        <v>73</v>
      </c>
      <c r="P1415" s="9"/>
      <c r="Q1415" s="5"/>
      <c r="R1415" s="5"/>
      <c r="S1415" s="5"/>
      <c r="T1415" s="9">
        <v>44664.297905092593</v>
      </c>
      <c r="U1415" s="5"/>
      <c r="V1415" s="5">
        <v>0</v>
      </c>
      <c r="W1415" s="5"/>
      <c r="X1415" s="5"/>
      <c r="Y1415" s="5"/>
      <c r="Z1415" s="5"/>
      <c r="AA1415" s="5" t="s">
        <v>62</v>
      </c>
      <c r="AC1415">
        <f t="shared" si="199"/>
        <v>21</v>
      </c>
      <c r="AD1415" t="str">
        <f t="shared" si="200"/>
        <v/>
      </c>
      <c r="AE1415">
        <f t="shared" si="201"/>
        <v>3</v>
      </c>
      <c r="AF1415" t="str">
        <f t="shared" si="202"/>
        <v/>
      </c>
      <c r="AG1415" t="str">
        <f t="shared" si="203"/>
        <v/>
      </c>
      <c r="AH1415">
        <f t="shared" si="204"/>
        <v>2</v>
      </c>
      <c r="AI1415" t="str">
        <f t="shared" si="205"/>
        <v/>
      </c>
      <c r="AJ1415" t="str">
        <f t="shared" si="206"/>
        <v/>
      </c>
    </row>
    <row r="1416" spans="1:36">
      <c r="A1416" s="5">
        <v>1628</v>
      </c>
      <c r="B1416" s="5" t="s">
        <v>1092</v>
      </c>
      <c r="C1416" s="5" t="s">
        <v>796</v>
      </c>
      <c r="D1416" s="5" t="s">
        <v>1046</v>
      </c>
      <c r="E1416" s="5" t="s">
        <v>673</v>
      </c>
      <c r="F1416" s="5" t="str">
        <f t="shared" si="198"/>
        <v>M and E-Controller</v>
      </c>
      <c r="G1416" s="5" t="s">
        <v>47</v>
      </c>
      <c r="H1416" s="9">
        <v>44636.297905092593</v>
      </c>
      <c r="I1416" s="9">
        <v>44639.297905092593</v>
      </c>
      <c r="J1416" s="9" t="e">
        <f>I1416+#REF!</f>
        <v>#REF!</v>
      </c>
      <c r="K1416" s="9" t="e">
        <f>J1416+#REF!</f>
        <v>#REF!</v>
      </c>
      <c r="L1416" s="10" t="s">
        <v>52</v>
      </c>
      <c r="M1416" s="11"/>
      <c r="N1416" s="5"/>
      <c r="O1416" s="5"/>
      <c r="P1416" s="9"/>
      <c r="Q1416" s="5"/>
      <c r="R1416" s="5"/>
      <c r="S1416" s="5"/>
      <c r="T1416" s="9"/>
      <c r="U1416" s="5"/>
      <c r="V1416" s="5">
        <v>0</v>
      </c>
      <c r="W1416" s="5"/>
      <c r="X1416" s="5"/>
      <c r="Y1416" s="5"/>
      <c r="Z1416" s="5"/>
      <c r="AA1416" s="5"/>
      <c r="AC1416" t="str">
        <f t="shared" si="199"/>
        <v/>
      </c>
      <c r="AD1416" t="str">
        <f t="shared" si="200"/>
        <v/>
      </c>
      <c r="AE1416" t="str">
        <f t="shared" si="201"/>
        <v/>
      </c>
      <c r="AF1416" t="str">
        <f t="shared" si="202"/>
        <v/>
      </c>
      <c r="AG1416" t="str">
        <f t="shared" si="203"/>
        <v/>
      </c>
      <c r="AH1416">
        <f t="shared" si="204"/>
        <v>3</v>
      </c>
      <c r="AI1416" t="str">
        <f t="shared" si="205"/>
        <v/>
      </c>
      <c r="AJ1416" t="str">
        <f t="shared" si="206"/>
        <v/>
      </c>
    </row>
    <row r="1417" spans="1:36">
      <c r="A1417" s="5">
        <v>1630</v>
      </c>
      <c r="B1417" s="5" t="s">
        <v>861</v>
      </c>
      <c r="C1417" s="5" t="s">
        <v>796</v>
      </c>
      <c r="D1417" s="5" t="s">
        <v>814</v>
      </c>
      <c r="E1417" s="5" t="s">
        <v>597</v>
      </c>
      <c r="F1417" s="5" t="str">
        <f t="shared" si="198"/>
        <v>M and E-Business Partner</v>
      </c>
      <c r="G1417" s="5" t="s">
        <v>147</v>
      </c>
      <c r="H1417" s="9">
        <v>44637.297905092593</v>
      </c>
      <c r="I1417" s="9">
        <v>44640.297905092593</v>
      </c>
      <c r="J1417" s="9" t="e">
        <f>I1417+#REF!</f>
        <v>#REF!</v>
      </c>
      <c r="K1417" s="9" t="e">
        <f>J1417+#REF!</f>
        <v>#REF!</v>
      </c>
      <c r="L1417" s="10" t="s">
        <v>41</v>
      </c>
      <c r="M1417" s="11">
        <v>44655.297905092593</v>
      </c>
      <c r="N1417" s="5" t="s">
        <v>42</v>
      </c>
      <c r="O1417" s="5" t="s">
        <v>43</v>
      </c>
      <c r="P1417" s="9"/>
      <c r="Q1417" s="5"/>
      <c r="R1417" s="5"/>
      <c r="S1417" s="5"/>
      <c r="T1417" s="9"/>
      <c r="U1417" s="5"/>
      <c r="V1417" s="5">
        <v>0</v>
      </c>
      <c r="W1417" s="5"/>
      <c r="X1417" s="5"/>
      <c r="Y1417" s="5"/>
      <c r="Z1417" s="5"/>
      <c r="AA1417" s="5" t="s">
        <v>62</v>
      </c>
      <c r="AC1417">
        <f t="shared" si="199"/>
        <v>15</v>
      </c>
      <c r="AD1417" t="str">
        <f t="shared" si="200"/>
        <v/>
      </c>
      <c r="AE1417" t="str">
        <f t="shared" si="201"/>
        <v/>
      </c>
      <c r="AF1417" t="str">
        <f t="shared" si="202"/>
        <v/>
      </c>
      <c r="AG1417" t="str">
        <f t="shared" si="203"/>
        <v/>
      </c>
      <c r="AH1417">
        <f t="shared" si="204"/>
        <v>3</v>
      </c>
      <c r="AI1417" t="str">
        <f t="shared" si="205"/>
        <v/>
      </c>
      <c r="AJ1417" t="str">
        <f t="shared" si="206"/>
        <v/>
      </c>
    </row>
    <row r="1418" spans="1:36">
      <c r="A1418" s="5">
        <v>1632</v>
      </c>
      <c r="B1418" s="5" t="s">
        <v>1929</v>
      </c>
      <c r="C1418" s="5" t="s">
        <v>1540</v>
      </c>
      <c r="D1418" s="5" t="s">
        <v>1925</v>
      </c>
      <c r="E1418" s="5" t="s">
        <v>1039</v>
      </c>
      <c r="F1418" s="5" t="str">
        <f t="shared" si="198"/>
        <v>Finance-Associate Director</v>
      </c>
      <c r="G1418" s="5" t="s">
        <v>56</v>
      </c>
      <c r="H1418" s="9">
        <v>45171.320416666669</v>
      </c>
      <c r="I1418" s="9">
        <v>45174.320416666669</v>
      </c>
      <c r="J1418" s="9" t="e">
        <f>I1418+#REF!</f>
        <v>#REF!</v>
      </c>
      <c r="K1418" s="9" t="e">
        <f>J1418+#REF!</f>
        <v>#REF!</v>
      </c>
      <c r="L1418" s="10" t="s">
        <v>52</v>
      </c>
      <c r="M1418" s="11"/>
      <c r="N1418" s="5"/>
      <c r="O1418" s="5"/>
      <c r="P1418" s="9"/>
      <c r="Q1418" s="5"/>
      <c r="R1418" s="5"/>
      <c r="S1418" s="5"/>
      <c r="T1418" s="9"/>
      <c r="U1418" s="5"/>
      <c r="V1418" s="5">
        <v>0</v>
      </c>
      <c r="W1418" s="5"/>
      <c r="X1418" s="5"/>
      <c r="Y1418" s="5"/>
      <c r="Z1418" s="5"/>
      <c r="AA1418" s="5"/>
      <c r="AC1418" t="str">
        <f t="shared" si="199"/>
        <v/>
      </c>
      <c r="AD1418" t="str">
        <f t="shared" si="200"/>
        <v/>
      </c>
      <c r="AE1418" t="str">
        <f t="shared" si="201"/>
        <v/>
      </c>
      <c r="AF1418" t="str">
        <f t="shared" si="202"/>
        <v/>
      </c>
      <c r="AG1418" t="str">
        <f t="shared" si="203"/>
        <v/>
      </c>
      <c r="AH1418">
        <f t="shared" si="204"/>
        <v>3</v>
      </c>
      <c r="AI1418" t="str">
        <f t="shared" si="205"/>
        <v/>
      </c>
      <c r="AJ1418" t="str">
        <f t="shared" si="206"/>
        <v/>
      </c>
    </row>
    <row r="1419" spans="1:36">
      <c r="A1419" s="5">
        <v>1633</v>
      </c>
      <c r="B1419" s="5" t="s">
        <v>1636</v>
      </c>
      <c r="C1419" s="5" t="s">
        <v>1540</v>
      </c>
      <c r="D1419" s="5" t="s">
        <v>1588</v>
      </c>
      <c r="E1419" s="5" t="s">
        <v>1360</v>
      </c>
      <c r="F1419" s="5" t="str">
        <f t="shared" si="198"/>
        <v>Finance-Fund Administrator</v>
      </c>
      <c r="G1419" s="5" t="s">
        <v>147</v>
      </c>
      <c r="H1419" s="9">
        <v>45176.320416666669</v>
      </c>
      <c r="I1419" s="9">
        <v>45177.320416666669</v>
      </c>
      <c r="J1419" s="9" t="e">
        <f>I1419+#REF!</f>
        <v>#REF!</v>
      </c>
      <c r="K1419" s="9" t="e">
        <f>J1419+#REF!</f>
        <v>#REF!</v>
      </c>
      <c r="L1419" s="10" t="s">
        <v>41</v>
      </c>
      <c r="M1419" s="11">
        <v>45181.320416666669</v>
      </c>
      <c r="N1419" s="5" t="s">
        <v>42</v>
      </c>
      <c r="O1419" s="5" t="s">
        <v>98</v>
      </c>
      <c r="P1419" s="9"/>
      <c r="Q1419" s="5"/>
      <c r="R1419" s="5"/>
      <c r="S1419" s="5"/>
      <c r="T1419" s="9"/>
      <c r="U1419" s="5"/>
      <c r="V1419" s="5">
        <v>0</v>
      </c>
      <c r="W1419" s="5"/>
      <c r="X1419" s="5"/>
      <c r="Y1419" s="5"/>
      <c r="Z1419" s="5"/>
      <c r="AA1419" s="5" t="s">
        <v>44</v>
      </c>
      <c r="AC1419">
        <f t="shared" si="199"/>
        <v>4</v>
      </c>
      <c r="AD1419" t="str">
        <f t="shared" si="200"/>
        <v/>
      </c>
      <c r="AE1419" t="str">
        <f t="shared" si="201"/>
        <v/>
      </c>
      <c r="AF1419" t="str">
        <f t="shared" si="202"/>
        <v/>
      </c>
      <c r="AG1419" t="str">
        <f t="shared" si="203"/>
        <v/>
      </c>
      <c r="AH1419">
        <f t="shared" si="204"/>
        <v>1</v>
      </c>
      <c r="AI1419" t="str">
        <f t="shared" si="205"/>
        <v/>
      </c>
      <c r="AJ1419" t="str">
        <f t="shared" si="206"/>
        <v/>
      </c>
    </row>
    <row r="1420" spans="1:36">
      <c r="A1420" s="5">
        <v>1634</v>
      </c>
      <c r="B1420" s="5" t="s">
        <v>1870</v>
      </c>
      <c r="C1420" s="5" t="s">
        <v>1540</v>
      </c>
      <c r="D1420" s="5" t="s">
        <v>1820</v>
      </c>
      <c r="E1420" s="5" t="s">
        <v>1862</v>
      </c>
      <c r="F1420" s="5" t="str">
        <f t="shared" si="198"/>
        <v>Finance-Billing Officer</v>
      </c>
      <c r="G1420" s="5" t="s">
        <v>40</v>
      </c>
      <c r="H1420" s="9">
        <v>45171.320416666669</v>
      </c>
      <c r="I1420" s="9">
        <v>45175.320416666669</v>
      </c>
      <c r="J1420" s="9" t="e">
        <f>I1420+#REF!</f>
        <v>#REF!</v>
      </c>
      <c r="K1420" s="9" t="e">
        <f>J1420+#REF!</f>
        <v>#REF!</v>
      </c>
      <c r="L1420" s="10" t="s">
        <v>41</v>
      </c>
      <c r="M1420" s="11">
        <v>45191.320416666669</v>
      </c>
      <c r="N1420" s="5" t="s">
        <v>64</v>
      </c>
      <c r="O1420" s="5"/>
      <c r="P1420" s="9">
        <v>45196.320416666669</v>
      </c>
      <c r="Q1420" s="5" t="s">
        <v>64</v>
      </c>
      <c r="R1420" s="9">
        <v>45193.320416666669</v>
      </c>
      <c r="S1420" s="9">
        <v>45195.320416666669</v>
      </c>
      <c r="T1420" s="9">
        <v>45193.320416666669</v>
      </c>
      <c r="U1420" s="9">
        <v>45195.320416666669</v>
      </c>
      <c r="V1420" s="12">
        <v>1</v>
      </c>
      <c r="W1420" s="9">
        <v>45196.320416666669</v>
      </c>
      <c r="X1420" s="9">
        <v>45198.320416666669</v>
      </c>
      <c r="Y1420" s="9">
        <v>45199.320416666669</v>
      </c>
      <c r="Z1420" s="5"/>
      <c r="AA1420" s="5"/>
      <c r="AB1420" s="13">
        <v>45215.320416666669</v>
      </c>
      <c r="AC1420">
        <f t="shared" si="199"/>
        <v>16</v>
      </c>
      <c r="AD1420">
        <f t="shared" si="200"/>
        <v>20</v>
      </c>
      <c r="AE1420">
        <f t="shared" si="201"/>
        <v>2</v>
      </c>
      <c r="AF1420">
        <f t="shared" si="202"/>
        <v>3</v>
      </c>
      <c r="AG1420">
        <f t="shared" si="203"/>
        <v>1</v>
      </c>
      <c r="AH1420">
        <f t="shared" si="204"/>
        <v>4</v>
      </c>
      <c r="AI1420" t="str">
        <f t="shared" si="205"/>
        <v/>
      </c>
      <c r="AJ1420" t="str">
        <f t="shared" si="206"/>
        <v/>
      </c>
    </row>
    <row r="1421" spans="1:36">
      <c r="A1421" s="5">
        <v>1635</v>
      </c>
      <c r="B1421" s="5" t="s">
        <v>1557</v>
      </c>
      <c r="C1421" s="5" t="s">
        <v>1540</v>
      </c>
      <c r="D1421" s="5" t="s">
        <v>1541</v>
      </c>
      <c r="E1421" s="5" t="s">
        <v>102</v>
      </c>
      <c r="F1421" s="5" t="str">
        <f t="shared" si="198"/>
        <v>Finance-Senior Manager</v>
      </c>
      <c r="G1421" s="5" t="s">
        <v>103</v>
      </c>
      <c r="H1421" s="9">
        <v>45171.320416666669</v>
      </c>
      <c r="I1421" s="9">
        <v>45172.320416666669</v>
      </c>
      <c r="J1421" s="9" t="e">
        <f>I1421+#REF!</f>
        <v>#REF!</v>
      </c>
      <c r="K1421" s="9" t="e">
        <f>J1421+#REF!</f>
        <v>#REF!</v>
      </c>
      <c r="L1421" s="10" t="s">
        <v>41</v>
      </c>
      <c r="M1421" s="11">
        <v>45184.320416666669</v>
      </c>
      <c r="N1421" s="5" t="s">
        <v>42</v>
      </c>
      <c r="O1421" s="5" t="s">
        <v>73</v>
      </c>
      <c r="P1421" s="9"/>
      <c r="Q1421" s="5"/>
      <c r="R1421" s="5"/>
      <c r="S1421" s="5"/>
      <c r="T1421" s="9">
        <v>45188.320416666669</v>
      </c>
      <c r="U1421" s="5"/>
      <c r="V1421" s="5">
        <v>0</v>
      </c>
      <c r="W1421" s="5"/>
      <c r="X1421" s="5"/>
      <c r="Y1421" s="5"/>
      <c r="Z1421" s="5"/>
      <c r="AA1421" s="5" t="s">
        <v>62</v>
      </c>
      <c r="AC1421">
        <f t="shared" si="199"/>
        <v>12</v>
      </c>
      <c r="AD1421" t="str">
        <f t="shared" si="200"/>
        <v/>
      </c>
      <c r="AE1421">
        <f t="shared" si="201"/>
        <v>4</v>
      </c>
      <c r="AF1421" t="str">
        <f t="shared" si="202"/>
        <v/>
      </c>
      <c r="AG1421" t="str">
        <f t="shared" si="203"/>
        <v/>
      </c>
      <c r="AH1421">
        <f t="shared" si="204"/>
        <v>1</v>
      </c>
      <c r="AI1421" t="str">
        <f t="shared" si="205"/>
        <v/>
      </c>
      <c r="AJ1421" t="str">
        <f t="shared" si="206"/>
        <v/>
      </c>
    </row>
    <row r="1422" spans="1:36">
      <c r="A1422" s="5">
        <v>1636</v>
      </c>
      <c r="B1422" s="5" t="s">
        <v>1635</v>
      </c>
      <c r="C1422" s="5" t="s">
        <v>1540</v>
      </c>
      <c r="D1422" s="5" t="s">
        <v>1588</v>
      </c>
      <c r="E1422" s="5" t="s">
        <v>1360</v>
      </c>
      <c r="F1422" s="5" t="str">
        <f t="shared" si="198"/>
        <v>Finance-Fund Administrator</v>
      </c>
      <c r="G1422" s="5" t="s">
        <v>147</v>
      </c>
      <c r="H1422" s="9">
        <v>45176.320416666669</v>
      </c>
      <c r="I1422" s="9">
        <v>45177.320416666669</v>
      </c>
      <c r="J1422" s="9" t="e">
        <f>I1422+#REF!</f>
        <v>#REF!</v>
      </c>
      <c r="K1422" s="9" t="e">
        <f>J1422+#REF!</f>
        <v>#REF!</v>
      </c>
      <c r="L1422" s="10" t="s">
        <v>41</v>
      </c>
      <c r="M1422" s="11">
        <v>45183.320416666669</v>
      </c>
      <c r="N1422" s="5" t="s">
        <v>42</v>
      </c>
      <c r="O1422" s="5" t="s">
        <v>43</v>
      </c>
      <c r="P1422" s="9"/>
      <c r="Q1422" s="5"/>
      <c r="R1422" s="5"/>
      <c r="S1422" s="5"/>
      <c r="T1422" s="9">
        <v>45185.320416666669</v>
      </c>
      <c r="U1422" s="5"/>
      <c r="V1422" s="5">
        <v>0</v>
      </c>
      <c r="W1422" s="5"/>
      <c r="X1422" s="5"/>
      <c r="Y1422" s="5"/>
      <c r="Z1422" s="5"/>
      <c r="AA1422" s="5" t="s">
        <v>62</v>
      </c>
      <c r="AC1422">
        <f t="shared" si="199"/>
        <v>6</v>
      </c>
      <c r="AD1422" t="str">
        <f t="shared" si="200"/>
        <v/>
      </c>
      <c r="AE1422">
        <f t="shared" si="201"/>
        <v>2</v>
      </c>
      <c r="AF1422" t="str">
        <f t="shared" si="202"/>
        <v/>
      </c>
      <c r="AG1422" t="str">
        <f t="shared" si="203"/>
        <v/>
      </c>
      <c r="AH1422">
        <f t="shared" si="204"/>
        <v>1</v>
      </c>
      <c r="AI1422" t="str">
        <f t="shared" si="205"/>
        <v/>
      </c>
      <c r="AJ1422" t="str">
        <f t="shared" si="206"/>
        <v/>
      </c>
    </row>
    <row r="1423" spans="1:36">
      <c r="A1423" s="5">
        <v>1638</v>
      </c>
      <c r="B1423" s="5" t="s">
        <v>1634</v>
      </c>
      <c r="C1423" s="5" t="s">
        <v>1540</v>
      </c>
      <c r="D1423" s="5" t="s">
        <v>1588</v>
      </c>
      <c r="E1423" s="5" t="s">
        <v>1360</v>
      </c>
      <c r="F1423" s="5" t="str">
        <f t="shared" si="198"/>
        <v>Finance-Fund Administrator</v>
      </c>
      <c r="G1423" s="5" t="s">
        <v>147</v>
      </c>
      <c r="H1423" s="9">
        <v>45172.320416666669</v>
      </c>
      <c r="I1423" s="9">
        <v>45174.320416666669</v>
      </c>
      <c r="J1423" s="9" t="e">
        <f>I1423+#REF!</f>
        <v>#REF!</v>
      </c>
      <c r="K1423" s="9" t="e">
        <f>J1423+#REF!</f>
        <v>#REF!</v>
      </c>
      <c r="L1423" s="10" t="s">
        <v>41</v>
      </c>
      <c r="M1423" s="11">
        <v>45187.320416666669</v>
      </c>
      <c r="N1423" s="5" t="s">
        <v>167</v>
      </c>
      <c r="O1423" s="5"/>
      <c r="P1423" s="9">
        <v>45189.320416666669</v>
      </c>
      <c r="Q1423" s="5" t="s">
        <v>167</v>
      </c>
      <c r="R1423" s="5"/>
      <c r="S1423" s="5"/>
      <c r="T1423" s="9">
        <v>45188.320416666669</v>
      </c>
      <c r="U1423" s="5"/>
      <c r="V1423" s="5">
        <v>0</v>
      </c>
      <c r="W1423" s="5"/>
      <c r="X1423" s="5"/>
      <c r="Y1423" s="5"/>
      <c r="Z1423" s="5"/>
      <c r="AA1423" s="5"/>
      <c r="AC1423">
        <f t="shared" si="199"/>
        <v>13</v>
      </c>
      <c r="AD1423" t="str">
        <f t="shared" si="200"/>
        <v/>
      </c>
      <c r="AE1423">
        <f t="shared" si="201"/>
        <v>1</v>
      </c>
      <c r="AF1423" t="str">
        <f t="shared" si="202"/>
        <v/>
      </c>
      <c r="AG1423" t="str">
        <f t="shared" si="203"/>
        <v/>
      </c>
      <c r="AH1423">
        <f t="shared" si="204"/>
        <v>2</v>
      </c>
      <c r="AI1423" t="str">
        <f t="shared" si="205"/>
        <v/>
      </c>
      <c r="AJ1423" t="str">
        <f t="shared" si="206"/>
        <v/>
      </c>
    </row>
    <row r="1424" spans="1:36">
      <c r="A1424" s="5">
        <v>1640</v>
      </c>
      <c r="B1424" s="5" t="s">
        <v>2024</v>
      </c>
      <c r="C1424" s="5" t="s">
        <v>1540</v>
      </c>
      <c r="D1424" s="5" t="s">
        <v>1985</v>
      </c>
      <c r="E1424" s="5" t="s">
        <v>1986</v>
      </c>
      <c r="F1424" s="5" t="str">
        <f t="shared" si="198"/>
        <v>Finance-Revenue Recorgnition</v>
      </c>
      <c r="G1424" s="5" t="s">
        <v>47</v>
      </c>
      <c r="H1424" s="9">
        <v>45173.320416666669</v>
      </c>
      <c r="I1424" s="9">
        <v>45175.320416666669</v>
      </c>
      <c r="J1424" s="9" t="e">
        <f>I1424+#REF!</f>
        <v>#REF!</v>
      </c>
      <c r="K1424" s="9" t="e">
        <f>J1424+#REF!</f>
        <v>#REF!</v>
      </c>
      <c r="L1424" s="10" t="s">
        <v>52</v>
      </c>
      <c r="M1424" s="11"/>
      <c r="N1424" s="5"/>
      <c r="O1424" s="5"/>
      <c r="P1424" s="9"/>
      <c r="Q1424" s="5"/>
      <c r="R1424" s="5"/>
      <c r="S1424" s="5"/>
      <c r="T1424" s="9"/>
      <c r="U1424" s="5"/>
      <c r="V1424" s="5">
        <v>0</v>
      </c>
      <c r="W1424" s="5"/>
      <c r="X1424" s="5"/>
      <c r="Y1424" s="5"/>
      <c r="Z1424" s="5"/>
      <c r="AA1424" s="5"/>
      <c r="AC1424" t="str">
        <f t="shared" si="199"/>
        <v/>
      </c>
      <c r="AD1424" t="str">
        <f t="shared" si="200"/>
        <v/>
      </c>
      <c r="AE1424" t="str">
        <f t="shared" si="201"/>
        <v/>
      </c>
      <c r="AF1424" t="str">
        <f t="shared" si="202"/>
        <v/>
      </c>
      <c r="AG1424" t="str">
        <f t="shared" si="203"/>
        <v/>
      </c>
      <c r="AH1424">
        <f t="shared" si="204"/>
        <v>2</v>
      </c>
      <c r="AI1424" t="str">
        <f t="shared" si="205"/>
        <v/>
      </c>
      <c r="AJ1424" t="str">
        <f t="shared" si="206"/>
        <v/>
      </c>
    </row>
    <row r="1425" spans="1:36">
      <c r="A1425" s="5">
        <v>1643</v>
      </c>
      <c r="B1425" s="5" t="s">
        <v>1304</v>
      </c>
      <c r="C1425" s="10" t="s">
        <v>1215</v>
      </c>
      <c r="D1425" s="5" t="s">
        <v>1287</v>
      </c>
      <c r="E1425" s="5" t="s">
        <v>1146</v>
      </c>
      <c r="F1425" s="5" t="str">
        <f t="shared" si="198"/>
        <v>HR-Quality Assurance</v>
      </c>
      <c r="G1425" s="5" t="s">
        <v>47</v>
      </c>
      <c r="H1425" s="9">
        <v>44917.661261574074</v>
      </c>
      <c r="I1425" s="9">
        <v>44919.661261574074</v>
      </c>
      <c r="J1425" s="9" t="e">
        <f>I1425+#REF!</f>
        <v>#REF!</v>
      </c>
      <c r="K1425" s="9" t="e">
        <f>J1425+#REF!</f>
        <v>#REF!</v>
      </c>
      <c r="L1425" s="10" t="s">
        <v>41</v>
      </c>
      <c r="M1425" s="11">
        <v>44928.661261574074</v>
      </c>
      <c r="N1425" s="5" t="s">
        <v>64</v>
      </c>
      <c r="O1425" s="5"/>
      <c r="P1425" s="9">
        <v>44931.661261574074</v>
      </c>
      <c r="Q1425" s="5" t="s">
        <v>64</v>
      </c>
      <c r="R1425" s="9">
        <v>44930.661261574074</v>
      </c>
      <c r="S1425" s="9">
        <v>44933.661261574074</v>
      </c>
      <c r="T1425" s="9">
        <v>44930.661261574074</v>
      </c>
      <c r="U1425" s="9">
        <v>44935.661261574074</v>
      </c>
      <c r="V1425" s="12">
        <v>1</v>
      </c>
      <c r="W1425" s="9">
        <v>44938.661261574074</v>
      </c>
      <c r="X1425" s="9">
        <v>44939.661261574074</v>
      </c>
      <c r="Y1425" s="9">
        <v>44940.661261574074</v>
      </c>
      <c r="Z1425" s="5"/>
      <c r="AA1425" s="5"/>
      <c r="AB1425" s="13">
        <v>44954.661261574074</v>
      </c>
      <c r="AC1425">
        <f t="shared" si="199"/>
        <v>9</v>
      </c>
      <c r="AD1425">
        <f t="shared" si="200"/>
        <v>14</v>
      </c>
      <c r="AE1425">
        <f t="shared" si="201"/>
        <v>2</v>
      </c>
      <c r="AF1425">
        <f t="shared" si="202"/>
        <v>4</v>
      </c>
      <c r="AG1425">
        <f t="shared" si="203"/>
        <v>3</v>
      </c>
      <c r="AH1425">
        <f t="shared" si="204"/>
        <v>2</v>
      </c>
      <c r="AI1425" t="str">
        <f t="shared" si="205"/>
        <v/>
      </c>
      <c r="AJ1425" t="str">
        <f t="shared" si="206"/>
        <v/>
      </c>
    </row>
    <row r="1426" spans="1:36">
      <c r="A1426" s="5">
        <v>1645</v>
      </c>
      <c r="B1426" s="5" t="s">
        <v>1136</v>
      </c>
      <c r="C1426" s="10" t="s">
        <v>1122</v>
      </c>
      <c r="D1426" s="5" t="s">
        <v>1123</v>
      </c>
      <c r="E1426" s="5" t="s">
        <v>102</v>
      </c>
      <c r="F1426" s="5" t="str">
        <f t="shared" si="198"/>
        <v>IT-Senior Manager</v>
      </c>
      <c r="G1426" s="5" t="s">
        <v>103</v>
      </c>
      <c r="H1426" s="9">
        <v>44913.661261574074</v>
      </c>
      <c r="I1426" s="9">
        <v>44916.661261574074</v>
      </c>
      <c r="J1426" s="9" t="e">
        <f>I1426+#REF!</f>
        <v>#REF!</v>
      </c>
      <c r="K1426" s="9" t="e">
        <f>J1426+#REF!</f>
        <v>#REF!</v>
      </c>
      <c r="L1426" s="10" t="s">
        <v>41</v>
      </c>
      <c r="M1426" s="11">
        <v>44927.661261574074</v>
      </c>
      <c r="N1426" s="5" t="s">
        <v>42</v>
      </c>
      <c r="O1426" s="5" t="s">
        <v>98</v>
      </c>
      <c r="P1426" s="9"/>
      <c r="Q1426" s="5"/>
      <c r="R1426" s="5"/>
      <c r="S1426" s="5"/>
      <c r="T1426" s="9">
        <v>44930.661261574074</v>
      </c>
      <c r="U1426" s="5"/>
      <c r="V1426" s="5">
        <v>0</v>
      </c>
      <c r="W1426" s="5"/>
      <c r="X1426" s="5"/>
      <c r="Y1426" s="5"/>
      <c r="Z1426" s="5"/>
      <c r="AA1426" s="5" t="s">
        <v>44</v>
      </c>
      <c r="AC1426">
        <f t="shared" si="199"/>
        <v>11</v>
      </c>
      <c r="AD1426" t="str">
        <f t="shared" si="200"/>
        <v/>
      </c>
      <c r="AE1426">
        <f t="shared" si="201"/>
        <v>3</v>
      </c>
      <c r="AF1426" t="str">
        <f t="shared" si="202"/>
        <v/>
      </c>
      <c r="AG1426" t="str">
        <f t="shared" si="203"/>
        <v/>
      </c>
      <c r="AH1426">
        <f t="shared" si="204"/>
        <v>3</v>
      </c>
      <c r="AI1426" t="str">
        <f t="shared" si="205"/>
        <v/>
      </c>
      <c r="AJ1426" t="str">
        <f t="shared" si="206"/>
        <v/>
      </c>
    </row>
    <row r="1427" spans="1:36">
      <c r="A1427" s="5">
        <v>1646</v>
      </c>
      <c r="B1427" s="5" t="s">
        <v>682</v>
      </c>
      <c r="C1427" s="10" t="s">
        <v>671</v>
      </c>
      <c r="D1427" s="5" t="s">
        <v>672</v>
      </c>
      <c r="E1427" s="5" t="s">
        <v>673</v>
      </c>
      <c r="F1427" s="5" t="str">
        <f t="shared" si="198"/>
        <v>Operations-Controller</v>
      </c>
      <c r="G1427" s="5" t="s">
        <v>40</v>
      </c>
      <c r="H1427" s="9">
        <v>44914.661261574074</v>
      </c>
      <c r="I1427" s="9">
        <v>44915.661261574074</v>
      </c>
      <c r="J1427" s="9" t="e">
        <f>I1427+#REF!</f>
        <v>#REF!</v>
      </c>
      <c r="K1427" s="9" t="e">
        <f>J1427+#REF!</f>
        <v>#REF!</v>
      </c>
      <c r="L1427" s="10" t="s">
        <v>41</v>
      </c>
      <c r="M1427" s="11">
        <v>44925.661261574074</v>
      </c>
      <c r="N1427" s="5" t="s">
        <v>64</v>
      </c>
      <c r="O1427" s="5"/>
      <c r="P1427" s="9">
        <v>44930.661261574074</v>
      </c>
      <c r="Q1427" s="5" t="s">
        <v>64</v>
      </c>
      <c r="R1427" s="9">
        <v>44927.661261574074</v>
      </c>
      <c r="S1427" s="9">
        <v>44931.661261574074</v>
      </c>
      <c r="T1427" s="9">
        <v>44927.661261574074</v>
      </c>
      <c r="U1427" s="9">
        <v>44932.661261574074</v>
      </c>
      <c r="V1427" s="12">
        <v>1</v>
      </c>
      <c r="W1427" s="9">
        <v>44933.661261574074</v>
      </c>
      <c r="X1427" s="9">
        <v>44935.661261574074</v>
      </c>
      <c r="Y1427" s="9">
        <v>44938.661261574074</v>
      </c>
      <c r="Z1427" s="5"/>
      <c r="AA1427" s="5"/>
      <c r="AB1427" s="13">
        <v>44950.661261574074</v>
      </c>
      <c r="AC1427">
        <f t="shared" si="199"/>
        <v>10</v>
      </c>
      <c r="AD1427">
        <f t="shared" si="200"/>
        <v>16</v>
      </c>
      <c r="AE1427">
        <f t="shared" si="201"/>
        <v>2</v>
      </c>
      <c r="AF1427">
        <f t="shared" si="202"/>
        <v>3</v>
      </c>
      <c r="AG1427">
        <f t="shared" si="203"/>
        <v>1</v>
      </c>
      <c r="AH1427">
        <f t="shared" si="204"/>
        <v>1</v>
      </c>
      <c r="AI1427" t="str">
        <f t="shared" si="205"/>
        <v/>
      </c>
      <c r="AJ1427" t="str">
        <f t="shared" si="206"/>
        <v/>
      </c>
    </row>
    <row r="1428" spans="1:36">
      <c r="A1428" s="5">
        <v>1648</v>
      </c>
      <c r="B1428" s="5" t="s">
        <v>1303</v>
      </c>
      <c r="C1428" s="10" t="s">
        <v>1215</v>
      </c>
      <c r="D1428" s="5" t="s">
        <v>1287</v>
      </c>
      <c r="E1428" s="5" t="s">
        <v>1146</v>
      </c>
      <c r="F1428" s="5" t="str">
        <f t="shared" si="198"/>
        <v>HR-Quality Assurance</v>
      </c>
      <c r="G1428" s="5" t="s">
        <v>47</v>
      </c>
      <c r="H1428" s="9">
        <v>44914.661261574074</v>
      </c>
      <c r="I1428" s="9">
        <v>44915.661261574074</v>
      </c>
      <c r="J1428" s="9" t="e">
        <f>I1428+#REF!</f>
        <v>#REF!</v>
      </c>
      <c r="K1428" s="9" t="e">
        <f>J1428+#REF!</f>
        <v>#REF!</v>
      </c>
      <c r="L1428" s="10" t="s">
        <v>41</v>
      </c>
      <c r="M1428" s="11">
        <v>44935.661261574074</v>
      </c>
      <c r="N1428" s="5" t="s">
        <v>42</v>
      </c>
      <c r="O1428" s="5" t="s">
        <v>73</v>
      </c>
      <c r="P1428" s="9"/>
      <c r="Q1428" s="5"/>
      <c r="R1428" s="5"/>
      <c r="S1428" s="5"/>
      <c r="T1428" s="9"/>
      <c r="U1428" s="5"/>
      <c r="V1428" s="5">
        <v>0</v>
      </c>
      <c r="W1428" s="5"/>
      <c r="X1428" s="5"/>
      <c r="Y1428" s="5"/>
      <c r="Z1428" s="5"/>
      <c r="AA1428" s="5" t="s">
        <v>62</v>
      </c>
      <c r="AC1428">
        <f t="shared" si="199"/>
        <v>20</v>
      </c>
      <c r="AD1428" t="str">
        <f t="shared" si="200"/>
        <v/>
      </c>
      <c r="AE1428" t="str">
        <f t="shared" si="201"/>
        <v/>
      </c>
      <c r="AF1428" t="str">
        <f t="shared" si="202"/>
        <v/>
      </c>
      <c r="AG1428" t="str">
        <f t="shared" si="203"/>
        <v/>
      </c>
      <c r="AH1428">
        <f t="shared" si="204"/>
        <v>1</v>
      </c>
      <c r="AI1428" t="str">
        <f t="shared" si="205"/>
        <v/>
      </c>
      <c r="AJ1428" t="str">
        <f t="shared" si="206"/>
        <v/>
      </c>
    </row>
    <row r="1429" spans="1:36">
      <c r="A1429" s="5">
        <v>1649</v>
      </c>
      <c r="B1429" s="5" t="s">
        <v>1165</v>
      </c>
      <c r="C1429" s="10" t="s">
        <v>1122</v>
      </c>
      <c r="D1429" s="5" t="s">
        <v>1145</v>
      </c>
      <c r="E1429" s="5" t="s">
        <v>1146</v>
      </c>
      <c r="F1429" s="5" t="str">
        <f t="shared" si="198"/>
        <v>IT-Quality Assurance</v>
      </c>
      <c r="G1429" s="5" t="s">
        <v>147</v>
      </c>
      <c r="H1429" s="9">
        <v>44912.661261574074</v>
      </c>
      <c r="I1429" s="9">
        <v>44915.661261574074</v>
      </c>
      <c r="J1429" s="9" t="e">
        <f>I1429+#REF!</f>
        <v>#REF!</v>
      </c>
      <c r="K1429" s="9" t="e">
        <f>J1429+#REF!</f>
        <v>#REF!</v>
      </c>
      <c r="L1429" s="10" t="s">
        <v>41</v>
      </c>
      <c r="M1429" s="11">
        <v>44934.661261574074</v>
      </c>
      <c r="N1429" s="5" t="s">
        <v>48</v>
      </c>
      <c r="O1429" s="5"/>
      <c r="P1429" s="9">
        <v>44939.661261574074</v>
      </c>
      <c r="Q1429" s="5" t="s">
        <v>48</v>
      </c>
      <c r="R1429" s="5"/>
      <c r="S1429" s="5"/>
      <c r="T1429" s="9">
        <v>44938.661261574074</v>
      </c>
      <c r="U1429" s="5"/>
      <c r="V1429" s="5">
        <v>0</v>
      </c>
      <c r="W1429" s="5"/>
      <c r="X1429" s="5"/>
      <c r="Y1429" s="5"/>
      <c r="Z1429" s="5"/>
      <c r="AA1429" s="5"/>
      <c r="AC1429">
        <f t="shared" si="199"/>
        <v>19</v>
      </c>
      <c r="AD1429" t="str">
        <f t="shared" si="200"/>
        <v/>
      </c>
      <c r="AE1429">
        <f t="shared" si="201"/>
        <v>4</v>
      </c>
      <c r="AF1429" t="str">
        <f t="shared" si="202"/>
        <v/>
      </c>
      <c r="AG1429" t="str">
        <f t="shared" si="203"/>
        <v/>
      </c>
      <c r="AH1429">
        <f t="shared" si="204"/>
        <v>3</v>
      </c>
      <c r="AI1429" t="str">
        <f t="shared" si="205"/>
        <v/>
      </c>
      <c r="AJ1429" t="str">
        <f t="shared" si="206"/>
        <v/>
      </c>
    </row>
    <row r="1430" spans="1:36">
      <c r="A1430" s="5">
        <v>1650</v>
      </c>
      <c r="B1430" s="5" t="s">
        <v>2125</v>
      </c>
      <c r="C1430" s="10" t="s">
        <v>2089</v>
      </c>
      <c r="D1430" s="5" t="s">
        <v>2114</v>
      </c>
      <c r="E1430" s="5" t="s">
        <v>388</v>
      </c>
      <c r="F1430" s="5" t="str">
        <f t="shared" si="198"/>
        <v>Communication and Advocacy-Extension Officer</v>
      </c>
      <c r="G1430" s="5" t="s">
        <v>147</v>
      </c>
      <c r="H1430" s="9">
        <v>44915.661261574074</v>
      </c>
      <c r="I1430" s="9">
        <v>44918.661261574074</v>
      </c>
      <c r="J1430" s="9" t="e">
        <f>I1430+#REF!</f>
        <v>#REF!</v>
      </c>
      <c r="K1430" s="9" t="e">
        <f>J1430+#REF!</f>
        <v>#REF!</v>
      </c>
      <c r="L1430" s="10" t="s">
        <v>41</v>
      </c>
      <c r="M1430" s="11">
        <v>44930.661261574074</v>
      </c>
      <c r="N1430" s="5" t="s">
        <v>64</v>
      </c>
      <c r="O1430" s="5"/>
      <c r="P1430" s="9">
        <v>44935.661261574074</v>
      </c>
      <c r="Q1430" s="5" t="s">
        <v>64</v>
      </c>
      <c r="R1430" s="9">
        <v>44932.661261574074</v>
      </c>
      <c r="S1430" s="9">
        <v>44935.661261574074</v>
      </c>
      <c r="T1430" s="9">
        <v>44932.661261574074</v>
      </c>
      <c r="U1430" s="9">
        <v>44940.661261574074</v>
      </c>
      <c r="V1430" s="12">
        <v>1</v>
      </c>
      <c r="W1430" s="9">
        <v>44943.661261574074</v>
      </c>
      <c r="X1430" s="9">
        <v>44945.661261574074</v>
      </c>
      <c r="Y1430" s="9">
        <v>44946.661261574074</v>
      </c>
      <c r="Z1430" s="5"/>
      <c r="AA1430" s="5"/>
      <c r="AB1430" s="13">
        <v>44962.661261574074</v>
      </c>
      <c r="AC1430">
        <f t="shared" si="199"/>
        <v>12</v>
      </c>
      <c r="AD1430">
        <f t="shared" si="200"/>
        <v>17</v>
      </c>
      <c r="AE1430">
        <f t="shared" si="201"/>
        <v>2</v>
      </c>
      <c r="AF1430">
        <f t="shared" si="202"/>
        <v>5</v>
      </c>
      <c r="AG1430">
        <f t="shared" si="203"/>
        <v>3</v>
      </c>
      <c r="AH1430">
        <f t="shared" si="204"/>
        <v>3</v>
      </c>
      <c r="AI1430" t="str">
        <f t="shared" si="205"/>
        <v/>
      </c>
      <c r="AJ1430" t="str">
        <f t="shared" si="206"/>
        <v/>
      </c>
    </row>
    <row r="1431" spans="1:36">
      <c r="A1431" s="5">
        <v>1651</v>
      </c>
      <c r="B1431" s="5" t="s">
        <v>927</v>
      </c>
      <c r="C1431" s="5" t="s">
        <v>796</v>
      </c>
      <c r="D1431" s="5" t="s">
        <v>893</v>
      </c>
      <c r="E1431" s="5" t="s">
        <v>269</v>
      </c>
      <c r="F1431" s="5" t="str">
        <f t="shared" si="198"/>
        <v>M and E-Manager</v>
      </c>
      <c r="G1431" s="5" t="s">
        <v>270</v>
      </c>
      <c r="H1431" s="9">
        <v>44876.194988425923</v>
      </c>
      <c r="I1431" s="9">
        <v>44880.194988425923</v>
      </c>
      <c r="J1431" s="9" t="e">
        <f>I1431+#REF!</f>
        <v>#REF!</v>
      </c>
      <c r="K1431" s="9" t="e">
        <f>J1431+#REF!</f>
        <v>#REF!</v>
      </c>
      <c r="L1431" s="10" t="s">
        <v>41</v>
      </c>
      <c r="M1431" s="11">
        <v>44886.194988425923</v>
      </c>
      <c r="N1431" s="5" t="s">
        <v>42</v>
      </c>
      <c r="O1431" s="5" t="s">
        <v>43</v>
      </c>
      <c r="P1431" s="9"/>
      <c r="Q1431" s="5"/>
      <c r="R1431" s="5"/>
      <c r="S1431" s="5"/>
      <c r="T1431" s="9"/>
      <c r="U1431" s="5"/>
      <c r="V1431" s="5">
        <v>0</v>
      </c>
      <c r="W1431" s="5"/>
      <c r="X1431" s="5"/>
      <c r="Y1431" s="5"/>
      <c r="Z1431" s="5"/>
      <c r="AA1431" s="5" t="s">
        <v>44</v>
      </c>
      <c r="AC1431">
        <f t="shared" si="199"/>
        <v>6</v>
      </c>
      <c r="AD1431" t="str">
        <f t="shared" si="200"/>
        <v/>
      </c>
      <c r="AE1431" t="str">
        <f t="shared" si="201"/>
        <v/>
      </c>
      <c r="AF1431" t="str">
        <f t="shared" si="202"/>
        <v/>
      </c>
      <c r="AG1431" t="str">
        <f t="shared" si="203"/>
        <v/>
      </c>
      <c r="AH1431">
        <f t="shared" si="204"/>
        <v>4</v>
      </c>
      <c r="AI1431" t="str">
        <f t="shared" si="205"/>
        <v/>
      </c>
      <c r="AJ1431" t="str">
        <f t="shared" si="206"/>
        <v/>
      </c>
    </row>
    <row r="1432" spans="1:36">
      <c r="A1432" s="5">
        <v>1653</v>
      </c>
      <c r="B1432" s="5" t="s">
        <v>860</v>
      </c>
      <c r="C1432" s="5" t="s">
        <v>796</v>
      </c>
      <c r="D1432" s="5" t="s">
        <v>814</v>
      </c>
      <c r="E1432" s="5" t="s">
        <v>597</v>
      </c>
      <c r="F1432" s="5" t="str">
        <f t="shared" si="198"/>
        <v>M and E-Business Partner</v>
      </c>
      <c r="G1432" s="5" t="s">
        <v>147</v>
      </c>
      <c r="H1432" s="9">
        <v>44876.194988425923</v>
      </c>
      <c r="I1432" s="9">
        <v>44877.194988425923</v>
      </c>
      <c r="J1432" s="9" t="e">
        <f>I1432+#REF!</f>
        <v>#REF!</v>
      </c>
      <c r="K1432" s="9" t="e">
        <f>J1432+#REF!</f>
        <v>#REF!</v>
      </c>
      <c r="L1432" s="10" t="s">
        <v>52</v>
      </c>
      <c r="M1432" s="11"/>
      <c r="N1432" s="5"/>
      <c r="O1432" s="5"/>
      <c r="P1432" s="9"/>
      <c r="Q1432" s="5"/>
      <c r="R1432" s="5"/>
      <c r="S1432" s="5"/>
      <c r="T1432" s="9"/>
      <c r="U1432" s="5"/>
      <c r="V1432" s="5">
        <v>0</v>
      </c>
      <c r="W1432" s="5"/>
      <c r="X1432" s="5"/>
      <c r="Y1432" s="5"/>
      <c r="Z1432" s="5"/>
      <c r="AA1432" s="5"/>
      <c r="AC1432" t="str">
        <f t="shared" si="199"/>
        <v/>
      </c>
      <c r="AD1432" t="str">
        <f t="shared" si="200"/>
        <v/>
      </c>
      <c r="AE1432" t="str">
        <f t="shared" si="201"/>
        <v/>
      </c>
      <c r="AF1432" t="str">
        <f t="shared" si="202"/>
        <v/>
      </c>
      <c r="AG1432" t="str">
        <f t="shared" si="203"/>
        <v/>
      </c>
      <c r="AH1432">
        <f t="shared" si="204"/>
        <v>1</v>
      </c>
      <c r="AI1432" t="str">
        <f t="shared" si="205"/>
        <v/>
      </c>
      <c r="AJ1432" t="str">
        <f t="shared" si="206"/>
        <v/>
      </c>
    </row>
    <row r="1433" spans="1:36">
      <c r="A1433" s="5">
        <v>1654</v>
      </c>
      <c r="B1433" s="5" t="s">
        <v>1091</v>
      </c>
      <c r="C1433" s="5" t="s">
        <v>796</v>
      </c>
      <c r="D1433" s="5" t="s">
        <v>1046</v>
      </c>
      <c r="E1433" s="5" t="s">
        <v>673</v>
      </c>
      <c r="F1433" s="5" t="str">
        <f t="shared" si="198"/>
        <v>M and E-Controller</v>
      </c>
      <c r="G1433" s="5" t="s">
        <v>47</v>
      </c>
      <c r="H1433" s="9">
        <v>44879.194988425923</v>
      </c>
      <c r="I1433" s="9">
        <v>44880.194988425923</v>
      </c>
      <c r="J1433" s="9" t="e">
        <f>I1433+#REF!</f>
        <v>#REF!</v>
      </c>
      <c r="K1433" s="9" t="e">
        <f>J1433+#REF!</f>
        <v>#REF!</v>
      </c>
      <c r="L1433" s="10" t="s">
        <v>41</v>
      </c>
      <c r="M1433" s="11">
        <v>44886.194988425923</v>
      </c>
      <c r="N1433" s="5" t="s">
        <v>42</v>
      </c>
      <c r="O1433" s="5" t="s">
        <v>43</v>
      </c>
      <c r="P1433" s="9"/>
      <c r="Q1433" s="5"/>
      <c r="R1433" s="5"/>
      <c r="S1433" s="5"/>
      <c r="T1433" s="9"/>
      <c r="U1433" s="5"/>
      <c r="V1433" s="5">
        <v>0</v>
      </c>
      <c r="W1433" s="5"/>
      <c r="X1433" s="5"/>
      <c r="Y1433" s="5"/>
      <c r="Z1433" s="5"/>
      <c r="AA1433" s="5" t="s">
        <v>62</v>
      </c>
      <c r="AC1433">
        <f t="shared" si="199"/>
        <v>6</v>
      </c>
      <c r="AD1433" t="str">
        <f t="shared" si="200"/>
        <v/>
      </c>
      <c r="AE1433" t="str">
        <f t="shared" si="201"/>
        <v/>
      </c>
      <c r="AF1433" t="str">
        <f t="shared" si="202"/>
        <v/>
      </c>
      <c r="AG1433" t="str">
        <f t="shared" si="203"/>
        <v/>
      </c>
      <c r="AH1433">
        <f t="shared" si="204"/>
        <v>1</v>
      </c>
      <c r="AI1433" t="str">
        <f t="shared" si="205"/>
        <v/>
      </c>
      <c r="AJ1433" t="str">
        <f t="shared" si="206"/>
        <v/>
      </c>
    </row>
    <row r="1434" spans="1:36">
      <c r="A1434" s="5">
        <v>1655</v>
      </c>
      <c r="B1434" s="5" t="s">
        <v>859</v>
      </c>
      <c r="C1434" s="5" t="s">
        <v>796</v>
      </c>
      <c r="D1434" s="5" t="s">
        <v>814</v>
      </c>
      <c r="E1434" s="5" t="s">
        <v>597</v>
      </c>
      <c r="F1434" s="5" t="str">
        <f t="shared" si="198"/>
        <v>M and E-Business Partner</v>
      </c>
      <c r="G1434" s="5" t="s">
        <v>147</v>
      </c>
      <c r="H1434" s="9">
        <v>44880.194988425923</v>
      </c>
      <c r="I1434" s="9">
        <v>44881.194988425923</v>
      </c>
      <c r="J1434" s="9" t="e">
        <f>I1434+#REF!</f>
        <v>#REF!</v>
      </c>
      <c r="K1434" s="9" t="e">
        <f>J1434+#REF!</f>
        <v>#REF!</v>
      </c>
      <c r="L1434" s="10" t="s">
        <v>41</v>
      </c>
      <c r="M1434" s="11">
        <v>44895.194988425923</v>
      </c>
      <c r="N1434" s="5" t="s">
        <v>64</v>
      </c>
      <c r="O1434" s="5"/>
      <c r="P1434" s="9">
        <v>44900.194988425923</v>
      </c>
      <c r="Q1434" s="5" t="s">
        <v>64</v>
      </c>
      <c r="R1434" s="9">
        <v>44896.194988425923</v>
      </c>
      <c r="S1434" s="9">
        <v>44900.194988425923</v>
      </c>
      <c r="T1434" s="9">
        <v>44897.194988425923</v>
      </c>
      <c r="U1434" s="9">
        <v>44904.194988425923</v>
      </c>
      <c r="V1434" s="12">
        <v>1</v>
      </c>
      <c r="W1434" s="9">
        <v>44906.194988425923</v>
      </c>
      <c r="X1434" s="9">
        <v>44909.194988425923</v>
      </c>
      <c r="Y1434" s="9">
        <v>44911.194988425923</v>
      </c>
      <c r="Z1434" s="5"/>
      <c r="AA1434" s="5"/>
      <c r="AB1434" s="13">
        <v>44927.194988425923</v>
      </c>
      <c r="AC1434">
        <f t="shared" si="199"/>
        <v>14</v>
      </c>
      <c r="AD1434">
        <f t="shared" si="200"/>
        <v>19</v>
      </c>
      <c r="AE1434">
        <f t="shared" si="201"/>
        <v>2</v>
      </c>
      <c r="AF1434">
        <f t="shared" si="202"/>
        <v>5</v>
      </c>
      <c r="AG1434">
        <f t="shared" si="203"/>
        <v>2</v>
      </c>
      <c r="AH1434">
        <f t="shared" si="204"/>
        <v>1</v>
      </c>
      <c r="AI1434" t="str">
        <f t="shared" si="205"/>
        <v/>
      </c>
      <c r="AJ1434" t="str">
        <f t="shared" si="206"/>
        <v/>
      </c>
    </row>
    <row r="1435" spans="1:36">
      <c r="A1435" s="5">
        <v>1656</v>
      </c>
      <c r="B1435" s="5" t="s">
        <v>1090</v>
      </c>
      <c r="C1435" s="5" t="s">
        <v>796</v>
      </c>
      <c r="D1435" s="5" t="s">
        <v>1046</v>
      </c>
      <c r="E1435" s="5" t="s">
        <v>673</v>
      </c>
      <c r="F1435" s="5" t="str">
        <f t="shared" si="198"/>
        <v>M and E-Controller</v>
      </c>
      <c r="G1435" s="5" t="s">
        <v>47</v>
      </c>
      <c r="H1435" s="9">
        <v>44879.194988425923</v>
      </c>
      <c r="I1435" s="9">
        <v>44880.194988425923</v>
      </c>
      <c r="J1435" s="9" t="e">
        <f>I1435+#REF!</f>
        <v>#REF!</v>
      </c>
      <c r="K1435" s="9" t="e">
        <f>J1435+#REF!</f>
        <v>#REF!</v>
      </c>
      <c r="L1435" s="10" t="s">
        <v>41</v>
      </c>
      <c r="M1435" s="11">
        <v>44894.194988425923</v>
      </c>
      <c r="N1435" s="5" t="s">
        <v>42</v>
      </c>
      <c r="O1435" s="5" t="s">
        <v>98</v>
      </c>
      <c r="P1435" s="9"/>
      <c r="Q1435" s="5"/>
      <c r="R1435" s="5"/>
      <c r="S1435" s="5"/>
      <c r="T1435" s="9"/>
      <c r="U1435" s="5"/>
      <c r="V1435" s="5">
        <v>0</v>
      </c>
      <c r="W1435" s="5"/>
      <c r="X1435" s="5"/>
      <c r="Y1435" s="5"/>
      <c r="Z1435" s="5"/>
      <c r="AA1435" s="5" t="s">
        <v>44</v>
      </c>
      <c r="AC1435">
        <f t="shared" si="199"/>
        <v>14</v>
      </c>
      <c r="AD1435" t="str">
        <f t="shared" si="200"/>
        <v/>
      </c>
      <c r="AE1435" t="str">
        <f t="shared" si="201"/>
        <v/>
      </c>
      <c r="AF1435" t="str">
        <f t="shared" si="202"/>
        <v/>
      </c>
      <c r="AG1435" t="str">
        <f t="shared" si="203"/>
        <v/>
      </c>
      <c r="AH1435">
        <f t="shared" si="204"/>
        <v>1</v>
      </c>
      <c r="AI1435" t="str">
        <f t="shared" si="205"/>
        <v/>
      </c>
      <c r="AJ1435" t="str">
        <f t="shared" si="206"/>
        <v/>
      </c>
    </row>
    <row r="1436" spans="1:36">
      <c r="A1436" s="5">
        <v>1658</v>
      </c>
      <c r="B1436" s="5" t="s">
        <v>1089</v>
      </c>
      <c r="C1436" s="5" t="s">
        <v>796</v>
      </c>
      <c r="D1436" s="5" t="s">
        <v>1046</v>
      </c>
      <c r="E1436" s="5" t="s">
        <v>673</v>
      </c>
      <c r="F1436" s="5" t="str">
        <f t="shared" si="198"/>
        <v>M and E-Controller</v>
      </c>
      <c r="G1436" s="5" t="s">
        <v>47</v>
      </c>
      <c r="H1436" s="9">
        <v>44875.194988425923</v>
      </c>
      <c r="I1436" s="9">
        <v>44877.194988425923</v>
      </c>
      <c r="J1436" s="9" t="e">
        <f>I1436+#REF!</f>
        <v>#REF!</v>
      </c>
      <c r="K1436" s="9" t="e">
        <f>J1436+#REF!</f>
        <v>#REF!</v>
      </c>
      <c r="L1436" s="10" t="s">
        <v>41</v>
      </c>
      <c r="M1436" s="11">
        <v>44900.194988425923</v>
      </c>
      <c r="N1436" s="5" t="s">
        <v>48</v>
      </c>
      <c r="O1436" s="5"/>
      <c r="P1436" s="9">
        <v>44903.194988425923</v>
      </c>
      <c r="Q1436" s="5" t="s">
        <v>48</v>
      </c>
      <c r="R1436" s="5"/>
      <c r="S1436" s="5"/>
      <c r="T1436" s="9">
        <v>44902.194988425923</v>
      </c>
      <c r="U1436" s="5"/>
      <c r="V1436" s="5">
        <v>0</v>
      </c>
      <c r="W1436" s="5"/>
      <c r="X1436" s="5"/>
      <c r="Y1436" s="5"/>
      <c r="Z1436" s="5"/>
      <c r="AA1436" s="5"/>
      <c r="AC1436">
        <f t="shared" si="199"/>
        <v>23</v>
      </c>
      <c r="AD1436" t="str">
        <f t="shared" si="200"/>
        <v/>
      </c>
      <c r="AE1436">
        <f t="shared" si="201"/>
        <v>2</v>
      </c>
      <c r="AF1436" t="str">
        <f t="shared" si="202"/>
        <v/>
      </c>
      <c r="AG1436" t="str">
        <f t="shared" si="203"/>
        <v/>
      </c>
      <c r="AH1436">
        <f t="shared" si="204"/>
        <v>2</v>
      </c>
      <c r="AI1436" t="str">
        <f t="shared" si="205"/>
        <v/>
      </c>
      <c r="AJ1436" t="str">
        <f t="shared" si="206"/>
        <v/>
      </c>
    </row>
    <row r="1437" spans="1:36">
      <c r="A1437" s="5">
        <v>1660</v>
      </c>
      <c r="B1437" s="5" t="s">
        <v>858</v>
      </c>
      <c r="C1437" s="5" t="s">
        <v>796</v>
      </c>
      <c r="D1437" s="5" t="s">
        <v>814</v>
      </c>
      <c r="E1437" s="5" t="s">
        <v>597</v>
      </c>
      <c r="F1437" s="5" t="str">
        <f t="shared" si="198"/>
        <v>M and E-Business Partner</v>
      </c>
      <c r="G1437" s="5" t="s">
        <v>147</v>
      </c>
      <c r="H1437" s="9">
        <v>44874.194988425923</v>
      </c>
      <c r="I1437" s="9">
        <v>44877.194988425923</v>
      </c>
      <c r="J1437" s="9" t="e">
        <f>I1437+#REF!</f>
        <v>#REF!</v>
      </c>
      <c r="K1437" s="9" t="e">
        <f>J1437+#REF!</f>
        <v>#REF!</v>
      </c>
      <c r="L1437" s="10" t="s">
        <v>52</v>
      </c>
      <c r="M1437" s="11"/>
      <c r="N1437" s="5"/>
      <c r="O1437" s="5"/>
      <c r="P1437" s="9"/>
      <c r="Q1437" s="5"/>
      <c r="R1437" s="5"/>
      <c r="S1437" s="5"/>
      <c r="T1437" s="9"/>
      <c r="U1437" s="5"/>
      <c r="V1437" s="5">
        <v>0</v>
      </c>
      <c r="W1437" s="5"/>
      <c r="X1437" s="5"/>
      <c r="Y1437" s="5"/>
      <c r="Z1437" s="5"/>
      <c r="AA1437" s="5"/>
      <c r="AC1437" t="str">
        <f t="shared" si="199"/>
        <v/>
      </c>
      <c r="AD1437" t="str">
        <f t="shared" si="200"/>
        <v/>
      </c>
      <c r="AE1437" t="str">
        <f t="shared" si="201"/>
        <v/>
      </c>
      <c r="AF1437" t="str">
        <f t="shared" si="202"/>
        <v/>
      </c>
      <c r="AG1437" t="str">
        <f t="shared" si="203"/>
        <v/>
      </c>
      <c r="AH1437">
        <f t="shared" si="204"/>
        <v>3</v>
      </c>
      <c r="AI1437" t="str">
        <f t="shared" si="205"/>
        <v/>
      </c>
      <c r="AJ1437" t="str">
        <f t="shared" si="206"/>
        <v/>
      </c>
    </row>
    <row r="1438" spans="1:36">
      <c r="A1438" s="5">
        <v>1661</v>
      </c>
      <c r="B1438" s="5" t="s">
        <v>444</v>
      </c>
      <c r="C1438" s="5" t="s">
        <v>100</v>
      </c>
      <c r="D1438" s="5" t="s">
        <v>387</v>
      </c>
      <c r="E1438" s="5" t="s">
        <v>388</v>
      </c>
      <c r="F1438" s="5" t="str">
        <f t="shared" si="198"/>
        <v>Program Office-Extension Officer</v>
      </c>
      <c r="G1438" s="5" t="s">
        <v>40</v>
      </c>
      <c r="H1438" s="9">
        <v>44669.935347222221</v>
      </c>
      <c r="I1438" s="9">
        <v>44672.935347222221</v>
      </c>
      <c r="J1438" s="9" t="e">
        <f>I1438+#REF!</f>
        <v>#REF!</v>
      </c>
      <c r="K1438" s="9" t="e">
        <f>J1438+#REF!</f>
        <v>#REF!</v>
      </c>
      <c r="L1438" s="10" t="s">
        <v>52</v>
      </c>
      <c r="M1438" s="11"/>
      <c r="N1438" s="5"/>
      <c r="O1438" s="5"/>
      <c r="P1438" s="9"/>
      <c r="Q1438" s="5"/>
      <c r="R1438" s="5"/>
      <c r="S1438" s="5"/>
      <c r="T1438" s="9"/>
      <c r="U1438" s="5"/>
      <c r="V1438" s="5">
        <v>0</v>
      </c>
      <c r="W1438" s="5"/>
      <c r="X1438" s="5"/>
      <c r="Y1438" s="5"/>
      <c r="Z1438" s="5"/>
      <c r="AA1438" s="5"/>
      <c r="AC1438" t="str">
        <f t="shared" si="199"/>
        <v/>
      </c>
      <c r="AD1438" t="str">
        <f t="shared" si="200"/>
        <v/>
      </c>
      <c r="AE1438" t="str">
        <f t="shared" si="201"/>
        <v/>
      </c>
      <c r="AF1438" t="str">
        <f t="shared" si="202"/>
        <v/>
      </c>
      <c r="AG1438" t="str">
        <f t="shared" si="203"/>
        <v/>
      </c>
      <c r="AH1438">
        <f t="shared" si="204"/>
        <v>3</v>
      </c>
      <c r="AI1438" t="str">
        <f t="shared" si="205"/>
        <v/>
      </c>
      <c r="AJ1438" t="str">
        <f t="shared" si="206"/>
        <v/>
      </c>
    </row>
    <row r="1439" spans="1:36">
      <c r="A1439" s="5">
        <v>1662</v>
      </c>
      <c r="B1439" s="5" t="s">
        <v>324</v>
      </c>
      <c r="C1439" s="5" t="s">
        <v>100</v>
      </c>
      <c r="D1439" s="5" t="s">
        <v>268</v>
      </c>
      <c r="E1439" s="5" t="s">
        <v>291</v>
      </c>
      <c r="F1439" s="5" t="str">
        <f t="shared" si="198"/>
        <v>Program Office-Cordination Manager</v>
      </c>
      <c r="G1439" s="5" t="s">
        <v>270</v>
      </c>
      <c r="H1439" s="9">
        <v>44671.935347222221</v>
      </c>
      <c r="I1439" s="9">
        <v>44674.935347222221</v>
      </c>
      <c r="J1439" s="9" t="e">
        <f>I1439+#REF!</f>
        <v>#REF!</v>
      </c>
      <c r="K1439" s="9" t="e">
        <f>J1439+#REF!</f>
        <v>#REF!</v>
      </c>
      <c r="L1439" s="10" t="s">
        <v>41</v>
      </c>
      <c r="M1439" s="11">
        <v>44692.935347222221</v>
      </c>
      <c r="N1439" s="5" t="s">
        <v>42</v>
      </c>
      <c r="O1439" s="5" t="s">
        <v>58</v>
      </c>
      <c r="P1439" s="9"/>
      <c r="Q1439" s="5"/>
      <c r="R1439" s="5"/>
      <c r="S1439" s="5"/>
      <c r="T1439" s="9">
        <v>44694.935347222221</v>
      </c>
      <c r="U1439" s="5"/>
      <c r="V1439" s="5">
        <v>0</v>
      </c>
      <c r="W1439" s="5"/>
      <c r="X1439" s="5"/>
      <c r="Y1439" s="5"/>
      <c r="Z1439" s="5"/>
      <c r="AA1439" s="5" t="s">
        <v>62</v>
      </c>
      <c r="AC1439">
        <f t="shared" si="199"/>
        <v>18</v>
      </c>
      <c r="AD1439" t="str">
        <f t="shared" si="200"/>
        <v/>
      </c>
      <c r="AE1439">
        <f t="shared" si="201"/>
        <v>2</v>
      </c>
      <c r="AF1439" t="str">
        <f t="shared" si="202"/>
        <v/>
      </c>
      <c r="AG1439" t="str">
        <f t="shared" si="203"/>
        <v/>
      </c>
      <c r="AH1439">
        <f t="shared" si="204"/>
        <v>3</v>
      </c>
      <c r="AI1439" t="str">
        <f t="shared" si="205"/>
        <v/>
      </c>
      <c r="AJ1439" t="str">
        <f t="shared" si="206"/>
        <v/>
      </c>
    </row>
    <row r="1440" spans="1:36">
      <c r="A1440" s="5">
        <v>1663</v>
      </c>
      <c r="B1440" s="5" t="s">
        <v>323</v>
      </c>
      <c r="C1440" s="5" t="s">
        <v>100</v>
      </c>
      <c r="D1440" s="5" t="s">
        <v>268</v>
      </c>
      <c r="E1440" s="5" t="s">
        <v>291</v>
      </c>
      <c r="F1440" s="5" t="str">
        <f t="shared" si="198"/>
        <v>Program Office-Cordination Manager</v>
      </c>
      <c r="G1440" s="5" t="s">
        <v>270</v>
      </c>
      <c r="H1440" s="9">
        <v>44673.935347222221</v>
      </c>
      <c r="I1440" s="9">
        <v>44675.935347222221</v>
      </c>
      <c r="J1440" s="9" t="e">
        <f>I1440+#REF!</f>
        <v>#REF!</v>
      </c>
      <c r="K1440" s="9" t="e">
        <f>J1440+#REF!</f>
        <v>#REF!</v>
      </c>
      <c r="L1440" s="10" t="s">
        <v>41</v>
      </c>
      <c r="M1440" s="11">
        <v>44690.935347222221</v>
      </c>
      <c r="N1440" s="5" t="s">
        <v>42</v>
      </c>
      <c r="O1440" s="5" t="s">
        <v>43</v>
      </c>
      <c r="P1440" s="9"/>
      <c r="Q1440" s="5"/>
      <c r="R1440" s="5"/>
      <c r="S1440" s="5"/>
      <c r="T1440" s="9"/>
      <c r="U1440" s="5"/>
      <c r="V1440" s="5">
        <v>0</v>
      </c>
      <c r="W1440" s="5"/>
      <c r="X1440" s="5"/>
      <c r="Y1440" s="5"/>
      <c r="Z1440" s="5"/>
      <c r="AA1440" s="5" t="s">
        <v>44</v>
      </c>
      <c r="AC1440">
        <f t="shared" si="199"/>
        <v>15</v>
      </c>
      <c r="AD1440" t="str">
        <f t="shared" si="200"/>
        <v/>
      </c>
      <c r="AE1440" t="str">
        <f t="shared" si="201"/>
        <v/>
      </c>
      <c r="AF1440" t="str">
        <f t="shared" si="202"/>
        <v/>
      </c>
      <c r="AG1440" t="str">
        <f t="shared" si="203"/>
        <v/>
      </c>
      <c r="AH1440">
        <f t="shared" si="204"/>
        <v>2</v>
      </c>
      <c r="AI1440" t="str">
        <f t="shared" si="205"/>
        <v/>
      </c>
      <c r="AJ1440" t="str">
        <f t="shared" si="206"/>
        <v/>
      </c>
    </row>
    <row r="1441" spans="1:36">
      <c r="A1441" s="5">
        <v>1664</v>
      </c>
      <c r="B1441" s="5" t="s">
        <v>443</v>
      </c>
      <c r="C1441" s="5" t="s">
        <v>100</v>
      </c>
      <c r="D1441" s="5" t="s">
        <v>387</v>
      </c>
      <c r="E1441" s="5" t="s">
        <v>388</v>
      </c>
      <c r="F1441" s="5" t="str">
        <f t="shared" si="198"/>
        <v>Program Office-Extension Officer</v>
      </c>
      <c r="G1441" s="5" t="s">
        <v>40</v>
      </c>
      <c r="H1441" s="9">
        <v>44672.935347222221</v>
      </c>
      <c r="I1441" s="9">
        <v>44674.935347222221</v>
      </c>
      <c r="J1441" s="9" t="e">
        <f>I1441+#REF!</f>
        <v>#REF!</v>
      </c>
      <c r="K1441" s="9" t="e">
        <f>J1441+#REF!</f>
        <v>#REF!</v>
      </c>
      <c r="L1441" s="10" t="s">
        <v>41</v>
      </c>
      <c r="M1441" s="11">
        <v>44692.935347222221</v>
      </c>
      <c r="N1441" s="5" t="s">
        <v>64</v>
      </c>
      <c r="O1441" s="5"/>
      <c r="P1441" s="9">
        <v>44699.935347222221</v>
      </c>
      <c r="Q1441" s="5" t="s">
        <v>64</v>
      </c>
      <c r="R1441" s="9">
        <v>44694.935347222221</v>
      </c>
      <c r="S1441" s="9">
        <v>44698.935347222221</v>
      </c>
      <c r="T1441" s="9">
        <v>44696.935347222221</v>
      </c>
      <c r="U1441" s="9">
        <v>44700.935347222221</v>
      </c>
      <c r="V1441" s="12">
        <v>1</v>
      </c>
      <c r="W1441" s="9">
        <v>44703.935347222221</v>
      </c>
      <c r="X1441" s="9">
        <v>44706.935347222221</v>
      </c>
      <c r="Y1441" s="9">
        <v>44708.935347222221</v>
      </c>
      <c r="Z1441" s="5"/>
      <c r="AA1441" s="5"/>
      <c r="AB1441" s="13">
        <v>44721.935347222221</v>
      </c>
      <c r="AC1441">
        <f t="shared" si="199"/>
        <v>18</v>
      </c>
      <c r="AD1441">
        <f t="shared" si="200"/>
        <v>24</v>
      </c>
      <c r="AE1441">
        <f t="shared" si="201"/>
        <v>4</v>
      </c>
      <c r="AF1441">
        <f t="shared" si="202"/>
        <v>6</v>
      </c>
      <c r="AG1441">
        <f t="shared" si="203"/>
        <v>3</v>
      </c>
      <c r="AH1441">
        <f t="shared" si="204"/>
        <v>2</v>
      </c>
      <c r="AI1441" t="str">
        <f t="shared" si="205"/>
        <v/>
      </c>
      <c r="AJ1441" t="str">
        <f t="shared" si="206"/>
        <v/>
      </c>
    </row>
    <row r="1442" spans="1:36">
      <c r="A1442" s="5">
        <v>1665</v>
      </c>
      <c r="B1442" s="5" t="s">
        <v>619</v>
      </c>
      <c r="C1442" s="5" t="s">
        <v>100</v>
      </c>
      <c r="D1442" s="5" t="s">
        <v>554</v>
      </c>
      <c r="E1442" s="5" t="s">
        <v>597</v>
      </c>
      <c r="F1442" s="5" t="str">
        <f t="shared" si="198"/>
        <v>Program Office-Business Partner</v>
      </c>
      <c r="G1442" s="5" t="s">
        <v>47</v>
      </c>
      <c r="H1442" s="9">
        <v>44671.935347222221</v>
      </c>
      <c r="I1442" s="9">
        <v>44672.935347222221</v>
      </c>
      <c r="J1442" s="9" t="e">
        <f>I1442+#REF!</f>
        <v>#REF!</v>
      </c>
      <c r="K1442" s="9" t="e">
        <f>J1442+#REF!</f>
        <v>#REF!</v>
      </c>
      <c r="L1442" s="10" t="s">
        <v>41</v>
      </c>
      <c r="M1442" s="11">
        <v>44689.935347222221</v>
      </c>
      <c r="N1442" s="5" t="s">
        <v>64</v>
      </c>
      <c r="O1442" s="5"/>
      <c r="P1442" s="9">
        <v>44694.935347222221</v>
      </c>
      <c r="Q1442" s="5" t="s">
        <v>64</v>
      </c>
      <c r="R1442" s="9">
        <v>44691.935347222221</v>
      </c>
      <c r="S1442" s="9">
        <v>44693.935347222221</v>
      </c>
      <c r="T1442" s="9">
        <v>44692.935347222221</v>
      </c>
      <c r="U1442" s="9">
        <v>44702.935347222221</v>
      </c>
      <c r="V1442" s="12">
        <v>1</v>
      </c>
      <c r="W1442" s="9">
        <v>44703.935347222221</v>
      </c>
      <c r="X1442" s="9">
        <v>44705.935347222221</v>
      </c>
      <c r="Y1442" s="9">
        <v>44708.935347222221</v>
      </c>
      <c r="Z1442" s="5"/>
      <c r="AA1442" s="5"/>
      <c r="AB1442" s="13">
        <v>44728.935347222221</v>
      </c>
      <c r="AC1442">
        <f t="shared" si="199"/>
        <v>17</v>
      </c>
      <c r="AD1442">
        <f t="shared" si="200"/>
        <v>21</v>
      </c>
      <c r="AE1442">
        <f t="shared" si="201"/>
        <v>3</v>
      </c>
      <c r="AF1442">
        <f t="shared" si="202"/>
        <v>3</v>
      </c>
      <c r="AG1442">
        <f t="shared" si="203"/>
        <v>1</v>
      </c>
      <c r="AH1442">
        <f t="shared" si="204"/>
        <v>1</v>
      </c>
      <c r="AI1442" t="str">
        <f t="shared" si="205"/>
        <v/>
      </c>
      <c r="AJ1442" t="str">
        <f t="shared" si="206"/>
        <v/>
      </c>
    </row>
    <row r="1443" spans="1:36">
      <c r="A1443" s="5">
        <v>1666</v>
      </c>
      <c r="B1443" s="5" t="s">
        <v>322</v>
      </c>
      <c r="C1443" s="5" t="s">
        <v>100</v>
      </c>
      <c r="D1443" s="5" t="s">
        <v>268</v>
      </c>
      <c r="E1443" s="5" t="s">
        <v>291</v>
      </c>
      <c r="F1443" s="5" t="str">
        <f t="shared" si="198"/>
        <v>Program Office-Cordination Manager</v>
      </c>
      <c r="G1443" s="5" t="s">
        <v>270</v>
      </c>
      <c r="H1443" s="9">
        <v>44673.935347222221</v>
      </c>
      <c r="I1443" s="9">
        <v>44677.935347222221</v>
      </c>
      <c r="J1443" s="9" t="e">
        <f>I1443+#REF!</f>
        <v>#REF!</v>
      </c>
      <c r="K1443" s="9" t="e">
        <f>J1443+#REF!</f>
        <v>#REF!</v>
      </c>
      <c r="L1443" s="10" t="s">
        <v>41</v>
      </c>
      <c r="M1443" s="11">
        <v>44696.935347222221</v>
      </c>
      <c r="N1443" s="5" t="s">
        <v>48</v>
      </c>
      <c r="O1443" s="5"/>
      <c r="P1443" s="9">
        <v>44701.935347222221</v>
      </c>
      <c r="Q1443" s="5" t="s">
        <v>48</v>
      </c>
      <c r="R1443" s="5"/>
      <c r="S1443" s="5"/>
      <c r="T1443" s="9">
        <v>44699.935347222221</v>
      </c>
      <c r="U1443" s="5"/>
      <c r="V1443" s="5">
        <v>0</v>
      </c>
      <c r="W1443" s="5"/>
      <c r="X1443" s="5"/>
      <c r="Y1443" s="5"/>
      <c r="Z1443" s="5"/>
      <c r="AA1443" s="5"/>
      <c r="AC1443">
        <f t="shared" si="199"/>
        <v>19</v>
      </c>
      <c r="AD1443" t="str">
        <f t="shared" si="200"/>
        <v/>
      </c>
      <c r="AE1443">
        <f t="shared" si="201"/>
        <v>3</v>
      </c>
      <c r="AF1443" t="str">
        <f t="shared" si="202"/>
        <v/>
      </c>
      <c r="AG1443" t="str">
        <f t="shared" si="203"/>
        <v/>
      </c>
      <c r="AH1443">
        <f t="shared" si="204"/>
        <v>4</v>
      </c>
      <c r="AI1443" t="str">
        <f t="shared" si="205"/>
        <v/>
      </c>
      <c r="AJ1443" t="str">
        <f t="shared" si="206"/>
        <v/>
      </c>
    </row>
    <row r="1444" spans="1:36">
      <c r="A1444" s="5">
        <v>1667</v>
      </c>
      <c r="B1444" s="5" t="s">
        <v>618</v>
      </c>
      <c r="C1444" s="5" t="s">
        <v>100</v>
      </c>
      <c r="D1444" s="5" t="s">
        <v>554</v>
      </c>
      <c r="E1444" s="5" t="s">
        <v>597</v>
      </c>
      <c r="F1444" s="5" t="str">
        <f t="shared" si="198"/>
        <v>Program Office-Business Partner</v>
      </c>
      <c r="G1444" s="5" t="s">
        <v>47</v>
      </c>
      <c r="H1444" s="9">
        <v>44672.935347222221</v>
      </c>
      <c r="I1444" s="9">
        <v>44674.935347222221</v>
      </c>
      <c r="J1444" s="9" t="e">
        <f>I1444+#REF!</f>
        <v>#REF!</v>
      </c>
      <c r="K1444" s="9" t="e">
        <f>J1444+#REF!</f>
        <v>#REF!</v>
      </c>
      <c r="L1444" s="10" t="s">
        <v>41</v>
      </c>
      <c r="M1444" s="11">
        <v>44681.935347222221</v>
      </c>
      <c r="N1444" s="5" t="s">
        <v>42</v>
      </c>
      <c r="O1444" s="5" t="s">
        <v>73</v>
      </c>
      <c r="P1444" s="9"/>
      <c r="Q1444" s="5"/>
      <c r="R1444" s="5"/>
      <c r="S1444" s="5"/>
      <c r="T1444" s="9"/>
      <c r="U1444" s="5"/>
      <c r="V1444" s="5">
        <v>0</v>
      </c>
      <c r="W1444" s="5"/>
      <c r="X1444" s="5"/>
      <c r="Y1444" s="5"/>
      <c r="Z1444" s="5"/>
      <c r="AA1444" s="5" t="s">
        <v>62</v>
      </c>
      <c r="AC1444">
        <f t="shared" si="199"/>
        <v>7</v>
      </c>
      <c r="AD1444" t="str">
        <f t="shared" si="200"/>
        <v/>
      </c>
      <c r="AE1444" t="str">
        <f t="shared" si="201"/>
        <v/>
      </c>
      <c r="AF1444" t="str">
        <f t="shared" si="202"/>
        <v/>
      </c>
      <c r="AG1444" t="str">
        <f t="shared" si="203"/>
        <v/>
      </c>
      <c r="AH1444">
        <f t="shared" si="204"/>
        <v>2</v>
      </c>
      <c r="AI1444" t="str">
        <f t="shared" si="205"/>
        <v/>
      </c>
      <c r="AJ1444" t="str">
        <f t="shared" si="206"/>
        <v/>
      </c>
    </row>
    <row r="1445" spans="1:36">
      <c r="A1445" s="5">
        <v>1668</v>
      </c>
      <c r="B1445" s="5" t="s">
        <v>617</v>
      </c>
      <c r="C1445" s="5" t="s">
        <v>100</v>
      </c>
      <c r="D1445" s="5" t="s">
        <v>554</v>
      </c>
      <c r="E1445" s="5" t="s">
        <v>597</v>
      </c>
      <c r="F1445" s="5" t="str">
        <f t="shared" si="198"/>
        <v>Program Office-Business Partner</v>
      </c>
      <c r="G1445" s="5" t="s">
        <v>47</v>
      </c>
      <c r="H1445" s="9">
        <v>44676.935347222221</v>
      </c>
      <c r="I1445" s="9">
        <v>44677.935347222221</v>
      </c>
      <c r="J1445" s="9" t="e">
        <f>I1445+#REF!</f>
        <v>#REF!</v>
      </c>
      <c r="K1445" s="9" t="e">
        <f>J1445+#REF!</f>
        <v>#REF!</v>
      </c>
      <c r="L1445" s="10" t="s">
        <v>41</v>
      </c>
      <c r="M1445" s="11">
        <v>44681.935347222221</v>
      </c>
      <c r="N1445" s="5" t="s">
        <v>42</v>
      </c>
      <c r="O1445" s="5" t="s">
        <v>43</v>
      </c>
      <c r="P1445" s="9"/>
      <c r="Q1445" s="5"/>
      <c r="R1445" s="5"/>
      <c r="S1445" s="5"/>
      <c r="T1445" s="9"/>
      <c r="U1445" s="5"/>
      <c r="V1445" s="5">
        <v>0</v>
      </c>
      <c r="W1445" s="5"/>
      <c r="X1445" s="5"/>
      <c r="Y1445" s="5"/>
      <c r="Z1445" s="5"/>
      <c r="AA1445" s="5" t="s">
        <v>44</v>
      </c>
      <c r="AC1445">
        <f t="shared" si="199"/>
        <v>4</v>
      </c>
      <c r="AD1445" t="str">
        <f t="shared" si="200"/>
        <v/>
      </c>
      <c r="AE1445" t="str">
        <f t="shared" si="201"/>
        <v/>
      </c>
      <c r="AF1445" t="str">
        <f t="shared" si="202"/>
        <v/>
      </c>
      <c r="AG1445" t="str">
        <f t="shared" si="203"/>
        <v/>
      </c>
      <c r="AH1445">
        <f t="shared" si="204"/>
        <v>1</v>
      </c>
      <c r="AI1445" t="str">
        <f t="shared" si="205"/>
        <v/>
      </c>
      <c r="AJ1445" t="str">
        <f t="shared" si="206"/>
        <v/>
      </c>
    </row>
    <row r="1446" spans="1:36">
      <c r="A1446" s="5">
        <v>1669</v>
      </c>
      <c r="B1446" s="5" t="s">
        <v>442</v>
      </c>
      <c r="C1446" s="5" t="s">
        <v>100</v>
      </c>
      <c r="D1446" s="5" t="s">
        <v>387</v>
      </c>
      <c r="E1446" s="5" t="s">
        <v>388</v>
      </c>
      <c r="F1446" s="5" t="str">
        <f t="shared" si="198"/>
        <v>Program Office-Extension Officer</v>
      </c>
      <c r="G1446" s="5" t="s">
        <v>40</v>
      </c>
      <c r="H1446" s="9">
        <v>44674.935347222221</v>
      </c>
      <c r="I1446" s="9">
        <v>44675.935347222221</v>
      </c>
      <c r="J1446" s="9" t="e">
        <f>I1446+#REF!</f>
        <v>#REF!</v>
      </c>
      <c r="K1446" s="9" t="e">
        <f>J1446+#REF!</f>
        <v>#REF!</v>
      </c>
      <c r="L1446" s="10" t="s">
        <v>41</v>
      </c>
      <c r="M1446" s="11">
        <v>44695.935347222221</v>
      </c>
      <c r="N1446" s="5" t="s">
        <v>42</v>
      </c>
      <c r="O1446" s="5" t="s">
        <v>73</v>
      </c>
      <c r="P1446" s="9"/>
      <c r="Q1446" s="5"/>
      <c r="R1446" s="5"/>
      <c r="S1446" s="5"/>
      <c r="T1446" s="9">
        <v>44697.935347222221</v>
      </c>
      <c r="U1446" s="5"/>
      <c r="V1446" s="5">
        <v>0</v>
      </c>
      <c r="W1446" s="5"/>
      <c r="X1446" s="5"/>
      <c r="Y1446" s="5"/>
      <c r="Z1446" s="5"/>
      <c r="AA1446" s="5" t="s">
        <v>44</v>
      </c>
      <c r="AC1446">
        <f t="shared" si="199"/>
        <v>20</v>
      </c>
      <c r="AD1446" t="str">
        <f t="shared" si="200"/>
        <v/>
      </c>
      <c r="AE1446">
        <f t="shared" si="201"/>
        <v>2</v>
      </c>
      <c r="AF1446" t="str">
        <f t="shared" si="202"/>
        <v/>
      </c>
      <c r="AG1446" t="str">
        <f t="shared" si="203"/>
        <v/>
      </c>
      <c r="AH1446">
        <f t="shared" si="204"/>
        <v>1</v>
      </c>
      <c r="AI1446" t="str">
        <f t="shared" si="205"/>
        <v/>
      </c>
      <c r="AJ1446" t="str">
        <f t="shared" si="206"/>
        <v/>
      </c>
    </row>
    <row r="1447" spans="1:36">
      <c r="A1447" s="5">
        <v>1670</v>
      </c>
      <c r="B1447" s="5" t="s">
        <v>321</v>
      </c>
      <c r="C1447" s="5" t="s">
        <v>100</v>
      </c>
      <c r="D1447" s="5" t="s">
        <v>268</v>
      </c>
      <c r="E1447" s="5" t="s">
        <v>291</v>
      </c>
      <c r="F1447" s="5" t="str">
        <f t="shared" si="198"/>
        <v>Program Office-Cordination Manager</v>
      </c>
      <c r="G1447" s="5" t="s">
        <v>270</v>
      </c>
      <c r="H1447" s="9">
        <v>44674.935347222221</v>
      </c>
      <c r="I1447" s="9">
        <v>44676.935347222221</v>
      </c>
      <c r="J1447" s="9" t="e">
        <f>I1447+#REF!</f>
        <v>#REF!</v>
      </c>
      <c r="K1447" s="9" t="e">
        <f>J1447+#REF!</f>
        <v>#REF!</v>
      </c>
      <c r="L1447" s="10" t="s">
        <v>52</v>
      </c>
      <c r="M1447" s="11"/>
      <c r="N1447" s="5"/>
      <c r="O1447" s="5"/>
      <c r="P1447" s="9"/>
      <c r="Q1447" s="5"/>
      <c r="R1447" s="5"/>
      <c r="S1447" s="5"/>
      <c r="T1447" s="9"/>
      <c r="U1447" s="5"/>
      <c r="V1447" s="5">
        <v>0</v>
      </c>
      <c r="W1447" s="5"/>
      <c r="X1447" s="5"/>
      <c r="Y1447" s="5"/>
      <c r="Z1447" s="5"/>
      <c r="AA1447" s="5"/>
      <c r="AC1447" t="str">
        <f t="shared" si="199"/>
        <v/>
      </c>
      <c r="AD1447" t="str">
        <f t="shared" si="200"/>
        <v/>
      </c>
      <c r="AE1447" t="str">
        <f t="shared" si="201"/>
        <v/>
      </c>
      <c r="AF1447" t="str">
        <f t="shared" si="202"/>
        <v/>
      </c>
      <c r="AG1447" t="str">
        <f t="shared" si="203"/>
        <v/>
      </c>
      <c r="AH1447">
        <f t="shared" si="204"/>
        <v>2</v>
      </c>
      <c r="AI1447" t="str">
        <f t="shared" si="205"/>
        <v/>
      </c>
      <c r="AJ1447" t="str">
        <f t="shared" si="206"/>
        <v/>
      </c>
    </row>
    <row r="1448" spans="1:36">
      <c r="A1448" s="5">
        <v>1671</v>
      </c>
      <c r="B1448" s="5" t="s">
        <v>2023</v>
      </c>
      <c r="C1448" s="5" t="s">
        <v>1540</v>
      </c>
      <c r="D1448" s="5" t="s">
        <v>1985</v>
      </c>
      <c r="E1448" s="5" t="s">
        <v>1986</v>
      </c>
      <c r="F1448" s="5" t="str">
        <f t="shared" si="198"/>
        <v>Finance-Revenue Recorgnition</v>
      </c>
      <c r="G1448" s="5" t="s">
        <v>47</v>
      </c>
      <c r="H1448" s="9">
        <v>44870.144270833334</v>
      </c>
      <c r="I1448" s="9">
        <v>44874.144270833334</v>
      </c>
      <c r="J1448" s="9" t="e">
        <f>I1448+#REF!</f>
        <v>#REF!</v>
      </c>
      <c r="K1448" s="9" t="e">
        <f>J1448+#REF!</f>
        <v>#REF!</v>
      </c>
      <c r="L1448" s="10" t="s">
        <v>41</v>
      </c>
      <c r="M1448" s="11">
        <v>44892.144270833334</v>
      </c>
      <c r="N1448" s="5" t="s">
        <v>42</v>
      </c>
      <c r="O1448" s="5" t="s">
        <v>98</v>
      </c>
      <c r="P1448" s="9"/>
      <c r="Q1448" s="5"/>
      <c r="R1448" s="5"/>
      <c r="S1448" s="5"/>
      <c r="T1448" s="9"/>
      <c r="U1448" s="5"/>
      <c r="V1448" s="5">
        <v>0</v>
      </c>
      <c r="W1448" s="5"/>
      <c r="X1448" s="5"/>
      <c r="Y1448" s="5"/>
      <c r="Z1448" s="5"/>
      <c r="AA1448" s="5" t="s">
        <v>44</v>
      </c>
      <c r="AC1448">
        <f t="shared" si="199"/>
        <v>18</v>
      </c>
      <c r="AD1448" t="str">
        <f t="shared" si="200"/>
        <v/>
      </c>
      <c r="AE1448" t="str">
        <f t="shared" si="201"/>
        <v/>
      </c>
      <c r="AF1448" t="str">
        <f t="shared" si="202"/>
        <v/>
      </c>
      <c r="AG1448" t="str">
        <f t="shared" si="203"/>
        <v/>
      </c>
      <c r="AH1448">
        <f t="shared" si="204"/>
        <v>4</v>
      </c>
      <c r="AI1448" t="str">
        <f t="shared" si="205"/>
        <v/>
      </c>
      <c r="AJ1448" t="str">
        <f t="shared" si="206"/>
        <v/>
      </c>
    </row>
    <row r="1449" spans="1:36">
      <c r="A1449" s="5">
        <v>1672</v>
      </c>
      <c r="B1449" s="5" t="s">
        <v>2022</v>
      </c>
      <c r="C1449" s="5" t="s">
        <v>1540</v>
      </c>
      <c r="D1449" s="5" t="s">
        <v>1985</v>
      </c>
      <c r="E1449" s="5" t="s">
        <v>1986</v>
      </c>
      <c r="F1449" s="5" t="str">
        <f t="shared" si="198"/>
        <v>Finance-Revenue Recorgnition</v>
      </c>
      <c r="G1449" s="5" t="s">
        <v>47</v>
      </c>
      <c r="H1449" s="9">
        <v>44870.144270833334</v>
      </c>
      <c r="I1449" s="9">
        <v>44874.144270833334</v>
      </c>
      <c r="J1449" s="9" t="e">
        <f>I1449+#REF!</f>
        <v>#REF!</v>
      </c>
      <c r="K1449" s="9" t="e">
        <f>J1449+#REF!</f>
        <v>#REF!</v>
      </c>
      <c r="L1449" s="10" t="s">
        <v>41</v>
      </c>
      <c r="M1449" s="11">
        <v>44892.144270833334</v>
      </c>
      <c r="N1449" s="5" t="s">
        <v>64</v>
      </c>
      <c r="O1449" s="5"/>
      <c r="P1449" s="9">
        <v>44895.144270833334</v>
      </c>
      <c r="Q1449" s="5" t="s">
        <v>64</v>
      </c>
      <c r="R1449" s="9">
        <v>44894.144270833334</v>
      </c>
      <c r="S1449" s="9">
        <v>44895.144270833334</v>
      </c>
      <c r="T1449" s="9">
        <v>44893.144270833334</v>
      </c>
      <c r="U1449" s="9">
        <v>44896.144270833334</v>
      </c>
      <c r="V1449" s="12">
        <v>1</v>
      </c>
      <c r="W1449" s="9">
        <v>44898.144270833334</v>
      </c>
      <c r="X1449" s="9">
        <v>44900.144270833334</v>
      </c>
      <c r="Y1449" s="9">
        <v>44901.144270833334</v>
      </c>
      <c r="Z1449" s="5"/>
      <c r="AA1449" s="5"/>
      <c r="AB1449" s="13">
        <v>44924.144270833334</v>
      </c>
      <c r="AC1449">
        <f t="shared" si="199"/>
        <v>18</v>
      </c>
      <c r="AD1449">
        <f t="shared" si="200"/>
        <v>21</v>
      </c>
      <c r="AE1449">
        <f t="shared" si="201"/>
        <v>1</v>
      </c>
      <c r="AF1449">
        <f t="shared" si="202"/>
        <v>4</v>
      </c>
      <c r="AG1449">
        <f t="shared" si="203"/>
        <v>2</v>
      </c>
      <c r="AH1449">
        <f t="shared" si="204"/>
        <v>4</v>
      </c>
      <c r="AI1449" t="str">
        <f t="shared" si="205"/>
        <v/>
      </c>
      <c r="AJ1449" t="str">
        <f t="shared" si="206"/>
        <v/>
      </c>
    </row>
    <row r="1450" spans="1:36">
      <c r="A1450" s="5">
        <v>1673</v>
      </c>
      <c r="B1450" s="5" t="s">
        <v>1752</v>
      </c>
      <c r="C1450" s="5" t="s">
        <v>1540</v>
      </c>
      <c r="D1450" s="5" t="s">
        <v>1706</v>
      </c>
      <c r="E1450" s="5" t="s">
        <v>269</v>
      </c>
      <c r="F1450" s="5" t="str">
        <f t="shared" si="198"/>
        <v>Finance-Manager</v>
      </c>
      <c r="G1450" s="5" t="s">
        <v>270</v>
      </c>
      <c r="H1450" s="9">
        <v>44870.144270833334</v>
      </c>
      <c r="I1450" s="9">
        <v>44873.144270833334</v>
      </c>
      <c r="J1450" s="9" t="e">
        <f>I1450+#REF!</f>
        <v>#REF!</v>
      </c>
      <c r="K1450" s="9" t="e">
        <f>J1450+#REF!</f>
        <v>#REF!</v>
      </c>
      <c r="L1450" s="10" t="s">
        <v>41</v>
      </c>
      <c r="M1450" s="11">
        <v>44892.144270833334</v>
      </c>
      <c r="N1450" s="5" t="s">
        <v>167</v>
      </c>
      <c r="O1450" s="5"/>
      <c r="P1450" s="9">
        <v>44899.144270833334</v>
      </c>
      <c r="Q1450" s="5" t="s">
        <v>167</v>
      </c>
      <c r="R1450" s="5"/>
      <c r="S1450" s="5"/>
      <c r="T1450" s="9">
        <v>44896.144270833334</v>
      </c>
      <c r="U1450" s="5"/>
      <c r="V1450" s="5">
        <v>0</v>
      </c>
      <c r="W1450" s="5"/>
      <c r="X1450" s="5"/>
      <c r="Y1450" s="5"/>
      <c r="Z1450" s="5"/>
      <c r="AA1450" s="5"/>
      <c r="AC1450">
        <f t="shared" si="199"/>
        <v>19</v>
      </c>
      <c r="AD1450" t="str">
        <f t="shared" si="200"/>
        <v/>
      </c>
      <c r="AE1450">
        <f t="shared" si="201"/>
        <v>4</v>
      </c>
      <c r="AF1450" t="str">
        <f t="shared" si="202"/>
        <v/>
      </c>
      <c r="AG1450" t="str">
        <f t="shared" si="203"/>
        <v/>
      </c>
      <c r="AH1450">
        <f t="shared" si="204"/>
        <v>3</v>
      </c>
      <c r="AI1450" t="str">
        <f t="shared" si="205"/>
        <v/>
      </c>
      <c r="AJ1450" t="str">
        <f t="shared" si="206"/>
        <v/>
      </c>
    </row>
    <row r="1451" spans="1:36">
      <c r="A1451" s="5">
        <v>1674</v>
      </c>
      <c r="B1451" s="5" t="s">
        <v>2021</v>
      </c>
      <c r="C1451" s="5" t="s">
        <v>1540</v>
      </c>
      <c r="D1451" s="5" t="s">
        <v>1985</v>
      </c>
      <c r="E1451" s="5" t="s">
        <v>1986</v>
      </c>
      <c r="F1451" s="5" t="str">
        <f t="shared" si="198"/>
        <v>Finance-Revenue Recorgnition</v>
      </c>
      <c r="G1451" s="5" t="s">
        <v>47</v>
      </c>
      <c r="H1451" s="9">
        <v>44871.144270833334</v>
      </c>
      <c r="I1451" s="9">
        <v>44873.144270833334</v>
      </c>
      <c r="J1451" s="9" t="e">
        <f>I1451+#REF!</f>
        <v>#REF!</v>
      </c>
      <c r="K1451" s="9" t="e">
        <f>J1451+#REF!</f>
        <v>#REF!</v>
      </c>
      <c r="L1451" s="10" t="s">
        <v>52</v>
      </c>
      <c r="M1451" s="11"/>
      <c r="N1451" s="5"/>
      <c r="O1451" s="5"/>
      <c r="P1451" s="9"/>
      <c r="Q1451" s="5"/>
      <c r="R1451" s="5"/>
      <c r="S1451" s="5"/>
      <c r="T1451" s="9"/>
      <c r="U1451" s="5"/>
      <c r="V1451" s="5">
        <v>0</v>
      </c>
      <c r="W1451" s="5"/>
      <c r="X1451" s="5"/>
      <c r="Y1451" s="5"/>
      <c r="Z1451" s="5"/>
      <c r="AA1451" s="5"/>
      <c r="AC1451" t="str">
        <f t="shared" si="199"/>
        <v/>
      </c>
      <c r="AD1451" t="str">
        <f t="shared" si="200"/>
        <v/>
      </c>
      <c r="AE1451" t="str">
        <f t="shared" si="201"/>
        <v/>
      </c>
      <c r="AF1451" t="str">
        <f t="shared" si="202"/>
        <v/>
      </c>
      <c r="AG1451" t="str">
        <f t="shared" si="203"/>
        <v/>
      </c>
      <c r="AH1451">
        <f t="shared" si="204"/>
        <v>2</v>
      </c>
      <c r="AI1451" t="str">
        <f t="shared" si="205"/>
        <v/>
      </c>
      <c r="AJ1451" t="str">
        <f t="shared" si="206"/>
        <v/>
      </c>
    </row>
    <row r="1452" spans="1:36">
      <c r="A1452" s="5">
        <v>1675</v>
      </c>
      <c r="B1452" s="5" t="s">
        <v>1633</v>
      </c>
      <c r="C1452" s="5" t="s">
        <v>1540</v>
      </c>
      <c r="D1452" s="5" t="s">
        <v>1588</v>
      </c>
      <c r="E1452" s="5" t="s">
        <v>1360</v>
      </c>
      <c r="F1452" s="5" t="str">
        <f t="shared" si="198"/>
        <v>Finance-Fund Administrator</v>
      </c>
      <c r="G1452" s="5" t="s">
        <v>147</v>
      </c>
      <c r="H1452" s="9">
        <v>44873.144270833334</v>
      </c>
      <c r="I1452" s="9">
        <v>44874.144270833334</v>
      </c>
      <c r="J1452" s="9" t="e">
        <f>I1452+#REF!</f>
        <v>#REF!</v>
      </c>
      <c r="K1452" s="9" t="e">
        <f>J1452+#REF!</f>
        <v>#REF!</v>
      </c>
      <c r="L1452" s="10" t="s">
        <v>52</v>
      </c>
      <c r="M1452" s="11"/>
      <c r="N1452" s="5"/>
      <c r="O1452" s="5"/>
      <c r="P1452" s="9"/>
      <c r="Q1452" s="5"/>
      <c r="R1452" s="5"/>
      <c r="S1452" s="5"/>
      <c r="T1452" s="9"/>
      <c r="U1452" s="5"/>
      <c r="V1452" s="5">
        <v>0</v>
      </c>
      <c r="W1452" s="5"/>
      <c r="X1452" s="5"/>
      <c r="Y1452" s="5"/>
      <c r="Z1452" s="5"/>
      <c r="AA1452" s="5"/>
      <c r="AC1452" t="str">
        <f t="shared" si="199"/>
        <v/>
      </c>
      <c r="AD1452" t="str">
        <f t="shared" si="200"/>
        <v/>
      </c>
      <c r="AE1452" t="str">
        <f t="shared" si="201"/>
        <v/>
      </c>
      <c r="AF1452" t="str">
        <f t="shared" si="202"/>
        <v/>
      </c>
      <c r="AG1452" t="str">
        <f t="shared" si="203"/>
        <v/>
      </c>
      <c r="AH1452">
        <f t="shared" si="204"/>
        <v>1</v>
      </c>
      <c r="AI1452" t="str">
        <f t="shared" si="205"/>
        <v/>
      </c>
      <c r="AJ1452" t="str">
        <f t="shared" si="206"/>
        <v/>
      </c>
    </row>
    <row r="1453" spans="1:36">
      <c r="A1453" s="5">
        <v>1676</v>
      </c>
      <c r="B1453" s="5" t="s">
        <v>1751</v>
      </c>
      <c r="C1453" s="5" t="s">
        <v>1540</v>
      </c>
      <c r="D1453" s="5" t="s">
        <v>1706</v>
      </c>
      <c r="E1453" s="5" t="s">
        <v>269</v>
      </c>
      <c r="F1453" s="5" t="str">
        <f t="shared" si="198"/>
        <v>Finance-Manager</v>
      </c>
      <c r="G1453" s="5" t="s">
        <v>270</v>
      </c>
      <c r="H1453" s="9">
        <v>44873.144270833334</v>
      </c>
      <c r="I1453" s="9">
        <v>44874.144270833334</v>
      </c>
      <c r="J1453" s="9" t="e">
        <f>I1453+#REF!</f>
        <v>#REF!</v>
      </c>
      <c r="K1453" s="9" t="e">
        <f>J1453+#REF!</f>
        <v>#REF!</v>
      </c>
      <c r="L1453" s="10" t="s">
        <v>41</v>
      </c>
      <c r="M1453" s="11">
        <v>44879.144270833334</v>
      </c>
      <c r="N1453" s="5" t="s">
        <v>42</v>
      </c>
      <c r="O1453" s="5" t="s">
        <v>73</v>
      </c>
      <c r="P1453" s="9"/>
      <c r="Q1453" s="5"/>
      <c r="R1453" s="5"/>
      <c r="S1453" s="5"/>
      <c r="T1453" s="9">
        <v>44880.144270833334</v>
      </c>
      <c r="U1453" s="5"/>
      <c r="V1453" s="5">
        <v>0</v>
      </c>
      <c r="W1453" s="5"/>
      <c r="X1453" s="5"/>
      <c r="Y1453" s="5"/>
      <c r="Z1453" s="5"/>
      <c r="AA1453" s="5" t="s">
        <v>44</v>
      </c>
      <c r="AC1453">
        <f t="shared" si="199"/>
        <v>5</v>
      </c>
      <c r="AD1453" t="str">
        <f t="shared" si="200"/>
        <v/>
      </c>
      <c r="AE1453">
        <f t="shared" si="201"/>
        <v>1</v>
      </c>
      <c r="AF1453" t="str">
        <f t="shared" si="202"/>
        <v/>
      </c>
      <c r="AG1453" t="str">
        <f t="shared" si="203"/>
        <v/>
      </c>
      <c r="AH1453">
        <f t="shared" si="204"/>
        <v>1</v>
      </c>
      <c r="AI1453" t="str">
        <f t="shared" si="205"/>
        <v/>
      </c>
      <c r="AJ1453" t="str">
        <f t="shared" si="206"/>
        <v/>
      </c>
    </row>
    <row r="1454" spans="1:36">
      <c r="A1454" s="5">
        <v>1677</v>
      </c>
      <c r="B1454" s="5" t="s">
        <v>1556</v>
      </c>
      <c r="C1454" s="5" t="s">
        <v>1540</v>
      </c>
      <c r="D1454" s="5" t="s">
        <v>1541</v>
      </c>
      <c r="E1454" s="5" t="s">
        <v>102</v>
      </c>
      <c r="F1454" s="5" t="str">
        <f t="shared" si="198"/>
        <v>Finance-Senior Manager</v>
      </c>
      <c r="G1454" s="5" t="s">
        <v>103</v>
      </c>
      <c r="H1454" s="9">
        <v>44870.144270833334</v>
      </c>
      <c r="I1454" s="9">
        <v>44871.144270833334</v>
      </c>
      <c r="J1454" s="9" t="e">
        <f>I1454+#REF!</f>
        <v>#REF!</v>
      </c>
      <c r="K1454" s="9" t="e">
        <f>J1454+#REF!</f>
        <v>#REF!</v>
      </c>
      <c r="L1454" s="10" t="s">
        <v>41</v>
      </c>
      <c r="M1454" s="11">
        <v>44885.144270833334</v>
      </c>
      <c r="N1454" s="5" t="s">
        <v>42</v>
      </c>
      <c r="O1454" s="5" t="s">
        <v>43</v>
      </c>
      <c r="P1454" s="9"/>
      <c r="Q1454" s="5"/>
      <c r="R1454" s="5"/>
      <c r="S1454" s="5"/>
      <c r="T1454" s="9">
        <v>44887.144270833334</v>
      </c>
      <c r="U1454" s="5"/>
      <c r="V1454" s="5">
        <v>0</v>
      </c>
      <c r="W1454" s="5"/>
      <c r="X1454" s="5"/>
      <c r="Y1454" s="5"/>
      <c r="Z1454" s="5"/>
      <c r="AA1454" s="5" t="s">
        <v>44</v>
      </c>
      <c r="AC1454">
        <f t="shared" si="199"/>
        <v>14</v>
      </c>
      <c r="AD1454" t="str">
        <f t="shared" si="200"/>
        <v/>
      </c>
      <c r="AE1454">
        <f t="shared" si="201"/>
        <v>2</v>
      </c>
      <c r="AF1454" t="str">
        <f t="shared" si="202"/>
        <v/>
      </c>
      <c r="AG1454" t="str">
        <f t="shared" si="203"/>
        <v/>
      </c>
      <c r="AH1454">
        <f t="shared" si="204"/>
        <v>1</v>
      </c>
      <c r="AI1454" t="str">
        <f t="shared" si="205"/>
        <v/>
      </c>
      <c r="AJ1454" t="str">
        <f t="shared" si="206"/>
        <v/>
      </c>
    </row>
    <row r="1455" spans="1:36">
      <c r="A1455" s="5">
        <v>1678</v>
      </c>
      <c r="B1455" s="5" t="s">
        <v>1632</v>
      </c>
      <c r="C1455" s="5" t="s">
        <v>1540</v>
      </c>
      <c r="D1455" s="5" t="s">
        <v>1588</v>
      </c>
      <c r="E1455" s="5" t="s">
        <v>1360</v>
      </c>
      <c r="F1455" s="5" t="str">
        <f t="shared" si="198"/>
        <v>Finance-Fund Administrator</v>
      </c>
      <c r="G1455" s="5" t="s">
        <v>147</v>
      </c>
      <c r="H1455" s="9">
        <v>44869.144270833334</v>
      </c>
      <c r="I1455" s="9">
        <v>44872.144270833334</v>
      </c>
      <c r="J1455" s="9" t="e">
        <f>I1455+#REF!</f>
        <v>#REF!</v>
      </c>
      <c r="K1455" s="9" t="e">
        <f>J1455+#REF!</f>
        <v>#REF!</v>
      </c>
      <c r="L1455" s="10" t="s">
        <v>41</v>
      </c>
      <c r="M1455" s="11">
        <v>44884.144270833334</v>
      </c>
      <c r="N1455" s="5" t="s">
        <v>42</v>
      </c>
      <c r="O1455" s="5" t="s">
        <v>73</v>
      </c>
      <c r="P1455" s="9"/>
      <c r="Q1455" s="5"/>
      <c r="R1455" s="5"/>
      <c r="S1455" s="5"/>
      <c r="T1455" s="9"/>
      <c r="U1455" s="5"/>
      <c r="V1455" s="5">
        <v>0</v>
      </c>
      <c r="W1455" s="5"/>
      <c r="X1455" s="5"/>
      <c r="Y1455" s="5"/>
      <c r="Z1455" s="5"/>
      <c r="AA1455" s="5" t="s">
        <v>62</v>
      </c>
      <c r="AC1455">
        <f t="shared" si="199"/>
        <v>12</v>
      </c>
      <c r="AD1455" t="str">
        <f t="shared" si="200"/>
        <v/>
      </c>
      <c r="AE1455" t="str">
        <f t="shared" si="201"/>
        <v/>
      </c>
      <c r="AF1455" t="str">
        <f t="shared" si="202"/>
        <v/>
      </c>
      <c r="AG1455" t="str">
        <f t="shared" si="203"/>
        <v/>
      </c>
      <c r="AH1455">
        <f t="shared" si="204"/>
        <v>3</v>
      </c>
      <c r="AI1455" t="str">
        <f t="shared" si="205"/>
        <v/>
      </c>
      <c r="AJ1455" t="str">
        <f t="shared" si="206"/>
        <v/>
      </c>
    </row>
    <row r="1456" spans="1:36">
      <c r="A1456" s="5">
        <v>1681</v>
      </c>
      <c r="B1456" s="5" t="s">
        <v>320</v>
      </c>
      <c r="C1456" s="5" t="s">
        <v>100</v>
      </c>
      <c r="D1456" s="5" t="s">
        <v>268</v>
      </c>
      <c r="E1456" s="5" t="s">
        <v>291</v>
      </c>
      <c r="F1456" s="5" t="str">
        <f t="shared" si="198"/>
        <v>Program Office-Cordination Manager</v>
      </c>
      <c r="G1456" s="5" t="s">
        <v>270</v>
      </c>
      <c r="H1456" s="9">
        <v>44664.28056712963</v>
      </c>
      <c r="I1456" s="9">
        <v>44665.28056712963</v>
      </c>
      <c r="J1456" s="9" t="e">
        <f>I1456+#REF!</f>
        <v>#REF!</v>
      </c>
      <c r="K1456" s="9" t="e">
        <f>J1456+#REF!</f>
        <v>#REF!</v>
      </c>
      <c r="L1456" s="10" t="s">
        <v>41</v>
      </c>
      <c r="M1456" s="11">
        <v>44677.28056712963</v>
      </c>
      <c r="N1456" s="5" t="s">
        <v>42</v>
      </c>
      <c r="O1456" s="5" t="s">
        <v>73</v>
      </c>
      <c r="P1456" s="9"/>
      <c r="Q1456" s="5"/>
      <c r="R1456" s="5"/>
      <c r="S1456" s="5"/>
      <c r="T1456" s="9">
        <v>44678.28056712963</v>
      </c>
      <c r="U1456" s="5"/>
      <c r="V1456" s="5">
        <v>0</v>
      </c>
      <c r="W1456" s="5"/>
      <c r="X1456" s="5"/>
      <c r="Y1456" s="5"/>
      <c r="Z1456" s="5"/>
      <c r="AA1456" s="5" t="s">
        <v>62</v>
      </c>
      <c r="AC1456">
        <f t="shared" si="199"/>
        <v>12</v>
      </c>
      <c r="AD1456" t="str">
        <f t="shared" si="200"/>
        <v/>
      </c>
      <c r="AE1456">
        <f t="shared" si="201"/>
        <v>1</v>
      </c>
      <c r="AF1456" t="str">
        <f t="shared" si="202"/>
        <v/>
      </c>
      <c r="AG1456" t="str">
        <f t="shared" si="203"/>
        <v/>
      </c>
      <c r="AH1456">
        <f t="shared" si="204"/>
        <v>1</v>
      </c>
      <c r="AI1456" t="str">
        <f t="shared" si="205"/>
        <v/>
      </c>
      <c r="AJ1456" t="str">
        <f t="shared" si="206"/>
        <v/>
      </c>
    </row>
    <row r="1457" spans="1:36">
      <c r="A1457" s="5">
        <v>1685</v>
      </c>
      <c r="B1457" s="5" t="s">
        <v>616</v>
      </c>
      <c r="C1457" s="5" t="s">
        <v>100</v>
      </c>
      <c r="D1457" s="5" t="s">
        <v>554</v>
      </c>
      <c r="E1457" s="5" t="s">
        <v>597</v>
      </c>
      <c r="F1457" s="5" t="str">
        <f t="shared" si="198"/>
        <v>Program Office-Business Partner</v>
      </c>
      <c r="G1457" s="5" t="s">
        <v>47</v>
      </c>
      <c r="H1457" s="9">
        <v>44664.28056712963</v>
      </c>
      <c r="I1457" s="9">
        <v>44665.28056712963</v>
      </c>
      <c r="J1457" s="9" t="e">
        <f>I1457+#REF!</f>
        <v>#REF!</v>
      </c>
      <c r="K1457" s="9" t="e">
        <f>J1457+#REF!</f>
        <v>#REF!</v>
      </c>
      <c r="L1457" s="10" t="s">
        <v>41</v>
      </c>
      <c r="M1457" s="11">
        <v>44669.28056712963</v>
      </c>
      <c r="N1457" s="5" t="s">
        <v>42</v>
      </c>
      <c r="O1457" s="5" t="s">
        <v>43</v>
      </c>
      <c r="P1457" s="9"/>
      <c r="Q1457" s="5"/>
      <c r="R1457" s="5"/>
      <c r="S1457" s="5"/>
      <c r="T1457" s="9"/>
      <c r="U1457" s="5"/>
      <c r="V1457" s="5">
        <v>0</v>
      </c>
      <c r="W1457" s="5"/>
      <c r="X1457" s="5"/>
      <c r="Y1457" s="5"/>
      <c r="Z1457" s="5"/>
      <c r="AA1457" s="5" t="s">
        <v>44</v>
      </c>
      <c r="AC1457">
        <f t="shared" si="199"/>
        <v>4</v>
      </c>
      <c r="AD1457" t="str">
        <f t="shared" si="200"/>
        <v/>
      </c>
      <c r="AE1457" t="str">
        <f t="shared" si="201"/>
        <v/>
      </c>
      <c r="AF1457" t="str">
        <f t="shared" si="202"/>
        <v/>
      </c>
      <c r="AG1457" t="str">
        <f t="shared" si="203"/>
        <v/>
      </c>
      <c r="AH1457">
        <f t="shared" si="204"/>
        <v>1</v>
      </c>
      <c r="AI1457" t="str">
        <f t="shared" si="205"/>
        <v/>
      </c>
      <c r="AJ1457" t="str">
        <f t="shared" si="206"/>
        <v/>
      </c>
    </row>
    <row r="1458" spans="1:36">
      <c r="A1458" s="5">
        <v>1687</v>
      </c>
      <c r="B1458" s="5" t="s">
        <v>124</v>
      </c>
      <c r="C1458" s="5" t="s">
        <v>100</v>
      </c>
      <c r="D1458" s="5" t="s">
        <v>101</v>
      </c>
      <c r="E1458" s="5" t="s">
        <v>102</v>
      </c>
      <c r="F1458" s="5" t="str">
        <f t="shared" si="198"/>
        <v>Program Office-Senior Manager</v>
      </c>
      <c r="G1458" s="5" t="s">
        <v>103</v>
      </c>
      <c r="H1458" s="9">
        <v>44663.28056712963</v>
      </c>
      <c r="I1458" s="9">
        <v>44665.28056712963</v>
      </c>
      <c r="J1458" s="9" t="e">
        <f>I1458+#REF!</f>
        <v>#REF!</v>
      </c>
      <c r="K1458" s="9" t="e">
        <f>J1458+#REF!</f>
        <v>#REF!</v>
      </c>
      <c r="L1458" s="10" t="s">
        <v>41</v>
      </c>
      <c r="M1458" s="11">
        <v>44673.28056712963</v>
      </c>
      <c r="N1458" s="5" t="s">
        <v>42</v>
      </c>
      <c r="O1458" s="5" t="s">
        <v>73</v>
      </c>
      <c r="P1458" s="9"/>
      <c r="Q1458" s="5"/>
      <c r="R1458" s="5"/>
      <c r="S1458" s="5"/>
      <c r="T1458" s="9"/>
      <c r="U1458" s="5"/>
      <c r="V1458" s="5">
        <v>0</v>
      </c>
      <c r="W1458" s="5"/>
      <c r="X1458" s="5"/>
      <c r="Y1458" s="5"/>
      <c r="Z1458" s="5"/>
      <c r="AA1458" s="5" t="s">
        <v>44</v>
      </c>
      <c r="AC1458">
        <f t="shared" si="199"/>
        <v>8</v>
      </c>
      <c r="AD1458" t="str">
        <f t="shared" si="200"/>
        <v/>
      </c>
      <c r="AE1458" t="str">
        <f t="shared" si="201"/>
        <v/>
      </c>
      <c r="AF1458" t="str">
        <f t="shared" si="202"/>
        <v/>
      </c>
      <c r="AG1458" t="str">
        <f t="shared" si="203"/>
        <v/>
      </c>
      <c r="AH1458">
        <f t="shared" si="204"/>
        <v>2</v>
      </c>
      <c r="AI1458" t="str">
        <f t="shared" si="205"/>
        <v/>
      </c>
      <c r="AJ1458" t="str">
        <f t="shared" si="206"/>
        <v/>
      </c>
    </row>
    <row r="1459" spans="1:36">
      <c r="A1459" s="5">
        <v>1688</v>
      </c>
      <c r="B1459" s="5" t="s">
        <v>441</v>
      </c>
      <c r="C1459" s="5" t="s">
        <v>100</v>
      </c>
      <c r="D1459" s="5" t="s">
        <v>387</v>
      </c>
      <c r="E1459" s="5" t="s">
        <v>388</v>
      </c>
      <c r="F1459" s="5" t="str">
        <f t="shared" si="198"/>
        <v>Program Office-Extension Officer</v>
      </c>
      <c r="G1459" s="5" t="s">
        <v>40</v>
      </c>
      <c r="H1459" s="9">
        <v>44660.28056712963</v>
      </c>
      <c r="I1459" s="9">
        <v>44663.28056712963</v>
      </c>
      <c r="J1459" s="9" t="e">
        <f>I1459+#REF!</f>
        <v>#REF!</v>
      </c>
      <c r="K1459" s="9" t="e">
        <f>J1459+#REF!</f>
        <v>#REF!</v>
      </c>
      <c r="L1459" s="10" t="s">
        <v>41</v>
      </c>
      <c r="M1459" s="11">
        <v>44670.28056712963</v>
      </c>
      <c r="N1459" s="5" t="s">
        <v>42</v>
      </c>
      <c r="O1459" s="5" t="s">
        <v>73</v>
      </c>
      <c r="P1459" s="9"/>
      <c r="Q1459" s="5"/>
      <c r="R1459" s="5"/>
      <c r="S1459" s="5"/>
      <c r="T1459" s="9">
        <v>44672.28056712963</v>
      </c>
      <c r="U1459" s="5"/>
      <c r="V1459" s="5">
        <v>0</v>
      </c>
      <c r="W1459" s="5"/>
      <c r="X1459" s="5"/>
      <c r="Y1459" s="5"/>
      <c r="Z1459" s="5"/>
      <c r="AA1459" s="5" t="s">
        <v>44</v>
      </c>
      <c r="AC1459">
        <f t="shared" si="199"/>
        <v>7</v>
      </c>
      <c r="AD1459" t="str">
        <f t="shared" si="200"/>
        <v/>
      </c>
      <c r="AE1459">
        <f t="shared" si="201"/>
        <v>2</v>
      </c>
      <c r="AF1459" t="str">
        <f t="shared" si="202"/>
        <v/>
      </c>
      <c r="AG1459" t="str">
        <f t="shared" si="203"/>
        <v/>
      </c>
      <c r="AH1459">
        <f t="shared" si="204"/>
        <v>3</v>
      </c>
      <c r="AI1459" t="str">
        <f t="shared" si="205"/>
        <v/>
      </c>
      <c r="AJ1459" t="str">
        <f t="shared" si="206"/>
        <v/>
      </c>
    </row>
    <row r="1460" spans="1:36">
      <c r="A1460" s="5">
        <v>1690</v>
      </c>
      <c r="B1460" s="5" t="s">
        <v>615</v>
      </c>
      <c r="C1460" s="5" t="s">
        <v>100</v>
      </c>
      <c r="D1460" s="5" t="s">
        <v>554</v>
      </c>
      <c r="E1460" s="5" t="s">
        <v>597</v>
      </c>
      <c r="F1460" s="5" t="str">
        <f t="shared" si="198"/>
        <v>Program Office-Business Partner</v>
      </c>
      <c r="G1460" s="5" t="s">
        <v>47</v>
      </c>
      <c r="H1460" s="9">
        <v>44658.28056712963</v>
      </c>
      <c r="I1460" s="9">
        <v>44660.28056712963</v>
      </c>
      <c r="J1460" s="9" t="e">
        <f>I1460+#REF!</f>
        <v>#REF!</v>
      </c>
      <c r="K1460" s="9" t="e">
        <f>J1460+#REF!</f>
        <v>#REF!</v>
      </c>
      <c r="L1460" s="10" t="s">
        <v>41</v>
      </c>
      <c r="M1460" s="11">
        <v>44671.28056712963</v>
      </c>
      <c r="N1460" s="5" t="s">
        <v>64</v>
      </c>
      <c r="O1460" s="5"/>
      <c r="P1460" s="9">
        <v>44678.28056712963</v>
      </c>
      <c r="Q1460" s="5" t="s">
        <v>64</v>
      </c>
      <c r="R1460" s="9">
        <v>44672.28056712963</v>
      </c>
      <c r="S1460" s="9">
        <v>44676.28056712963</v>
      </c>
      <c r="T1460" s="9">
        <v>44675.28056712963</v>
      </c>
      <c r="U1460" s="9">
        <v>44680.28056712963</v>
      </c>
      <c r="V1460" s="12">
        <v>1</v>
      </c>
      <c r="W1460" s="9">
        <v>44681.28056712963</v>
      </c>
      <c r="X1460" s="9">
        <v>44682.28056712963</v>
      </c>
      <c r="Y1460" s="9">
        <v>44683.28056712963</v>
      </c>
      <c r="Z1460" s="5"/>
      <c r="AA1460" s="5"/>
      <c r="AB1460" s="13">
        <v>44706.28056712963</v>
      </c>
      <c r="AC1460">
        <f t="shared" si="199"/>
        <v>11</v>
      </c>
      <c r="AD1460">
        <f t="shared" si="200"/>
        <v>16</v>
      </c>
      <c r="AE1460">
        <f t="shared" si="201"/>
        <v>4</v>
      </c>
      <c r="AF1460">
        <f t="shared" si="202"/>
        <v>2</v>
      </c>
      <c r="AG1460">
        <f t="shared" si="203"/>
        <v>1</v>
      </c>
      <c r="AH1460">
        <f t="shared" si="204"/>
        <v>2</v>
      </c>
      <c r="AI1460" t="str">
        <f t="shared" si="205"/>
        <v/>
      </c>
      <c r="AJ1460" t="str">
        <f t="shared" si="206"/>
        <v/>
      </c>
    </row>
    <row r="1461" spans="1:36">
      <c r="A1461" s="5">
        <v>1691</v>
      </c>
      <c r="B1461" s="5" t="s">
        <v>2461</v>
      </c>
      <c r="C1461" s="5" t="s">
        <v>2229</v>
      </c>
      <c r="D1461" s="5" t="s">
        <v>2445</v>
      </c>
      <c r="E1461" s="5" t="s">
        <v>388</v>
      </c>
      <c r="F1461" s="5" t="str">
        <f t="shared" si="198"/>
        <v>Capacity Building-Extension Officer</v>
      </c>
      <c r="G1461" s="5" t="s">
        <v>47</v>
      </c>
      <c r="H1461" s="9">
        <v>44979.764687499999</v>
      </c>
      <c r="I1461" s="9">
        <v>44983.764687499999</v>
      </c>
      <c r="J1461" s="9" t="e">
        <f>I1461+#REF!</f>
        <v>#REF!</v>
      </c>
      <c r="K1461" s="9" t="e">
        <f>J1461+#REF!</f>
        <v>#REF!</v>
      </c>
      <c r="L1461" s="10" t="s">
        <v>52</v>
      </c>
      <c r="M1461" s="11"/>
      <c r="N1461" s="5"/>
      <c r="O1461" s="5"/>
      <c r="P1461" s="9"/>
      <c r="Q1461" s="5"/>
      <c r="R1461" s="5"/>
      <c r="S1461" s="5"/>
      <c r="T1461" s="9"/>
      <c r="U1461" s="5"/>
      <c r="V1461" s="5">
        <v>0</v>
      </c>
      <c r="W1461" s="5"/>
      <c r="X1461" s="5"/>
      <c r="Y1461" s="5"/>
      <c r="Z1461" s="5"/>
      <c r="AA1461" s="5"/>
      <c r="AC1461" t="str">
        <f t="shared" si="199"/>
        <v/>
      </c>
      <c r="AD1461" t="str">
        <f t="shared" si="200"/>
        <v/>
      </c>
      <c r="AE1461" t="str">
        <f t="shared" si="201"/>
        <v/>
      </c>
      <c r="AF1461" t="str">
        <f t="shared" si="202"/>
        <v/>
      </c>
      <c r="AG1461" t="str">
        <f t="shared" si="203"/>
        <v/>
      </c>
      <c r="AH1461">
        <f t="shared" si="204"/>
        <v>4</v>
      </c>
      <c r="AI1461" t="str">
        <f t="shared" si="205"/>
        <v/>
      </c>
      <c r="AJ1461" t="str">
        <f t="shared" si="206"/>
        <v/>
      </c>
    </row>
    <row r="1462" spans="1:36">
      <c r="A1462" s="5">
        <v>1692</v>
      </c>
      <c r="B1462" s="5" t="s">
        <v>1342</v>
      </c>
      <c r="C1462" s="5" t="s">
        <v>1332</v>
      </c>
      <c r="D1462" s="5" t="s">
        <v>1333</v>
      </c>
      <c r="E1462" s="5" t="s">
        <v>102</v>
      </c>
      <c r="F1462" s="5" t="str">
        <f t="shared" si="198"/>
        <v>Fundraising-Senior Manager</v>
      </c>
      <c r="G1462" s="5" t="s">
        <v>103</v>
      </c>
      <c r="H1462" s="9">
        <v>44980.764687499999</v>
      </c>
      <c r="I1462" s="9">
        <v>44983.764687499999</v>
      </c>
      <c r="J1462" s="9" t="e">
        <f>I1462+#REF!</f>
        <v>#REF!</v>
      </c>
      <c r="K1462" s="9" t="e">
        <f>J1462+#REF!</f>
        <v>#REF!</v>
      </c>
      <c r="L1462" s="10" t="s">
        <v>41</v>
      </c>
      <c r="M1462" s="11">
        <v>44995.764687499999</v>
      </c>
      <c r="N1462" s="5" t="s">
        <v>42</v>
      </c>
      <c r="O1462" s="5" t="s">
        <v>113</v>
      </c>
      <c r="P1462" s="9"/>
      <c r="Q1462" s="5"/>
      <c r="R1462" s="5"/>
      <c r="S1462" s="5"/>
      <c r="T1462" s="9">
        <v>44996.764687499999</v>
      </c>
      <c r="U1462" s="5"/>
      <c r="V1462" s="5">
        <v>0</v>
      </c>
      <c r="W1462" s="5"/>
      <c r="X1462" s="5"/>
      <c r="Y1462" s="5"/>
      <c r="Z1462" s="5"/>
      <c r="AA1462" s="5" t="s">
        <v>62</v>
      </c>
      <c r="AC1462">
        <f t="shared" si="199"/>
        <v>12</v>
      </c>
      <c r="AD1462" t="str">
        <f t="shared" si="200"/>
        <v/>
      </c>
      <c r="AE1462">
        <f t="shared" si="201"/>
        <v>1</v>
      </c>
      <c r="AF1462" t="str">
        <f t="shared" si="202"/>
        <v/>
      </c>
      <c r="AG1462" t="str">
        <f t="shared" si="203"/>
        <v/>
      </c>
      <c r="AH1462">
        <f t="shared" si="204"/>
        <v>3</v>
      </c>
      <c r="AI1462" t="str">
        <f t="shared" si="205"/>
        <v/>
      </c>
      <c r="AJ1462" t="str">
        <f t="shared" si="206"/>
        <v/>
      </c>
    </row>
    <row r="1463" spans="1:36">
      <c r="A1463" s="5">
        <v>1693</v>
      </c>
      <c r="B1463" s="5" t="s">
        <v>2261</v>
      </c>
      <c r="C1463" s="5" t="s">
        <v>2229</v>
      </c>
      <c r="D1463" s="5" t="s">
        <v>2250</v>
      </c>
      <c r="E1463" s="5" t="s">
        <v>388</v>
      </c>
      <c r="F1463" s="5" t="str">
        <f t="shared" si="198"/>
        <v>Capacity Building-Extension Officer</v>
      </c>
      <c r="G1463" s="5" t="s">
        <v>147</v>
      </c>
      <c r="H1463" s="9">
        <v>44980.764687499999</v>
      </c>
      <c r="I1463" s="9">
        <v>44984.764687499999</v>
      </c>
      <c r="J1463" s="9" t="e">
        <f>I1463+#REF!</f>
        <v>#REF!</v>
      </c>
      <c r="K1463" s="9" t="e">
        <f>J1463+#REF!</f>
        <v>#REF!</v>
      </c>
      <c r="L1463" s="10" t="s">
        <v>52</v>
      </c>
      <c r="M1463" s="11"/>
      <c r="N1463" s="5"/>
      <c r="O1463" s="5"/>
      <c r="P1463" s="9"/>
      <c r="Q1463" s="5"/>
      <c r="R1463" s="5"/>
      <c r="S1463" s="5"/>
      <c r="T1463" s="9"/>
      <c r="U1463" s="5"/>
      <c r="V1463" s="5">
        <v>0</v>
      </c>
      <c r="W1463" s="5"/>
      <c r="X1463" s="5"/>
      <c r="Y1463" s="5"/>
      <c r="Z1463" s="5"/>
      <c r="AA1463" s="5"/>
      <c r="AC1463" t="str">
        <f t="shared" si="199"/>
        <v/>
      </c>
      <c r="AD1463" t="str">
        <f t="shared" si="200"/>
        <v/>
      </c>
      <c r="AE1463" t="str">
        <f t="shared" si="201"/>
        <v/>
      </c>
      <c r="AF1463" t="str">
        <f t="shared" si="202"/>
        <v/>
      </c>
      <c r="AG1463" t="str">
        <f t="shared" si="203"/>
        <v/>
      </c>
      <c r="AH1463">
        <f t="shared" si="204"/>
        <v>4</v>
      </c>
      <c r="AI1463" t="str">
        <f t="shared" si="205"/>
        <v/>
      </c>
      <c r="AJ1463" t="str">
        <f t="shared" si="206"/>
        <v/>
      </c>
    </row>
    <row r="1464" spans="1:36">
      <c r="A1464" s="5">
        <v>1695</v>
      </c>
      <c r="B1464" s="5" t="s">
        <v>1524</v>
      </c>
      <c r="C1464" s="5" t="s">
        <v>1332</v>
      </c>
      <c r="D1464" s="5" t="s">
        <v>1500</v>
      </c>
      <c r="E1464" s="5" t="s">
        <v>815</v>
      </c>
      <c r="F1464" s="5" t="str">
        <f t="shared" si="198"/>
        <v>Fundraising-Auditor</v>
      </c>
      <c r="G1464" s="5" t="s">
        <v>47</v>
      </c>
      <c r="H1464" s="9">
        <v>44981.764687499999</v>
      </c>
      <c r="I1464" s="9">
        <v>44983.764687499999</v>
      </c>
      <c r="J1464" s="9" t="e">
        <f>I1464+#REF!</f>
        <v>#REF!</v>
      </c>
      <c r="K1464" s="9" t="e">
        <f>J1464+#REF!</f>
        <v>#REF!</v>
      </c>
      <c r="L1464" s="10" t="s">
        <v>41</v>
      </c>
      <c r="M1464" s="11">
        <v>45001.764687499999</v>
      </c>
      <c r="N1464" s="5" t="s">
        <v>42</v>
      </c>
      <c r="O1464" s="5" t="s">
        <v>58</v>
      </c>
      <c r="P1464" s="9"/>
      <c r="Q1464" s="5"/>
      <c r="R1464" s="5"/>
      <c r="S1464" s="5"/>
      <c r="T1464" s="9"/>
      <c r="U1464" s="5"/>
      <c r="V1464" s="5">
        <v>0</v>
      </c>
      <c r="W1464" s="5"/>
      <c r="X1464" s="5"/>
      <c r="Y1464" s="5"/>
      <c r="Z1464" s="5"/>
      <c r="AA1464" s="5" t="s">
        <v>62</v>
      </c>
      <c r="AC1464">
        <f t="shared" si="199"/>
        <v>18</v>
      </c>
      <c r="AD1464" t="str">
        <f t="shared" si="200"/>
        <v/>
      </c>
      <c r="AE1464" t="str">
        <f t="shared" si="201"/>
        <v/>
      </c>
      <c r="AF1464" t="str">
        <f t="shared" si="202"/>
        <v/>
      </c>
      <c r="AG1464" t="str">
        <f t="shared" si="203"/>
        <v/>
      </c>
      <c r="AH1464">
        <f t="shared" si="204"/>
        <v>2</v>
      </c>
      <c r="AI1464" t="str">
        <f t="shared" si="205"/>
        <v/>
      </c>
      <c r="AJ1464" t="str">
        <f t="shared" si="206"/>
        <v/>
      </c>
    </row>
    <row r="1465" spans="1:36">
      <c r="A1465" s="5">
        <v>1696</v>
      </c>
      <c r="B1465" s="5" t="s">
        <v>1523</v>
      </c>
      <c r="C1465" s="5" t="s">
        <v>1332</v>
      </c>
      <c r="D1465" s="5" t="s">
        <v>1500</v>
      </c>
      <c r="E1465" s="5" t="s">
        <v>815</v>
      </c>
      <c r="F1465" s="5" t="str">
        <f t="shared" si="198"/>
        <v>Fundraising-Auditor</v>
      </c>
      <c r="G1465" s="5" t="s">
        <v>47</v>
      </c>
      <c r="H1465" s="9">
        <v>44985.764687499999</v>
      </c>
      <c r="I1465" s="9">
        <v>44987.764687499999</v>
      </c>
      <c r="J1465" s="9" t="e">
        <f>I1465+#REF!</f>
        <v>#REF!</v>
      </c>
      <c r="K1465" s="9" t="e">
        <f>J1465+#REF!</f>
        <v>#REF!</v>
      </c>
      <c r="L1465" s="10" t="s">
        <v>41</v>
      </c>
      <c r="M1465" s="11">
        <v>45005.764687499999</v>
      </c>
      <c r="N1465" s="5" t="s">
        <v>42</v>
      </c>
      <c r="O1465" s="5" t="s">
        <v>43</v>
      </c>
      <c r="P1465" s="9"/>
      <c r="Q1465" s="5"/>
      <c r="R1465" s="5"/>
      <c r="S1465" s="5"/>
      <c r="T1465" s="9"/>
      <c r="U1465" s="5"/>
      <c r="V1465" s="5">
        <v>0</v>
      </c>
      <c r="W1465" s="5"/>
      <c r="X1465" s="5"/>
      <c r="Y1465" s="5"/>
      <c r="Z1465" s="5"/>
      <c r="AA1465" s="5" t="s">
        <v>62</v>
      </c>
      <c r="AC1465">
        <f t="shared" si="199"/>
        <v>18</v>
      </c>
      <c r="AD1465" t="str">
        <f t="shared" si="200"/>
        <v/>
      </c>
      <c r="AE1465" t="str">
        <f t="shared" si="201"/>
        <v/>
      </c>
      <c r="AF1465" t="str">
        <f t="shared" si="202"/>
        <v/>
      </c>
      <c r="AG1465" t="str">
        <f t="shared" si="203"/>
        <v/>
      </c>
      <c r="AH1465">
        <f t="shared" si="204"/>
        <v>2</v>
      </c>
      <c r="AI1465" t="str">
        <f t="shared" si="205"/>
        <v/>
      </c>
      <c r="AJ1465" t="str">
        <f t="shared" si="206"/>
        <v/>
      </c>
    </row>
    <row r="1466" spans="1:36">
      <c r="A1466" s="5">
        <v>1698</v>
      </c>
      <c r="B1466" s="5" t="s">
        <v>1392</v>
      </c>
      <c r="C1466" s="5" t="s">
        <v>1332</v>
      </c>
      <c r="D1466" s="5" t="s">
        <v>1359</v>
      </c>
      <c r="E1466" s="5" t="s">
        <v>1360</v>
      </c>
      <c r="F1466" s="5" t="str">
        <f t="shared" si="198"/>
        <v>Fundraising-Fund Administrator</v>
      </c>
      <c r="G1466" s="5" t="s">
        <v>147</v>
      </c>
      <c r="H1466" s="9">
        <v>44985.764687499999</v>
      </c>
      <c r="I1466" s="9">
        <v>44988.764687499999</v>
      </c>
      <c r="J1466" s="9" t="e">
        <f>I1466+#REF!</f>
        <v>#REF!</v>
      </c>
      <c r="K1466" s="9" t="e">
        <f>J1466+#REF!</f>
        <v>#REF!</v>
      </c>
      <c r="L1466" s="10" t="s">
        <v>41</v>
      </c>
      <c r="M1466" s="11">
        <v>44994.764687499999</v>
      </c>
      <c r="N1466" s="5" t="s">
        <v>42</v>
      </c>
      <c r="O1466" s="5" t="s">
        <v>43</v>
      </c>
      <c r="P1466" s="9"/>
      <c r="Q1466" s="5"/>
      <c r="R1466" s="5"/>
      <c r="S1466" s="5"/>
      <c r="T1466" s="9"/>
      <c r="U1466" s="5"/>
      <c r="V1466" s="5">
        <v>0</v>
      </c>
      <c r="W1466" s="5"/>
      <c r="X1466" s="5"/>
      <c r="Y1466" s="5"/>
      <c r="Z1466" s="5"/>
      <c r="AA1466" s="5" t="s">
        <v>62</v>
      </c>
      <c r="AC1466">
        <f t="shared" si="199"/>
        <v>6</v>
      </c>
      <c r="AD1466" t="str">
        <f t="shared" si="200"/>
        <v/>
      </c>
      <c r="AE1466" t="str">
        <f t="shared" si="201"/>
        <v/>
      </c>
      <c r="AF1466" t="str">
        <f t="shared" si="202"/>
        <v/>
      </c>
      <c r="AG1466" t="str">
        <f t="shared" si="203"/>
        <v/>
      </c>
      <c r="AH1466">
        <f t="shared" si="204"/>
        <v>3</v>
      </c>
      <c r="AI1466" t="str">
        <f t="shared" si="205"/>
        <v/>
      </c>
      <c r="AJ1466" t="str">
        <f t="shared" si="206"/>
        <v/>
      </c>
    </row>
    <row r="1467" spans="1:36">
      <c r="A1467" s="5">
        <v>1700</v>
      </c>
      <c r="B1467" s="5" t="s">
        <v>1486</v>
      </c>
      <c r="C1467" s="5" t="s">
        <v>1332</v>
      </c>
      <c r="D1467" s="5" t="s">
        <v>1448</v>
      </c>
      <c r="E1467" s="5" t="s">
        <v>1484</v>
      </c>
      <c r="F1467" s="5" t="str">
        <f t="shared" si="198"/>
        <v>Fundraising-Review Associate</v>
      </c>
      <c r="G1467" s="5" t="s">
        <v>40</v>
      </c>
      <c r="H1467" s="9">
        <v>44985.764687499999</v>
      </c>
      <c r="I1467" s="9">
        <v>44988.764687499999</v>
      </c>
      <c r="J1467" s="9" t="e">
        <f>I1467+#REF!</f>
        <v>#REF!</v>
      </c>
      <c r="K1467" s="9" t="e">
        <f>J1467+#REF!</f>
        <v>#REF!</v>
      </c>
      <c r="L1467" s="10" t="s">
        <v>41</v>
      </c>
      <c r="M1467" s="11">
        <v>44998.764687499999</v>
      </c>
      <c r="N1467" s="5" t="s">
        <v>42</v>
      </c>
      <c r="O1467" s="5" t="s">
        <v>58</v>
      </c>
      <c r="P1467" s="9"/>
      <c r="Q1467" s="5"/>
      <c r="R1467" s="5"/>
      <c r="S1467" s="5"/>
      <c r="T1467" s="9">
        <v>44999.764687499999</v>
      </c>
      <c r="U1467" s="5"/>
      <c r="V1467" s="5">
        <v>0</v>
      </c>
      <c r="W1467" s="5"/>
      <c r="X1467" s="5"/>
      <c r="Y1467" s="5"/>
      <c r="Z1467" s="5"/>
      <c r="AA1467" s="5" t="s">
        <v>44</v>
      </c>
      <c r="AC1467">
        <f t="shared" si="199"/>
        <v>10</v>
      </c>
      <c r="AD1467" t="str">
        <f t="shared" si="200"/>
        <v/>
      </c>
      <c r="AE1467">
        <f t="shared" si="201"/>
        <v>1</v>
      </c>
      <c r="AF1467" t="str">
        <f t="shared" si="202"/>
        <v/>
      </c>
      <c r="AG1467" t="str">
        <f t="shared" si="203"/>
        <v/>
      </c>
      <c r="AH1467">
        <f t="shared" si="204"/>
        <v>3</v>
      </c>
      <c r="AI1467" t="str">
        <f t="shared" si="205"/>
        <v/>
      </c>
      <c r="AJ1467" t="str">
        <f t="shared" si="206"/>
        <v/>
      </c>
    </row>
    <row r="1468" spans="1:36">
      <c r="A1468" s="5">
        <v>1701</v>
      </c>
      <c r="B1468" s="5" t="s">
        <v>1631</v>
      </c>
      <c r="C1468" s="5" t="s">
        <v>1540</v>
      </c>
      <c r="D1468" s="5" t="s">
        <v>1588</v>
      </c>
      <c r="E1468" s="5" t="s">
        <v>1360</v>
      </c>
      <c r="F1468" s="5" t="str">
        <f t="shared" si="198"/>
        <v>Finance-Fund Administrator</v>
      </c>
      <c r="G1468" s="5" t="s">
        <v>147</v>
      </c>
      <c r="H1468" s="9">
        <v>44985.751342592594</v>
      </c>
      <c r="I1468" s="9">
        <v>44988.751342592594</v>
      </c>
      <c r="J1468" s="9" t="e">
        <f>I1468+#REF!</f>
        <v>#REF!</v>
      </c>
      <c r="K1468" s="9" t="e">
        <f>J1468+#REF!</f>
        <v>#REF!</v>
      </c>
      <c r="L1468" s="10" t="s">
        <v>41</v>
      </c>
      <c r="M1468" s="11">
        <v>45012.751342592594</v>
      </c>
      <c r="N1468" s="5" t="s">
        <v>48</v>
      </c>
      <c r="O1468" s="5"/>
      <c r="P1468" s="9">
        <v>45016.751342592594</v>
      </c>
      <c r="Q1468" s="5" t="s">
        <v>48</v>
      </c>
      <c r="R1468" s="5"/>
      <c r="S1468" s="5"/>
      <c r="T1468" s="9">
        <v>45013.751342592594</v>
      </c>
      <c r="U1468" s="5"/>
      <c r="V1468" s="5">
        <v>0</v>
      </c>
      <c r="W1468" s="5"/>
      <c r="X1468" s="5"/>
      <c r="Y1468" s="5"/>
      <c r="Z1468" s="5"/>
      <c r="AA1468" s="5"/>
      <c r="AC1468">
        <f t="shared" si="199"/>
        <v>24</v>
      </c>
      <c r="AD1468" t="str">
        <f t="shared" si="200"/>
        <v/>
      </c>
      <c r="AE1468">
        <f t="shared" si="201"/>
        <v>1</v>
      </c>
      <c r="AF1468" t="str">
        <f t="shared" si="202"/>
        <v/>
      </c>
      <c r="AG1468" t="str">
        <f t="shared" si="203"/>
        <v/>
      </c>
      <c r="AH1468">
        <f t="shared" si="204"/>
        <v>3</v>
      </c>
      <c r="AI1468" t="str">
        <f t="shared" si="205"/>
        <v/>
      </c>
      <c r="AJ1468" t="str">
        <f t="shared" si="206"/>
        <v/>
      </c>
    </row>
    <row r="1469" spans="1:36">
      <c r="A1469" s="5">
        <v>1702</v>
      </c>
      <c r="B1469" s="5" t="s">
        <v>1555</v>
      </c>
      <c r="C1469" s="5" t="s">
        <v>1540</v>
      </c>
      <c r="D1469" s="5" t="s">
        <v>1541</v>
      </c>
      <c r="E1469" s="5" t="s">
        <v>102</v>
      </c>
      <c r="F1469" s="5" t="str">
        <f t="shared" si="198"/>
        <v>Finance-Senior Manager</v>
      </c>
      <c r="G1469" s="5" t="s">
        <v>103</v>
      </c>
      <c r="H1469" s="9">
        <v>44984.751342592594</v>
      </c>
      <c r="I1469" s="9">
        <v>44988.751342592594</v>
      </c>
      <c r="J1469" s="9" t="e">
        <f>I1469+#REF!</f>
        <v>#REF!</v>
      </c>
      <c r="K1469" s="9" t="e">
        <f>J1469+#REF!</f>
        <v>#REF!</v>
      </c>
      <c r="L1469" s="10" t="s">
        <v>41</v>
      </c>
      <c r="M1469" s="11">
        <v>45007.751342592594</v>
      </c>
      <c r="N1469" s="5" t="s">
        <v>42</v>
      </c>
      <c r="O1469" s="5" t="s">
        <v>43</v>
      </c>
      <c r="P1469" s="9"/>
      <c r="Q1469" s="5"/>
      <c r="R1469" s="5"/>
      <c r="S1469" s="5"/>
      <c r="T1469" s="9"/>
      <c r="U1469" s="5"/>
      <c r="V1469" s="5">
        <v>0</v>
      </c>
      <c r="W1469" s="5"/>
      <c r="X1469" s="5"/>
      <c r="Y1469" s="5"/>
      <c r="Z1469" s="5"/>
      <c r="AA1469" s="5" t="s">
        <v>62</v>
      </c>
      <c r="AC1469">
        <f t="shared" si="199"/>
        <v>19</v>
      </c>
      <c r="AD1469" t="str">
        <f t="shared" si="200"/>
        <v/>
      </c>
      <c r="AE1469" t="str">
        <f t="shared" si="201"/>
        <v/>
      </c>
      <c r="AF1469" t="str">
        <f t="shared" si="202"/>
        <v/>
      </c>
      <c r="AG1469" t="str">
        <f t="shared" si="203"/>
        <v/>
      </c>
      <c r="AH1469">
        <f t="shared" si="204"/>
        <v>4</v>
      </c>
      <c r="AI1469" t="str">
        <f t="shared" si="205"/>
        <v/>
      </c>
      <c r="AJ1469" t="str">
        <f t="shared" si="206"/>
        <v/>
      </c>
    </row>
    <row r="1470" spans="1:36">
      <c r="A1470" s="5">
        <v>1703</v>
      </c>
      <c r="B1470" s="5" t="s">
        <v>1630</v>
      </c>
      <c r="C1470" s="5" t="s">
        <v>1540</v>
      </c>
      <c r="D1470" s="5" t="s">
        <v>1588</v>
      </c>
      <c r="E1470" s="5" t="s">
        <v>1360</v>
      </c>
      <c r="F1470" s="5" t="str">
        <f t="shared" si="198"/>
        <v>Finance-Fund Administrator</v>
      </c>
      <c r="G1470" s="5" t="s">
        <v>147</v>
      </c>
      <c r="H1470" s="9">
        <v>44988.751342592594</v>
      </c>
      <c r="I1470" s="9">
        <v>44992.751342592594</v>
      </c>
      <c r="J1470" s="9" t="e">
        <f>I1470+#REF!</f>
        <v>#REF!</v>
      </c>
      <c r="K1470" s="9" t="e">
        <f>J1470+#REF!</f>
        <v>#REF!</v>
      </c>
      <c r="L1470" s="10" t="s">
        <v>41</v>
      </c>
      <c r="M1470" s="11">
        <v>45004.751342592594</v>
      </c>
      <c r="N1470" s="5" t="s">
        <v>48</v>
      </c>
      <c r="O1470" s="5"/>
      <c r="P1470" s="9">
        <v>45010.751342592594</v>
      </c>
      <c r="Q1470" s="5" t="s">
        <v>48</v>
      </c>
      <c r="R1470" s="5"/>
      <c r="S1470" s="5"/>
      <c r="T1470" s="9">
        <v>45006.751342592594</v>
      </c>
      <c r="U1470" s="5"/>
      <c r="V1470" s="5">
        <v>0</v>
      </c>
      <c r="W1470" s="5"/>
      <c r="X1470" s="5"/>
      <c r="Y1470" s="5"/>
      <c r="Z1470" s="5"/>
      <c r="AA1470" s="5"/>
      <c r="AC1470">
        <f t="shared" si="199"/>
        <v>12</v>
      </c>
      <c r="AD1470" t="str">
        <f t="shared" si="200"/>
        <v/>
      </c>
      <c r="AE1470">
        <f t="shared" si="201"/>
        <v>2</v>
      </c>
      <c r="AF1470" t="str">
        <f t="shared" si="202"/>
        <v/>
      </c>
      <c r="AG1470" t="str">
        <f t="shared" si="203"/>
        <v/>
      </c>
      <c r="AH1470">
        <f t="shared" si="204"/>
        <v>4</v>
      </c>
      <c r="AI1470" t="str">
        <f t="shared" si="205"/>
        <v/>
      </c>
      <c r="AJ1470" t="str">
        <f t="shared" si="206"/>
        <v/>
      </c>
    </row>
    <row r="1471" spans="1:36">
      <c r="A1471" s="5">
        <v>1704</v>
      </c>
      <c r="B1471" s="5" t="s">
        <v>2020</v>
      </c>
      <c r="C1471" s="5" t="s">
        <v>1540</v>
      </c>
      <c r="D1471" s="5" t="s">
        <v>1985</v>
      </c>
      <c r="E1471" s="5" t="s">
        <v>1986</v>
      </c>
      <c r="F1471" s="5" t="str">
        <f t="shared" si="198"/>
        <v>Finance-Revenue Recorgnition</v>
      </c>
      <c r="G1471" s="5" t="s">
        <v>47</v>
      </c>
      <c r="H1471" s="9">
        <v>44987.751342592594</v>
      </c>
      <c r="I1471" s="9">
        <v>44988.751342592594</v>
      </c>
      <c r="J1471" s="9" t="e">
        <f>I1471+#REF!</f>
        <v>#REF!</v>
      </c>
      <c r="K1471" s="9" t="e">
        <f>J1471+#REF!</f>
        <v>#REF!</v>
      </c>
      <c r="L1471" s="10" t="s">
        <v>41</v>
      </c>
      <c r="M1471" s="11">
        <v>45006.751342592594</v>
      </c>
      <c r="N1471" s="5" t="s">
        <v>48</v>
      </c>
      <c r="O1471" s="5"/>
      <c r="P1471" s="9">
        <v>45012.751342592594</v>
      </c>
      <c r="Q1471" s="5" t="s">
        <v>48</v>
      </c>
      <c r="R1471" s="5"/>
      <c r="S1471" s="5"/>
      <c r="T1471" s="9">
        <v>45010.751342592594</v>
      </c>
      <c r="U1471" s="5"/>
      <c r="V1471" s="5">
        <v>0</v>
      </c>
      <c r="W1471" s="5"/>
      <c r="X1471" s="5"/>
      <c r="Y1471" s="5"/>
      <c r="Z1471" s="5"/>
      <c r="AA1471" s="5"/>
      <c r="AC1471">
        <f t="shared" si="199"/>
        <v>18</v>
      </c>
      <c r="AD1471" t="str">
        <f t="shared" si="200"/>
        <v/>
      </c>
      <c r="AE1471">
        <f t="shared" si="201"/>
        <v>4</v>
      </c>
      <c r="AF1471" t="str">
        <f t="shared" si="202"/>
        <v/>
      </c>
      <c r="AG1471" t="str">
        <f t="shared" si="203"/>
        <v/>
      </c>
      <c r="AH1471">
        <f t="shared" si="204"/>
        <v>1</v>
      </c>
      <c r="AI1471" t="str">
        <f t="shared" si="205"/>
        <v/>
      </c>
      <c r="AJ1471" t="str">
        <f t="shared" si="206"/>
        <v/>
      </c>
    </row>
    <row r="1472" spans="1:36">
      <c r="A1472" s="5">
        <v>1706</v>
      </c>
      <c r="B1472" s="5" t="s">
        <v>2019</v>
      </c>
      <c r="C1472" s="5" t="s">
        <v>1540</v>
      </c>
      <c r="D1472" s="5" t="s">
        <v>1985</v>
      </c>
      <c r="E1472" s="5" t="s">
        <v>1986</v>
      </c>
      <c r="F1472" s="5" t="str">
        <f t="shared" si="198"/>
        <v>Finance-Revenue Recorgnition</v>
      </c>
      <c r="G1472" s="5" t="s">
        <v>47</v>
      </c>
      <c r="H1472" s="9">
        <v>44986.751342592594</v>
      </c>
      <c r="I1472" s="9">
        <v>44990.751342592594</v>
      </c>
      <c r="J1472" s="9" t="e">
        <f>I1472+#REF!</f>
        <v>#REF!</v>
      </c>
      <c r="K1472" s="9" t="e">
        <f>J1472+#REF!</f>
        <v>#REF!</v>
      </c>
      <c r="L1472" s="10" t="s">
        <v>41</v>
      </c>
      <c r="M1472" s="11">
        <v>45010.751342592594</v>
      </c>
      <c r="N1472" s="5" t="s">
        <v>42</v>
      </c>
      <c r="O1472" s="5" t="s">
        <v>98</v>
      </c>
      <c r="P1472" s="9"/>
      <c r="Q1472" s="5"/>
      <c r="R1472" s="5"/>
      <c r="S1472" s="5"/>
      <c r="T1472" s="9">
        <v>45013.751342592594</v>
      </c>
      <c r="U1472" s="5"/>
      <c r="V1472" s="5">
        <v>0</v>
      </c>
      <c r="W1472" s="5"/>
      <c r="X1472" s="5"/>
      <c r="Y1472" s="5"/>
      <c r="Z1472" s="5"/>
      <c r="AA1472" s="5" t="s">
        <v>44</v>
      </c>
      <c r="AC1472">
        <f t="shared" si="199"/>
        <v>20</v>
      </c>
      <c r="AD1472" t="str">
        <f t="shared" si="200"/>
        <v/>
      </c>
      <c r="AE1472">
        <f t="shared" si="201"/>
        <v>3</v>
      </c>
      <c r="AF1472" t="str">
        <f t="shared" si="202"/>
        <v/>
      </c>
      <c r="AG1472" t="str">
        <f t="shared" si="203"/>
        <v/>
      </c>
      <c r="AH1472">
        <f t="shared" si="204"/>
        <v>4</v>
      </c>
      <c r="AI1472" t="str">
        <f t="shared" si="205"/>
        <v/>
      </c>
      <c r="AJ1472" t="str">
        <f t="shared" si="206"/>
        <v/>
      </c>
    </row>
    <row r="1473" spans="1:36">
      <c r="A1473" s="5">
        <v>1707</v>
      </c>
      <c r="B1473" s="5" t="s">
        <v>1869</v>
      </c>
      <c r="C1473" s="5" t="s">
        <v>1540</v>
      </c>
      <c r="D1473" s="5" t="s">
        <v>1820</v>
      </c>
      <c r="E1473" s="5" t="s">
        <v>1862</v>
      </c>
      <c r="F1473" s="5" t="str">
        <f t="shared" si="198"/>
        <v>Finance-Billing Officer</v>
      </c>
      <c r="G1473" s="5" t="s">
        <v>40</v>
      </c>
      <c r="H1473" s="9">
        <v>44989.751342592594</v>
      </c>
      <c r="I1473" s="9">
        <v>44993.751342592594</v>
      </c>
      <c r="J1473" s="9" t="e">
        <f>I1473+#REF!</f>
        <v>#REF!</v>
      </c>
      <c r="K1473" s="9" t="e">
        <f>J1473+#REF!</f>
        <v>#REF!</v>
      </c>
      <c r="L1473" s="10" t="s">
        <v>41</v>
      </c>
      <c r="M1473" s="11">
        <v>45010.751342592594</v>
      </c>
      <c r="N1473" s="5" t="s">
        <v>42</v>
      </c>
      <c r="O1473" s="5" t="s">
        <v>98</v>
      </c>
      <c r="P1473" s="9"/>
      <c r="Q1473" s="5"/>
      <c r="R1473" s="5"/>
      <c r="S1473" s="5"/>
      <c r="T1473" s="9">
        <v>45012.751342592594</v>
      </c>
      <c r="U1473" s="5"/>
      <c r="V1473" s="5">
        <v>0</v>
      </c>
      <c r="W1473" s="5"/>
      <c r="X1473" s="5"/>
      <c r="Y1473" s="5"/>
      <c r="Z1473" s="5"/>
      <c r="AA1473" s="5" t="s">
        <v>62</v>
      </c>
      <c r="AC1473">
        <f t="shared" si="199"/>
        <v>17</v>
      </c>
      <c r="AD1473" t="str">
        <f t="shared" si="200"/>
        <v/>
      </c>
      <c r="AE1473">
        <f t="shared" si="201"/>
        <v>2</v>
      </c>
      <c r="AF1473" t="str">
        <f t="shared" si="202"/>
        <v/>
      </c>
      <c r="AG1473" t="str">
        <f t="shared" si="203"/>
        <v/>
      </c>
      <c r="AH1473">
        <f t="shared" si="204"/>
        <v>4</v>
      </c>
      <c r="AI1473" t="str">
        <f t="shared" si="205"/>
        <v/>
      </c>
      <c r="AJ1473" t="str">
        <f t="shared" si="206"/>
        <v/>
      </c>
    </row>
    <row r="1474" spans="1:36">
      <c r="A1474" s="5">
        <v>1708</v>
      </c>
      <c r="B1474" s="5" t="s">
        <v>1629</v>
      </c>
      <c r="C1474" s="5" t="s">
        <v>1540</v>
      </c>
      <c r="D1474" s="5" t="s">
        <v>1588</v>
      </c>
      <c r="E1474" s="5" t="s">
        <v>1360</v>
      </c>
      <c r="F1474" s="5" t="str">
        <f t="shared" ref="F1474:F1537" si="207">_xlfn.CONCAT(C1474,"-",E1474)</f>
        <v>Finance-Fund Administrator</v>
      </c>
      <c r="G1474" s="5" t="s">
        <v>147</v>
      </c>
      <c r="H1474" s="9">
        <v>44988.751342592594</v>
      </c>
      <c r="I1474" s="9">
        <v>44992.751342592594</v>
      </c>
      <c r="J1474" s="9" t="e">
        <f>I1474+#REF!</f>
        <v>#REF!</v>
      </c>
      <c r="K1474" s="9" t="e">
        <f>J1474+#REF!</f>
        <v>#REF!</v>
      </c>
      <c r="L1474" s="10" t="s">
        <v>41</v>
      </c>
      <c r="M1474" s="11">
        <v>44998.751342592594</v>
      </c>
      <c r="N1474" s="5" t="s">
        <v>48</v>
      </c>
      <c r="O1474" s="5"/>
      <c r="P1474" s="9">
        <v>45003.751342592594</v>
      </c>
      <c r="Q1474" s="5" t="s">
        <v>48</v>
      </c>
      <c r="R1474" s="5"/>
      <c r="S1474" s="5"/>
      <c r="T1474" s="9">
        <v>44999.751342592594</v>
      </c>
      <c r="U1474" s="5"/>
      <c r="V1474" s="5">
        <v>0</v>
      </c>
      <c r="W1474" s="5"/>
      <c r="X1474" s="5"/>
      <c r="Y1474" s="5"/>
      <c r="Z1474" s="5"/>
      <c r="AA1474" s="5"/>
      <c r="AC1474">
        <f t="shared" ref="AC1474:AC1537" si="208">IF(AND(ISNUMBER(M1474), ISNUMBER(I1474)), M1474 - I1474, "")</f>
        <v>6</v>
      </c>
      <c r="AD1474" t="str">
        <f t="shared" si="200"/>
        <v/>
      </c>
      <c r="AE1474">
        <f t="shared" si="201"/>
        <v>1</v>
      </c>
      <c r="AF1474" t="str">
        <f t="shared" si="202"/>
        <v/>
      </c>
      <c r="AG1474" t="str">
        <f t="shared" si="203"/>
        <v/>
      </c>
      <c r="AH1474">
        <f t="shared" si="204"/>
        <v>4</v>
      </c>
      <c r="AI1474" t="str">
        <f t="shared" si="205"/>
        <v/>
      </c>
      <c r="AJ1474" t="str">
        <f t="shared" si="206"/>
        <v/>
      </c>
    </row>
    <row r="1475" spans="1:36">
      <c r="A1475" s="5">
        <v>1710</v>
      </c>
      <c r="B1475" s="5" t="s">
        <v>1750</v>
      </c>
      <c r="C1475" s="5" t="s">
        <v>1540</v>
      </c>
      <c r="D1475" s="5" t="s">
        <v>1706</v>
      </c>
      <c r="E1475" s="5" t="s">
        <v>269</v>
      </c>
      <c r="F1475" s="5" t="str">
        <f t="shared" si="207"/>
        <v>Finance-Manager</v>
      </c>
      <c r="G1475" s="5" t="s">
        <v>270</v>
      </c>
      <c r="H1475" s="9">
        <v>44985.751342592594</v>
      </c>
      <c r="I1475" s="9">
        <v>44988.751342592594</v>
      </c>
      <c r="J1475" s="9" t="e">
        <f>I1475+#REF!</f>
        <v>#REF!</v>
      </c>
      <c r="K1475" s="9" t="e">
        <f>J1475+#REF!</f>
        <v>#REF!</v>
      </c>
      <c r="L1475" s="10" t="s">
        <v>41</v>
      </c>
      <c r="M1475" s="11">
        <v>45002.751342592594</v>
      </c>
      <c r="N1475" s="5" t="s">
        <v>167</v>
      </c>
      <c r="O1475" s="5"/>
      <c r="P1475" s="9">
        <v>45008.751342592594</v>
      </c>
      <c r="Q1475" s="5" t="s">
        <v>167</v>
      </c>
      <c r="R1475" s="5"/>
      <c r="S1475" s="5"/>
      <c r="T1475" s="9">
        <v>45004.751342592594</v>
      </c>
      <c r="U1475" s="5"/>
      <c r="V1475" s="5">
        <v>0</v>
      </c>
      <c r="W1475" s="5"/>
      <c r="X1475" s="5"/>
      <c r="Y1475" s="5"/>
      <c r="Z1475" s="5"/>
      <c r="AA1475" s="5"/>
      <c r="AC1475">
        <f t="shared" si="208"/>
        <v>14</v>
      </c>
      <c r="AD1475" t="str">
        <f t="shared" ref="AD1475:AD1538" si="209">IF(AND(ISNUMBER(S1475), ISNUMBER(I1475)), S1475 - I1475, "")</f>
        <v/>
      </c>
      <c r="AE1475">
        <f t="shared" ref="AE1475:AE1538" si="210">IF(AND(ISNUMBER(T1475), ISNUMBER(M1475)), T1475-M1475, "")</f>
        <v>2</v>
      </c>
      <c r="AF1475" t="str">
        <f t="shared" ref="AF1475:AF1538" si="211">IF(AND(ISNUMBER(X1475), ISNUMBER(U1475)), X1475-U1475,"")</f>
        <v/>
      </c>
      <c r="AG1475" t="str">
        <f t="shared" ref="AG1475:AG1538" si="212">IF(AND(ISNUMBER(W1475), ISNUMBER(U1475)), W1475-U1475, "")</f>
        <v/>
      </c>
      <c r="AH1475">
        <f t="shared" ref="AH1475:AH1538" si="213">IF(AND(ISNUMBER(I1475), ISNUMBER(H1475)), I1475-H1475,"")</f>
        <v>3</v>
      </c>
      <c r="AI1475" t="str">
        <f t="shared" ref="AI1475:AI1538" si="214">IF(AND(ISNUMBER(J1475),ISNUMBER(K1475)),K1475-J1475,"")</f>
        <v/>
      </c>
      <c r="AJ1475" t="str">
        <f t="shared" ref="AJ1475:AJ1538" si="215">IF(AND(ISNUMBER(J1475),ISNUMBER(I1475)), J1475-I1475,"")</f>
        <v/>
      </c>
    </row>
    <row r="1476" spans="1:36">
      <c r="A1476" s="5">
        <v>1711</v>
      </c>
      <c r="B1476" s="5" t="s">
        <v>1391</v>
      </c>
      <c r="C1476" s="5" t="s">
        <v>1332</v>
      </c>
      <c r="D1476" s="5" t="s">
        <v>1359</v>
      </c>
      <c r="E1476" s="5" t="s">
        <v>1360</v>
      </c>
      <c r="F1476" s="5" t="str">
        <f t="shared" si="207"/>
        <v>Fundraising-Fund Administrator</v>
      </c>
      <c r="G1476" s="5" t="s">
        <v>147</v>
      </c>
      <c r="H1476" s="9">
        <v>44563.077685185184</v>
      </c>
      <c r="I1476" s="9">
        <v>44567.077685185184</v>
      </c>
      <c r="J1476" s="9" t="e">
        <f>I1476+#REF!</f>
        <v>#REF!</v>
      </c>
      <c r="K1476" s="9" t="e">
        <f>J1476+#REF!</f>
        <v>#REF!</v>
      </c>
      <c r="L1476" s="10" t="s">
        <v>41</v>
      </c>
      <c r="M1476" s="11">
        <v>44581.077685185184</v>
      </c>
      <c r="N1476" s="5" t="s">
        <v>48</v>
      </c>
      <c r="O1476" s="5"/>
      <c r="P1476" s="9">
        <v>44583.077685185184</v>
      </c>
      <c r="Q1476" s="5" t="s">
        <v>48</v>
      </c>
      <c r="R1476" s="5"/>
      <c r="S1476" s="5"/>
      <c r="T1476" s="9">
        <v>44582.077685185184</v>
      </c>
      <c r="U1476" s="5"/>
      <c r="V1476" s="5">
        <v>0</v>
      </c>
      <c r="W1476" s="5"/>
      <c r="X1476" s="5"/>
      <c r="Y1476" s="5"/>
      <c r="Z1476" s="5"/>
      <c r="AA1476" s="5"/>
      <c r="AC1476">
        <f t="shared" si="208"/>
        <v>14</v>
      </c>
      <c r="AD1476" t="str">
        <f t="shared" si="209"/>
        <v/>
      </c>
      <c r="AE1476">
        <f t="shared" si="210"/>
        <v>1</v>
      </c>
      <c r="AF1476" t="str">
        <f t="shared" si="211"/>
        <v/>
      </c>
      <c r="AG1476" t="str">
        <f t="shared" si="212"/>
        <v/>
      </c>
      <c r="AH1476">
        <f t="shared" si="213"/>
        <v>4</v>
      </c>
      <c r="AI1476" t="str">
        <f t="shared" si="214"/>
        <v/>
      </c>
      <c r="AJ1476" t="str">
        <f t="shared" si="215"/>
        <v/>
      </c>
    </row>
    <row r="1477" spans="1:36">
      <c r="A1477" s="5">
        <v>1712</v>
      </c>
      <c r="B1477" s="5" t="s">
        <v>1433</v>
      </c>
      <c r="C1477" s="5" t="s">
        <v>1332</v>
      </c>
      <c r="D1477" s="5" t="s">
        <v>1413</v>
      </c>
      <c r="E1477" s="5" t="s">
        <v>269</v>
      </c>
      <c r="F1477" s="5" t="str">
        <f t="shared" si="207"/>
        <v>Fundraising-Manager</v>
      </c>
      <c r="G1477" s="5" t="s">
        <v>270</v>
      </c>
      <c r="H1477" s="9">
        <v>44564.077685185184</v>
      </c>
      <c r="I1477" s="9">
        <v>44566.077685185184</v>
      </c>
      <c r="J1477" s="9" t="e">
        <f>I1477+#REF!</f>
        <v>#REF!</v>
      </c>
      <c r="K1477" s="9" t="e">
        <f>J1477+#REF!</f>
        <v>#REF!</v>
      </c>
      <c r="L1477" s="10" t="s">
        <v>41</v>
      </c>
      <c r="M1477" s="11">
        <v>44572.077685185184</v>
      </c>
      <c r="N1477" s="5" t="s">
        <v>48</v>
      </c>
      <c r="O1477" s="5"/>
      <c r="P1477" s="9">
        <v>44577.077685185184</v>
      </c>
      <c r="Q1477" s="5" t="s">
        <v>48</v>
      </c>
      <c r="R1477" s="5"/>
      <c r="S1477" s="5"/>
      <c r="T1477" s="9">
        <v>44574.077685185184</v>
      </c>
      <c r="U1477" s="5"/>
      <c r="V1477" s="5">
        <v>0</v>
      </c>
      <c r="W1477" s="5"/>
      <c r="X1477" s="5"/>
      <c r="Y1477" s="5"/>
      <c r="Z1477" s="5"/>
      <c r="AA1477" s="5"/>
      <c r="AC1477">
        <f t="shared" si="208"/>
        <v>6</v>
      </c>
      <c r="AD1477" t="str">
        <f t="shared" si="209"/>
        <v/>
      </c>
      <c r="AE1477">
        <f t="shared" si="210"/>
        <v>2</v>
      </c>
      <c r="AF1477" t="str">
        <f t="shared" si="211"/>
        <v/>
      </c>
      <c r="AG1477" t="str">
        <f t="shared" si="212"/>
        <v/>
      </c>
      <c r="AH1477">
        <f t="shared" si="213"/>
        <v>2</v>
      </c>
      <c r="AI1477" t="str">
        <f t="shared" si="214"/>
        <v/>
      </c>
      <c r="AJ1477" t="str">
        <f t="shared" si="215"/>
        <v/>
      </c>
    </row>
    <row r="1478" spans="1:36">
      <c r="A1478" s="5">
        <v>1713</v>
      </c>
      <c r="B1478" s="5" t="s">
        <v>2317</v>
      </c>
      <c r="C1478" s="5" t="s">
        <v>2229</v>
      </c>
      <c r="D1478" s="5" t="s">
        <v>2302</v>
      </c>
      <c r="E1478" s="5" t="s">
        <v>269</v>
      </c>
      <c r="F1478" s="5" t="str">
        <f t="shared" si="207"/>
        <v>Capacity Building-Manager</v>
      </c>
      <c r="G1478" s="5" t="s">
        <v>270</v>
      </c>
      <c r="H1478" s="9">
        <v>44563.077685185184</v>
      </c>
      <c r="I1478" s="9">
        <v>44566.077685185184</v>
      </c>
      <c r="J1478" s="9" t="e">
        <f>I1478+#REF!</f>
        <v>#REF!</v>
      </c>
      <c r="K1478" s="9" t="e">
        <f>J1478+#REF!</f>
        <v>#REF!</v>
      </c>
      <c r="L1478" s="10" t="s">
        <v>52</v>
      </c>
      <c r="M1478" s="11"/>
      <c r="N1478" s="5"/>
      <c r="O1478" s="5"/>
      <c r="P1478" s="9"/>
      <c r="Q1478" s="5"/>
      <c r="R1478" s="5"/>
      <c r="S1478" s="5"/>
      <c r="T1478" s="9"/>
      <c r="U1478" s="5"/>
      <c r="V1478" s="5">
        <v>0</v>
      </c>
      <c r="W1478" s="5"/>
      <c r="X1478" s="5"/>
      <c r="Y1478" s="5"/>
      <c r="Z1478" s="5"/>
      <c r="AA1478" s="5"/>
      <c r="AC1478" t="str">
        <f t="shared" si="208"/>
        <v/>
      </c>
      <c r="AD1478" t="str">
        <f t="shared" si="209"/>
        <v/>
      </c>
      <c r="AE1478" t="str">
        <f t="shared" si="210"/>
        <v/>
      </c>
      <c r="AF1478" t="str">
        <f t="shared" si="211"/>
        <v/>
      </c>
      <c r="AG1478" t="str">
        <f t="shared" si="212"/>
        <v/>
      </c>
      <c r="AH1478">
        <f t="shared" si="213"/>
        <v>3</v>
      </c>
      <c r="AI1478" t="str">
        <f t="shared" si="214"/>
        <v/>
      </c>
      <c r="AJ1478" t="str">
        <f t="shared" si="215"/>
        <v/>
      </c>
    </row>
    <row r="1479" spans="1:36">
      <c r="A1479" s="5">
        <v>1714</v>
      </c>
      <c r="B1479" s="5" t="s">
        <v>2260</v>
      </c>
      <c r="C1479" s="5" t="s">
        <v>2229</v>
      </c>
      <c r="D1479" s="5" t="s">
        <v>2250</v>
      </c>
      <c r="E1479" s="5" t="s">
        <v>388</v>
      </c>
      <c r="F1479" s="5" t="str">
        <f t="shared" si="207"/>
        <v>Capacity Building-Extension Officer</v>
      </c>
      <c r="G1479" s="5" t="s">
        <v>147</v>
      </c>
      <c r="H1479" s="9">
        <v>44563.077685185184</v>
      </c>
      <c r="I1479" s="9">
        <v>44566.077685185184</v>
      </c>
      <c r="J1479" s="9" t="e">
        <f>I1479+#REF!</f>
        <v>#REF!</v>
      </c>
      <c r="K1479" s="9" t="e">
        <f>J1479+#REF!</f>
        <v>#REF!</v>
      </c>
      <c r="L1479" s="10" t="s">
        <v>52</v>
      </c>
      <c r="M1479" s="11"/>
      <c r="N1479" s="5"/>
      <c r="O1479" s="5"/>
      <c r="P1479" s="9"/>
      <c r="Q1479" s="5"/>
      <c r="R1479" s="5"/>
      <c r="S1479" s="5"/>
      <c r="T1479" s="9"/>
      <c r="U1479" s="5"/>
      <c r="V1479" s="5">
        <v>0</v>
      </c>
      <c r="W1479" s="5"/>
      <c r="X1479" s="5"/>
      <c r="Y1479" s="5"/>
      <c r="Z1479" s="5"/>
      <c r="AA1479" s="5"/>
      <c r="AC1479" t="str">
        <f t="shared" si="208"/>
        <v/>
      </c>
      <c r="AD1479" t="str">
        <f t="shared" si="209"/>
        <v/>
      </c>
      <c r="AE1479" t="str">
        <f t="shared" si="210"/>
        <v/>
      </c>
      <c r="AF1479" t="str">
        <f t="shared" si="211"/>
        <v/>
      </c>
      <c r="AG1479" t="str">
        <f t="shared" si="212"/>
        <v/>
      </c>
      <c r="AH1479">
        <f t="shared" si="213"/>
        <v>3</v>
      </c>
      <c r="AI1479" t="str">
        <f t="shared" si="214"/>
        <v/>
      </c>
      <c r="AJ1479" t="str">
        <f t="shared" si="215"/>
        <v/>
      </c>
    </row>
    <row r="1480" spans="1:36">
      <c r="A1480" s="5">
        <v>1715</v>
      </c>
      <c r="B1480" s="5" t="s">
        <v>1522</v>
      </c>
      <c r="C1480" s="5" t="s">
        <v>1332</v>
      </c>
      <c r="D1480" s="5" t="s">
        <v>1500</v>
      </c>
      <c r="E1480" s="5" t="s">
        <v>815</v>
      </c>
      <c r="F1480" s="5" t="str">
        <f t="shared" si="207"/>
        <v>Fundraising-Auditor</v>
      </c>
      <c r="G1480" s="5" t="s">
        <v>47</v>
      </c>
      <c r="H1480" s="9">
        <v>44563.077685185184</v>
      </c>
      <c r="I1480" s="9">
        <v>44567.077685185184</v>
      </c>
      <c r="J1480" s="9" t="e">
        <f>I1480+#REF!</f>
        <v>#REF!</v>
      </c>
      <c r="K1480" s="9" t="e">
        <f>J1480+#REF!</f>
        <v>#REF!</v>
      </c>
      <c r="L1480" s="10" t="s">
        <v>41</v>
      </c>
      <c r="M1480" s="11">
        <v>44572.077685185184</v>
      </c>
      <c r="N1480" s="5" t="s">
        <v>42</v>
      </c>
      <c r="O1480" s="5" t="s">
        <v>43</v>
      </c>
      <c r="P1480" s="9"/>
      <c r="Q1480" s="5"/>
      <c r="R1480" s="5"/>
      <c r="S1480" s="5"/>
      <c r="T1480" s="9">
        <v>44574.077685185184</v>
      </c>
      <c r="U1480" s="5"/>
      <c r="V1480" s="5">
        <v>0</v>
      </c>
      <c r="W1480" s="5"/>
      <c r="X1480" s="5"/>
      <c r="Y1480" s="5"/>
      <c r="Z1480" s="5"/>
      <c r="AA1480" s="5" t="s">
        <v>44</v>
      </c>
      <c r="AC1480">
        <f t="shared" si="208"/>
        <v>5</v>
      </c>
      <c r="AD1480" t="str">
        <f t="shared" si="209"/>
        <v/>
      </c>
      <c r="AE1480">
        <f t="shared" si="210"/>
        <v>2</v>
      </c>
      <c r="AF1480" t="str">
        <f t="shared" si="211"/>
        <v/>
      </c>
      <c r="AG1480" t="str">
        <f t="shared" si="212"/>
        <v/>
      </c>
      <c r="AH1480">
        <f t="shared" si="213"/>
        <v>4</v>
      </c>
      <c r="AI1480" t="str">
        <f t="shared" si="214"/>
        <v/>
      </c>
      <c r="AJ1480" t="str">
        <f t="shared" si="215"/>
        <v/>
      </c>
    </row>
    <row r="1481" spans="1:36">
      <c r="A1481" s="5">
        <v>1716</v>
      </c>
      <c r="B1481" s="5" t="s">
        <v>2316</v>
      </c>
      <c r="C1481" s="5" t="s">
        <v>2229</v>
      </c>
      <c r="D1481" s="5" t="s">
        <v>2302</v>
      </c>
      <c r="E1481" s="5" t="s">
        <v>269</v>
      </c>
      <c r="F1481" s="5" t="str">
        <f t="shared" si="207"/>
        <v>Capacity Building-Manager</v>
      </c>
      <c r="G1481" s="5" t="s">
        <v>270</v>
      </c>
      <c r="H1481" s="9">
        <v>44563.077685185184</v>
      </c>
      <c r="I1481" s="9">
        <v>44566.077685185184</v>
      </c>
      <c r="J1481" s="9" t="e">
        <f>I1481+#REF!</f>
        <v>#REF!</v>
      </c>
      <c r="K1481" s="9" t="e">
        <f>J1481+#REF!</f>
        <v>#REF!</v>
      </c>
      <c r="L1481" s="10" t="s">
        <v>52</v>
      </c>
      <c r="M1481" s="11"/>
      <c r="N1481" s="5"/>
      <c r="O1481" s="5"/>
      <c r="P1481" s="9"/>
      <c r="Q1481" s="5"/>
      <c r="R1481" s="5"/>
      <c r="S1481" s="5"/>
      <c r="T1481" s="9"/>
      <c r="U1481" s="5"/>
      <c r="V1481" s="5">
        <v>0</v>
      </c>
      <c r="W1481" s="5"/>
      <c r="X1481" s="5"/>
      <c r="Y1481" s="5"/>
      <c r="Z1481" s="5"/>
      <c r="AA1481" s="5"/>
      <c r="AC1481" t="str">
        <f t="shared" si="208"/>
        <v/>
      </c>
      <c r="AD1481" t="str">
        <f t="shared" si="209"/>
        <v/>
      </c>
      <c r="AE1481" t="str">
        <f t="shared" si="210"/>
        <v/>
      </c>
      <c r="AF1481" t="str">
        <f t="shared" si="211"/>
        <v/>
      </c>
      <c r="AG1481" t="str">
        <f t="shared" si="212"/>
        <v/>
      </c>
      <c r="AH1481">
        <f t="shared" si="213"/>
        <v>3</v>
      </c>
      <c r="AI1481" t="str">
        <f t="shared" si="214"/>
        <v/>
      </c>
      <c r="AJ1481" t="str">
        <f t="shared" si="215"/>
        <v/>
      </c>
    </row>
    <row r="1482" spans="1:36">
      <c r="A1482" s="5">
        <v>1717</v>
      </c>
      <c r="B1482" s="5" t="s">
        <v>1485</v>
      </c>
      <c r="C1482" s="5" t="s">
        <v>1332</v>
      </c>
      <c r="D1482" s="5" t="s">
        <v>1448</v>
      </c>
      <c r="E1482" s="5" t="s">
        <v>1484</v>
      </c>
      <c r="F1482" s="5" t="str">
        <f t="shared" si="207"/>
        <v>Fundraising-Review Associate</v>
      </c>
      <c r="G1482" s="5" t="s">
        <v>40</v>
      </c>
      <c r="H1482" s="9">
        <v>44563.077685185184</v>
      </c>
      <c r="I1482" s="9">
        <v>44566.077685185184</v>
      </c>
      <c r="J1482" s="9" t="e">
        <f>I1482+#REF!</f>
        <v>#REF!</v>
      </c>
      <c r="K1482" s="9" t="e">
        <f>J1482+#REF!</f>
        <v>#REF!</v>
      </c>
      <c r="L1482" s="10" t="s">
        <v>41</v>
      </c>
      <c r="M1482" s="11">
        <v>44578.077685185184</v>
      </c>
      <c r="N1482" s="5" t="s">
        <v>48</v>
      </c>
      <c r="O1482" s="5"/>
      <c r="P1482" s="9">
        <v>44581.077685185184</v>
      </c>
      <c r="Q1482" s="5" t="s">
        <v>48</v>
      </c>
      <c r="R1482" s="5"/>
      <c r="S1482" s="5"/>
      <c r="T1482" s="9">
        <v>44579.077685185184</v>
      </c>
      <c r="U1482" s="5"/>
      <c r="V1482" s="5">
        <v>0</v>
      </c>
      <c r="W1482" s="5"/>
      <c r="X1482" s="5"/>
      <c r="Y1482" s="5"/>
      <c r="Z1482" s="5"/>
      <c r="AA1482" s="5"/>
      <c r="AC1482">
        <f t="shared" si="208"/>
        <v>12</v>
      </c>
      <c r="AD1482" t="str">
        <f t="shared" si="209"/>
        <v/>
      </c>
      <c r="AE1482">
        <f t="shared" si="210"/>
        <v>1</v>
      </c>
      <c r="AF1482" t="str">
        <f t="shared" si="211"/>
        <v/>
      </c>
      <c r="AG1482" t="str">
        <f t="shared" si="212"/>
        <v/>
      </c>
      <c r="AH1482">
        <f t="shared" si="213"/>
        <v>3</v>
      </c>
      <c r="AI1482" t="str">
        <f t="shared" si="214"/>
        <v/>
      </c>
      <c r="AJ1482" t="str">
        <f t="shared" si="215"/>
        <v/>
      </c>
    </row>
    <row r="1483" spans="1:36">
      <c r="A1483" s="5">
        <v>1718</v>
      </c>
      <c r="B1483" s="5" t="s">
        <v>2315</v>
      </c>
      <c r="C1483" s="5" t="s">
        <v>2229</v>
      </c>
      <c r="D1483" s="5" t="s">
        <v>2302</v>
      </c>
      <c r="E1483" s="5" t="s">
        <v>269</v>
      </c>
      <c r="F1483" s="5" t="str">
        <f t="shared" si="207"/>
        <v>Capacity Building-Manager</v>
      </c>
      <c r="G1483" s="5" t="s">
        <v>270</v>
      </c>
      <c r="H1483" s="9">
        <v>44561.077685185184</v>
      </c>
      <c r="I1483" s="9">
        <v>44564.077685185184</v>
      </c>
      <c r="J1483" s="9" t="e">
        <f>I1483+#REF!</f>
        <v>#REF!</v>
      </c>
      <c r="K1483" s="9" t="e">
        <f>J1483+#REF!</f>
        <v>#REF!</v>
      </c>
      <c r="L1483" s="10" t="s">
        <v>52</v>
      </c>
      <c r="M1483" s="11"/>
      <c r="N1483" s="5"/>
      <c r="O1483" s="5"/>
      <c r="P1483" s="9"/>
      <c r="Q1483" s="5"/>
      <c r="R1483" s="5"/>
      <c r="S1483" s="5"/>
      <c r="T1483" s="9"/>
      <c r="U1483" s="5"/>
      <c r="V1483" s="5">
        <v>0</v>
      </c>
      <c r="W1483" s="5"/>
      <c r="X1483" s="5"/>
      <c r="Y1483" s="5"/>
      <c r="Z1483" s="5"/>
      <c r="AA1483" s="5"/>
      <c r="AC1483" t="str">
        <f t="shared" si="208"/>
        <v/>
      </c>
      <c r="AD1483" t="str">
        <f t="shared" si="209"/>
        <v/>
      </c>
      <c r="AE1483" t="str">
        <f t="shared" si="210"/>
        <v/>
      </c>
      <c r="AF1483" t="str">
        <f t="shared" si="211"/>
        <v/>
      </c>
      <c r="AG1483" t="str">
        <f t="shared" si="212"/>
        <v/>
      </c>
      <c r="AH1483">
        <f t="shared" si="213"/>
        <v>3</v>
      </c>
      <c r="AI1483" t="str">
        <f t="shared" si="214"/>
        <v/>
      </c>
      <c r="AJ1483" t="str">
        <f t="shared" si="215"/>
        <v/>
      </c>
    </row>
    <row r="1484" spans="1:36">
      <c r="A1484" s="5">
        <v>1719</v>
      </c>
      <c r="B1484" s="5" t="s">
        <v>1390</v>
      </c>
      <c r="C1484" s="5" t="s">
        <v>1332</v>
      </c>
      <c r="D1484" s="5" t="s">
        <v>1359</v>
      </c>
      <c r="E1484" s="5" t="s">
        <v>1360</v>
      </c>
      <c r="F1484" s="5" t="str">
        <f t="shared" si="207"/>
        <v>Fundraising-Fund Administrator</v>
      </c>
      <c r="G1484" s="5" t="s">
        <v>147</v>
      </c>
      <c r="H1484" s="9">
        <v>44563.077685185184</v>
      </c>
      <c r="I1484" s="9">
        <v>44564.077685185184</v>
      </c>
      <c r="J1484" s="9" t="e">
        <f>I1484+#REF!</f>
        <v>#REF!</v>
      </c>
      <c r="K1484" s="9" t="e">
        <f>J1484+#REF!</f>
        <v>#REF!</v>
      </c>
      <c r="L1484" s="10" t="s">
        <v>41</v>
      </c>
      <c r="M1484" s="11">
        <v>44578.077685185184</v>
      </c>
      <c r="N1484" s="5" t="s">
        <v>42</v>
      </c>
      <c r="O1484" s="5" t="s">
        <v>58</v>
      </c>
      <c r="P1484" s="9"/>
      <c r="Q1484" s="5"/>
      <c r="R1484" s="5"/>
      <c r="S1484" s="5"/>
      <c r="T1484" s="9"/>
      <c r="U1484" s="5"/>
      <c r="V1484" s="5">
        <v>0</v>
      </c>
      <c r="W1484" s="5"/>
      <c r="X1484" s="5"/>
      <c r="Y1484" s="5"/>
      <c r="Z1484" s="5"/>
      <c r="AA1484" s="5" t="s">
        <v>62</v>
      </c>
      <c r="AC1484">
        <f t="shared" si="208"/>
        <v>14</v>
      </c>
      <c r="AD1484" t="str">
        <f t="shared" si="209"/>
        <v/>
      </c>
      <c r="AE1484" t="str">
        <f t="shared" si="210"/>
        <v/>
      </c>
      <c r="AF1484" t="str">
        <f t="shared" si="211"/>
        <v/>
      </c>
      <c r="AG1484" t="str">
        <f t="shared" si="212"/>
        <v/>
      </c>
      <c r="AH1484">
        <f t="shared" si="213"/>
        <v>1</v>
      </c>
      <c r="AI1484" t="str">
        <f t="shared" si="214"/>
        <v/>
      </c>
      <c r="AJ1484" t="str">
        <f t="shared" si="215"/>
        <v/>
      </c>
    </row>
    <row r="1485" spans="1:36">
      <c r="A1485" s="5">
        <v>1720</v>
      </c>
      <c r="B1485" s="5" t="s">
        <v>1483</v>
      </c>
      <c r="C1485" s="5" t="s">
        <v>1332</v>
      </c>
      <c r="D1485" s="5" t="s">
        <v>1448</v>
      </c>
      <c r="E1485" s="5" t="s">
        <v>1484</v>
      </c>
      <c r="F1485" s="5" t="str">
        <f t="shared" si="207"/>
        <v>Fundraising-Review Associate</v>
      </c>
      <c r="G1485" s="5" t="s">
        <v>40</v>
      </c>
      <c r="H1485" s="9">
        <v>44562.077685185184</v>
      </c>
      <c r="I1485" s="9">
        <v>44565.077685185184</v>
      </c>
      <c r="J1485" s="9" t="e">
        <f>I1485+#REF!</f>
        <v>#REF!</v>
      </c>
      <c r="K1485" s="9" t="e">
        <f>J1485+#REF!</f>
        <v>#REF!</v>
      </c>
      <c r="L1485" s="10" t="s">
        <v>41</v>
      </c>
      <c r="M1485" s="11">
        <v>44581.077685185184</v>
      </c>
      <c r="N1485" s="5" t="s">
        <v>42</v>
      </c>
      <c r="O1485" s="5" t="s">
        <v>58</v>
      </c>
      <c r="P1485" s="9"/>
      <c r="Q1485" s="5"/>
      <c r="R1485" s="5"/>
      <c r="S1485" s="5"/>
      <c r="T1485" s="9"/>
      <c r="U1485" s="5"/>
      <c r="V1485" s="5">
        <v>0</v>
      </c>
      <c r="W1485" s="5"/>
      <c r="X1485" s="5"/>
      <c r="Y1485" s="5"/>
      <c r="Z1485" s="5"/>
      <c r="AA1485" s="5" t="s">
        <v>44</v>
      </c>
      <c r="AC1485">
        <f t="shared" si="208"/>
        <v>16</v>
      </c>
      <c r="AD1485" t="str">
        <f t="shared" si="209"/>
        <v/>
      </c>
      <c r="AE1485" t="str">
        <f t="shared" si="210"/>
        <v/>
      </c>
      <c r="AF1485" t="str">
        <f t="shared" si="211"/>
        <v/>
      </c>
      <c r="AG1485" t="str">
        <f t="shared" si="212"/>
        <v/>
      </c>
      <c r="AH1485">
        <f t="shared" si="213"/>
        <v>3</v>
      </c>
      <c r="AI1485" t="str">
        <f t="shared" si="214"/>
        <v/>
      </c>
      <c r="AJ1485" t="str">
        <f t="shared" si="215"/>
        <v/>
      </c>
    </row>
    <row r="1486" spans="1:36">
      <c r="A1486" s="5">
        <v>1721</v>
      </c>
      <c r="B1486" s="5" t="s">
        <v>926</v>
      </c>
      <c r="C1486" s="5" t="s">
        <v>796</v>
      </c>
      <c r="D1486" s="5" t="s">
        <v>893</v>
      </c>
      <c r="E1486" s="5" t="s">
        <v>269</v>
      </c>
      <c r="F1486" s="5" t="str">
        <f t="shared" si="207"/>
        <v>M and E-Manager</v>
      </c>
      <c r="G1486" s="5" t="s">
        <v>270</v>
      </c>
      <c r="H1486" s="9">
        <v>44862.500428240739</v>
      </c>
      <c r="I1486" s="9">
        <v>44866.500428240739</v>
      </c>
      <c r="J1486" s="9" t="e">
        <f>I1486+#REF!</f>
        <v>#REF!</v>
      </c>
      <c r="K1486" s="9" t="e">
        <f>J1486+#REF!</f>
        <v>#REF!</v>
      </c>
      <c r="L1486" s="10" t="s">
        <v>52</v>
      </c>
      <c r="M1486" s="11"/>
      <c r="N1486" s="5"/>
      <c r="O1486" s="5"/>
      <c r="P1486" s="9"/>
      <c r="Q1486" s="5"/>
      <c r="R1486" s="5"/>
      <c r="S1486" s="5"/>
      <c r="T1486" s="9"/>
      <c r="U1486" s="5"/>
      <c r="V1486" s="5">
        <v>0</v>
      </c>
      <c r="W1486" s="5"/>
      <c r="X1486" s="5"/>
      <c r="Y1486" s="5"/>
      <c r="Z1486" s="5"/>
      <c r="AA1486" s="5"/>
      <c r="AC1486" t="str">
        <f t="shared" si="208"/>
        <v/>
      </c>
      <c r="AD1486" t="str">
        <f t="shared" si="209"/>
        <v/>
      </c>
      <c r="AE1486" t="str">
        <f t="shared" si="210"/>
        <v/>
      </c>
      <c r="AF1486" t="str">
        <f t="shared" si="211"/>
        <v/>
      </c>
      <c r="AG1486" t="str">
        <f t="shared" si="212"/>
        <v/>
      </c>
      <c r="AH1486">
        <f t="shared" si="213"/>
        <v>4</v>
      </c>
      <c r="AI1486" t="str">
        <f t="shared" si="214"/>
        <v/>
      </c>
      <c r="AJ1486" t="str">
        <f t="shared" si="215"/>
        <v/>
      </c>
    </row>
    <row r="1487" spans="1:36">
      <c r="A1487" s="5">
        <v>1723</v>
      </c>
      <c r="B1487" s="5" t="s">
        <v>996</v>
      </c>
      <c r="C1487" s="5" t="s">
        <v>796</v>
      </c>
      <c r="D1487" s="5" t="s">
        <v>957</v>
      </c>
      <c r="E1487" s="5" t="s">
        <v>388</v>
      </c>
      <c r="F1487" s="5" t="str">
        <f t="shared" si="207"/>
        <v>M and E-Extension Officer</v>
      </c>
      <c r="G1487" s="5" t="s">
        <v>40</v>
      </c>
      <c r="H1487" s="9">
        <v>44861.500428240739</v>
      </c>
      <c r="I1487" s="9">
        <v>44863.500428240739</v>
      </c>
      <c r="J1487" s="9" t="e">
        <f>I1487+#REF!</f>
        <v>#REF!</v>
      </c>
      <c r="K1487" s="9" t="e">
        <f>J1487+#REF!</f>
        <v>#REF!</v>
      </c>
      <c r="L1487" s="10" t="s">
        <v>52</v>
      </c>
      <c r="M1487" s="11"/>
      <c r="N1487" s="5"/>
      <c r="O1487" s="5"/>
      <c r="P1487" s="9"/>
      <c r="Q1487" s="5"/>
      <c r="R1487" s="5"/>
      <c r="S1487" s="5"/>
      <c r="T1487" s="9"/>
      <c r="U1487" s="5"/>
      <c r="V1487" s="5">
        <v>0</v>
      </c>
      <c r="W1487" s="5"/>
      <c r="X1487" s="5"/>
      <c r="Y1487" s="5"/>
      <c r="Z1487" s="5"/>
      <c r="AA1487" s="5"/>
      <c r="AC1487" t="str">
        <f t="shared" si="208"/>
        <v/>
      </c>
      <c r="AD1487" t="str">
        <f t="shared" si="209"/>
        <v/>
      </c>
      <c r="AE1487" t="str">
        <f t="shared" si="210"/>
        <v/>
      </c>
      <c r="AF1487" t="str">
        <f t="shared" si="211"/>
        <v/>
      </c>
      <c r="AG1487" t="str">
        <f t="shared" si="212"/>
        <v/>
      </c>
      <c r="AH1487">
        <f t="shared" si="213"/>
        <v>2</v>
      </c>
      <c r="AI1487" t="str">
        <f t="shared" si="214"/>
        <v/>
      </c>
      <c r="AJ1487" t="str">
        <f t="shared" si="215"/>
        <v/>
      </c>
    </row>
    <row r="1488" spans="1:36">
      <c r="A1488" s="5">
        <v>1725</v>
      </c>
      <c r="B1488" s="5" t="s">
        <v>995</v>
      </c>
      <c r="C1488" s="5" t="s">
        <v>796</v>
      </c>
      <c r="D1488" s="5" t="s">
        <v>957</v>
      </c>
      <c r="E1488" s="5" t="s">
        <v>388</v>
      </c>
      <c r="F1488" s="5" t="str">
        <f t="shared" si="207"/>
        <v>M and E-Extension Officer</v>
      </c>
      <c r="G1488" s="5" t="s">
        <v>40</v>
      </c>
      <c r="H1488" s="9">
        <v>44860.500428240739</v>
      </c>
      <c r="I1488" s="9">
        <v>44863.500428240739</v>
      </c>
      <c r="J1488" s="9" t="e">
        <f>I1488+#REF!</f>
        <v>#REF!</v>
      </c>
      <c r="K1488" s="9" t="e">
        <f>J1488+#REF!</f>
        <v>#REF!</v>
      </c>
      <c r="L1488" s="10" t="s">
        <v>41</v>
      </c>
      <c r="M1488" s="11">
        <v>44882.500428240739</v>
      </c>
      <c r="N1488" s="5" t="s">
        <v>42</v>
      </c>
      <c r="O1488" s="5" t="s">
        <v>113</v>
      </c>
      <c r="P1488" s="9"/>
      <c r="Q1488" s="5"/>
      <c r="R1488" s="5"/>
      <c r="S1488" s="5"/>
      <c r="T1488" s="9"/>
      <c r="U1488" s="5"/>
      <c r="V1488" s="5">
        <v>0</v>
      </c>
      <c r="W1488" s="5"/>
      <c r="X1488" s="5"/>
      <c r="Y1488" s="5"/>
      <c r="Z1488" s="5"/>
      <c r="AA1488" s="5" t="s">
        <v>44</v>
      </c>
      <c r="AC1488">
        <f t="shared" si="208"/>
        <v>19</v>
      </c>
      <c r="AD1488" t="str">
        <f t="shared" si="209"/>
        <v/>
      </c>
      <c r="AE1488" t="str">
        <f t="shared" si="210"/>
        <v/>
      </c>
      <c r="AF1488" t="str">
        <f t="shared" si="211"/>
        <v/>
      </c>
      <c r="AG1488" t="str">
        <f t="shared" si="212"/>
        <v/>
      </c>
      <c r="AH1488">
        <f t="shared" si="213"/>
        <v>3</v>
      </c>
      <c r="AI1488" t="str">
        <f t="shared" si="214"/>
        <v/>
      </c>
      <c r="AJ1488" t="str">
        <f t="shared" si="215"/>
        <v/>
      </c>
    </row>
    <row r="1489" spans="1:36">
      <c r="A1489" s="5">
        <v>1726</v>
      </c>
      <c r="B1489" s="5" t="s">
        <v>1088</v>
      </c>
      <c r="C1489" s="5" t="s">
        <v>796</v>
      </c>
      <c r="D1489" s="5" t="s">
        <v>1046</v>
      </c>
      <c r="E1489" s="5" t="s">
        <v>673</v>
      </c>
      <c r="F1489" s="5" t="str">
        <f t="shared" si="207"/>
        <v>M and E-Controller</v>
      </c>
      <c r="G1489" s="5" t="s">
        <v>47</v>
      </c>
      <c r="H1489" s="9">
        <v>44866.500428240739</v>
      </c>
      <c r="I1489" s="9">
        <v>44867.500428240739</v>
      </c>
      <c r="J1489" s="9" t="e">
        <f>I1489+#REF!</f>
        <v>#REF!</v>
      </c>
      <c r="K1489" s="9" t="e">
        <f>J1489+#REF!</f>
        <v>#REF!</v>
      </c>
      <c r="L1489" s="10" t="s">
        <v>41</v>
      </c>
      <c r="M1489" s="11">
        <v>44874.500428240739</v>
      </c>
      <c r="N1489" s="5" t="s">
        <v>42</v>
      </c>
      <c r="O1489" s="5" t="s">
        <v>98</v>
      </c>
      <c r="P1489" s="9"/>
      <c r="Q1489" s="5"/>
      <c r="R1489" s="5"/>
      <c r="S1489" s="5"/>
      <c r="T1489" s="9">
        <v>44875.500428240739</v>
      </c>
      <c r="U1489" s="5"/>
      <c r="V1489" s="5">
        <v>0</v>
      </c>
      <c r="W1489" s="5"/>
      <c r="X1489" s="5"/>
      <c r="Y1489" s="5"/>
      <c r="Z1489" s="5"/>
      <c r="AA1489" s="5" t="s">
        <v>62</v>
      </c>
      <c r="AC1489">
        <f t="shared" si="208"/>
        <v>7</v>
      </c>
      <c r="AD1489" t="str">
        <f t="shared" si="209"/>
        <v/>
      </c>
      <c r="AE1489">
        <f t="shared" si="210"/>
        <v>1</v>
      </c>
      <c r="AF1489" t="str">
        <f t="shared" si="211"/>
        <v/>
      </c>
      <c r="AG1489" t="str">
        <f t="shared" si="212"/>
        <v/>
      </c>
      <c r="AH1489">
        <f t="shared" si="213"/>
        <v>1</v>
      </c>
      <c r="AI1489" t="str">
        <f t="shared" si="214"/>
        <v/>
      </c>
      <c r="AJ1489" t="str">
        <f t="shared" si="215"/>
        <v/>
      </c>
    </row>
    <row r="1490" spans="1:36">
      <c r="A1490" s="5">
        <v>1728</v>
      </c>
      <c r="B1490" s="5" t="s">
        <v>810</v>
      </c>
      <c r="C1490" s="5" t="s">
        <v>796</v>
      </c>
      <c r="D1490" s="5" t="s">
        <v>797</v>
      </c>
      <c r="E1490" s="5" t="s">
        <v>102</v>
      </c>
      <c r="F1490" s="5" t="str">
        <f t="shared" si="207"/>
        <v>M and E-Senior Manager</v>
      </c>
      <c r="G1490" s="5" t="s">
        <v>103</v>
      </c>
      <c r="H1490" s="9">
        <v>44860.500428240739</v>
      </c>
      <c r="I1490" s="9">
        <v>44864.500428240739</v>
      </c>
      <c r="J1490" s="9" t="e">
        <f>I1490+#REF!</f>
        <v>#REF!</v>
      </c>
      <c r="K1490" s="9" t="e">
        <f>J1490+#REF!</f>
        <v>#REF!</v>
      </c>
      <c r="L1490" s="10" t="s">
        <v>41</v>
      </c>
      <c r="M1490" s="11">
        <v>44876.500428240739</v>
      </c>
      <c r="N1490" s="5" t="s">
        <v>42</v>
      </c>
      <c r="O1490" s="5" t="s">
        <v>113</v>
      </c>
      <c r="P1490" s="9"/>
      <c r="Q1490" s="5"/>
      <c r="R1490" s="5"/>
      <c r="S1490" s="5"/>
      <c r="T1490" s="9">
        <v>44878.500428240739</v>
      </c>
      <c r="U1490" s="5"/>
      <c r="V1490" s="5">
        <v>0</v>
      </c>
      <c r="W1490" s="5"/>
      <c r="X1490" s="5"/>
      <c r="Y1490" s="5"/>
      <c r="Z1490" s="5"/>
      <c r="AA1490" s="5" t="s">
        <v>44</v>
      </c>
      <c r="AC1490">
        <f t="shared" si="208"/>
        <v>12</v>
      </c>
      <c r="AD1490" t="str">
        <f t="shared" si="209"/>
        <v/>
      </c>
      <c r="AE1490">
        <f t="shared" si="210"/>
        <v>2</v>
      </c>
      <c r="AF1490" t="str">
        <f t="shared" si="211"/>
        <v/>
      </c>
      <c r="AG1490" t="str">
        <f t="shared" si="212"/>
        <v/>
      </c>
      <c r="AH1490">
        <f t="shared" si="213"/>
        <v>4</v>
      </c>
      <c r="AI1490" t="str">
        <f t="shared" si="214"/>
        <v/>
      </c>
      <c r="AJ1490" t="str">
        <f t="shared" si="215"/>
        <v/>
      </c>
    </row>
    <row r="1491" spans="1:36">
      <c r="A1491" s="5">
        <v>1729</v>
      </c>
      <c r="B1491" s="5" t="s">
        <v>925</v>
      </c>
      <c r="C1491" s="5" t="s">
        <v>796</v>
      </c>
      <c r="D1491" s="5" t="s">
        <v>893</v>
      </c>
      <c r="E1491" s="5" t="s">
        <v>269</v>
      </c>
      <c r="F1491" s="5" t="str">
        <f t="shared" si="207"/>
        <v>M and E-Manager</v>
      </c>
      <c r="G1491" s="5" t="s">
        <v>270</v>
      </c>
      <c r="H1491" s="9">
        <v>44861.500428240739</v>
      </c>
      <c r="I1491" s="9">
        <v>44863.500428240739</v>
      </c>
      <c r="J1491" s="9" t="e">
        <f>I1491+#REF!</f>
        <v>#REF!</v>
      </c>
      <c r="K1491" s="9" t="e">
        <f>J1491+#REF!</f>
        <v>#REF!</v>
      </c>
      <c r="L1491" s="10" t="s">
        <v>41</v>
      </c>
      <c r="M1491" s="11">
        <v>44881.500428240739</v>
      </c>
      <c r="N1491" s="5" t="s">
        <v>42</v>
      </c>
      <c r="O1491" s="5" t="s">
        <v>98</v>
      </c>
      <c r="P1491" s="9"/>
      <c r="Q1491" s="5"/>
      <c r="R1491" s="5"/>
      <c r="S1491" s="5"/>
      <c r="T1491" s="9"/>
      <c r="U1491" s="5"/>
      <c r="V1491" s="5">
        <v>0</v>
      </c>
      <c r="W1491" s="5"/>
      <c r="X1491" s="5"/>
      <c r="Y1491" s="5"/>
      <c r="Z1491" s="5"/>
      <c r="AA1491" s="5" t="s">
        <v>44</v>
      </c>
      <c r="AC1491">
        <f t="shared" si="208"/>
        <v>18</v>
      </c>
      <c r="AD1491" t="str">
        <f t="shared" si="209"/>
        <v/>
      </c>
      <c r="AE1491" t="str">
        <f t="shared" si="210"/>
        <v/>
      </c>
      <c r="AF1491" t="str">
        <f t="shared" si="211"/>
        <v/>
      </c>
      <c r="AG1491" t="str">
        <f t="shared" si="212"/>
        <v/>
      </c>
      <c r="AH1491">
        <f t="shared" si="213"/>
        <v>2</v>
      </c>
      <c r="AI1491" t="str">
        <f t="shared" si="214"/>
        <v/>
      </c>
      <c r="AJ1491" t="str">
        <f t="shared" si="215"/>
        <v/>
      </c>
    </row>
    <row r="1492" spans="1:36">
      <c r="A1492" s="5">
        <v>1730</v>
      </c>
      <c r="B1492" s="5" t="s">
        <v>1087</v>
      </c>
      <c r="C1492" s="5" t="s">
        <v>796</v>
      </c>
      <c r="D1492" s="5" t="s">
        <v>1046</v>
      </c>
      <c r="E1492" s="5" t="s">
        <v>673</v>
      </c>
      <c r="F1492" s="5" t="str">
        <f t="shared" si="207"/>
        <v>M and E-Controller</v>
      </c>
      <c r="G1492" s="5" t="s">
        <v>47</v>
      </c>
      <c r="H1492" s="9">
        <v>44861.500428240739</v>
      </c>
      <c r="I1492" s="9">
        <v>44864.500428240739</v>
      </c>
      <c r="J1492" s="9" t="e">
        <f>I1492+#REF!</f>
        <v>#REF!</v>
      </c>
      <c r="K1492" s="9" t="e">
        <f>J1492+#REF!</f>
        <v>#REF!</v>
      </c>
      <c r="L1492" s="10" t="s">
        <v>41</v>
      </c>
      <c r="M1492" s="11">
        <v>44879.500428240739</v>
      </c>
      <c r="N1492" s="5" t="s">
        <v>42</v>
      </c>
      <c r="O1492" s="5" t="s">
        <v>58</v>
      </c>
      <c r="P1492" s="9"/>
      <c r="Q1492" s="5"/>
      <c r="R1492" s="5"/>
      <c r="S1492" s="5"/>
      <c r="T1492" s="9"/>
      <c r="U1492" s="5"/>
      <c r="V1492" s="5">
        <v>0</v>
      </c>
      <c r="W1492" s="5"/>
      <c r="X1492" s="5"/>
      <c r="Y1492" s="5"/>
      <c r="Z1492" s="5"/>
      <c r="AA1492" s="5" t="s">
        <v>44</v>
      </c>
      <c r="AC1492">
        <f t="shared" si="208"/>
        <v>15</v>
      </c>
      <c r="AD1492" t="str">
        <f t="shared" si="209"/>
        <v/>
      </c>
      <c r="AE1492" t="str">
        <f t="shared" si="210"/>
        <v/>
      </c>
      <c r="AF1492" t="str">
        <f t="shared" si="211"/>
        <v/>
      </c>
      <c r="AG1492" t="str">
        <f t="shared" si="212"/>
        <v/>
      </c>
      <c r="AH1492">
        <f t="shared" si="213"/>
        <v>3</v>
      </c>
      <c r="AI1492" t="str">
        <f t="shared" si="214"/>
        <v/>
      </c>
      <c r="AJ1492" t="str">
        <f t="shared" si="215"/>
        <v/>
      </c>
    </row>
    <row r="1493" spans="1:36">
      <c r="A1493" s="5">
        <v>1732</v>
      </c>
      <c r="B1493" s="5" t="s">
        <v>2018</v>
      </c>
      <c r="C1493" s="5" t="s">
        <v>1540</v>
      </c>
      <c r="D1493" s="5" t="s">
        <v>1985</v>
      </c>
      <c r="E1493" s="5" t="s">
        <v>1986</v>
      </c>
      <c r="F1493" s="5" t="str">
        <f t="shared" si="207"/>
        <v>Finance-Revenue Recorgnition</v>
      </c>
      <c r="G1493" s="5" t="s">
        <v>47</v>
      </c>
      <c r="H1493" s="9">
        <v>44561.634641203702</v>
      </c>
      <c r="I1493" s="9">
        <v>44563.634641203702</v>
      </c>
      <c r="J1493" s="9" t="e">
        <f>I1493+#REF!</f>
        <v>#REF!</v>
      </c>
      <c r="K1493" s="9" t="e">
        <f>J1493+#REF!</f>
        <v>#REF!</v>
      </c>
      <c r="L1493" s="10" t="s">
        <v>41</v>
      </c>
      <c r="M1493" s="11">
        <v>44581.634641203702</v>
      </c>
      <c r="N1493" s="5" t="s">
        <v>48</v>
      </c>
      <c r="O1493" s="5"/>
      <c r="P1493" s="9">
        <v>44586.634641203702</v>
      </c>
      <c r="Q1493" s="5" t="s">
        <v>48</v>
      </c>
      <c r="R1493" s="5"/>
      <c r="S1493" s="5"/>
      <c r="T1493" s="9">
        <v>44584.634641203702</v>
      </c>
      <c r="U1493" s="5"/>
      <c r="V1493" s="5">
        <v>0</v>
      </c>
      <c r="W1493" s="5"/>
      <c r="X1493" s="5"/>
      <c r="Y1493" s="5"/>
      <c r="Z1493" s="5"/>
      <c r="AA1493" s="5"/>
      <c r="AC1493">
        <f t="shared" si="208"/>
        <v>18</v>
      </c>
      <c r="AD1493" t="str">
        <f t="shared" si="209"/>
        <v/>
      </c>
      <c r="AE1493">
        <f t="shared" si="210"/>
        <v>3</v>
      </c>
      <c r="AF1493" t="str">
        <f t="shared" si="211"/>
        <v/>
      </c>
      <c r="AG1493" t="str">
        <f t="shared" si="212"/>
        <v/>
      </c>
      <c r="AH1493">
        <f t="shared" si="213"/>
        <v>2</v>
      </c>
      <c r="AI1493" t="str">
        <f t="shared" si="214"/>
        <v/>
      </c>
      <c r="AJ1493" t="str">
        <f t="shared" si="215"/>
        <v/>
      </c>
    </row>
    <row r="1494" spans="1:36">
      <c r="A1494" s="5">
        <v>1733</v>
      </c>
      <c r="B1494" s="5" t="s">
        <v>1868</v>
      </c>
      <c r="C1494" s="5" t="s">
        <v>1540</v>
      </c>
      <c r="D1494" s="5" t="s">
        <v>1820</v>
      </c>
      <c r="E1494" s="5" t="s">
        <v>1862</v>
      </c>
      <c r="F1494" s="5" t="str">
        <f t="shared" si="207"/>
        <v>Finance-Billing Officer</v>
      </c>
      <c r="G1494" s="5" t="s">
        <v>40</v>
      </c>
      <c r="H1494" s="9">
        <v>44564.634641203702</v>
      </c>
      <c r="I1494" s="9">
        <v>44565.634641203702</v>
      </c>
      <c r="J1494" s="9" t="e">
        <f>I1494+#REF!</f>
        <v>#REF!</v>
      </c>
      <c r="K1494" s="9" t="e">
        <f>J1494+#REF!</f>
        <v>#REF!</v>
      </c>
      <c r="L1494" s="10" t="s">
        <v>41</v>
      </c>
      <c r="M1494" s="11">
        <v>44573.634641203702</v>
      </c>
      <c r="N1494" s="5" t="s">
        <v>42</v>
      </c>
      <c r="O1494" s="5" t="s">
        <v>43</v>
      </c>
      <c r="P1494" s="9"/>
      <c r="Q1494" s="5"/>
      <c r="R1494" s="5"/>
      <c r="S1494" s="5"/>
      <c r="T1494" s="9">
        <v>44576.634641203702</v>
      </c>
      <c r="U1494" s="5"/>
      <c r="V1494" s="5">
        <v>0</v>
      </c>
      <c r="W1494" s="5"/>
      <c r="X1494" s="5"/>
      <c r="Y1494" s="5"/>
      <c r="Z1494" s="5"/>
      <c r="AA1494" s="5" t="s">
        <v>62</v>
      </c>
      <c r="AC1494">
        <f t="shared" si="208"/>
        <v>8</v>
      </c>
      <c r="AD1494" t="str">
        <f t="shared" si="209"/>
        <v/>
      </c>
      <c r="AE1494">
        <f t="shared" si="210"/>
        <v>3</v>
      </c>
      <c r="AF1494" t="str">
        <f t="shared" si="211"/>
        <v/>
      </c>
      <c r="AG1494" t="str">
        <f t="shared" si="212"/>
        <v/>
      </c>
      <c r="AH1494">
        <f t="shared" si="213"/>
        <v>1</v>
      </c>
      <c r="AI1494" t="str">
        <f t="shared" si="214"/>
        <v/>
      </c>
      <c r="AJ1494" t="str">
        <f t="shared" si="215"/>
        <v/>
      </c>
    </row>
    <row r="1495" spans="1:36">
      <c r="A1495" s="5">
        <v>1735</v>
      </c>
      <c r="B1495" s="5" t="s">
        <v>1628</v>
      </c>
      <c r="C1495" s="5" t="s">
        <v>1540</v>
      </c>
      <c r="D1495" s="5" t="s">
        <v>1588</v>
      </c>
      <c r="E1495" s="5" t="s">
        <v>1360</v>
      </c>
      <c r="F1495" s="5" t="str">
        <f t="shared" si="207"/>
        <v>Finance-Fund Administrator</v>
      </c>
      <c r="G1495" s="5" t="s">
        <v>147</v>
      </c>
      <c r="H1495" s="9">
        <v>44562.634641203702</v>
      </c>
      <c r="I1495" s="9">
        <v>44564.634641203702</v>
      </c>
      <c r="J1495" s="9" t="e">
        <f>I1495+#REF!</f>
        <v>#REF!</v>
      </c>
      <c r="K1495" s="9" t="e">
        <f>J1495+#REF!</f>
        <v>#REF!</v>
      </c>
      <c r="L1495" s="10" t="s">
        <v>41</v>
      </c>
      <c r="M1495" s="11">
        <v>44574.634641203702</v>
      </c>
      <c r="N1495" s="5" t="s">
        <v>48</v>
      </c>
      <c r="O1495" s="5"/>
      <c r="P1495" s="9">
        <v>44579.634641203702</v>
      </c>
      <c r="Q1495" s="5" t="s">
        <v>48</v>
      </c>
      <c r="R1495" s="5"/>
      <c r="S1495" s="5"/>
      <c r="T1495" s="9">
        <v>44577.634641203702</v>
      </c>
      <c r="U1495" s="5"/>
      <c r="V1495" s="5">
        <v>0</v>
      </c>
      <c r="W1495" s="5"/>
      <c r="X1495" s="5"/>
      <c r="Y1495" s="5"/>
      <c r="Z1495" s="5"/>
      <c r="AA1495" s="5"/>
      <c r="AC1495">
        <f t="shared" si="208"/>
        <v>10</v>
      </c>
      <c r="AD1495" t="str">
        <f t="shared" si="209"/>
        <v/>
      </c>
      <c r="AE1495">
        <f t="shared" si="210"/>
        <v>3</v>
      </c>
      <c r="AF1495" t="str">
        <f t="shared" si="211"/>
        <v/>
      </c>
      <c r="AG1495" t="str">
        <f t="shared" si="212"/>
        <v/>
      </c>
      <c r="AH1495">
        <f t="shared" si="213"/>
        <v>2</v>
      </c>
      <c r="AI1495" t="str">
        <f t="shared" si="214"/>
        <v/>
      </c>
      <c r="AJ1495" t="str">
        <f t="shared" si="215"/>
        <v/>
      </c>
    </row>
    <row r="1496" spans="1:36">
      <c r="A1496" s="5">
        <v>1736</v>
      </c>
      <c r="B1496" s="5" t="s">
        <v>1627</v>
      </c>
      <c r="C1496" s="5" t="s">
        <v>1540</v>
      </c>
      <c r="D1496" s="5" t="s">
        <v>1588</v>
      </c>
      <c r="E1496" s="5" t="s">
        <v>1360</v>
      </c>
      <c r="F1496" s="5" t="str">
        <f t="shared" si="207"/>
        <v>Finance-Fund Administrator</v>
      </c>
      <c r="G1496" s="5" t="s">
        <v>147</v>
      </c>
      <c r="H1496" s="9">
        <v>44561.634641203702</v>
      </c>
      <c r="I1496" s="9">
        <v>44564.634641203702</v>
      </c>
      <c r="J1496" s="9" t="e">
        <f>I1496+#REF!</f>
        <v>#REF!</v>
      </c>
      <c r="K1496" s="9" t="e">
        <f>J1496+#REF!</f>
        <v>#REF!</v>
      </c>
      <c r="L1496" s="10" t="s">
        <v>41</v>
      </c>
      <c r="M1496" s="11">
        <v>44579.634641203702</v>
      </c>
      <c r="N1496" s="5" t="s">
        <v>48</v>
      </c>
      <c r="O1496" s="5"/>
      <c r="P1496" s="9">
        <v>44585.634641203702</v>
      </c>
      <c r="Q1496" s="5" t="s">
        <v>48</v>
      </c>
      <c r="R1496" s="5"/>
      <c r="S1496" s="5"/>
      <c r="T1496" s="9">
        <v>44583.634641203702</v>
      </c>
      <c r="U1496" s="5"/>
      <c r="V1496" s="5">
        <v>0</v>
      </c>
      <c r="W1496" s="5"/>
      <c r="X1496" s="5"/>
      <c r="Y1496" s="5"/>
      <c r="Z1496" s="5"/>
      <c r="AA1496" s="5"/>
      <c r="AC1496">
        <f t="shared" si="208"/>
        <v>15</v>
      </c>
      <c r="AD1496" t="str">
        <f t="shared" si="209"/>
        <v/>
      </c>
      <c r="AE1496">
        <f t="shared" si="210"/>
        <v>4</v>
      </c>
      <c r="AF1496" t="str">
        <f t="shared" si="211"/>
        <v/>
      </c>
      <c r="AG1496" t="str">
        <f t="shared" si="212"/>
        <v/>
      </c>
      <c r="AH1496">
        <f t="shared" si="213"/>
        <v>3</v>
      </c>
      <c r="AI1496" t="str">
        <f t="shared" si="214"/>
        <v/>
      </c>
      <c r="AJ1496" t="str">
        <f t="shared" si="215"/>
        <v/>
      </c>
    </row>
    <row r="1497" spans="1:36">
      <c r="A1497" s="5">
        <v>1737</v>
      </c>
      <c r="B1497" s="5" t="s">
        <v>1626</v>
      </c>
      <c r="C1497" s="5" t="s">
        <v>1540</v>
      </c>
      <c r="D1497" s="5" t="s">
        <v>1588</v>
      </c>
      <c r="E1497" s="5" t="s">
        <v>1360</v>
      </c>
      <c r="F1497" s="5" t="str">
        <f t="shared" si="207"/>
        <v>Finance-Fund Administrator</v>
      </c>
      <c r="G1497" s="5" t="s">
        <v>147</v>
      </c>
      <c r="H1497" s="9">
        <v>44564.634641203702</v>
      </c>
      <c r="I1497" s="9">
        <v>44566.634641203702</v>
      </c>
      <c r="J1497" s="9" t="e">
        <f>I1497+#REF!</f>
        <v>#REF!</v>
      </c>
      <c r="K1497" s="9" t="e">
        <f>J1497+#REF!</f>
        <v>#REF!</v>
      </c>
      <c r="L1497" s="10" t="s">
        <v>41</v>
      </c>
      <c r="M1497" s="11">
        <v>44573.634641203702</v>
      </c>
      <c r="N1497" s="5" t="s">
        <v>42</v>
      </c>
      <c r="O1497" s="5" t="s">
        <v>58</v>
      </c>
      <c r="P1497" s="9"/>
      <c r="Q1497" s="5"/>
      <c r="R1497" s="5"/>
      <c r="S1497" s="5"/>
      <c r="T1497" s="9">
        <v>44575.634641203702</v>
      </c>
      <c r="U1497" s="5"/>
      <c r="V1497" s="5">
        <v>0</v>
      </c>
      <c r="W1497" s="5"/>
      <c r="X1497" s="5"/>
      <c r="Y1497" s="5"/>
      <c r="Z1497" s="5"/>
      <c r="AA1497" s="5" t="s">
        <v>44</v>
      </c>
      <c r="AC1497">
        <f t="shared" si="208"/>
        <v>7</v>
      </c>
      <c r="AD1497" t="str">
        <f t="shared" si="209"/>
        <v/>
      </c>
      <c r="AE1497">
        <f t="shared" si="210"/>
        <v>2</v>
      </c>
      <c r="AF1497" t="str">
        <f t="shared" si="211"/>
        <v/>
      </c>
      <c r="AG1497" t="str">
        <f t="shared" si="212"/>
        <v/>
      </c>
      <c r="AH1497">
        <f t="shared" si="213"/>
        <v>2</v>
      </c>
      <c r="AI1497" t="str">
        <f t="shared" si="214"/>
        <v/>
      </c>
      <c r="AJ1497" t="str">
        <f t="shared" si="215"/>
        <v/>
      </c>
    </row>
    <row r="1498" spans="1:36">
      <c r="A1498" s="5">
        <v>1739</v>
      </c>
      <c r="B1498" s="5" t="s">
        <v>1749</v>
      </c>
      <c r="C1498" s="5" t="s">
        <v>1540</v>
      </c>
      <c r="D1498" s="5" t="s">
        <v>1706</v>
      </c>
      <c r="E1498" s="5" t="s">
        <v>269</v>
      </c>
      <c r="F1498" s="5" t="str">
        <f t="shared" si="207"/>
        <v>Finance-Manager</v>
      </c>
      <c r="G1498" s="5" t="s">
        <v>270</v>
      </c>
      <c r="H1498" s="9">
        <v>44562.634641203702</v>
      </c>
      <c r="I1498" s="9">
        <v>44564.634641203702</v>
      </c>
      <c r="J1498" s="9" t="e">
        <f>I1498+#REF!</f>
        <v>#REF!</v>
      </c>
      <c r="K1498" s="9" t="e">
        <f>J1498+#REF!</f>
        <v>#REF!</v>
      </c>
      <c r="L1498" s="10" t="s">
        <v>52</v>
      </c>
      <c r="M1498" s="11"/>
      <c r="N1498" s="5"/>
      <c r="O1498" s="5"/>
      <c r="P1498" s="9"/>
      <c r="Q1498" s="5"/>
      <c r="R1498" s="5"/>
      <c r="S1498" s="5"/>
      <c r="T1498" s="9"/>
      <c r="U1498" s="5"/>
      <c r="V1498" s="5">
        <v>0</v>
      </c>
      <c r="W1498" s="5"/>
      <c r="X1498" s="5"/>
      <c r="Y1498" s="5"/>
      <c r="Z1498" s="5"/>
      <c r="AA1498" s="5"/>
      <c r="AC1498" t="str">
        <f t="shared" si="208"/>
        <v/>
      </c>
      <c r="AD1498" t="str">
        <f t="shared" si="209"/>
        <v/>
      </c>
      <c r="AE1498" t="str">
        <f t="shared" si="210"/>
        <v/>
      </c>
      <c r="AF1498" t="str">
        <f t="shared" si="211"/>
        <v/>
      </c>
      <c r="AG1498" t="str">
        <f t="shared" si="212"/>
        <v/>
      </c>
      <c r="AH1498">
        <f t="shared" si="213"/>
        <v>2</v>
      </c>
      <c r="AI1498" t="str">
        <f t="shared" si="214"/>
        <v/>
      </c>
      <c r="AJ1498" t="str">
        <f t="shared" si="215"/>
        <v/>
      </c>
    </row>
    <row r="1499" spans="1:36">
      <c r="A1499" s="5">
        <v>1740</v>
      </c>
      <c r="B1499" s="5" t="s">
        <v>1625</v>
      </c>
      <c r="C1499" s="5" t="s">
        <v>1540</v>
      </c>
      <c r="D1499" s="5" t="s">
        <v>1588</v>
      </c>
      <c r="E1499" s="5" t="s">
        <v>1360</v>
      </c>
      <c r="F1499" s="5" t="str">
        <f t="shared" si="207"/>
        <v>Finance-Fund Administrator</v>
      </c>
      <c r="G1499" s="5" t="s">
        <v>147</v>
      </c>
      <c r="H1499" s="9">
        <v>44564.634641203702</v>
      </c>
      <c r="I1499" s="9">
        <v>44565.634641203702</v>
      </c>
      <c r="J1499" s="9" t="e">
        <f>I1499+#REF!</f>
        <v>#REF!</v>
      </c>
      <c r="K1499" s="9" t="e">
        <f>J1499+#REF!</f>
        <v>#REF!</v>
      </c>
      <c r="L1499" s="10" t="s">
        <v>41</v>
      </c>
      <c r="M1499" s="11">
        <v>44581.634641203702</v>
      </c>
      <c r="N1499" s="5" t="s">
        <v>64</v>
      </c>
      <c r="O1499" s="5"/>
      <c r="P1499" s="9">
        <v>44588.634641203702</v>
      </c>
      <c r="Q1499" s="5" t="s">
        <v>64</v>
      </c>
      <c r="R1499" s="9">
        <v>44582.634641203702</v>
      </c>
      <c r="S1499" s="9">
        <v>44586.634641203702</v>
      </c>
      <c r="T1499" s="9">
        <v>44585.634641203702</v>
      </c>
      <c r="U1499" s="9">
        <v>44586.634641203702</v>
      </c>
      <c r="V1499" s="12">
        <v>1</v>
      </c>
      <c r="W1499" s="9">
        <v>44590.634641203702</v>
      </c>
      <c r="X1499" s="9">
        <v>44592.634641203702</v>
      </c>
      <c r="Y1499" s="9">
        <v>44594.634641203702</v>
      </c>
      <c r="Z1499" s="5"/>
      <c r="AA1499" s="5"/>
      <c r="AB1499" s="13">
        <v>44616.634641203702</v>
      </c>
      <c r="AC1499">
        <f t="shared" si="208"/>
        <v>16</v>
      </c>
      <c r="AD1499">
        <f t="shared" si="209"/>
        <v>21</v>
      </c>
      <c r="AE1499">
        <f t="shared" si="210"/>
        <v>4</v>
      </c>
      <c r="AF1499">
        <f t="shared" si="211"/>
        <v>6</v>
      </c>
      <c r="AG1499">
        <f t="shared" si="212"/>
        <v>4</v>
      </c>
      <c r="AH1499">
        <f t="shared" si="213"/>
        <v>1</v>
      </c>
      <c r="AI1499" t="str">
        <f t="shared" si="214"/>
        <v/>
      </c>
      <c r="AJ1499" t="str">
        <f t="shared" si="215"/>
        <v/>
      </c>
    </row>
    <row r="1500" spans="1:36">
      <c r="A1500" s="5">
        <v>1741</v>
      </c>
      <c r="B1500" s="5" t="s">
        <v>1263</v>
      </c>
      <c r="C1500" s="10" t="s">
        <v>1215</v>
      </c>
      <c r="D1500" s="5" t="s">
        <v>1249</v>
      </c>
      <c r="E1500" s="5" t="s">
        <v>1250</v>
      </c>
      <c r="F1500" s="5" t="str">
        <f t="shared" si="207"/>
        <v>HR-Screening Associate</v>
      </c>
      <c r="G1500" s="5" t="s">
        <v>40</v>
      </c>
      <c r="H1500" s="9">
        <v>44946.798078703701</v>
      </c>
      <c r="I1500" s="9">
        <v>44949.798078703701</v>
      </c>
      <c r="J1500" s="9" t="e">
        <f>I1500+#REF!</f>
        <v>#REF!</v>
      </c>
      <c r="K1500" s="9" t="e">
        <f>J1500+#REF!</f>
        <v>#REF!</v>
      </c>
      <c r="L1500" s="10" t="s">
        <v>41</v>
      </c>
      <c r="M1500" s="11">
        <v>44968.798078703701</v>
      </c>
      <c r="N1500" s="5" t="s">
        <v>42</v>
      </c>
      <c r="O1500" s="5" t="s">
        <v>98</v>
      </c>
      <c r="P1500" s="9"/>
      <c r="Q1500" s="5"/>
      <c r="R1500" s="5"/>
      <c r="S1500" s="5"/>
      <c r="T1500" s="9">
        <v>44970.798078703701</v>
      </c>
      <c r="U1500" s="5"/>
      <c r="V1500" s="5">
        <v>0</v>
      </c>
      <c r="W1500" s="5"/>
      <c r="X1500" s="5"/>
      <c r="Y1500" s="5"/>
      <c r="Z1500" s="5"/>
      <c r="AA1500" s="5" t="s">
        <v>62</v>
      </c>
      <c r="AC1500">
        <f t="shared" si="208"/>
        <v>19</v>
      </c>
      <c r="AD1500" t="str">
        <f t="shared" si="209"/>
        <v/>
      </c>
      <c r="AE1500">
        <f t="shared" si="210"/>
        <v>2</v>
      </c>
      <c r="AF1500" t="str">
        <f t="shared" si="211"/>
        <v/>
      </c>
      <c r="AG1500" t="str">
        <f t="shared" si="212"/>
        <v/>
      </c>
      <c r="AH1500">
        <f t="shared" si="213"/>
        <v>3</v>
      </c>
      <c r="AI1500" t="str">
        <f t="shared" si="214"/>
        <v/>
      </c>
      <c r="AJ1500" t="str">
        <f t="shared" si="215"/>
        <v/>
      </c>
    </row>
    <row r="1501" spans="1:36">
      <c r="A1501" s="5">
        <v>1742</v>
      </c>
      <c r="B1501" s="5" t="s">
        <v>2124</v>
      </c>
      <c r="C1501" s="10" t="s">
        <v>2089</v>
      </c>
      <c r="D1501" s="5" t="s">
        <v>2114</v>
      </c>
      <c r="E1501" s="5" t="s">
        <v>388</v>
      </c>
      <c r="F1501" s="5" t="str">
        <f t="shared" si="207"/>
        <v>Communication and Advocacy-Extension Officer</v>
      </c>
      <c r="G1501" s="5" t="s">
        <v>147</v>
      </c>
      <c r="H1501" s="9">
        <v>44948.798078703701</v>
      </c>
      <c r="I1501" s="9">
        <v>44949.798078703701</v>
      </c>
      <c r="J1501" s="9" t="e">
        <f>I1501+#REF!</f>
        <v>#REF!</v>
      </c>
      <c r="K1501" s="9" t="e">
        <f>J1501+#REF!</f>
        <v>#REF!</v>
      </c>
      <c r="L1501" s="10" t="s">
        <v>52</v>
      </c>
      <c r="M1501" s="11"/>
      <c r="N1501" s="5"/>
      <c r="O1501" s="5"/>
      <c r="P1501" s="9"/>
      <c r="Q1501" s="5"/>
      <c r="R1501" s="5"/>
      <c r="S1501" s="5"/>
      <c r="T1501" s="9"/>
      <c r="U1501" s="5"/>
      <c r="V1501" s="5">
        <v>0</v>
      </c>
      <c r="W1501" s="5"/>
      <c r="X1501" s="5"/>
      <c r="Y1501" s="5"/>
      <c r="Z1501" s="5"/>
      <c r="AA1501" s="5"/>
      <c r="AC1501" t="str">
        <f t="shared" si="208"/>
        <v/>
      </c>
      <c r="AD1501" t="str">
        <f t="shared" si="209"/>
        <v/>
      </c>
      <c r="AE1501" t="str">
        <f t="shared" si="210"/>
        <v/>
      </c>
      <c r="AF1501" t="str">
        <f t="shared" si="211"/>
        <v/>
      </c>
      <c r="AG1501" t="str">
        <f t="shared" si="212"/>
        <v/>
      </c>
      <c r="AH1501">
        <f t="shared" si="213"/>
        <v>1</v>
      </c>
      <c r="AI1501" t="str">
        <f t="shared" si="214"/>
        <v/>
      </c>
      <c r="AJ1501" t="str">
        <f t="shared" si="215"/>
        <v/>
      </c>
    </row>
    <row r="1502" spans="1:36">
      <c r="A1502" s="5">
        <v>1743</v>
      </c>
      <c r="B1502" s="5" t="s">
        <v>1302</v>
      </c>
      <c r="C1502" s="10" t="s">
        <v>1215</v>
      </c>
      <c r="D1502" s="5" t="s">
        <v>1287</v>
      </c>
      <c r="E1502" s="5" t="s">
        <v>1146</v>
      </c>
      <c r="F1502" s="5" t="str">
        <f t="shared" si="207"/>
        <v>HR-Quality Assurance</v>
      </c>
      <c r="G1502" s="5" t="s">
        <v>47</v>
      </c>
      <c r="H1502" s="9">
        <v>44948.798078703701</v>
      </c>
      <c r="I1502" s="9">
        <v>44949.798078703701</v>
      </c>
      <c r="J1502" s="9" t="e">
        <f>I1502+#REF!</f>
        <v>#REF!</v>
      </c>
      <c r="K1502" s="9" t="e">
        <f>J1502+#REF!</f>
        <v>#REF!</v>
      </c>
      <c r="L1502" s="10" t="s">
        <v>41</v>
      </c>
      <c r="M1502" s="11">
        <v>44964.798078703701</v>
      </c>
      <c r="N1502" s="5" t="s">
        <v>48</v>
      </c>
      <c r="O1502" s="5"/>
      <c r="P1502" s="9">
        <v>44967.798078703701</v>
      </c>
      <c r="Q1502" s="5" t="s">
        <v>48</v>
      </c>
      <c r="R1502" s="5"/>
      <c r="S1502" s="5"/>
      <c r="T1502" s="9">
        <v>44966.798078703701</v>
      </c>
      <c r="U1502" s="5"/>
      <c r="V1502" s="5">
        <v>0</v>
      </c>
      <c r="W1502" s="5"/>
      <c r="X1502" s="5"/>
      <c r="Y1502" s="5"/>
      <c r="Z1502" s="5"/>
      <c r="AA1502" s="5"/>
      <c r="AC1502">
        <f t="shared" si="208"/>
        <v>15</v>
      </c>
      <c r="AD1502" t="str">
        <f t="shared" si="209"/>
        <v/>
      </c>
      <c r="AE1502">
        <f t="shared" si="210"/>
        <v>2</v>
      </c>
      <c r="AF1502" t="str">
        <f t="shared" si="211"/>
        <v/>
      </c>
      <c r="AG1502" t="str">
        <f t="shared" si="212"/>
        <v/>
      </c>
      <c r="AH1502">
        <f t="shared" si="213"/>
        <v>1</v>
      </c>
      <c r="AI1502" t="str">
        <f t="shared" si="214"/>
        <v/>
      </c>
      <c r="AJ1502" t="str">
        <f t="shared" si="215"/>
        <v/>
      </c>
    </row>
    <row r="1503" spans="1:36">
      <c r="A1503" s="5">
        <v>1745</v>
      </c>
      <c r="B1503" s="5" t="s">
        <v>2175</v>
      </c>
      <c r="C1503" s="10" t="s">
        <v>2089</v>
      </c>
      <c r="D1503" s="5" t="s">
        <v>2167</v>
      </c>
      <c r="E1503" s="5" t="s">
        <v>269</v>
      </c>
      <c r="F1503" s="5" t="str">
        <f t="shared" si="207"/>
        <v>Communication and Advocacy-Manager</v>
      </c>
      <c r="G1503" s="5" t="s">
        <v>270</v>
      </c>
      <c r="H1503" s="9">
        <v>44946.798078703701</v>
      </c>
      <c r="I1503" s="9">
        <v>44950.798078703701</v>
      </c>
      <c r="J1503" s="9" t="e">
        <f>I1503+#REF!</f>
        <v>#REF!</v>
      </c>
      <c r="K1503" s="9" t="e">
        <f>J1503+#REF!</f>
        <v>#REF!</v>
      </c>
      <c r="L1503" s="10" t="s">
        <v>52</v>
      </c>
      <c r="M1503" s="11"/>
      <c r="N1503" s="5"/>
      <c r="O1503" s="5"/>
      <c r="P1503" s="9"/>
      <c r="Q1503" s="5"/>
      <c r="R1503" s="5"/>
      <c r="S1503" s="5"/>
      <c r="T1503" s="9"/>
      <c r="U1503" s="5"/>
      <c r="V1503" s="5">
        <v>0</v>
      </c>
      <c r="W1503" s="5"/>
      <c r="X1503" s="5"/>
      <c r="Y1503" s="5"/>
      <c r="Z1503" s="5"/>
      <c r="AA1503" s="5"/>
      <c r="AC1503" t="str">
        <f t="shared" si="208"/>
        <v/>
      </c>
      <c r="AD1503" t="str">
        <f t="shared" si="209"/>
        <v/>
      </c>
      <c r="AE1503" t="str">
        <f t="shared" si="210"/>
        <v/>
      </c>
      <c r="AF1503" t="str">
        <f t="shared" si="211"/>
        <v/>
      </c>
      <c r="AG1503" t="str">
        <f t="shared" si="212"/>
        <v/>
      </c>
      <c r="AH1503">
        <f t="shared" si="213"/>
        <v>4</v>
      </c>
      <c r="AI1503" t="str">
        <f t="shared" si="214"/>
        <v/>
      </c>
      <c r="AJ1503" t="str">
        <f t="shared" si="215"/>
        <v/>
      </c>
    </row>
    <row r="1504" spans="1:36">
      <c r="A1504" s="5">
        <v>1747</v>
      </c>
      <c r="B1504" s="5" t="s">
        <v>754</v>
      </c>
      <c r="C1504" s="10" t="s">
        <v>671</v>
      </c>
      <c r="D1504" s="5" t="s">
        <v>747</v>
      </c>
      <c r="E1504" s="5" t="s">
        <v>55</v>
      </c>
      <c r="F1504" s="5" t="str">
        <f t="shared" si="207"/>
        <v>Operations-Director</v>
      </c>
      <c r="G1504" s="5" t="s">
        <v>47</v>
      </c>
      <c r="H1504" s="9">
        <v>44944.798078703701</v>
      </c>
      <c r="I1504" s="9">
        <v>44948.798078703701</v>
      </c>
      <c r="J1504" s="9" t="e">
        <f>I1504+#REF!</f>
        <v>#REF!</v>
      </c>
      <c r="K1504" s="9" t="e">
        <f>J1504+#REF!</f>
        <v>#REF!</v>
      </c>
      <c r="L1504" s="10" t="s">
        <v>52</v>
      </c>
      <c r="M1504" s="11"/>
      <c r="N1504" s="5"/>
      <c r="O1504" s="5"/>
      <c r="P1504" s="9"/>
      <c r="Q1504" s="5"/>
      <c r="R1504" s="5"/>
      <c r="S1504" s="5"/>
      <c r="T1504" s="9"/>
      <c r="U1504" s="5"/>
      <c r="V1504" s="5">
        <v>0</v>
      </c>
      <c r="W1504" s="5"/>
      <c r="X1504" s="5"/>
      <c r="Y1504" s="5"/>
      <c r="Z1504" s="5"/>
      <c r="AA1504" s="5"/>
      <c r="AC1504" t="str">
        <f t="shared" si="208"/>
        <v/>
      </c>
      <c r="AD1504" t="str">
        <f t="shared" si="209"/>
        <v/>
      </c>
      <c r="AE1504" t="str">
        <f t="shared" si="210"/>
        <v/>
      </c>
      <c r="AF1504" t="str">
        <f t="shared" si="211"/>
        <v/>
      </c>
      <c r="AG1504" t="str">
        <f t="shared" si="212"/>
        <v/>
      </c>
      <c r="AH1504">
        <f t="shared" si="213"/>
        <v>4</v>
      </c>
      <c r="AI1504" t="str">
        <f t="shared" si="214"/>
        <v/>
      </c>
      <c r="AJ1504" t="str">
        <f t="shared" si="215"/>
        <v/>
      </c>
    </row>
    <row r="1505" spans="1:36">
      <c r="A1505" s="5">
        <v>1748</v>
      </c>
      <c r="B1505" s="5" t="s">
        <v>1202</v>
      </c>
      <c r="C1505" s="10" t="s">
        <v>1122</v>
      </c>
      <c r="D1505" s="5" t="s">
        <v>1191</v>
      </c>
      <c r="E1505" s="5" t="s">
        <v>269</v>
      </c>
      <c r="F1505" s="5" t="str">
        <f t="shared" si="207"/>
        <v>IT-Manager</v>
      </c>
      <c r="G1505" s="5" t="s">
        <v>270</v>
      </c>
      <c r="H1505" s="9">
        <v>44947.798078703701</v>
      </c>
      <c r="I1505" s="9">
        <v>44948.798078703701</v>
      </c>
      <c r="J1505" s="9" t="e">
        <f>I1505+#REF!</f>
        <v>#REF!</v>
      </c>
      <c r="K1505" s="9" t="e">
        <f>J1505+#REF!</f>
        <v>#REF!</v>
      </c>
      <c r="L1505" s="10" t="s">
        <v>41</v>
      </c>
      <c r="M1505" s="11">
        <v>44962.798078703701</v>
      </c>
      <c r="N1505" s="5" t="s">
        <v>64</v>
      </c>
      <c r="O1505" s="5"/>
      <c r="P1505" s="9">
        <v>44970.798078703701</v>
      </c>
      <c r="Q1505" s="5" t="s">
        <v>64</v>
      </c>
      <c r="R1505" s="9">
        <v>44964.798078703701</v>
      </c>
      <c r="S1505" s="9">
        <v>44967.798078703701</v>
      </c>
      <c r="T1505" s="9">
        <v>44966.798078703701</v>
      </c>
      <c r="U1505" s="9">
        <v>44972.798078703701</v>
      </c>
      <c r="V1505" s="12">
        <v>1</v>
      </c>
      <c r="W1505" s="9">
        <v>44974.798078703701</v>
      </c>
      <c r="X1505" s="9">
        <v>44975.798078703701</v>
      </c>
      <c r="Y1505" s="9">
        <v>44976.798078703701</v>
      </c>
      <c r="Z1505" s="5"/>
      <c r="AA1505" s="5"/>
      <c r="AB1505" s="13">
        <v>44990.798078703701</v>
      </c>
      <c r="AC1505">
        <f t="shared" si="208"/>
        <v>14</v>
      </c>
      <c r="AD1505">
        <f t="shared" si="209"/>
        <v>19</v>
      </c>
      <c r="AE1505">
        <f t="shared" si="210"/>
        <v>4</v>
      </c>
      <c r="AF1505">
        <f t="shared" si="211"/>
        <v>3</v>
      </c>
      <c r="AG1505">
        <f t="shared" si="212"/>
        <v>2</v>
      </c>
      <c r="AH1505">
        <f t="shared" si="213"/>
        <v>1</v>
      </c>
      <c r="AI1505" t="str">
        <f t="shared" si="214"/>
        <v/>
      </c>
      <c r="AJ1505" t="str">
        <f t="shared" si="215"/>
        <v/>
      </c>
    </row>
    <row r="1506" spans="1:36">
      <c r="A1506" s="5">
        <v>1749</v>
      </c>
      <c r="B1506" s="5" t="s">
        <v>2123</v>
      </c>
      <c r="C1506" s="10" t="s">
        <v>2089</v>
      </c>
      <c r="D1506" s="5" t="s">
        <v>2114</v>
      </c>
      <c r="E1506" s="5" t="s">
        <v>388</v>
      </c>
      <c r="F1506" s="5" t="str">
        <f t="shared" si="207"/>
        <v>Communication and Advocacy-Extension Officer</v>
      </c>
      <c r="G1506" s="5" t="s">
        <v>147</v>
      </c>
      <c r="H1506" s="9">
        <v>44950.798078703701</v>
      </c>
      <c r="I1506" s="9">
        <v>44952.798078703701</v>
      </c>
      <c r="J1506" s="9" t="e">
        <f>I1506+#REF!</f>
        <v>#REF!</v>
      </c>
      <c r="K1506" s="9" t="e">
        <f>J1506+#REF!</f>
        <v>#REF!</v>
      </c>
      <c r="L1506" s="10" t="s">
        <v>52</v>
      </c>
      <c r="M1506" s="11"/>
      <c r="N1506" s="5"/>
      <c r="O1506" s="5"/>
      <c r="P1506" s="9"/>
      <c r="Q1506" s="5"/>
      <c r="R1506" s="5"/>
      <c r="S1506" s="5"/>
      <c r="T1506" s="9"/>
      <c r="U1506" s="5"/>
      <c r="V1506" s="5">
        <v>0</v>
      </c>
      <c r="W1506" s="5"/>
      <c r="X1506" s="5"/>
      <c r="Y1506" s="5"/>
      <c r="Z1506" s="5"/>
      <c r="AA1506" s="5"/>
      <c r="AC1506" t="str">
        <f t="shared" si="208"/>
        <v/>
      </c>
      <c r="AD1506" t="str">
        <f t="shared" si="209"/>
        <v/>
      </c>
      <c r="AE1506" t="str">
        <f t="shared" si="210"/>
        <v/>
      </c>
      <c r="AF1506" t="str">
        <f t="shared" si="211"/>
        <v/>
      </c>
      <c r="AG1506" t="str">
        <f t="shared" si="212"/>
        <v/>
      </c>
      <c r="AH1506">
        <f t="shared" si="213"/>
        <v>2</v>
      </c>
      <c r="AI1506" t="str">
        <f t="shared" si="214"/>
        <v/>
      </c>
      <c r="AJ1506" t="str">
        <f t="shared" si="215"/>
        <v/>
      </c>
    </row>
    <row r="1507" spans="1:36">
      <c r="A1507" s="5">
        <v>1750</v>
      </c>
      <c r="B1507" s="5" t="s">
        <v>2122</v>
      </c>
      <c r="C1507" s="10" t="s">
        <v>2089</v>
      </c>
      <c r="D1507" s="5" t="s">
        <v>2114</v>
      </c>
      <c r="E1507" s="5" t="s">
        <v>388</v>
      </c>
      <c r="F1507" s="5" t="str">
        <f t="shared" si="207"/>
        <v>Communication and Advocacy-Extension Officer</v>
      </c>
      <c r="G1507" s="5" t="s">
        <v>147</v>
      </c>
      <c r="H1507" s="9">
        <v>44947.798078703701</v>
      </c>
      <c r="I1507" s="9">
        <v>44949.798078703701</v>
      </c>
      <c r="J1507" s="9" t="e">
        <f>I1507+#REF!</f>
        <v>#REF!</v>
      </c>
      <c r="K1507" s="9" t="e">
        <f>J1507+#REF!</f>
        <v>#REF!</v>
      </c>
      <c r="L1507" s="10" t="s">
        <v>41</v>
      </c>
      <c r="M1507" s="11">
        <v>44964.798078703701</v>
      </c>
      <c r="N1507" s="5" t="s">
        <v>64</v>
      </c>
      <c r="O1507" s="5"/>
      <c r="P1507" s="9">
        <v>44967.798078703701</v>
      </c>
      <c r="Q1507" s="5" t="s">
        <v>64</v>
      </c>
      <c r="R1507" s="9">
        <v>44965.798078703701</v>
      </c>
      <c r="S1507" s="9">
        <v>44969.798078703701</v>
      </c>
      <c r="T1507" s="9">
        <v>44966.798078703701</v>
      </c>
      <c r="U1507" s="9">
        <v>44976.798078703701</v>
      </c>
      <c r="V1507" s="12">
        <v>1</v>
      </c>
      <c r="W1507" s="9">
        <v>44978.798078703701</v>
      </c>
      <c r="X1507" s="9">
        <v>44980.798078703701</v>
      </c>
      <c r="Y1507" s="9">
        <v>44981.798078703701</v>
      </c>
      <c r="Z1507" s="5"/>
      <c r="AA1507" s="5"/>
      <c r="AB1507" s="13">
        <v>45001.798078703701</v>
      </c>
      <c r="AC1507">
        <f t="shared" si="208"/>
        <v>15</v>
      </c>
      <c r="AD1507">
        <f t="shared" si="209"/>
        <v>20</v>
      </c>
      <c r="AE1507">
        <f t="shared" si="210"/>
        <v>2</v>
      </c>
      <c r="AF1507">
        <f t="shared" si="211"/>
        <v>4</v>
      </c>
      <c r="AG1507">
        <f t="shared" si="212"/>
        <v>2</v>
      </c>
      <c r="AH1507">
        <f t="shared" si="213"/>
        <v>2</v>
      </c>
      <c r="AI1507" t="str">
        <f t="shared" si="214"/>
        <v/>
      </c>
      <c r="AJ1507" t="str">
        <f t="shared" si="215"/>
        <v/>
      </c>
    </row>
    <row r="1508" spans="1:36">
      <c r="A1508" s="5">
        <v>1751</v>
      </c>
      <c r="B1508" s="5" t="s">
        <v>2017</v>
      </c>
      <c r="C1508" s="5" t="s">
        <v>1540</v>
      </c>
      <c r="D1508" s="5" t="s">
        <v>1985</v>
      </c>
      <c r="E1508" s="5" t="s">
        <v>1986</v>
      </c>
      <c r="F1508" s="5" t="str">
        <f t="shared" si="207"/>
        <v>Finance-Revenue Recorgnition</v>
      </c>
      <c r="G1508" s="5" t="s">
        <v>47</v>
      </c>
      <c r="H1508" s="9">
        <v>44713.645821759259</v>
      </c>
      <c r="I1508" s="9">
        <v>44716.645821759259</v>
      </c>
      <c r="J1508" s="9" t="e">
        <f>I1508+#REF!</f>
        <v>#REF!</v>
      </c>
      <c r="K1508" s="9" t="e">
        <f>J1508+#REF!</f>
        <v>#REF!</v>
      </c>
      <c r="L1508" s="10" t="s">
        <v>41</v>
      </c>
      <c r="M1508" s="11">
        <v>44733.645821759259</v>
      </c>
      <c r="N1508" s="5" t="s">
        <v>42</v>
      </c>
      <c r="O1508" s="5" t="s">
        <v>73</v>
      </c>
      <c r="P1508" s="9"/>
      <c r="Q1508" s="5"/>
      <c r="R1508" s="5"/>
      <c r="S1508" s="5"/>
      <c r="T1508" s="9"/>
      <c r="U1508" s="5"/>
      <c r="V1508" s="5">
        <v>0</v>
      </c>
      <c r="W1508" s="5"/>
      <c r="X1508" s="5"/>
      <c r="Y1508" s="5"/>
      <c r="Z1508" s="5"/>
      <c r="AA1508" s="5" t="s">
        <v>62</v>
      </c>
      <c r="AC1508">
        <f t="shared" si="208"/>
        <v>17</v>
      </c>
      <c r="AD1508" t="str">
        <f t="shared" si="209"/>
        <v/>
      </c>
      <c r="AE1508" t="str">
        <f t="shared" si="210"/>
        <v/>
      </c>
      <c r="AF1508" t="str">
        <f t="shared" si="211"/>
        <v/>
      </c>
      <c r="AG1508" t="str">
        <f t="shared" si="212"/>
        <v/>
      </c>
      <c r="AH1508">
        <f t="shared" si="213"/>
        <v>3</v>
      </c>
      <c r="AI1508" t="str">
        <f t="shared" si="214"/>
        <v/>
      </c>
      <c r="AJ1508" t="str">
        <f t="shared" si="215"/>
        <v/>
      </c>
    </row>
    <row r="1509" spans="1:36">
      <c r="A1509" s="5">
        <v>1753</v>
      </c>
      <c r="B1509" s="5" t="s">
        <v>1748</v>
      </c>
      <c r="C1509" s="5" t="s">
        <v>1540</v>
      </c>
      <c r="D1509" s="5" t="s">
        <v>1706</v>
      </c>
      <c r="E1509" s="5" t="s">
        <v>269</v>
      </c>
      <c r="F1509" s="5" t="str">
        <f t="shared" si="207"/>
        <v>Finance-Manager</v>
      </c>
      <c r="G1509" s="5" t="s">
        <v>270</v>
      </c>
      <c r="H1509" s="9">
        <v>44714.645821759259</v>
      </c>
      <c r="I1509" s="9">
        <v>44717.645821759259</v>
      </c>
      <c r="J1509" s="9" t="e">
        <f>I1509+#REF!</f>
        <v>#REF!</v>
      </c>
      <c r="K1509" s="9" t="e">
        <f>J1509+#REF!</f>
        <v>#REF!</v>
      </c>
      <c r="L1509" s="10" t="s">
        <v>41</v>
      </c>
      <c r="M1509" s="11">
        <v>44723.645821759259</v>
      </c>
      <c r="N1509" s="5" t="s">
        <v>42</v>
      </c>
      <c r="O1509" s="5" t="s">
        <v>73</v>
      </c>
      <c r="P1509" s="9"/>
      <c r="Q1509" s="5"/>
      <c r="R1509" s="5"/>
      <c r="S1509" s="5"/>
      <c r="T1509" s="9"/>
      <c r="U1509" s="5"/>
      <c r="V1509" s="5">
        <v>0</v>
      </c>
      <c r="W1509" s="5"/>
      <c r="X1509" s="5"/>
      <c r="Y1509" s="5"/>
      <c r="Z1509" s="5"/>
      <c r="AA1509" s="5" t="s">
        <v>62</v>
      </c>
      <c r="AC1509">
        <f t="shared" si="208"/>
        <v>6</v>
      </c>
      <c r="AD1509" t="str">
        <f t="shared" si="209"/>
        <v/>
      </c>
      <c r="AE1509" t="str">
        <f t="shared" si="210"/>
        <v/>
      </c>
      <c r="AF1509" t="str">
        <f t="shared" si="211"/>
        <v/>
      </c>
      <c r="AG1509" t="str">
        <f t="shared" si="212"/>
        <v/>
      </c>
      <c r="AH1509">
        <f t="shared" si="213"/>
        <v>3</v>
      </c>
      <c r="AI1509" t="str">
        <f t="shared" si="214"/>
        <v/>
      </c>
      <c r="AJ1509" t="str">
        <f t="shared" si="215"/>
        <v/>
      </c>
    </row>
    <row r="1510" spans="1:36">
      <c r="A1510" s="5">
        <v>1754</v>
      </c>
      <c r="B1510" s="5" t="s">
        <v>2016</v>
      </c>
      <c r="C1510" s="5" t="s">
        <v>1540</v>
      </c>
      <c r="D1510" s="5" t="s">
        <v>1985</v>
      </c>
      <c r="E1510" s="5" t="s">
        <v>1986</v>
      </c>
      <c r="F1510" s="5" t="str">
        <f t="shared" si="207"/>
        <v>Finance-Revenue Recorgnition</v>
      </c>
      <c r="G1510" s="5" t="s">
        <v>47</v>
      </c>
      <c r="H1510" s="9">
        <v>44715.645821759259</v>
      </c>
      <c r="I1510" s="9">
        <v>44716.645821759259</v>
      </c>
      <c r="J1510" s="9" t="e">
        <f>I1510+#REF!</f>
        <v>#REF!</v>
      </c>
      <c r="K1510" s="9" t="e">
        <f>J1510+#REF!</f>
        <v>#REF!</v>
      </c>
      <c r="L1510" s="10" t="s">
        <v>41</v>
      </c>
      <c r="M1510" s="11">
        <v>44730.645821759259</v>
      </c>
      <c r="N1510" s="5" t="s">
        <v>42</v>
      </c>
      <c r="O1510" s="5" t="s">
        <v>58</v>
      </c>
      <c r="P1510" s="9"/>
      <c r="Q1510" s="5"/>
      <c r="R1510" s="5"/>
      <c r="S1510" s="5"/>
      <c r="T1510" s="9">
        <v>44734.645821759259</v>
      </c>
      <c r="U1510" s="5"/>
      <c r="V1510" s="5">
        <v>0</v>
      </c>
      <c r="W1510" s="5"/>
      <c r="X1510" s="5"/>
      <c r="Y1510" s="5"/>
      <c r="Z1510" s="5"/>
      <c r="AA1510" s="5" t="s">
        <v>62</v>
      </c>
      <c r="AC1510">
        <f t="shared" si="208"/>
        <v>14</v>
      </c>
      <c r="AD1510" t="str">
        <f t="shared" si="209"/>
        <v/>
      </c>
      <c r="AE1510">
        <f t="shared" si="210"/>
        <v>4</v>
      </c>
      <c r="AF1510" t="str">
        <f t="shared" si="211"/>
        <v/>
      </c>
      <c r="AG1510" t="str">
        <f t="shared" si="212"/>
        <v/>
      </c>
      <c r="AH1510">
        <f t="shared" si="213"/>
        <v>1</v>
      </c>
      <c r="AI1510" t="str">
        <f t="shared" si="214"/>
        <v/>
      </c>
      <c r="AJ1510" t="str">
        <f t="shared" si="215"/>
        <v/>
      </c>
    </row>
    <row r="1511" spans="1:36">
      <c r="A1511" s="5">
        <v>1755</v>
      </c>
      <c r="B1511" s="5" t="s">
        <v>1747</v>
      </c>
      <c r="C1511" s="5" t="s">
        <v>1540</v>
      </c>
      <c r="D1511" s="5" t="s">
        <v>1706</v>
      </c>
      <c r="E1511" s="5" t="s">
        <v>269</v>
      </c>
      <c r="F1511" s="5" t="str">
        <f t="shared" si="207"/>
        <v>Finance-Manager</v>
      </c>
      <c r="G1511" s="5" t="s">
        <v>270</v>
      </c>
      <c r="H1511" s="9">
        <v>44709.645821759259</v>
      </c>
      <c r="I1511" s="9">
        <v>44712.645821759259</v>
      </c>
      <c r="J1511" s="9" t="e">
        <f>I1511+#REF!</f>
        <v>#REF!</v>
      </c>
      <c r="K1511" s="9" t="e">
        <f>J1511+#REF!</f>
        <v>#REF!</v>
      </c>
      <c r="L1511" s="10" t="s">
        <v>41</v>
      </c>
      <c r="M1511" s="11">
        <v>44730.645821759259</v>
      </c>
      <c r="N1511" s="5" t="s">
        <v>42</v>
      </c>
      <c r="O1511" s="5" t="s">
        <v>43</v>
      </c>
      <c r="P1511" s="9"/>
      <c r="Q1511" s="5"/>
      <c r="R1511" s="5"/>
      <c r="S1511" s="5"/>
      <c r="T1511" s="9">
        <v>44734.645821759259</v>
      </c>
      <c r="U1511" s="5"/>
      <c r="V1511" s="5">
        <v>0</v>
      </c>
      <c r="W1511" s="5"/>
      <c r="X1511" s="5"/>
      <c r="Y1511" s="5"/>
      <c r="Z1511" s="5"/>
      <c r="AA1511" s="5" t="s">
        <v>44</v>
      </c>
      <c r="AC1511">
        <f t="shared" si="208"/>
        <v>18</v>
      </c>
      <c r="AD1511" t="str">
        <f t="shared" si="209"/>
        <v/>
      </c>
      <c r="AE1511">
        <f t="shared" si="210"/>
        <v>4</v>
      </c>
      <c r="AF1511" t="str">
        <f t="shared" si="211"/>
        <v/>
      </c>
      <c r="AG1511" t="str">
        <f t="shared" si="212"/>
        <v/>
      </c>
      <c r="AH1511">
        <f t="shared" si="213"/>
        <v>3</v>
      </c>
      <c r="AI1511" t="str">
        <f t="shared" si="214"/>
        <v/>
      </c>
      <c r="AJ1511" t="str">
        <f t="shared" si="215"/>
        <v/>
      </c>
    </row>
    <row r="1512" spans="1:36">
      <c r="A1512" s="5">
        <v>1756</v>
      </c>
      <c r="B1512" s="5" t="s">
        <v>1624</v>
      </c>
      <c r="C1512" s="5" t="s">
        <v>1540</v>
      </c>
      <c r="D1512" s="5" t="s">
        <v>1588</v>
      </c>
      <c r="E1512" s="5" t="s">
        <v>1360</v>
      </c>
      <c r="F1512" s="5" t="str">
        <f t="shared" si="207"/>
        <v>Finance-Fund Administrator</v>
      </c>
      <c r="G1512" s="5" t="s">
        <v>147</v>
      </c>
      <c r="H1512" s="9">
        <v>44709.645821759259</v>
      </c>
      <c r="I1512" s="9">
        <v>44713.645821759259</v>
      </c>
      <c r="J1512" s="9" t="e">
        <f>I1512+#REF!</f>
        <v>#REF!</v>
      </c>
      <c r="K1512" s="9" t="e">
        <f>J1512+#REF!</f>
        <v>#REF!</v>
      </c>
      <c r="L1512" s="10" t="s">
        <v>41</v>
      </c>
      <c r="M1512" s="11">
        <v>44723.645821759259</v>
      </c>
      <c r="N1512" s="5" t="s">
        <v>42</v>
      </c>
      <c r="O1512" s="5" t="s">
        <v>113</v>
      </c>
      <c r="P1512" s="9"/>
      <c r="Q1512" s="5"/>
      <c r="R1512" s="5"/>
      <c r="S1512" s="5"/>
      <c r="T1512" s="9"/>
      <c r="U1512" s="5"/>
      <c r="V1512" s="5">
        <v>0</v>
      </c>
      <c r="W1512" s="5"/>
      <c r="X1512" s="5"/>
      <c r="Y1512" s="5"/>
      <c r="Z1512" s="5"/>
      <c r="AA1512" s="5" t="s">
        <v>44</v>
      </c>
      <c r="AC1512">
        <f t="shared" si="208"/>
        <v>10</v>
      </c>
      <c r="AD1512" t="str">
        <f t="shared" si="209"/>
        <v/>
      </c>
      <c r="AE1512" t="str">
        <f t="shared" si="210"/>
        <v/>
      </c>
      <c r="AF1512" t="str">
        <f t="shared" si="211"/>
        <v/>
      </c>
      <c r="AG1512" t="str">
        <f t="shared" si="212"/>
        <v/>
      </c>
      <c r="AH1512">
        <f t="shared" si="213"/>
        <v>4</v>
      </c>
      <c r="AI1512" t="str">
        <f t="shared" si="214"/>
        <v/>
      </c>
      <c r="AJ1512" t="str">
        <f t="shared" si="215"/>
        <v/>
      </c>
    </row>
    <row r="1513" spans="1:36">
      <c r="A1513" s="5">
        <v>1757</v>
      </c>
      <c r="B1513" s="5" t="s">
        <v>1554</v>
      </c>
      <c r="C1513" s="5" t="s">
        <v>1540</v>
      </c>
      <c r="D1513" s="5" t="s">
        <v>1541</v>
      </c>
      <c r="E1513" s="5" t="s">
        <v>102</v>
      </c>
      <c r="F1513" s="5" t="str">
        <f t="shared" si="207"/>
        <v>Finance-Senior Manager</v>
      </c>
      <c r="G1513" s="5" t="s">
        <v>103</v>
      </c>
      <c r="H1513" s="9">
        <v>44708.645821759259</v>
      </c>
      <c r="I1513" s="9">
        <v>44712.645821759259</v>
      </c>
      <c r="J1513" s="9" t="e">
        <f>I1513+#REF!</f>
        <v>#REF!</v>
      </c>
      <c r="K1513" s="9" t="e">
        <f>J1513+#REF!</f>
        <v>#REF!</v>
      </c>
      <c r="L1513" s="10" t="s">
        <v>41</v>
      </c>
      <c r="M1513" s="11">
        <v>44727.645821759259</v>
      </c>
      <c r="N1513" s="5" t="s">
        <v>42</v>
      </c>
      <c r="O1513" s="5" t="s">
        <v>43</v>
      </c>
      <c r="P1513" s="9"/>
      <c r="Q1513" s="5"/>
      <c r="R1513" s="5"/>
      <c r="S1513" s="5"/>
      <c r="T1513" s="9"/>
      <c r="U1513" s="5"/>
      <c r="V1513" s="5">
        <v>0</v>
      </c>
      <c r="W1513" s="5"/>
      <c r="X1513" s="5"/>
      <c r="Y1513" s="5"/>
      <c r="Z1513" s="5"/>
      <c r="AA1513" s="5" t="s">
        <v>44</v>
      </c>
      <c r="AC1513">
        <f t="shared" si="208"/>
        <v>15</v>
      </c>
      <c r="AD1513" t="str">
        <f t="shared" si="209"/>
        <v/>
      </c>
      <c r="AE1513" t="str">
        <f t="shared" si="210"/>
        <v/>
      </c>
      <c r="AF1513" t="str">
        <f t="shared" si="211"/>
        <v/>
      </c>
      <c r="AG1513" t="str">
        <f t="shared" si="212"/>
        <v/>
      </c>
      <c r="AH1513">
        <f t="shared" si="213"/>
        <v>4</v>
      </c>
      <c r="AI1513" t="str">
        <f t="shared" si="214"/>
        <v/>
      </c>
      <c r="AJ1513" t="str">
        <f t="shared" si="215"/>
        <v/>
      </c>
    </row>
    <row r="1514" spans="1:36">
      <c r="A1514" s="5">
        <v>1759</v>
      </c>
      <c r="B1514" s="5" t="s">
        <v>1928</v>
      </c>
      <c r="C1514" s="5" t="s">
        <v>1540</v>
      </c>
      <c r="D1514" s="5" t="s">
        <v>1925</v>
      </c>
      <c r="E1514" s="5" t="s">
        <v>1039</v>
      </c>
      <c r="F1514" s="5" t="str">
        <f t="shared" si="207"/>
        <v>Finance-Associate Director</v>
      </c>
      <c r="G1514" s="5" t="s">
        <v>56</v>
      </c>
      <c r="H1514" s="9">
        <v>44714.645821759259</v>
      </c>
      <c r="I1514" s="9">
        <v>44715.645821759259</v>
      </c>
      <c r="J1514" s="9" t="e">
        <f>I1514+#REF!</f>
        <v>#REF!</v>
      </c>
      <c r="K1514" s="9" t="e">
        <f>J1514+#REF!</f>
        <v>#REF!</v>
      </c>
      <c r="L1514" s="10" t="s">
        <v>52</v>
      </c>
      <c r="M1514" s="11"/>
      <c r="N1514" s="5"/>
      <c r="O1514" s="5"/>
      <c r="P1514" s="9"/>
      <c r="Q1514" s="5"/>
      <c r="R1514" s="5"/>
      <c r="S1514" s="5"/>
      <c r="T1514" s="9"/>
      <c r="U1514" s="5"/>
      <c r="V1514" s="5">
        <v>0</v>
      </c>
      <c r="W1514" s="5"/>
      <c r="X1514" s="5"/>
      <c r="Y1514" s="5"/>
      <c r="Z1514" s="5"/>
      <c r="AA1514" s="5"/>
      <c r="AC1514" t="str">
        <f t="shared" si="208"/>
        <v/>
      </c>
      <c r="AD1514" t="str">
        <f t="shared" si="209"/>
        <v/>
      </c>
      <c r="AE1514" t="str">
        <f t="shared" si="210"/>
        <v/>
      </c>
      <c r="AF1514" t="str">
        <f t="shared" si="211"/>
        <v/>
      </c>
      <c r="AG1514" t="str">
        <f t="shared" si="212"/>
        <v/>
      </c>
      <c r="AH1514">
        <f t="shared" si="213"/>
        <v>1</v>
      </c>
      <c r="AI1514" t="str">
        <f t="shared" si="214"/>
        <v/>
      </c>
      <c r="AJ1514" t="str">
        <f t="shared" si="215"/>
        <v/>
      </c>
    </row>
    <row r="1515" spans="1:36">
      <c r="A1515" s="5">
        <v>1760</v>
      </c>
      <c r="B1515" s="5" t="s">
        <v>1623</v>
      </c>
      <c r="C1515" s="5" t="s">
        <v>1540</v>
      </c>
      <c r="D1515" s="5" t="s">
        <v>1588</v>
      </c>
      <c r="E1515" s="5" t="s">
        <v>1360</v>
      </c>
      <c r="F1515" s="5" t="str">
        <f t="shared" si="207"/>
        <v>Finance-Fund Administrator</v>
      </c>
      <c r="G1515" s="5" t="s">
        <v>147</v>
      </c>
      <c r="H1515" s="9">
        <v>44709.645821759259</v>
      </c>
      <c r="I1515" s="9">
        <v>44712.645821759259</v>
      </c>
      <c r="J1515" s="9" t="e">
        <f>I1515+#REF!</f>
        <v>#REF!</v>
      </c>
      <c r="K1515" s="9" t="e">
        <f>J1515+#REF!</f>
        <v>#REF!</v>
      </c>
      <c r="L1515" s="10" t="s">
        <v>41</v>
      </c>
      <c r="M1515" s="11">
        <v>44734.645821759259</v>
      </c>
      <c r="N1515" s="5" t="s">
        <v>42</v>
      </c>
      <c r="O1515" s="5" t="s">
        <v>43</v>
      </c>
      <c r="P1515" s="9"/>
      <c r="Q1515" s="5"/>
      <c r="R1515" s="5"/>
      <c r="S1515" s="5"/>
      <c r="T1515" s="9">
        <v>44738.645821759259</v>
      </c>
      <c r="U1515" s="5"/>
      <c r="V1515" s="5">
        <v>0</v>
      </c>
      <c r="W1515" s="5"/>
      <c r="X1515" s="5"/>
      <c r="Y1515" s="5"/>
      <c r="Z1515" s="5"/>
      <c r="AA1515" s="5" t="s">
        <v>44</v>
      </c>
      <c r="AC1515">
        <f t="shared" si="208"/>
        <v>22</v>
      </c>
      <c r="AD1515" t="str">
        <f t="shared" si="209"/>
        <v/>
      </c>
      <c r="AE1515">
        <f t="shared" si="210"/>
        <v>4</v>
      </c>
      <c r="AF1515" t="str">
        <f t="shared" si="211"/>
        <v/>
      </c>
      <c r="AG1515" t="str">
        <f t="shared" si="212"/>
        <v/>
      </c>
      <c r="AH1515">
        <f t="shared" si="213"/>
        <v>3</v>
      </c>
      <c r="AI1515" t="str">
        <f t="shared" si="214"/>
        <v/>
      </c>
      <c r="AJ1515" t="str">
        <f t="shared" si="215"/>
        <v/>
      </c>
    </row>
    <row r="1516" spans="1:36">
      <c r="A1516" s="5">
        <v>1761</v>
      </c>
      <c r="B1516" s="5" t="s">
        <v>857</v>
      </c>
      <c r="C1516" s="5" t="s">
        <v>796</v>
      </c>
      <c r="D1516" s="5" t="s">
        <v>814</v>
      </c>
      <c r="E1516" s="5" t="s">
        <v>597</v>
      </c>
      <c r="F1516" s="5" t="str">
        <f t="shared" si="207"/>
        <v>M and E-Business Partner</v>
      </c>
      <c r="G1516" s="5" t="s">
        <v>147</v>
      </c>
      <c r="H1516" s="9">
        <v>45101.652581018519</v>
      </c>
      <c r="I1516" s="9">
        <v>45104.652581018519</v>
      </c>
      <c r="J1516" s="9" t="e">
        <f>I1516+#REF!</f>
        <v>#REF!</v>
      </c>
      <c r="K1516" s="9" t="e">
        <f>J1516+#REF!</f>
        <v>#REF!</v>
      </c>
      <c r="L1516" s="10" t="s">
        <v>52</v>
      </c>
      <c r="M1516" s="11"/>
      <c r="N1516" s="5"/>
      <c r="O1516" s="5"/>
      <c r="P1516" s="9"/>
      <c r="Q1516" s="5"/>
      <c r="R1516" s="5"/>
      <c r="S1516" s="5"/>
      <c r="T1516" s="9"/>
      <c r="U1516" s="5"/>
      <c r="V1516" s="5">
        <v>0</v>
      </c>
      <c r="W1516" s="5"/>
      <c r="X1516" s="5"/>
      <c r="Y1516" s="5"/>
      <c r="Z1516" s="5"/>
      <c r="AA1516" s="5"/>
      <c r="AC1516" t="str">
        <f t="shared" si="208"/>
        <v/>
      </c>
      <c r="AD1516" t="str">
        <f t="shared" si="209"/>
        <v/>
      </c>
      <c r="AE1516" t="str">
        <f t="shared" si="210"/>
        <v/>
      </c>
      <c r="AF1516" t="str">
        <f t="shared" si="211"/>
        <v/>
      </c>
      <c r="AG1516" t="str">
        <f t="shared" si="212"/>
        <v/>
      </c>
      <c r="AH1516">
        <f t="shared" si="213"/>
        <v>3</v>
      </c>
      <c r="AI1516" t="str">
        <f t="shared" si="214"/>
        <v/>
      </c>
      <c r="AJ1516" t="str">
        <f t="shared" si="215"/>
        <v/>
      </c>
    </row>
    <row r="1517" spans="1:36">
      <c r="A1517" s="5">
        <v>1762</v>
      </c>
      <c r="B1517" s="5" t="s">
        <v>994</v>
      </c>
      <c r="C1517" s="5" t="s">
        <v>796</v>
      </c>
      <c r="D1517" s="5" t="s">
        <v>957</v>
      </c>
      <c r="E1517" s="5" t="s">
        <v>388</v>
      </c>
      <c r="F1517" s="5" t="str">
        <f t="shared" si="207"/>
        <v>M and E-Extension Officer</v>
      </c>
      <c r="G1517" s="5" t="s">
        <v>40</v>
      </c>
      <c r="H1517" s="9">
        <v>45102.652581018519</v>
      </c>
      <c r="I1517" s="9">
        <v>45103.652581018519</v>
      </c>
      <c r="J1517" s="9" t="e">
        <f>I1517+#REF!</f>
        <v>#REF!</v>
      </c>
      <c r="K1517" s="9" t="e">
        <f>J1517+#REF!</f>
        <v>#REF!</v>
      </c>
      <c r="L1517" s="10" t="s">
        <v>41</v>
      </c>
      <c r="M1517" s="11">
        <v>45111.652581018519</v>
      </c>
      <c r="N1517" s="5" t="s">
        <v>42</v>
      </c>
      <c r="O1517" s="5" t="s">
        <v>113</v>
      </c>
      <c r="P1517" s="9"/>
      <c r="Q1517" s="5"/>
      <c r="R1517" s="5"/>
      <c r="S1517" s="5"/>
      <c r="T1517" s="9"/>
      <c r="U1517" s="5"/>
      <c r="V1517" s="5">
        <v>0</v>
      </c>
      <c r="W1517" s="5"/>
      <c r="X1517" s="5"/>
      <c r="Y1517" s="5"/>
      <c r="Z1517" s="5"/>
      <c r="AA1517" s="5" t="s">
        <v>62</v>
      </c>
      <c r="AC1517">
        <f t="shared" si="208"/>
        <v>8</v>
      </c>
      <c r="AD1517" t="str">
        <f t="shared" si="209"/>
        <v/>
      </c>
      <c r="AE1517" t="str">
        <f t="shared" si="210"/>
        <v/>
      </c>
      <c r="AF1517" t="str">
        <f t="shared" si="211"/>
        <v/>
      </c>
      <c r="AG1517" t="str">
        <f t="shared" si="212"/>
        <v/>
      </c>
      <c r="AH1517">
        <f t="shared" si="213"/>
        <v>1</v>
      </c>
      <c r="AI1517" t="str">
        <f t="shared" si="214"/>
        <v/>
      </c>
      <c r="AJ1517" t="str">
        <f t="shared" si="215"/>
        <v/>
      </c>
    </row>
    <row r="1518" spans="1:36">
      <c r="A1518" s="5">
        <v>1763</v>
      </c>
      <c r="B1518" s="5" t="s">
        <v>856</v>
      </c>
      <c r="C1518" s="5" t="s">
        <v>796</v>
      </c>
      <c r="D1518" s="5" t="s">
        <v>814</v>
      </c>
      <c r="E1518" s="5" t="s">
        <v>597</v>
      </c>
      <c r="F1518" s="5" t="str">
        <f t="shared" si="207"/>
        <v>M and E-Business Partner</v>
      </c>
      <c r="G1518" s="5" t="s">
        <v>147</v>
      </c>
      <c r="H1518" s="9">
        <v>45098.652581018519</v>
      </c>
      <c r="I1518" s="9">
        <v>45099.652581018519</v>
      </c>
      <c r="J1518" s="9" t="e">
        <f>I1518+#REF!</f>
        <v>#REF!</v>
      </c>
      <c r="K1518" s="9" t="e">
        <f>J1518+#REF!</f>
        <v>#REF!</v>
      </c>
      <c r="L1518" s="10" t="s">
        <v>41</v>
      </c>
      <c r="M1518" s="11">
        <v>45109.652581018519</v>
      </c>
      <c r="N1518" s="5" t="s">
        <v>42</v>
      </c>
      <c r="O1518" s="5" t="s">
        <v>73</v>
      </c>
      <c r="P1518" s="9"/>
      <c r="Q1518" s="5"/>
      <c r="R1518" s="5"/>
      <c r="S1518" s="5"/>
      <c r="T1518" s="9"/>
      <c r="U1518" s="5"/>
      <c r="V1518" s="5">
        <v>0</v>
      </c>
      <c r="W1518" s="5"/>
      <c r="X1518" s="5"/>
      <c r="Y1518" s="5"/>
      <c r="Z1518" s="5"/>
      <c r="AA1518" s="5" t="s">
        <v>62</v>
      </c>
      <c r="AC1518">
        <f t="shared" si="208"/>
        <v>10</v>
      </c>
      <c r="AD1518" t="str">
        <f t="shared" si="209"/>
        <v/>
      </c>
      <c r="AE1518" t="str">
        <f t="shared" si="210"/>
        <v/>
      </c>
      <c r="AF1518" t="str">
        <f t="shared" si="211"/>
        <v/>
      </c>
      <c r="AG1518" t="str">
        <f t="shared" si="212"/>
        <v/>
      </c>
      <c r="AH1518">
        <f t="shared" si="213"/>
        <v>1</v>
      </c>
      <c r="AI1518" t="str">
        <f t="shared" si="214"/>
        <v/>
      </c>
      <c r="AJ1518" t="str">
        <f t="shared" si="215"/>
        <v/>
      </c>
    </row>
    <row r="1519" spans="1:36">
      <c r="A1519" s="5">
        <v>1764</v>
      </c>
      <c r="B1519" s="5" t="s">
        <v>924</v>
      </c>
      <c r="C1519" s="5" t="s">
        <v>796</v>
      </c>
      <c r="D1519" s="5" t="s">
        <v>893</v>
      </c>
      <c r="E1519" s="5" t="s">
        <v>269</v>
      </c>
      <c r="F1519" s="5" t="str">
        <f t="shared" si="207"/>
        <v>M and E-Manager</v>
      </c>
      <c r="G1519" s="5" t="s">
        <v>270</v>
      </c>
      <c r="H1519" s="9">
        <v>45099.652581018519</v>
      </c>
      <c r="I1519" s="9">
        <v>45103.652581018519</v>
      </c>
      <c r="J1519" s="9" t="e">
        <f>I1519+#REF!</f>
        <v>#REF!</v>
      </c>
      <c r="K1519" s="9" t="e">
        <f>J1519+#REF!</f>
        <v>#REF!</v>
      </c>
      <c r="L1519" s="10" t="s">
        <v>41</v>
      </c>
      <c r="M1519" s="11">
        <v>45115.652581018519</v>
      </c>
      <c r="N1519" s="5" t="s">
        <v>42</v>
      </c>
      <c r="O1519" s="5" t="s">
        <v>98</v>
      </c>
      <c r="P1519" s="9"/>
      <c r="Q1519" s="5"/>
      <c r="R1519" s="5"/>
      <c r="S1519" s="5"/>
      <c r="T1519" s="9">
        <v>45116.652581018519</v>
      </c>
      <c r="U1519" s="5"/>
      <c r="V1519" s="5">
        <v>0</v>
      </c>
      <c r="W1519" s="5"/>
      <c r="X1519" s="5"/>
      <c r="Y1519" s="5"/>
      <c r="Z1519" s="5"/>
      <c r="AA1519" s="5" t="s">
        <v>44</v>
      </c>
      <c r="AC1519">
        <f t="shared" si="208"/>
        <v>12</v>
      </c>
      <c r="AD1519" t="str">
        <f t="shared" si="209"/>
        <v/>
      </c>
      <c r="AE1519">
        <f t="shared" si="210"/>
        <v>1</v>
      </c>
      <c r="AF1519" t="str">
        <f t="shared" si="211"/>
        <v/>
      </c>
      <c r="AG1519" t="str">
        <f t="shared" si="212"/>
        <v/>
      </c>
      <c r="AH1519">
        <f t="shared" si="213"/>
        <v>4</v>
      </c>
      <c r="AI1519" t="str">
        <f t="shared" si="214"/>
        <v/>
      </c>
      <c r="AJ1519" t="str">
        <f t="shared" si="215"/>
        <v/>
      </c>
    </row>
    <row r="1520" spans="1:36">
      <c r="A1520" s="5">
        <v>1765</v>
      </c>
      <c r="B1520" s="5" t="s">
        <v>923</v>
      </c>
      <c r="C1520" s="5" t="s">
        <v>796</v>
      </c>
      <c r="D1520" s="5" t="s">
        <v>893</v>
      </c>
      <c r="E1520" s="5" t="s">
        <v>269</v>
      </c>
      <c r="F1520" s="5" t="str">
        <f t="shared" si="207"/>
        <v>M and E-Manager</v>
      </c>
      <c r="G1520" s="5" t="s">
        <v>270</v>
      </c>
      <c r="H1520" s="9">
        <v>45101.652581018519</v>
      </c>
      <c r="I1520" s="9">
        <v>45104.652581018519</v>
      </c>
      <c r="J1520" s="9" t="e">
        <f>I1520+#REF!</f>
        <v>#REF!</v>
      </c>
      <c r="K1520" s="9" t="e">
        <f>J1520+#REF!</f>
        <v>#REF!</v>
      </c>
      <c r="L1520" s="10" t="s">
        <v>41</v>
      </c>
      <c r="M1520" s="11">
        <v>45118.652581018519</v>
      </c>
      <c r="N1520" s="5" t="s">
        <v>48</v>
      </c>
      <c r="O1520" s="5"/>
      <c r="P1520" s="9">
        <v>45123.652581018519</v>
      </c>
      <c r="Q1520" s="5" t="s">
        <v>48</v>
      </c>
      <c r="R1520" s="5"/>
      <c r="S1520" s="5"/>
      <c r="T1520" s="9">
        <v>45122.652581018519</v>
      </c>
      <c r="U1520" s="5"/>
      <c r="V1520" s="5">
        <v>0</v>
      </c>
      <c r="W1520" s="5"/>
      <c r="X1520" s="5"/>
      <c r="Y1520" s="5"/>
      <c r="Z1520" s="5"/>
      <c r="AA1520" s="5"/>
      <c r="AC1520">
        <f t="shared" si="208"/>
        <v>14</v>
      </c>
      <c r="AD1520" t="str">
        <f t="shared" si="209"/>
        <v/>
      </c>
      <c r="AE1520">
        <f t="shared" si="210"/>
        <v>4</v>
      </c>
      <c r="AF1520" t="str">
        <f t="shared" si="211"/>
        <v/>
      </c>
      <c r="AG1520" t="str">
        <f t="shared" si="212"/>
        <v/>
      </c>
      <c r="AH1520">
        <f t="shared" si="213"/>
        <v>3</v>
      </c>
      <c r="AI1520" t="str">
        <f t="shared" si="214"/>
        <v/>
      </c>
      <c r="AJ1520" t="str">
        <f t="shared" si="215"/>
        <v/>
      </c>
    </row>
    <row r="1521" spans="1:36">
      <c r="A1521" s="5">
        <v>1766</v>
      </c>
      <c r="B1521" s="5" t="s">
        <v>855</v>
      </c>
      <c r="C1521" s="5" t="s">
        <v>796</v>
      </c>
      <c r="D1521" s="5" t="s">
        <v>814</v>
      </c>
      <c r="E1521" s="5" t="s">
        <v>597</v>
      </c>
      <c r="F1521" s="5" t="str">
        <f t="shared" si="207"/>
        <v>M and E-Business Partner</v>
      </c>
      <c r="G1521" s="5" t="s">
        <v>147</v>
      </c>
      <c r="H1521" s="9">
        <v>45099.652581018519</v>
      </c>
      <c r="I1521" s="9">
        <v>45101.652581018519</v>
      </c>
      <c r="J1521" s="9" t="e">
        <f>I1521+#REF!</f>
        <v>#REF!</v>
      </c>
      <c r="K1521" s="9" t="e">
        <f>J1521+#REF!</f>
        <v>#REF!</v>
      </c>
      <c r="L1521" s="10" t="s">
        <v>41</v>
      </c>
      <c r="M1521" s="11">
        <v>45121.652581018519</v>
      </c>
      <c r="N1521" s="5" t="s">
        <v>42</v>
      </c>
      <c r="O1521" s="5" t="s">
        <v>43</v>
      </c>
      <c r="P1521" s="9"/>
      <c r="Q1521" s="5"/>
      <c r="R1521" s="5"/>
      <c r="S1521" s="5"/>
      <c r="T1521" s="9">
        <v>45125.652581018519</v>
      </c>
      <c r="U1521" s="5"/>
      <c r="V1521" s="5">
        <v>0</v>
      </c>
      <c r="W1521" s="5"/>
      <c r="X1521" s="5"/>
      <c r="Y1521" s="5"/>
      <c r="Z1521" s="5"/>
      <c r="AA1521" s="5" t="s">
        <v>62</v>
      </c>
      <c r="AC1521">
        <f t="shared" si="208"/>
        <v>20</v>
      </c>
      <c r="AD1521" t="str">
        <f t="shared" si="209"/>
        <v/>
      </c>
      <c r="AE1521">
        <f t="shared" si="210"/>
        <v>4</v>
      </c>
      <c r="AF1521" t="str">
        <f t="shared" si="211"/>
        <v/>
      </c>
      <c r="AG1521" t="str">
        <f t="shared" si="212"/>
        <v/>
      </c>
      <c r="AH1521">
        <f t="shared" si="213"/>
        <v>2</v>
      </c>
      <c r="AI1521" t="str">
        <f t="shared" si="214"/>
        <v/>
      </c>
      <c r="AJ1521" t="str">
        <f t="shared" si="215"/>
        <v/>
      </c>
    </row>
    <row r="1522" spans="1:36">
      <c r="A1522" s="5">
        <v>1767</v>
      </c>
      <c r="B1522" s="5" t="s">
        <v>854</v>
      </c>
      <c r="C1522" s="5" t="s">
        <v>796</v>
      </c>
      <c r="D1522" s="5" t="s">
        <v>814</v>
      </c>
      <c r="E1522" s="5" t="s">
        <v>597</v>
      </c>
      <c r="F1522" s="5" t="str">
        <f t="shared" si="207"/>
        <v>M and E-Business Partner</v>
      </c>
      <c r="G1522" s="5" t="s">
        <v>147</v>
      </c>
      <c r="H1522" s="9">
        <v>45096.652581018519</v>
      </c>
      <c r="I1522" s="9">
        <v>45100.652581018519</v>
      </c>
      <c r="J1522" s="9" t="e">
        <f>I1522+#REF!</f>
        <v>#REF!</v>
      </c>
      <c r="K1522" s="9" t="e">
        <f>J1522+#REF!</f>
        <v>#REF!</v>
      </c>
      <c r="L1522" s="10" t="s">
        <v>41</v>
      </c>
      <c r="M1522" s="11">
        <v>45112.652581018519</v>
      </c>
      <c r="N1522" s="5" t="s">
        <v>48</v>
      </c>
      <c r="O1522" s="5"/>
      <c r="P1522" s="9">
        <v>45118.652581018519</v>
      </c>
      <c r="Q1522" s="5" t="s">
        <v>48</v>
      </c>
      <c r="R1522" s="5"/>
      <c r="S1522" s="5"/>
      <c r="T1522" s="9">
        <v>45116.652581018519</v>
      </c>
      <c r="U1522" s="5"/>
      <c r="V1522" s="5">
        <v>0</v>
      </c>
      <c r="W1522" s="5"/>
      <c r="X1522" s="5"/>
      <c r="Y1522" s="5"/>
      <c r="Z1522" s="5"/>
      <c r="AA1522" s="5"/>
      <c r="AC1522">
        <f t="shared" si="208"/>
        <v>12</v>
      </c>
      <c r="AD1522" t="str">
        <f t="shared" si="209"/>
        <v/>
      </c>
      <c r="AE1522">
        <f t="shared" si="210"/>
        <v>4</v>
      </c>
      <c r="AF1522" t="str">
        <f t="shared" si="211"/>
        <v/>
      </c>
      <c r="AG1522" t="str">
        <f t="shared" si="212"/>
        <v/>
      </c>
      <c r="AH1522">
        <f t="shared" si="213"/>
        <v>4</v>
      </c>
      <c r="AI1522" t="str">
        <f t="shared" si="214"/>
        <v/>
      </c>
      <c r="AJ1522" t="str">
        <f t="shared" si="215"/>
        <v/>
      </c>
    </row>
    <row r="1523" spans="1:36">
      <c r="A1523" s="5">
        <v>1768</v>
      </c>
      <c r="B1523" s="5" t="s">
        <v>922</v>
      </c>
      <c r="C1523" s="5" t="s">
        <v>796</v>
      </c>
      <c r="D1523" s="5" t="s">
        <v>893</v>
      </c>
      <c r="E1523" s="5" t="s">
        <v>269</v>
      </c>
      <c r="F1523" s="5" t="str">
        <f t="shared" si="207"/>
        <v>M and E-Manager</v>
      </c>
      <c r="G1523" s="5" t="s">
        <v>270</v>
      </c>
      <c r="H1523" s="9">
        <v>45097.652581018519</v>
      </c>
      <c r="I1523" s="9">
        <v>45101.652581018519</v>
      </c>
      <c r="J1523" s="9" t="e">
        <f>I1523+#REF!</f>
        <v>#REF!</v>
      </c>
      <c r="K1523" s="9" t="e">
        <f>J1523+#REF!</f>
        <v>#REF!</v>
      </c>
      <c r="L1523" s="10" t="s">
        <v>41</v>
      </c>
      <c r="M1523" s="11">
        <v>45121.652581018519</v>
      </c>
      <c r="N1523" s="5" t="s">
        <v>64</v>
      </c>
      <c r="O1523" s="5"/>
      <c r="P1523" s="9">
        <v>45128.652581018519</v>
      </c>
      <c r="Q1523" s="5" t="s">
        <v>64</v>
      </c>
      <c r="R1523" s="9">
        <v>45123.652581018519</v>
      </c>
      <c r="S1523" s="9">
        <v>45127.652581018519</v>
      </c>
      <c r="T1523" s="9">
        <v>45124.652581018519</v>
      </c>
      <c r="U1523" s="9">
        <v>45134.652581018519</v>
      </c>
      <c r="V1523" s="12">
        <v>1</v>
      </c>
      <c r="W1523" s="9">
        <v>45135.652581018519</v>
      </c>
      <c r="X1523" s="9">
        <v>45138.652581018519</v>
      </c>
      <c r="Y1523" s="9">
        <v>45139.652581018519</v>
      </c>
      <c r="Z1523" s="5"/>
      <c r="AA1523" s="5"/>
      <c r="AB1523" s="13">
        <v>45154.652581018519</v>
      </c>
      <c r="AC1523">
        <f t="shared" si="208"/>
        <v>20</v>
      </c>
      <c r="AD1523">
        <f t="shared" si="209"/>
        <v>26</v>
      </c>
      <c r="AE1523">
        <f t="shared" si="210"/>
        <v>3</v>
      </c>
      <c r="AF1523">
        <f t="shared" si="211"/>
        <v>4</v>
      </c>
      <c r="AG1523">
        <f t="shared" si="212"/>
        <v>1</v>
      </c>
      <c r="AH1523">
        <f t="shared" si="213"/>
        <v>4</v>
      </c>
      <c r="AI1523" t="str">
        <f t="shared" si="214"/>
        <v/>
      </c>
      <c r="AJ1523" t="str">
        <f t="shared" si="215"/>
        <v/>
      </c>
    </row>
    <row r="1524" spans="1:36">
      <c r="A1524" s="5">
        <v>1769</v>
      </c>
      <c r="B1524" s="5" t="s">
        <v>993</v>
      </c>
      <c r="C1524" s="5" t="s">
        <v>796</v>
      </c>
      <c r="D1524" s="5" t="s">
        <v>957</v>
      </c>
      <c r="E1524" s="5" t="s">
        <v>388</v>
      </c>
      <c r="F1524" s="5" t="str">
        <f t="shared" si="207"/>
        <v>M and E-Extension Officer</v>
      </c>
      <c r="G1524" s="5" t="s">
        <v>40</v>
      </c>
      <c r="H1524" s="9">
        <v>45099.652581018519</v>
      </c>
      <c r="I1524" s="9">
        <v>45100.652581018519</v>
      </c>
      <c r="J1524" s="9" t="e">
        <f>I1524+#REF!</f>
        <v>#REF!</v>
      </c>
      <c r="K1524" s="9" t="e">
        <f>J1524+#REF!</f>
        <v>#REF!</v>
      </c>
      <c r="L1524" s="10" t="s">
        <v>41</v>
      </c>
      <c r="M1524" s="11">
        <v>45109.652581018519</v>
      </c>
      <c r="N1524" s="5" t="s">
        <v>64</v>
      </c>
      <c r="O1524" s="5"/>
      <c r="P1524" s="9">
        <v>45115.652581018519</v>
      </c>
      <c r="Q1524" s="5" t="s">
        <v>64</v>
      </c>
      <c r="R1524" s="9">
        <v>45111.652581018519</v>
      </c>
      <c r="S1524" s="9">
        <v>45115.652581018519</v>
      </c>
      <c r="T1524" s="9">
        <v>45111.652581018519</v>
      </c>
      <c r="U1524" s="9">
        <v>45121.652581018519</v>
      </c>
      <c r="V1524" s="12">
        <v>1</v>
      </c>
      <c r="W1524" s="9">
        <v>45123.652581018519</v>
      </c>
      <c r="X1524" s="9">
        <v>45126.652581018519</v>
      </c>
      <c r="Y1524" s="9">
        <v>45127.652581018519</v>
      </c>
      <c r="Z1524" s="5"/>
      <c r="AA1524" s="5"/>
      <c r="AB1524" s="13">
        <v>45149.652581018519</v>
      </c>
      <c r="AC1524">
        <f t="shared" si="208"/>
        <v>9</v>
      </c>
      <c r="AD1524">
        <f t="shared" si="209"/>
        <v>15</v>
      </c>
      <c r="AE1524">
        <f t="shared" si="210"/>
        <v>2</v>
      </c>
      <c r="AF1524">
        <f t="shared" si="211"/>
        <v>5</v>
      </c>
      <c r="AG1524">
        <f t="shared" si="212"/>
        <v>2</v>
      </c>
      <c r="AH1524">
        <f t="shared" si="213"/>
        <v>1</v>
      </c>
      <c r="AI1524" t="str">
        <f t="shared" si="214"/>
        <v/>
      </c>
      <c r="AJ1524" t="str">
        <f t="shared" si="215"/>
        <v/>
      </c>
    </row>
    <row r="1525" spans="1:36">
      <c r="A1525" s="5">
        <v>1773</v>
      </c>
      <c r="B1525" s="5" t="s">
        <v>681</v>
      </c>
      <c r="C1525" s="10" t="s">
        <v>671</v>
      </c>
      <c r="D1525" s="5" t="s">
        <v>672</v>
      </c>
      <c r="E1525" s="5" t="s">
        <v>673</v>
      </c>
      <c r="F1525" s="5" t="str">
        <f t="shared" si="207"/>
        <v>Operations-Controller</v>
      </c>
      <c r="G1525" s="5" t="s">
        <v>40</v>
      </c>
      <c r="H1525" s="9">
        <v>44712.825856481482</v>
      </c>
      <c r="I1525" s="9">
        <v>44716.825856481482</v>
      </c>
      <c r="J1525" s="9" t="e">
        <f>I1525+#REF!</f>
        <v>#REF!</v>
      </c>
      <c r="K1525" s="9" t="e">
        <f>J1525+#REF!</f>
        <v>#REF!</v>
      </c>
      <c r="L1525" s="10" t="s">
        <v>52</v>
      </c>
      <c r="M1525" s="11"/>
      <c r="N1525" s="5"/>
      <c r="O1525" s="5"/>
      <c r="P1525" s="9"/>
      <c r="Q1525" s="5"/>
      <c r="R1525" s="5"/>
      <c r="S1525" s="5"/>
      <c r="T1525" s="9"/>
      <c r="U1525" s="5"/>
      <c r="V1525" s="5">
        <v>0</v>
      </c>
      <c r="W1525" s="5"/>
      <c r="X1525" s="5"/>
      <c r="Y1525" s="5"/>
      <c r="Z1525" s="5"/>
      <c r="AA1525" s="5"/>
      <c r="AC1525" t="str">
        <f t="shared" si="208"/>
        <v/>
      </c>
      <c r="AD1525" t="str">
        <f t="shared" si="209"/>
        <v/>
      </c>
      <c r="AE1525" t="str">
        <f t="shared" si="210"/>
        <v/>
      </c>
      <c r="AF1525" t="str">
        <f t="shared" si="211"/>
        <v/>
      </c>
      <c r="AG1525" t="str">
        <f t="shared" si="212"/>
        <v/>
      </c>
      <c r="AH1525">
        <f t="shared" si="213"/>
        <v>4</v>
      </c>
      <c r="AI1525" t="str">
        <f t="shared" si="214"/>
        <v/>
      </c>
      <c r="AJ1525" t="str">
        <f t="shared" si="215"/>
        <v/>
      </c>
    </row>
    <row r="1526" spans="1:36">
      <c r="A1526" s="5">
        <v>1774</v>
      </c>
      <c r="B1526" s="5" t="s">
        <v>1301</v>
      </c>
      <c r="C1526" s="10" t="s">
        <v>1215</v>
      </c>
      <c r="D1526" s="5" t="s">
        <v>1287</v>
      </c>
      <c r="E1526" s="5" t="s">
        <v>1146</v>
      </c>
      <c r="F1526" s="5" t="str">
        <f t="shared" si="207"/>
        <v>HR-Quality Assurance</v>
      </c>
      <c r="G1526" s="5" t="s">
        <v>47</v>
      </c>
      <c r="H1526" s="9">
        <v>44712.825856481482</v>
      </c>
      <c r="I1526" s="9">
        <v>44716.825856481482</v>
      </c>
      <c r="J1526" s="9" t="e">
        <f>I1526+#REF!</f>
        <v>#REF!</v>
      </c>
      <c r="K1526" s="9" t="e">
        <f>J1526+#REF!</f>
        <v>#REF!</v>
      </c>
      <c r="L1526" s="10" t="s">
        <v>41</v>
      </c>
      <c r="M1526" s="11">
        <v>44729.825856481482</v>
      </c>
      <c r="N1526" s="5" t="s">
        <v>42</v>
      </c>
      <c r="O1526" s="5" t="s">
        <v>73</v>
      </c>
      <c r="P1526" s="9"/>
      <c r="Q1526" s="5"/>
      <c r="R1526" s="5"/>
      <c r="S1526" s="5"/>
      <c r="T1526" s="9"/>
      <c r="U1526" s="5"/>
      <c r="V1526" s="5">
        <v>0</v>
      </c>
      <c r="W1526" s="5"/>
      <c r="X1526" s="5"/>
      <c r="Y1526" s="5"/>
      <c r="Z1526" s="5"/>
      <c r="AA1526" s="5" t="s">
        <v>62</v>
      </c>
      <c r="AC1526">
        <f t="shared" si="208"/>
        <v>13</v>
      </c>
      <c r="AD1526" t="str">
        <f t="shared" si="209"/>
        <v/>
      </c>
      <c r="AE1526" t="str">
        <f t="shared" si="210"/>
        <v/>
      </c>
      <c r="AF1526" t="str">
        <f t="shared" si="211"/>
        <v/>
      </c>
      <c r="AG1526" t="str">
        <f t="shared" si="212"/>
        <v/>
      </c>
      <c r="AH1526">
        <f t="shared" si="213"/>
        <v>4</v>
      </c>
      <c r="AI1526" t="str">
        <f t="shared" si="214"/>
        <v/>
      </c>
      <c r="AJ1526" t="str">
        <f t="shared" si="215"/>
        <v/>
      </c>
    </row>
    <row r="1527" spans="1:36">
      <c r="A1527" s="5">
        <v>1776</v>
      </c>
      <c r="B1527" s="5" t="s">
        <v>1201</v>
      </c>
      <c r="C1527" s="10" t="s">
        <v>1122</v>
      </c>
      <c r="D1527" s="5" t="s">
        <v>1191</v>
      </c>
      <c r="E1527" s="5" t="s">
        <v>269</v>
      </c>
      <c r="F1527" s="5" t="str">
        <f t="shared" si="207"/>
        <v>IT-Manager</v>
      </c>
      <c r="G1527" s="5" t="s">
        <v>270</v>
      </c>
      <c r="H1527" s="9">
        <v>44711.825856481482</v>
      </c>
      <c r="I1527" s="9">
        <v>44715.825856481482</v>
      </c>
      <c r="J1527" s="9" t="e">
        <f>I1527+#REF!</f>
        <v>#REF!</v>
      </c>
      <c r="K1527" s="9" t="e">
        <f>J1527+#REF!</f>
        <v>#REF!</v>
      </c>
      <c r="L1527" s="10" t="s">
        <v>41</v>
      </c>
      <c r="M1527" s="11">
        <v>44734.825856481482</v>
      </c>
      <c r="N1527" s="5" t="s">
        <v>42</v>
      </c>
      <c r="O1527" s="5" t="s">
        <v>113</v>
      </c>
      <c r="P1527" s="9"/>
      <c r="Q1527" s="5"/>
      <c r="R1527" s="5"/>
      <c r="S1527" s="5"/>
      <c r="T1527" s="9"/>
      <c r="U1527" s="5"/>
      <c r="V1527" s="5">
        <v>0</v>
      </c>
      <c r="W1527" s="5"/>
      <c r="X1527" s="5"/>
      <c r="Y1527" s="5"/>
      <c r="Z1527" s="5"/>
      <c r="AA1527" s="5" t="s">
        <v>62</v>
      </c>
      <c r="AC1527">
        <f t="shared" si="208"/>
        <v>19</v>
      </c>
      <c r="AD1527" t="str">
        <f t="shared" si="209"/>
        <v/>
      </c>
      <c r="AE1527" t="str">
        <f t="shared" si="210"/>
        <v/>
      </c>
      <c r="AF1527" t="str">
        <f t="shared" si="211"/>
        <v/>
      </c>
      <c r="AG1527" t="str">
        <f t="shared" si="212"/>
        <v/>
      </c>
      <c r="AH1527">
        <f t="shared" si="213"/>
        <v>4</v>
      </c>
      <c r="AI1527" t="str">
        <f t="shared" si="214"/>
        <v/>
      </c>
      <c r="AJ1527" t="str">
        <f t="shared" si="215"/>
        <v/>
      </c>
    </row>
    <row r="1528" spans="1:36">
      <c r="A1528" s="5">
        <v>1777</v>
      </c>
      <c r="B1528" s="5" t="s">
        <v>1164</v>
      </c>
      <c r="C1528" s="10" t="s">
        <v>1122</v>
      </c>
      <c r="D1528" s="5" t="s">
        <v>1145</v>
      </c>
      <c r="E1528" s="5" t="s">
        <v>1146</v>
      </c>
      <c r="F1528" s="5" t="str">
        <f t="shared" si="207"/>
        <v>IT-Quality Assurance</v>
      </c>
      <c r="G1528" s="5" t="s">
        <v>147</v>
      </c>
      <c r="H1528" s="9">
        <v>44709.825856481482</v>
      </c>
      <c r="I1528" s="9">
        <v>44712.825856481482</v>
      </c>
      <c r="J1528" s="9" t="e">
        <f>I1528+#REF!</f>
        <v>#REF!</v>
      </c>
      <c r="K1528" s="9" t="e">
        <f>J1528+#REF!</f>
        <v>#REF!</v>
      </c>
      <c r="L1528" s="10" t="s">
        <v>41</v>
      </c>
      <c r="M1528" s="11">
        <v>44733.825856481482</v>
      </c>
      <c r="N1528" s="5" t="s">
        <v>42</v>
      </c>
      <c r="O1528" s="5" t="s">
        <v>43</v>
      </c>
      <c r="P1528" s="9"/>
      <c r="Q1528" s="5"/>
      <c r="R1528" s="5"/>
      <c r="S1528" s="5"/>
      <c r="T1528" s="9"/>
      <c r="U1528" s="5"/>
      <c r="V1528" s="5">
        <v>0</v>
      </c>
      <c r="W1528" s="5"/>
      <c r="X1528" s="5"/>
      <c r="Y1528" s="5"/>
      <c r="Z1528" s="5"/>
      <c r="AA1528" s="5" t="s">
        <v>62</v>
      </c>
      <c r="AC1528">
        <f t="shared" si="208"/>
        <v>21</v>
      </c>
      <c r="AD1528" t="str">
        <f t="shared" si="209"/>
        <v/>
      </c>
      <c r="AE1528" t="str">
        <f t="shared" si="210"/>
        <v/>
      </c>
      <c r="AF1528" t="str">
        <f t="shared" si="211"/>
        <v/>
      </c>
      <c r="AG1528" t="str">
        <f t="shared" si="212"/>
        <v/>
      </c>
      <c r="AH1528">
        <f t="shared" si="213"/>
        <v>3</v>
      </c>
      <c r="AI1528" t="str">
        <f t="shared" si="214"/>
        <v/>
      </c>
      <c r="AJ1528" t="str">
        <f t="shared" si="215"/>
        <v/>
      </c>
    </row>
    <row r="1529" spans="1:36">
      <c r="A1529" s="5">
        <v>1780</v>
      </c>
      <c r="B1529" s="5" t="s">
        <v>1200</v>
      </c>
      <c r="C1529" s="10" t="s">
        <v>1122</v>
      </c>
      <c r="D1529" s="5" t="s">
        <v>1191</v>
      </c>
      <c r="E1529" s="5" t="s">
        <v>269</v>
      </c>
      <c r="F1529" s="5" t="str">
        <f t="shared" si="207"/>
        <v>IT-Manager</v>
      </c>
      <c r="G1529" s="5" t="s">
        <v>270</v>
      </c>
      <c r="H1529" s="9">
        <v>44712.825856481482</v>
      </c>
      <c r="I1529" s="9">
        <v>44713.825856481482</v>
      </c>
      <c r="J1529" s="9" t="e">
        <f>I1529+#REF!</f>
        <v>#REF!</v>
      </c>
      <c r="K1529" s="9" t="e">
        <f>J1529+#REF!</f>
        <v>#REF!</v>
      </c>
      <c r="L1529" s="10" t="s">
        <v>41</v>
      </c>
      <c r="M1529" s="11">
        <v>44729.825856481482</v>
      </c>
      <c r="N1529" s="5" t="s">
        <v>42</v>
      </c>
      <c r="O1529" s="5" t="s">
        <v>58</v>
      </c>
      <c r="P1529" s="9"/>
      <c r="Q1529" s="5"/>
      <c r="R1529" s="5"/>
      <c r="S1529" s="5"/>
      <c r="T1529" s="9"/>
      <c r="U1529" s="5"/>
      <c r="V1529" s="5">
        <v>0</v>
      </c>
      <c r="W1529" s="5"/>
      <c r="X1529" s="5"/>
      <c r="Y1529" s="5"/>
      <c r="Z1529" s="5"/>
      <c r="AA1529" s="5" t="s">
        <v>62</v>
      </c>
      <c r="AC1529">
        <f t="shared" si="208"/>
        <v>16</v>
      </c>
      <c r="AD1529" t="str">
        <f t="shared" si="209"/>
        <v/>
      </c>
      <c r="AE1529" t="str">
        <f t="shared" si="210"/>
        <v/>
      </c>
      <c r="AF1529" t="str">
        <f t="shared" si="211"/>
        <v/>
      </c>
      <c r="AG1529" t="str">
        <f t="shared" si="212"/>
        <v/>
      </c>
      <c r="AH1529">
        <f t="shared" si="213"/>
        <v>1</v>
      </c>
      <c r="AI1529" t="str">
        <f t="shared" si="214"/>
        <v/>
      </c>
      <c r="AJ1529" t="str">
        <f t="shared" si="215"/>
        <v/>
      </c>
    </row>
    <row r="1530" spans="1:36">
      <c r="A1530" s="5">
        <v>1781</v>
      </c>
      <c r="B1530" s="5" t="s">
        <v>809</v>
      </c>
      <c r="C1530" s="5" t="s">
        <v>796</v>
      </c>
      <c r="D1530" s="5" t="s">
        <v>797</v>
      </c>
      <c r="E1530" s="5" t="s">
        <v>102</v>
      </c>
      <c r="F1530" s="5" t="str">
        <f t="shared" si="207"/>
        <v>M and E-Senior Manager</v>
      </c>
      <c r="G1530" s="5" t="s">
        <v>103</v>
      </c>
      <c r="H1530" s="9">
        <v>44658.356493055559</v>
      </c>
      <c r="I1530" s="9">
        <v>44659.356493055559</v>
      </c>
      <c r="J1530" s="9" t="e">
        <f>I1530+#REF!</f>
        <v>#REF!</v>
      </c>
      <c r="K1530" s="9" t="e">
        <f>J1530+#REF!</f>
        <v>#REF!</v>
      </c>
      <c r="L1530" s="10" t="s">
        <v>41</v>
      </c>
      <c r="M1530" s="11">
        <v>44673.356493055559</v>
      </c>
      <c r="N1530" s="5" t="s">
        <v>42</v>
      </c>
      <c r="O1530" s="5" t="s">
        <v>113</v>
      </c>
      <c r="P1530" s="9"/>
      <c r="Q1530" s="5"/>
      <c r="R1530" s="5"/>
      <c r="S1530" s="5"/>
      <c r="T1530" s="9"/>
      <c r="U1530" s="5"/>
      <c r="V1530" s="5">
        <v>0</v>
      </c>
      <c r="W1530" s="5"/>
      <c r="X1530" s="5"/>
      <c r="Y1530" s="5"/>
      <c r="Z1530" s="5"/>
      <c r="AA1530" s="5" t="s">
        <v>44</v>
      </c>
      <c r="AC1530">
        <f t="shared" si="208"/>
        <v>14</v>
      </c>
      <c r="AD1530" t="str">
        <f t="shared" si="209"/>
        <v/>
      </c>
      <c r="AE1530" t="str">
        <f t="shared" si="210"/>
        <v/>
      </c>
      <c r="AF1530" t="str">
        <f t="shared" si="211"/>
        <v/>
      </c>
      <c r="AG1530" t="str">
        <f t="shared" si="212"/>
        <v/>
      </c>
      <c r="AH1530">
        <f t="shared" si="213"/>
        <v>1</v>
      </c>
      <c r="AI1530" t="str">
        <f t="shared" si="214"/>
        <v/>
      </c>
      <c r="AJ1530" t="str">
        <f t="shared" si="215"/>
        <v/>
      </c>
    </row>
    <row r="1531" spans="1:36">
      <c r="A1531" s="5">
        <v>1782</v>
      </c>
      <c r="B1531" s="5" t="s">
        <v>921</v>
      </c>
      <c r="C1531" s="5" t="s">
        <v>796</v>
      </c>
      <c r="D1531" s="5" t="s">
        <v>893</v>
      </c>
      <c r="E1531" s="5" t="s">
        <v>269</v>
      </c>
      <c r="F1531" s="5" t="str">
        <f t="shared" si="207"/>
        <v>M and E-Manager</v>
      </c>
      <c r="G1531" s="5" t="s">
        <v>270</v>
      </c>
      <c r="H1531" s="9">
        <v>44659.356493055559</v>
      </c>
      <c r="I1531" s="9">
        <v>44662.356493055559</v>
      </c>
      <c r="J1531" s="9" t="e">
        <f>I1531+#REF!</f>
        <v>#REF!</v>
      </c>
      <c r="K1531" s="9" t="e">
        <f>J1531+#REF!</f>
        <v>#REF!</v>
      </c>
      <c r="L1531" s="10" t="s">
        <v>41</v>
      </c>
      <c r="M1531" s="11">
        <v>44670.356493055559</v>
      </c>
      <c r="N1531" s="5" t="s">
        <v>48</v>
      </c>
      <c r="O1531" s="5"/>
      <c r="P1531" s="9">
        <v>44673.356493055559</v>
      </c>
      <c r="Q1531" s="5" t="s">
        <v>48</v>
      </c>
      <c r="R1531" s="5"/>
      <c r="S1531" s="5"/>
      <c r="T1531" s="9">
        <v>44672.356493055559</v>
      </c>
      <c r="U1531" s="5"/>
      <c r="V1531" s="5">
        <v>0</v>
      </c>
      <c r="W1531" s="5"/>
      <c r="X1531" s="5"/>
      <c r="Y1531" s="5"/>
      <c r="Z1531" s="5"/>
      <c r="AA1531" s="5"/>
      <c r="AC1531">
        <f t="shared" si="208"/>
        <v>8</v>
      </c>
      <c r="AD1531" t="str">
        <f t="shared" si="209"/>
        <v/>
      </c>
      <c r="AE1531">
        <f t="shared" si="210"/>
        <v>2</v>
      </c>
      <c r="AF1531" t="str">
        <f t="shared" si="211"/>
        <v/>
      </c>
      <c r="AG1531" t="str">
        <f t="shared" si="212"/>
        <v/>
      </c>
      <c r="AH1531">
        <f t="shared" si="213"/>
        <v>3</v>
      </c>
      <c r="AI1531" t="str">
        <f t="shared" si="214"/>
        <v/>
      </c>
      <c r="AJ1531" t="str">
        <f t="shared" si="215"/>
        <v/>
      </c>
    </row>
    <row r="1532" spans="1:36">
      <c r="A1532" s="5">
        <v>1783</v>
      </c>
      <c r="B1532" s="5" t="s">
        <v>992</v>
      </c>
      <c r="C1532" s="5" t="s">
        <v>796</v>
      </c>
      <c r="D1532" s="5" t="s">
        <v>957</v>
      </c>
      <c r="E1532" s="5" t="s">
        <v>388</v>
      </c>
      <c r="F1532" s="5" t="str">
        <f t="shared" si="207"/>
        <v>M and E-Extension Officer</v>
      </c>
      <c r="G1532" s="5" t="s">
        <v>40</v>
      </c>
      <c r="H1532" s="9">
        <v>44659.356493055559</v>
      </c>
      <c r="I1532" s="9">
        <v>44663.356493055559</v>
      </c>
      <c r="J1532" s="9" t="e">
        <f>I1532+#REF!</f>
        <v>#REF!</v>
      </c>
      <c r="K1532" s="9" t="e">
        <f>J1532+#REF!</f>
        <v>#REF!</v>
      </c>
      <c r="L1532" s="10" t="s">
        <v>41</v>
      </c>
      <c r="M1532" s="11">
        <v>44673.356493055559</v>
      </c>
      <c r="N1532" s="5" t="s">
        <v>48</v>
      </c>
      <c r="O1532" s="5"/>
      <c r="P1532" s="9">
        <v>44678.356493055559</v>
      </c>
      <c r="Q1532" s="5" t="s">
        <v>48</v>
      </c>
      <c r="R1532" s="5"/>
      <c r="S1532" s="5"/>
      <c r="T1532" s="9">
        <v>44674.356493055559</v>
      </c>
      <c r="U1532" s="5"/>
      <c r="V1532" s="5">
        <v>0</v>
      </c>
      <c r="W1532" s="5"/>
      <c r="X1532" s="5"/>
      <c r="Y1532" s="5"/>
      <c r="Z1532" s="5"/>
      <c r="AA1532" s="5"/>
      <c r="AC1532">
        <f t="shared" si="208"/>
        <v>10</v>
      </c>
      <c r="AD1532" t="str">
        <f t="shared" si="209"/>
        <v/>
      </c>
      <c r="AE1532">
        <f t="shared" si="210"/>
        <v>1</v>
      </c>
      <c r="AF1532" t="str">
        <f t="shared" si="211"/>
        <v/>
      </c>
      <c r="AG1532" t="str">
        <f t="shared" si="212"/>
        <v/>
      </c>
      <c r="AH1532">
        <f t="shared" si="213"/>
        <v>4</v>
      </c>
      <c r="AI1532" t="str">
        <f t="shared" si="214"/>
        <v/>
      </c>
      <c r="AJ1532" t="str">
        <f t="shared" si="215"/>
        <v/>
      </c>
    </row>
    <row r="1533" spans="1:36">
      <c r="A1533" s="5">
        <v>1784</v>
      </c>
      <c r="B1533" s="5" t="s">
        <v>853</v>
      </c>
      <c r="C1533" s="5" t="s">
        <v>796</v>
      </c>
      <c r="D1533" s="5" t="s">
        <v>814</v>
      </c>
      <c r="E1533" s="5" t="s">
        <v>597</v>
      </c>
      <c r="F1533" s="5" t="str">
        <f t="shared" si="207"/>
        <v>M and E-Business Partner</v>
      </c>
      <c r="G1533" s="5" t="s">
        <v>147</v>
      </c>
      <c r="H1533" s="9">
        <v>44657.356493055559</v>
      </c>
      <c r="I1533" s="9">
        <v>44661.356493055559</v>
      </c>
      <c r="J1533" s="9" t="e">
        <f>I1533+#REF!</f>
        <v>#REF!</v>
      </c>
      <c r="K1533" s="9" t="e">
        <f>J1533+#REF!</f>
        <v>#REF!</v>
      </c>
      <c r="L1533" s="10" t="s">
        <v>41</v>
      </c>
      <c r="M1533" s="11">
        <v>44671.356493055559</v>
      </c>
      <c r="N1533" s="5" t="s">
        <v>64</v>
      </c>
      <c r="O1533" s="5"/>
      <c r="P1533" s="9">
        <v>44679.356493055559</v>
      </c>
      <c r="Q1533" s="5" t="s">
        <v>64</v>
      </c>
      <c r="R1533" s="9">
        <v>44672.356493055559</v>
      </c>
      <c r="S1533" s="9">
        <v>44673.356493055559</v>
      </c>
      <c r="T1533" s="9">
        <v>44675.356493055559</v>
      </c>
      <c r="U1533" s="9">
        <v>44682.356493055559</v>
      </c>
      <c r="V1533" s="12">
        <v>1</v>
      </c>
      <c r="W1533" s="9">
        <v>44685.356493055559</v>
      </c>
      <c r="X1533" s="9">
        <v>44687.356493055559</v>
      </c>
      <c r="Y1533" s="9">
        <v>44689.356493055559</v>
      </c>
      <c r="Z1533" s="5"/>
      <c r="AA1533" s="5"/>
      <c r="AB1533" s="13">
        <v>44704.356493055559</v>
      </c>
      <c r="AC1533">
        <f t="shared" si="208"/>
        <v>10</v>
      </c>
      <c r="AD1533">
        <f t="shared" si="209"/>
        <v>12</v>
      </c>
      <c r="AE1533">
        <f t="shared" si="210"/>
        <v>4</v>
      </c>
      <c r="AF1533">
        <f t="shared" si="211"/>
        <v>5</v>
      </c>
      <c r="AG1533">
        <f t="shared" si="212"/>
        <v>3</v>
      </c>
      <c r="AH1533">
        <f t="shared" si="213"/>
        <v>4</v>
      </c>
      <c r="AI1533" t="str">
        <f t="shared" si="214"/>
        <v/>
      </c>
      <c r="AJ1533" t="str">
        <f t="shared" si="215"/>
        <v/>
      </c>
    </row>
    <row r="1534" spans="1:36">
      <c r="A1534" s="5">
        <v>1786</v>
      </c>
      <c r="B1534" s="5" t="s">
        <v>991</v>
      </c>
      <c r="C1534" s="5" t="s">
        <v>796</v>
      </c>
      <c r="D1534" s="5" t="s">
        <v>957</v>
      </c>
      <c r="E1534" s="5" t="s">
        <v>388</v>
      </c>
      <c r="F1534" s="5" t="str">
        <f t="shared" si="207"/>
        <v>M and E-Extension Officer</v>
      </c>
      <c r="G1534" s="5" t="s">
        <v>40</v>
      </c>
      <c r="H1534" s="9">
        <v>44662.356493055559</v>
      </c>
      <c r="I1534" s="9">
        <v>44664.356493055559</v>
      </c>
      <c r="J1534" s="9" t="e">
        <f>I1534+#REF!</f>
        <v>#REF!</v>
      </c>
      <c r="K1534" s="9" t="e">
        <f>J1534+#REF!</f>
        <v>#REF!</v>
      </c>
      <c r="L1534" s="10" t="s">
        <v>52</v>
      </c>
      <c r="M1534" s="11"/>
      <c r="N1534" s="5"/>
      <c r="O1534" s="5"/>
      <c r="P1534" s="9"/>
      <c r="Q1534" s="5"/>
      <c r="R1534" s="5"/>
      <c r="S1534" s="5"/>
      <c r="T1534" s="9"/>
      <c r="U1534" s="5"/>
      <c r="V1534" s="5">
        <v>0</v>
      </c>
      <c r="W1534" s="5"/>
      <c r="X1534" s="5"/>
      <c r="Y1534" s="5"/>
      <c r="Z1534" s="5"/>
      <c r="AA1534" s="5"/>
      <c r="AC1534" t="str">
        <f t="shared" si="208"/>
        <v/>
      </c>
      <c r="AD1534" t="str">
        <f t="shared" si="209"/>
        <v/>
      </c>
      <c r="AE1534" t="str">
        <f t="shared" si="210"/>
        <v/>
      </c>
      <c r="AF1534" t="str">
        <f t="shared" si="211"/>
        <v/>
      </c>
      <c r="AG1534" t="str">
        <f t="shared" si="212"/>
        <v/>
      </c>
      <c r="AH1534">
        <f t="shared" si="213"/>
        <v>2</v>
      </c>
      <c r="AI1534" t="str">
        <f t="shared" si="214"/>
        <v/>
      </c>
      <c r="AJ1534" t="str">
        <f t="shared" si="215"/>
        <v/>
      </c>
    </row>
    <row r="1535" spans="1:36">
      <c r="A1535" s="5">
        <v>1787</v>
      </c>
      <c r="B1535" s="5" t="s">
        <v>1086</v>
      </c>
      <c r="C1535" s="5" t="s">
        <v>796</v>
      </c>
      <c r="D1535" s="5" t="s">
        <v>1046</v>
      </c>
      <c r="E1535" s="5" t="s">
        <v>473</v>
      </c>
      <c r="F1535" s="5" t="str">
        <f t="shared" si="207"/>
        <v>M and E-Officer</v>
      </c>
      <c r="G1535" s="5" t="s">
        <v>47</v>
      </c>
      <c r="H1535" s="9">
        <v>44661.356493055559</v>
      </c>
      <c r="I1535" s="9">
        <v>44664.356493055559</v>
      </c>
      <c r="J1535" s="9" t="e">
        <f>I1535+#REF!</f>
        <v>#REF!</v>
      </c>
      <c r="K1535" s="9" t="e">
        <f>J1535+#REF!</f>
        <v>#REF!</v>
      </c>
      <c r="L1535" s="10" t="s">
        <v>41</v>
      </c>
      <c r="M1535" s="11">
        <v>44674.356493055559</v>
      </c>
      <c r="N1535" s="5" t="s">
        <v>48</v>
      </c>
      <c r="O1535" s="5"/>
      <c r="P1535" s="9">
        <v>44681.356493055559</v>
      </c>
      <c r="Q1535" s="5" t="s">
        <v>48</v>
      </c>
      <c r="R1535" s="5"/>
      <c r="S1535" s="5"/>
      <c r="T1535" s="9">
        <v>44678.356493055559</v>
      </c>
      <c r="U1535" s="5"/>
      <c r="V1535" s="5">
        <v>0</v>
      </c>
      <c r="W1535" s="5"/>
      <c r="X1535" s="5"/>
      <c r="Y1535" s="5"/>
      <c r="Z1535" s="5"/>
      <c r="AA1535" s="5"/>
      <c r="AC1535">
        <f t="shared" si="208"/>
        <v>10</v>
      </c>
      <c r="AD1535" t="str">
        <f t="shared" si="209"/>
        <v/>
      </c>
      <c r="AE1535">
        <f t="shared" si="210"/>
        <v>4</v>
      </c>
      <c r="AF1535" t="str">
        <f t="shared" si="211"/>
        <v/>
      </c>
      <c r="AG1535" t="str">
        <f t="shared" si="212"/>
        <v/>
      </c>
      <c r="AH1535">
        <f t="shared" si="213"/>
        <v>3</v>
      </c>
      <c r="AI1535" t="str">
        <f t="shared" si="214"/>
        <v/>
      </c>
      <c r="AJ1535" t="str">
        <f t="shared" si="215"/>
        <v/>
      </c>
    </row>
    <row r="1536" spans="1:36">
      <c r="A1536" s="5">
        <v>1788</v>
      </c>
      <c r="B1536" s="5" t="s">
        <v>852</v>
      </c>
      <c r="C1536" s="5" t="s">
        <v>796</v>
      </c>
      <c r="D1536" s="5" t="s">
        <v>814</v>
      </c>
      <c r="E1536" s="5" t="s">
        <v>597</v>
      </c>
      <c r="F1536" s="5" t="str">
        <f t="shared" si="207"/>
        <v>M and E-Business Partner</v>
      </c>
      <c r="G1536" s="5" t="s">
        <v>147</v>
      </c>
      <c r="H1536" s="9">
        <v>44659.356493055559</v>
      </c>
      <c r="I1536" s="9">
        <v>44660.356493055559</v>
      </c>
      <c r="J1536" s="9" t="e">
        <f>I1536+#REF!</f>
        <v>#REF!</v>
      </c>
      <c r="K1536" s="9" t="e">
        <f>J1536+#REF!</f>
        <v>#REF!</v>
      </c>
      <c r="L1536" s="10" t="s">
        <v>41</v>
      </c>
      <c r="M1536" s="11">
        <v>44668.356493055559</v>
      </c>
      <c r="N1536" s="5" t="s">
        <v>64</v>
      </c>
      <c r="O1536" s="5"/>
      <c r="P1536" s="9">
        <v>44676.356493055559</v>
      </c>
      <c r="Q1536" s="5" t="s">
        <v>64</v>
      </c>
      <c r="R1536" s="9">
        <v>44670.356493055559</v>
      </c>
      <c r="S1536" s="9">
        <v>44672.356493055559</v>
      </c>
      <c r="T1536" s="9">
        <v>44672.356493055559</v>
      </c>
      <c r="U1536" s="9">
        <v>44679.356493055559</v>
      </c>
      <c r="V1536" s="12">
        <v>1</v>
      </c>
      <c r="W1536" s="9">
        <v>44683.356493055559</v>
      </c>
      <c r="X1536" s="9">
        <v>44686.356493055559</v>
      </c>
      <c r="Y1536" s="9">
        <v>44689.356493055559</v>
      </c>
      <c r="Z1536" s="5"/>
      <c r="AA1536" s="5"/>
      <c r="AB1536" s="13">
        <v>44698.356493055559</v>
      </c>
      <c r="AC1536">
        <f t="shared" si="208"/>
        <v>8</v>
      </c>
      <c r="AD1536">
        <f t="shared" si="209"/>
        <v>12</v>
      </c>
      <c r="AE1536">
        <f t="shared" si="210"/>
        <v>4</v>
      </c>
      <c r="AF1536">
        <f t="shared" si="211"/>
        <v>7</v>
      </c>
      <c r="AG1536">
        <f t="shared" si="212"/>
        <v>4</v>
      </c>
      <c r="AH1536">
        <f t="shared" si="213"/>
        <v>1</v>
      </c>
      <c r="AI1536" t="str">
        <f t="shared" si="214"/>
        <v/>
      </c>
      <c r="AJ1536" t="str">
        <f t="shared" si="215"/>
        <v/>
      </c>
    </row>
    <row r="1537" spans="1:36">
      <c r="A1537" s="5">
        <v>1789</v>
      </c>
      <c r="B1537" s="5" t="s">
        <v>990</v>
      </c>
      <c r="C1537" s="5" t="s">
        <v>796</v>
      </c>
      <c r="D1537" s="5" t="s">
        <v>957</v>
      </c>
      <c r="E1537" s="5" t="s">
        <v>388</v>
      </c>
      <c r="F1537" s="5" t="str">
        <f t="shared" si="207"/>
        <v>M and E-Extension Officer</v>
      </c>
      <c r="G1537" s="5" t="s">
        <v>40</v>
      </c>
      <c r="H1537" s="9">
        <v>44661.356493055559</v>
      </c>
      <c r="I1537" s="9">
        <v>44662.356493055559</v>
      </c>
      <c r="J1537" s="9" t="e">
        <f>I1537+#REF!</f>
        <v>#REF!</v>
      </c>
      <c r="K1537" s="9" t="e">
        <f>J1537+#REF!</f>
        <v>#REF!</v>
      </c>
      <c r="L1537" s="10" t="s">
        <v>41</v>
      </c>
      <c r="M1537" s="11">
        <v>44668.356493055559</v>
      </c>
      <c r="N1537" s="5" t="s">
        <v>64</v>
      </c>
      <c r="O1537" s="5"/>
      <c r="P1537" s="9">
        <v>44673.356493055559</v>
      </c>
      <c r="Q1537" s="5" t="s">
        <v>64</v>
      </c>
      <c r="R1537" s="9">
        <v>44670.356493055559</v>
      </c>
      <c r="S1537" s="9">
        <v>44673.356493055559</v>
      </c>
      <c r="T1537" s="9">
        <v>44671.356493055559</v>
      </c>
      <c r="U1537" s="9">
        <v>44677.356493055559</v>
      </c>
      <c r="V1537" s="12">
        <v>1</v>
      </c>
      <c r="W1537" s="9">
        <v>44681.356493055559</v>
      </c>
      <c r="X1537" s="9">
        <v>44684.356493055559</v>
      </c>
      <c r="Y1537" s="9">
        <v>44686.356493055559</v>
      </c>
      <c r="Z1537" s="5"/>
      <c r="AA1537" s="5"/>
      <c r="AB1537" s="13">
        <v>44703.356493055559</v>
      </c>
      <c r="AC1537">
        <f t="shared" si="208"/>
        <v>6</v>
      </c>
      <c r="AD1537">
        <f t="shared" si="209"/>
        <v>11</v>
      </c>
      <c r="AE1537">
        <f t="shared" si="210"/>
        <v>3</v>
      </c>
      <c r="AF1537">
        <f t="shared" si="211"/>
        <v>7</v>
      </c>
      <c r="AG1537">
        <f t="shared" si="212"/>
        <v>4</v>
      </c>
      <c r="AH1537">
        <f t="shared" si="213"/>
        <v>1</v>
      </c>
      <c r="AI1537" t="str">
        <f t="shared" si="214"/>
        <v/>
      </c>
      <c r="AJ1537" t="str">
        <f t="shared" si="215"/>
        <v/>
      </c>
    </row>
    <row r="1538" spans="1:36">
      <c r="A1538" s="5">
        <v>1790</v>
      </c>
      <c r="B1538" s="5" t="s">
        <v>920</v>
      </c>
      <c r="C1538" s="5" t="s">
        <v>796</v>
      </c>
      <c r="D1538" s="5" t="s">
        <v>893</v>
      </c>
      <c r="E1538" s="5" t="s">
        <v>269</v>
      </c>
      <c r="F1538" s="5" t="str">
        <f t="shared" ref="F1538:F1601" si="216">_xlfn.CONCAT(C1538,"-",E1538)</f>
        <v>M and E-Manager</v>
      </c>
      <c r="G1538" s="5" t="s">
        <v>270</v>
      </c>
      <c r="H1538" s="9">
        <v>44658.356493055559</v>
      </c>
      <c r="I1538" s="9">
        <v>44661.356493055559</v>
      </c>
      <c r="J1538" s="9" t="e">
        <f>I1538+#REF!</f>
        <v>#REF!</v>
      </c>
      <c r="K1538" s="9" t="e">
        <f>J1538+#REF!</f>
        <v>#REF!</v>
      </c>
      <c r="L1538" s="10" t="s">
        <v>52</v>
      </c>
      <c r="M1538" s="11"/>
      <c r="N1538" s="5"/>
      <c r="O1538" s="5"/>
      <c r="P1538" s="9"/>
      <c r="Q1538" s="5"/>
      <c r="R1538" s="5"/>
      <c r="S1538" s="5"/>
      <c r="T1538" s="9"/>
      <c r="U1538" s="5"/>
      <c r="V1538" s="5">
        <v>0</v>
      </c>
      <c r="W1538" s="5"/>
      <c r="X1538" s="5"/>
      <c r="Y1538" s="5"/>
      <c r="Z1538" s="5"/>
      <c r="AA1538" s="5"/>
      <c r="AC1538" t="str">
        <f t="shared" ref="AC1538:AC1601" si="217">IF(AND(ISNUMBER(M1538), ISNUMBER(I1538)), M1538 - I1538, "")</f>
        <v/>
      </c>
      <c r="AD1538" t="str">
        <f t="shared" si="209"/>
        <v/>
      </c>
      <c r="AE1538" t="str">
        <f t="shared" si="210"/>
        <v/>
      </c>
      <c r="AF1538" t="str">
        <f t="shared" si="211"/>
        <v/>
      </c>
      <c r="AG1538" t="str">
        <f t="shared" si="212"/>
        <v/>
      </c>
      <c r="AH1538">
        <f t="shared" si="213"/>
        <v>3</v>
      </c>
      <c r="AI1538" t="str">
        <f t="shared" si="214"/>
        <v/>
      </c>
      <c r="AJ1538" t="str">
        <f t="shared" si="215"/>
        <v/>
      </c>
    </row>
    <row r="1539" spans="1:36">
      <c r="A1539" s="5">
        <v>1791</v>
      </c>
      <c r="B1539" s="5" t="s">
        <v>614</v>
      </c>
      <c r="C1539" s="5" t="s">
        <v>100</v>
      </c>
      <c r="D1539" s="5" t="s">
        <v>554</v>
      </c>
      <c r="E1539" s="5" t="s">
        <v>597</v>
      </c>
      <c r="F1539" s="5" t="str">
        <f t="shared" si="216"/>
        <v>Program Office-Business Partner</v>
      </c>
      <c r="G1539" s="5" t="s">
        <v>47</v>
      </c>
      <c r="H1539" s="9">
        <v>44830.47960648148</v>
      </c>
      <c r="I1539" s="9">
        <v>44834.47960648148</v>
      </c>
      <c r="J1539" s="9" t="e">
        <f>I1539+#REF!</f>
        <v>#REF!</v>
      </c>
      <c r="K1539" s="9" t="e">
        <f>J1539+#REF!</f>
        <v>#REF!</v>
      </c>
      <c r="L1539" s="10" t="s">
        <v>52</v>
      </c>
      <c r="M1539" s="11"/>
      <c r="N1539" s="5"/>
      <c r="O1539" s="5"/>
      <c r="P1539" s="9"/>
      <c r="Q1539" s="5"/>
      <c r="R1539" s="5"/>
      <c r="S1539" s="5"/>
      <c r="T1539" s="9"/>
      <c r="U1539" s="5"/>
      <c r="V1539" s="5">
        <v>0</v>
      </c>
      <c r="W1539" s="5"/>
      <c r="X1539" s="5"/>
      <c r="Y1539" s="5"/>
      <c r="Z1539" s="5"/>
      <c r="AA1539" s="5"/>
      <c r="AC1539" t="str">
        <f t="shared" si="217"/>
        <v/>
      </c>
      <c r="AD1539" t="str">
        <f t="shared" ref="AD1539:AD1602" si="218">IF(AND(ISNUMBER(S1539), ISNUMBER(I1539)), S1539 - I1539, "")</f>
        <v/>
      </c>
      <c r="AE1539" t="str">
        <f t="shared" ref="AE1539:AE1602" si="219">IF(AND(ISNUMBER(T1539), ISNUMBER(M1539)), T1539-M1539, "")</f>
        <v/>
      </c>
      <c r="AF1539" t="str">
        <f t="shared" ref="AF1539:AF1602" si="220">IF(AND(ISNUMBER(X1539), ISNUMBER(U1539)), X1539-U1539,"")</f>
        <v/>
      </c>
      <c r="AG1539" t="str">
        <f t="shared" ref="AG1539:AG1602" si="221">IF(AND(ISNUMBER(W1539), ISNUMBER(U1539)), W1539-U1539, "")</f>
        <v/>
      </c>
      <c r="AH1539">
        <f t="shared" ref="AH1539:AH1602" si="222">IF(AND(ISNUMBER(I1539), ISNUMBER(H1539)), I1539-H1539,"")</f>
        <v>4</v>
      </c>
      <c r="AI1539" t="str">
        <f t="shared" ref="AI1539:AI1602" si="223">IF(AND(ISNUMBER(J1539),ISNUMBER(K1539)),K1539-J1539,"")</f>
        <v/>
      </c>
      <c r="AJ1539" t="str">
        <f t="shared" ref="AJ1539:AJ1602" si="224">IF(AND(ISNUMBER(J1539),ISNUMBER(I1539)), J1539-I1539,"")</f>
        <v/>
      </c>
    </row>
    <row r="1540" spans="1:36">
      <c r="A1540" s="5">
        <v>1792</v>
      </c>
      <c r="B1540" s="5" t="s">
        <v>319</v>
      </c>
      <c r="C1540" s="5" t="s">
        <v>100</v>
      </c>
      <c r="D1540" s="5" t="s">
        <v>268</v>
      </c>
      <c r="E1540" s="5" t="s">
        <v>291</v>
      </c>
      <c r="F1540" s="5" t="str">
        <f t="shared" si="216"/>
        <v>Program Office-Cordination Manager</v>
      </c>
      <c r="G1540" s="5" t="s">
        <v>270</v>
      </c>
      <c r="H1540" s="9">
        <v>44828.47960648148</v>
      </c>
      <c r="I1540" s="9">
        <v>44831.47960648148</v>
      </c>
      <c r="J1540" s="9" t="e">
        <f>I1540+#REF!</f>
        <v>#REF!</v>
      </c>
      <c r="K1540" s="9" t="e">
        <f>J1540+#REF!</f>
        <v>#REF!</v>
      </c>
      <c r="L1540" s="10" t="s">
        <v>52</v>
      </c>
      <c r="M1540" s="11"/>
      <c r="N1540" s="5"/>
      <c r="O1540" s="5"/>
      <c r="P1540" s="9"/>
      <c r="Q1540" s="5"/>
      <c r="R1540" s="5"/>
      <c r="S1540" s="5"/>
      <c r="T1540" s="9"/>
      <c r="U1540" s="5"/>
      <c r="V1540" s="5">
        <v>0</v>
      </c>
      <c r="W1540" s="5"/>
      <c r="X1540" s="5"/>
      <c r="Y1540" s="5"/>
      <c r="Z1540" s="5"/>
      <c r="AA1540" s="5"/>
      <c r="AC1540" t="str">
        <f t="shared" si="217"/>
        <v/>
      </c>
      <c r="AD1540" t="str">
        <f t="shared" si="218"/>
        <v/>
      </c>
      <c r="AE1540" t="str">
        <f t="shared" si="219"/>
        <v/>
      </c>
      <c r="AF1540" t="str">
        <f t="shared" si="220"/>
        <v/>
      </c>
      <c r="AG1540" t="str">
        <f t="shared" si="221"/>
        <v/>
      </c>
      <c r="AH1540">
        <f t="shared" si="222"/>
        <v>3</v>
      </c>
      <c r="AI1540" t="str">
        <f t="shared" si="223"/>
        <v/>
      </c>
      <c r="AJ1540" t="str">
        <f t="shared" si="224"/>
        <v/>
      </c>
    </row>
    <row r="1541" spans="1:36">
      <c r="A1541" s="5">
        <v>1794</v>
      </c>
      <c r="B1541" s="5" t="s">
        <v>318</v>
      </c>
      <c r="C1541" s="5" t="s">
        <v>100</v>
      </c>
      <c r="D1541" s="5" t="s">
        <v>268</v>
      </c>
      <c r="E1541" s="5" t="s">
        <v>291</v>
      </c>
      <c r="F1541" s="5" t="str">
        <f t="shared" si="216"/>
        <v>Program Office-Cordination Manager</v>
      </c>
      <c r="G1541" s="5" t="s">
        <v>270</v>
      </c>
      <c r="H1541" s="9">
        <v>44830.47960648148</v>
      </c>
      <c r="I1541" s="9">
        <v>44832.47960648148</v>
      </c>
      <c r="J1541" s="9" t="e">
        <f>I1541+#REF!</f>
        <v>#REF!</v>
      </c>
      <c r="K1541" s="9" t="e">
        <f>J1541+#REF!</f>
        <v>#REF!</v>
      </c>
      <c r="L1541" s="10" t="s">
        <v>41</v>
      </c>
      <c r="M1541" s="11">
        <v>44846.47960648148</v>
      </c>
      <c r="N1541" s="5" t="s">
        <v>42</v>
      </c>
      <c r="O1541" s="5" t="s">
        <v>98</v>
      </c>
      <c r="P1541" s="9"/>
      <c r="Q1541" s="5"/>
      <c r="R1541" s="5"/>
      <c r="S1541" s="5"/>
      <c r="T1541" s="9">
        <v>44850.47960648148</v>
      </c>
      <c r="U1541" s="5"/>
      <c r="V1541" s="5">
        <v>0</v>
      </c>
      <c r="W1541" s="5"/>
      <c r="X1541" s="5"/>
      <c r="Y1541" s="5"/>
      <c r="Z1541" s="5"/>
      <c r="AA1541" s="5" t="s">
        <v>62</v>
      </c>
      <c r="AC1541">
        <f t="shared" si="217"/>
        <v>14</v>
      </c>
      <c r="AD1541" t="str">
        <f t="shared" si="218"/>
        <v/>
      </c>
      <c r="AE1541">
        <f t="shared" si="219"/>
        <v>4</v>
      </c>
      <c r="AF1541" t="str">
        <f t="shared" si="220"/>
        <v/>
      </c>
      <c r="AG1541" t="str">
        <f t="shared" si="221"/>
        <v/>
      </c>
      <c r="AH1541">
        <f t="shared" si="222"/>
        <v>2</v>
      </c>
      <c r="AI1541" t="str">
        <f t="shared" si="223"/>
        <v/>
      </c>
      <c r="AJ1541" t="str">
        <f t="shared" si="224"/>
        <v/>
      </c>
    </row>
    <row r="1542" spans="1:36">
      <c r="A1542" s="5">
        <v>1796</v>
      </c>
      <c r="B1542" s="5" t="s">
        <v>200</v>
      </c>
      <c r="C1542" s="5" t="s">
        <v>100</v>
      </c>
      <c r="D1542" s="5" t="s">
        <v>146</v>
      </c>
      <c r="E1542" s="5" t="s">
        <v>39</v>
      </c>
      <c r="F1542" s="5" t="str">
        <f t="shared" si="216"/>
        <v>Program Office-Analyst</v>
      </c>
      <c r="G1542" s="5" t="s">
        <v>147</v>
      </c>
      <c r="H1542" s="9">
        <v>44828.47960648148</v>
      </c>
      <c r="I1542" s="9">
        <v>44831.47960648148</v>
      </c>
      <c r="J1542" s="9" t="e">
        <f>I1542+#REF!</f>
        <v>#REF!</v>
      </c>
      <c r="K1542" s="9" t="e">
        <f>J1542+#REF!</f>
        <v>#REF!</v>
      </c>
      <c r="L1542" s="10" t="s">
        <v>52</v>
      </c>
      <c r="M1542" s="11"/>
      <c r="N1542" s="5"/>
      <c r="O1542" s="5"/>
      <c r="P1542" s="9"/>
      <c r="Q1542" s="5"/>
      <c r="R1542" s="5"/>
      <c r="S1542" s="5"/>
      <c r="T1542" s="9"/>
      <c r="U1542" s="5"/>
      <c r="V1542" s="5">
        <v>0</v>
      </c>
      <c r="W1542" s="5"/>
      <c r="X1542" s="5"/>
      <c r="Y1542" s="5"/>
      <c r="Z1542" s="5"/>
      <c r="AA1542" s="5"/>
      <c r="AC1542" t="str">
        <f t="shared" si="217"/>
        <v/>
      </c>
      <c r="AD1542" t="str">
        <f t="shared" si="218"/>
        <v/>
      </c>
      <c r="AE1542" t="str">
        <f t="shared" si="219"/>
        <v/>
      </c>
      <c r="AF1542" t="str">
        <f t="shared" si="220"/>
        <v/>
      </c>
      <c r="AG1542" t="str">
        <f t="shared" si="221"/>
        <v/>
      </c>
      <c r="AH1542">
        <f t="shared" si="222"/>
        <v>3</v>
      </c>
      <c r="AI1542" t="str">
        <f t="shared" si="223"/>
        <v/>
      </c>
      <c r="AJ1542" t="str">
        <f t="shared" si="224"/>
        <v/>
      </c>
    </row>
    <row r="1543" spans="1:36">
      <c r="A1543" s="5">
        <v>1799</v>
      </c>
      <c r="B1543" s="5" t="s">
        <v>440</v>
      </c>
      <c r="C1543" s="5" t="s">
        <v>100</v>
      </c>
      <c r="D1543" s="5" t="s">
        <v>387</v>
      </c>
      <c r="E1543" s="5" t="s">
        <v>388</v>
      </c>
      <c r="F1543" s="5" t="str">
        <f t="shared" si="216"/>
        <v>Program Office-Extension Officer</v>
      </c>
      <c r="G1543" s="5" t="s">
        <v>40</v>
      </c>
      <c r="H1543" s="9">
        <v>44832.47960648148</v>
      </c>
      <c r="I1543" s="9">
        <v>44835.47960648148</v>
      </c>
      <c r="J1543" s="9" t="e">
        <f>I1543+#REF!</f>
        <v>#REF!</v>
      </c>
      <c r="K1543" s="9" t="e">
        <f>J1543+#REF!</f>
        <v>#REF!</v>
      </c>
      <c r="L1543" s="10" t="s">
        <v>52</v>
      </c>
      <c r="M1543" s="11"/>
      <c r="N1543" s="5"/>
      <c r="O1543" s="5"/>
      <c r="P1543" s="9"/>
      <c r="Q1543" s="5"/>
      <c r="R1543" s="5"/>
      <c r="S1543" s="5"/>
      <c r="T1543" s="9"/>
      <c r="U1543" s="5"/>
      <c r="V1543" s="5">
        <v>0</v>
      </c>
      <c r="W1543" s="5"/>
      <c r="X1543" s="5"/>
      <c r="Y1543" s="5"/>
      <c r="Z1543" s="5"/>
      <c r="AA1543" s="5"/>
      <c r="AC1543" t="str">
        <f t="shared" si="217"/>
        <v/>
      </c>
      <c r="AD1543" t="str">
        <f t="shared" si="218"/>
        <v/>
      </c>
      <c r="AE1543" t="str">
        <f t="shared" si="219"/>
        <v/>
      </c>
      <c r="AF1543" t="str">
        <f t="shared" si="220"/>
        <v/>
      </c>
      <c r="AG1543" t="str">
        <f t="shared" si="221"/>
        <v/>
      </c>
      <c r="AH1543">
        <f t="shared" si="222"/>
        <v>3</v>
      </c>
      <c r="AI1543" t="str">
        <f t="shared" si="223"/>
        <v/>
      </c>
      <c r="AJ1543" t="str">
        <f t="shared" si="224"/>
        <v/>
      </c>
    </row>
    <row r="1544" spans="1:36">
      <c r="A1544" s="5">
        <v>1800</v>
      </c>
      <c r="B1544" s="5" t="s">
        <v>613</v>
      </c>
      <c r="C1544" s="5" t="s">
        <v>100</v>
      </c>
      <c r="D1544" s="5" t="s">
        <v>554</v>
      </c>
      <c r="E1544" s="5" t="s">
        <v>597</v>
      </c>
      <c r="F1544" s="5" t="str">
        <f t="shared" si="216"/>
        <v>Program Office-Business Partner</v>
      </c>
      <c r="G1544" s="5" t="s">
        <v>47</v>
      </c>
      <c r="H1544" s="9">
        <v>44832.47960648148</v>
      </c>
      <c r="I1544" s="9">
        <v>44834.47960648148</v>
      </c>
      <c r="J1544" s="9" t="e">
        <f>I1544+#REF!</f>
        <v>#REF!</v>
      </c>
      <c r="K1544" s="9" t="e">
        <f>J1544+#REF!</f>
        <v>#REF!</v>
      </c>
      <c r="L1544" s="10" t="s">
        <v>41</v>
      </c>
      <c r="M1544" s="11">
        <v>44844.47960648148</v>
      </c>
      <c r="N1544" s="5" t="s">
        <v>167</v>
      </c>
      <c r="O1544" s="5"/>
      <c r="P1544" s="9">
        <v>44848.47960648148</v>
      </c>
      <c r="Q1544" s="5" t="s">
        <v>167</v>
      </c>
      <c r="R1544" s="5"/>
      <c r="S1544" s="5"/>
      <c r="T1544" s="9">
        <v>44846.47960648148</v>
      </c>
      <c r="U1544" s="5"/>
      <c r="V1544" s="5">
        <v>0</v>
      </c>
      <c r="W1544" s="5"/>
      <c r="X1544" s="5"/>
      <c r="Y1544" s="5"/>
      <c r="Z1544" s="5"/>
      <c r="AA1544" s="5"/>
      <c r="AC1544">
        <f t="shared" si="217"/>
        <v>10</v>
      </c>
      <c r="AD1544" t="str">
        <f t="shared" si="218"/>
        <v/>
      </c>
      <c r="AE1544">
        <f t="shared" si="219"/>
        <v>2</v>
      </c>
      <c r="AF1544" t="str">
        <f t="shared" si="220"/>
        <v/>
      </c>
      <c r="AG1544" t="str">
        <f t="shared" si="221"/>
        <v/>
      </c>
      <c r="AH1544">
        <f t="shared" si="222"/>
        <v>2</v>
      </c>
      <c r="AI1544" t="str">
        <f t="shared" si="223"/>
        <v/>
      </c>
      <c r="AJ1544" t="str">
        <f t="shared" si="224"/>
        <v/>
      </c>
    </row>
    <row r="1545" spans="1:36">
      <c r="A1545" s="5">
        <v>1801</v>
      </c>
      <c r="B1545" s="5" t="s">
        <v>123</v>
      </c>
      <c r="C1545" s="5" t="s">
        <v>100</v>
      </c>
      <c r="D1545" s="5" t="s">
        <v>101</v>
      </c>
      <c r="E1545" s="5" t="s">
        <v>102</v>
      </c>
      <c r="F1545" s="5" t="str">
        <f t="shared" si="216"/>
        <v>Program Office-Senior Manager</v>
      </c>
      <c r="G1545" s="5" t="s">
        <v>103</v>
      </c>
      <c r="H1545" s="9">
        <v>45122.017708333333</v>
      </c>
      <c r="I1545" s="9">
        <v>45124.017708333333</v>
      </c>
      <c r="J1545" s="9" t="e">
        <f>I1545+#REF!</f>
        <v>#REF!</v>
      </c>
      <c r="K1545" s="9" t="e">
        <f>J1545+#REF!</f>
        <v>#REF!</v>
      </c>
      <c r="L1545" s="10" t="s">
        <v>41</v>
      </c>
      <c r="M1545" s="11">
        <v>45145.017708333333</v>
      </c>
      <c r="N1545" s="5" t="s">
        <v>42</v>
      </c>
      <c r="O1545" s="5" t="s">
        <v>113</v>
      </c>
      <c r="P1545" s="9"/>
      <c r="Q1545" s="5"/>
      <c r="R1545" s="5"/>
      <c r="S1545" s="5"/>
      <c r="T1545" s="9">
        <v>45149.017708333333</v>
      </c>
      <c r="U1545" s="5"/>
      <c r="V1545" s="5">
        <v>0</v>
      </c>
      <c r="W1545" s="5"/>
      <c r="X1545" s="5"/>
      <c r="Y1545" s="5"/>
      <c r="Z1545" s="5"/>
      <c r="AA1545" s="5" t="s">
        <v>62</v>
      </c>
      <c r="AC1545">
        <f t="shared" si="217"/>
        <v>21</v>
      </c>
      <c r="AD1545" t="str">
        <f t="shared" si="218"/>
        <v/>
      </c>
      <c r="AE1545">
        <f t="shared" si="219"/>
        <v>4</v>
      </c>
      <c r="AF1545" t="str">
        <f t="shared" si="220"/>
        <v/>
      </c>
      <c r="AG1545" t="str">
        <f t="shared" si="221"/>
        <v/>
      </c>
      <c r="AH1545">
        <f t="shared" si="222"/>
        <v>2</v>
      </c>
      <c r="AI1545" t="str">
        <f t="shared" si="223"/>
        <v/>
      </c>
      <c r="AJ1545" t="str">
        <f t="shared" si="224"/>
        <v/>
      </c>
    </row>
    <row r="1546" spans="1:36">
      <c r="A1546" s="5">
        <v>1802</v>
      </c>
      <c r="B1546" s="5" t="s">
        <v>317</v>
      </c>
      <c r="C1546" s="5" t="s">
        <v>100</v>
      </c>
      <c r="D1546" s="5" t="s">
        <v>268</v>
      </c>
      <c r="E1546" s="5" t="s">
        <v>291</v>
      </c>
      <c r="F1546" s="5" t="str">
        <f t="shared" si="216"/>
        <v>Program Office-Cordination Manager</v>
      </c>
      <c r="G1546" s="5" t="s">
        <v>270</v>
      </c>
      <c r="H1546" s="9">
        <v>45125.017708333333</v>
      </c>
      <c r="I1546" s="9">
        <v>45126.017708333333</v>
      </c>
      <c r="J1546" s="9" t="e">
        <f>I1546+#REF!</f>
        <v>#REF!</v>
      </c>
      <c r="K1546" s="9" t="e">
        <f>J1546+#REF!</f>
        <v>#REF!</v>
      </c>
      <c r="L1546" s="10" t="s">
        <v>41</v>
      </c>
      <c r="M1546" s="11">
        <v>45131.017708333333</v>
      </c>
      <c r="N1546" s="5" t="s">
        <v>64</v>
      </c>
      <c r="O1546" s="5"/>
      <c r="P1546" s="9">
        <v>45137.017708333333</v>
      </c>
      <c r="Q1546" s="5" t="s">
        <v>64</v>
      </c>
      <c r="R1546" s="9">
        <v>45132.017708333333</v>
      </c>
      <c r="S1546" s="9">
        <v>45134.017708333333</v>
      </c>
      <c r="T1546" s="9">
        <v>45135.017708333333</v>
      </c>
      <c r="U1546" s="9">
        <v>45136.017708333333</v>
      </c>
      <c r="V1546" s="12">
        <v>1</v>
      </c>
      <c r="W1546" s="9">
        <v>45139.017708333333</v>
      </c>
      <c r="X1546" s="9">
        <v>45140.017708333333</v>
      </c>
      <c r="Y1546" s="9">
        <v>45143.017708333333</v>
      </c>
      <c r="Z1546" s="5"/>
      <c r="AA1546" s="5"/>
      <c r="AB1546" s="13">
        <v>45155.017708333333</v>
      </c>
      <c r="AC1546">
        <f t="shared" si="217"/>
        <v>5</v>
      </c>
      <c r="AD1546">
        <f t="shared" si="218"/>
        <v>8</v>
      </c>
      <c r="AE1546">
        <f t="shared" si="219"/>
        <v>4</v>
      </c>
      <c r="AF1546">
        <f t="shared" si="220"/>
        <v>4</v>
      </c>
      <c r="AG1546">
        <f t="shared" si="221"/>
        <v>3</v>
      </c>
      <c r="AH1546">
        <f t="shared" si="222"/>
        <v>1</v>
      </c>
      <c r="AI1546" t="str">
        <f t="shared" si="223"/>
        <v/>
      </c>
      <c r="AJ1546" t="str">
        <f t="shared" si="224"/>
        <v/>
      </c>
    </row>
    <row r="1547" spans="1:36">
      <c r="A1547" s="5">
        <v>1804</v>
      </c>
      <c r="B1547" s="5" t="s">
        <v>439</v>
      </c>
      <c r="C1547" s="5" t="s">
        <v>100</v>
      </c>
      <c r="D1547" s="5" t="s">
        <v>387</v>
      </c>
      <c r="E1547" s="5" t="s">
        <v>388</v>
      </c>
      <c r="F1547" s="5" t="str">
        <f t="shared" si="216"/>
        <v>Program Office-Extension Officer</v>
      </c>
      <c r="G1547" s="5" t="s">
        <v>40</v>
      </c>
      <c r="H1547" s="9">
        <v>45123.017708333333</v>
      </c>
      <c r="I1547" s="9">
        <v>45125.017708333333</v>
      </c>
      <c r="J1547" s="9" t="e">
        <f>I1547+#REF!</f>
        <v>#REF!</v>
      </c>
      <c r="K1547" s="9" t="e">
        <f>J1547+#REF!</f>
        <v>#REF!</v>
      </c>
      <c r="L1547" s="10" t="s">
        <v>41</v>
      </c>
      <c r="M1547" s="11">
        <v>45142.017708333333</v>
      </c>
      <c r="N1547" s="5" t="s">
        <v>42</v>
      </c>
      <c r="O1547" s="5" t="s">
        <v>73</v>
      </c>
      <c r="P1547" s="9"/>
      <c r="Q1547" s="5"/>
      <c r="R1547" s="5"/>
      <c r="S1547" s="5"/>
      <c r="T1547" s="9"/>
      <c r="U1547" s="5"/>
      <c r="V1547" s="5">
        <v>0</v>
      </c>
      <c r="W1547" s="5"/>
      <c r="X1547" s="5"/>
      <c r="Y1547" s="5"/>
      <c r="Z1547" s="5"/>
      <c r="AA1547" s="5" t="s">
        <v>44</v>
      </c>
      <c r="AC1547">
        <f t="shared" si="217"/>
        <v>17</v>
      </c>
      <c r="AD1547" t="str">
        <f t="shared" si="218"/>
        <v/>
      </c>
      <c r="AE1547" t="str">
        <f t="shared" si="219"/>
        <v/>
      </c>
      <c r="AF1547" t="str">
        <f t="shared" si="220"/>
        <v/>
      </c>
      <c r="AG1547" t="str">
        <f t="shared" si="221"/>
        <v/>
      </c>
      <c r="AH1547">
        <f t="shared" si="222"/>
        <v>2</v>
      </c>
      <c r="AI1547" t="str">
        <f t="shared" si="223"/>
        <v/>
      </c>
      <c r="AJ1547" t="str">
        <f t="shared" si="224"/>
        <v/>
      </c>
    </row>
    <row r="1548" spans="1:36">
      <c r="A1548" s="5">
        <v>1807</v>
      </c>
      <c r="B1548" s="5" t="s">
        <v>122</v>
      </c>
      <c r="C1548" s="5" t="s">
        <v>100</v>
      </c>
      <c r="D1548" s="5" t="s">
        <v>101</v>
      </c>
      <c r="E1548" s="5" t="s">
        <v>102</v>
      </c>
      <c r="F1548" s="5" t="str">
        <f t="shared" si="216"/>
        <v>Program Office-Senior Manager</v>
      </c>
      <c r="G1548" s="5" t="s">
        <v>103</v>
      </c>
      <c r="H1548" s="9">
        <v>45121.017708333333</v>
      </c>
      <c r="I1548" s="9">
        <v>45123.017708333333</v>
      </c>
      <c r="J1548" s="9" t="e">
        <f>I1548+#REF!</f>
        <v>#REF!</v>
      </c>
      <c r="K1548" s="9" t="e">
        <f>J1548+#REF!</f>
        <v>#REF!</v>
      </c>
      <c r="L1548" s="10" t="s">
        <v>41</v>
      </c>
      <c r="M1548" s="11">
        <v>45136.017708333333</v>
      </c>
      <c r="N1548" s="5" t="s">
        <v>42</v>
      </c>
      <c r="O1548" s="5" t="s">
        <v>58</v>
      </c>
      <c r="P1548" s="9"/>
      <c r="Q1548" s="5"/>
      <c r="R1548" s="5"/>
      <c r="S1548" s="5"/>
      <c r="T1548" s="9">
        <v>45139.017708333333</v>
      </c>
      <c r="U1548" s="5"/>
      <c r="V1548" s="5">
        <v>0</v>
      </c>
      <c r="W1548" s="5"/>
      <c r="X1548" s="5"/>
      <c r="Y1548" s="5"/>
      <c r="Z1548" s="5"/>
      <c r="AA1548" s="5" t="s">
        <v>44</v>
      </c>
      <c r="AC1548">
        <f t="shared" si="217"/>
        <v>13</v>
      </c>
      <c r="AD1548" t="str">
        <f t="shared" si="218"/>
        <v/>
      </c>
      <c r="AE1548">
        <f t="shared" si="219"/>
        <v>3</v>
      </c>
      <c r="AF1548" t="str">
        <f t="shared" si="220"/>
        <v/>
      </c>
      <c r="AG1548" t="str">
        <f t="shared" si="221"/>
        <v/>
      </c>
      <c r="AH1548">
        <f t="shared" si="222"/>
        <v>2</v>
      </c>
      <c r="AI1548" t="str">
        <f t="shared" si="223"/>
        <v/>
      </c>
      <c r="AJ1548" t="str">
        <f t="shared" si="224"/>
        <v/>
      </c>
    </row>
    <row r="1549" spans="1:36">
      <c r="A1549" s="5">
        <v>1808</v>
      </c>
      <c r="B1549" s="5" t="s">
        <v>316</v>
      </c>
      <c r="C1549" s="5" t="s">
        <v>100</v>
      </c>
      <c r="D1549" s="5" t="s">
        <v>268</v>
      </c>
      <c r="E1549" s="5" t="s">
        <v>291</v>
      </c>
      <c r="F1549" s="5" t="str">
        <f t="shared" si="216"/>
        <v>Program Office-Cordination Manager</v>
      </c>
      <c r="G1549" s="5" t="s">
        <v>270</v>
      </c>
      <c r="H1549" s="9">
        <v>45118.017708333333</v>
      </c>
      <c r="I1549" s="9">
        <v>45122.017708333333</v>
      </c>
      <c r="J1549" s="9" t="e">
        <f>I1549+#REF!</f>
        <v>#REF!</v>
      </c>
      <c r="K1549" s="9" t="e">
        <f>J1549+#REF!</f>
        <v>#REF!</v>
      </c>
      <c r="L1549" s="10" t="s">
        <v>41</v>
      </c>
      <c r="M1549" s="11">
        <v>45129.017708333333</v>
      </c>
      <c r="N1549" s="5" t="s">
        <v>42</v>
      </c>
      <c r="O1549" s="5" t="s">
        <v>43</v>
      </c>
      <c r="P1549" s="9"/>
      <c r="Q1549" s="5"/>
      <c r="R1549" s="5"/>
      <c r="S1549" s="5"/>
      <c r="T1549" s="9"/>
      <c r="U1549" s="5"/>
      <c r="V1549" s="5">
        <v>0</v>
      </c>
      <c r="W1549" s="5"/>
      <c r="X1549" s="5"/>
      <c r="Y1549" s="5"/>
      <c r="Z1549" s="5"/>
      <c r="AA1549" s="5" t="s">
        <v>62</v>
      </c>
      <c r="AC1549">
        <f t="shared" si="217"/>
        <v>7</v>
      </c>
      <c r="AD1549" t="str">
        <f t="shared" si="218"/>
        <v/>
      </c>
      <c r="AE1549" t="str">
        <f t="shared" si="219"/>
        <v/>
      </c>
      <c r="AF1549" t="str">
        <f t="shared" si="220"/>
        <v/>
      </c>
      <c r="AG1549" t="str">
        <f t="shared" si="221"/>
        <v/>
      </c>
      <c r="AH1549">
        <f t="shared" si="222"/>
        <v>4</v>
      </c>
      <c r="AI1549" t="str">
        <f t="shared" si="223"/>
        <v/>
      </c>
      <c r="AJ1549" t="str">
        <f t="shared" si="224"/>
        <v/>
      </c>
    </row>
    <row r="1550" spans="1:36">
      <c r="A1550" s="5">
        <v>1809</v>
      </c>
      <c r="B1550" s="5" t="s">
        <v>515</v>
      </c>
      <c r="C1550" s="5" t="s">
        <v>100</v>
      </c>
      <c r="D1550" s="5" t="s">
        <v>506</v>
      </c>
      <c r="E1550" s="5" t="s">
        <v>55</v>
      </c>
      <c r="F1550" s="5" t="str">
        <f t="shared" si="216"/>
        <v>Program Office-Director</v>
      </c>
      <c r="G1550" s="5" t="s">
        <v>56</v>
      </c>
      <c r="H1550" s="9">
        <v>45122.017708333333</v>
      </c>
      <c r="I1550" s="9">
        <v>45124.017708333333</v>
      </c>
      <c r="J1550" s="9" t="e">
        <f>I1550+#REF!</f>
        <v>#REF!</v>
      </c>
      <c r="K1550" s="9" t="e">
        <f>J1550+#REF!</f>
        <v>#REF!</v>
      </c>
      <c r="L1550" s="10" t="s">
        <v>52</v>
      </c>
      <c r="M1550" s="11"/>
      <c r="N1550" s="5"/>
      <c r="O1550" s="5"/>
      <c r="P1550" s="9"/>
      <c r="Q1550" s="5"/>
      <c r="R1550" s="5"/>
      <c r="S1550" s="5"/>
      <c r="T1550" s="9"/>
      <c r="U1550" s="5"/>
      <c r="V1550" s="5">
        <v>0</v>
      </c>
      <c r="W1550" s="5"/>
      <c r="X1550" s="5"/>
      <c r="Y1550" s="5"/>
      <c r="Z1550" s="5"/>
      <c r="AA1550" s="5"/>
      <c r="AC1550" t="str">
        <f t="shared" si="217"/>
        <v/>
      </c>
      <c r="AD1550" t="str">
        <f t="shared" si="218"/>
        <v/>
      </c>
      <c r="AE1550" t="str">
        <f t="shared" si="219"/>
        <v/>
      </c>
      <c r="AF1550" t="str">
        <f t="shared" si="220"/>
        <v/>
      </c>
      <c r="AG1550" t="str">
        <f t="shared" si="221"/>
        <v/>
      </c>
      <c r="AH1550">
        <f t="shared" si="222"/>
        <v>2</v>
      </c>
      <c r="AI1550" t="str">
        <f t="shared" si="223"/>
        <v/>
      </c>
      <c r="AJ1550" t="str">
        <f t="shared" si="224"/>
        <v/>
      </c>
    </row>
    <row r="1551" spans="1:36">
      <c r="A1551" s="5">
        <v>1810</v>
      </c>
      <c r="B1551" s="5" t="s">
        <v>438</v>
      </c>
      <c r="C1551" s="5" t="s">
        <v>100</v>
      </c>
      <c r="D1551" s="5" t="s">
        <v>387</v>
      </c>
      <c r="E1551" s="5" t="s">
        <v>388</v>
      </c>
      <c r="F1551" s="5" t="str">
        <f t="shared" si="216"/>
        <v>Program Office-Extension Officer</v>
      </c>
      <c r="G1551" s="5" t="s">
        <v>40</v>
      </c>
      <c r="H1551" s="9">
        <v>45122.017708333333</v>
      </c>
      <c r="I1551" s="9">
        <v>45124.017708333333</v>
      </c>
      <c r="J1551" s="9" t="e">
        <f>I1551+#REF!</f>
        <v>#REF!</v>
      </c>
      <c r="K1551" s="9" t="e">
        <f>J1551+#REF!</f>
        <v>#REF!</v>
      </c>
      <c r="L1551" s="10" t="s">
        <v>41</v>
      </c>
      <c r="M1551" s="11">
        <v>45143.017708333333</v>
      </c>
      <c r="N1551" s="5" t="s">
        <v>42</v>
      </c>
      <c r="O1551" s="5" t="s">
        <v>98</v>
      </c>
      <c r="P1551" s="9"/>
      <c r="Q1551" s="5"/>
      <c r="R1551" s="5"/>
      <c r="S1551" s="5"/>
      <c r="T1551" s="9">
        <v>45146.017708333333</v>
      </c>
      <c r="U1551" s="5"/>
      <c r="V1551" s="5">
        <v>0</v>
      </c>
      <c r="W1551" s="5"/>
      <c r="X1551" s="5"/>
      <c r="Y1551" s="5"/>
      <c r="Z1551" s="5"/>
      <c r="AA1551" s="5" t="s">
        <v>62</v>
      </c>
      <c r="AC1551">
        <f t="shared" si="217"/>
        <v>19</v>
      </c>
      <c r="AD1551" t="str">
        <f t="shared" si="218"/>
        <v/>
      </c>
      <c r="AE1551">
        <f t="shared" si="219"/>
        <v>3</v>
      </c>
      <c r="AF1551" t="str">
        <f t="shared" si="220"/>
        <v/>
      </c>
      <c r="AG1551" t="str">
        <f t="shared" si="221"/>
        <v/>
      </c>
      <c r="AH1551">
        <f t="shared" si="222"/>
        <v>2</v>
      </c>
      <c r="AI1551" t="str">
        <f t="shared" si="223"/>
        <v/>
      </c>
      <c r="AJ1551" t="str">
        <f t="shared" si="224"/>
        <v/>
      </c>
    </row>
    <row r="1552" spans="1:36">
      <c r="A1552" s="5">
        <v>1811</v>
      </c>
      <c r="B1552" s="5" t="s">
        <v>315</v>
      </c>
      <c r="C1552" s="5" t="s">
        <v>100</v>
      </c>
      <c r="D1552" s="5" t="s">
        <v>268</v>
      </c>
      <c r="E1552" s="5" t="s">
        <v>291</v>
      </c>
      <c r="F1552" s="5" t="str">
        <f t="shared" si="216"/>
        <v>Program Office-Cordination Manager</v>
      </c>
      <c r="G1552" s="5" t="s">
        <v>270</v>
      </c>
      <c r="H1552" s="9">
        <v>44821.186388888891</v>
      </c>
      <c r="I1552" s="9">
        <v>44824.186388888891</v>
      </c>
      <c r="J1552" s="9" t="e">
        <f>I1552+#REF!</f>
        <v>#REF!</v>
      </c>
      <c r="K1552" s="9" t="e">
        <f>J1552+#REF!</f>
        <v>#REF!</v>
      </c>
      <c r="L1552" s="10" t="s">
        <v>41</v>
      </c>
      <c r="M1552" s="11">
        <v>44835.186388888891</v>
      </c>
      <c r="N1552" s="5" t="s">
        <v>42</v>
      </c>
      <c r="O1552" s="5" t="s">
        <v>98</v>
      </c>
      <c r="P1552" s="9"/>
      <c r="Q1552" s="5"/>
      <c r="R1552" s="5"/>
      <c r="S1552" s="5"/>
      <c r="T1552" s="9"/>
      <c r="U1552" s="5"/>
      <c r="V1552" s="5">
        <v>0</v>
      </c>
      <c r="W1552" s="5"/>
      <c r="X1552" s="5"/>
      <c r="Y1552" s="5"/>
      <c r="Z1552" s="5"/>
      <c r="AA1552" s="5" t="s">
        <v>62</v>
      </c>
      <c r="AC1552">
        <f t="shared" si="217"/>
        <v>11</v>
      </c>
      <c r="AD1552" t="str">
        <f t="shared" si="218"/>
        <v/>
      </c>
      <c r="AE1552" t="str">
        <f t="shared" si="219"/>
        <v/>
      </c>
      <c r="AF1552" t="str">
        <f t="shared" si="220"/>
        <v/>
      </c>
      <c r="AG1552" t="str">
        <f t="shared" si="221"/>
        <v/>
      </c>
      <c r="AH1552">
        <f t="shared" si="222"/>
        <v>3</v>
      </c>
      <c r="AI1552" t="str">
        <f t="shared" si="223"/>
        <v/>
      </c>
      <c r="AJ1552" t="str">
        <f t="shared" si="224"/>
        <v/>
      </c>
    </row>
    <row r="1553" spans="1:36">
      <c r="A1553" s="5">
        <v>1812</v>
      </c>
      <c r="B1553" s="5" t="s">
        <v>314</v>
      </c>
      <c r="C1553" s="5" t="s">
        <v>100</v>
      </c>
      <c r="D1553" s="5" t="s">
        <v>268</v>
      </c>
      <c r="E1553" s="5" t="s">
        <v>291</v>
      </c>
      <c r="F1553" s="5" t="str">
        <f t="shared" si="216"/>
        <v>Program Office-Cordination Manager</v>
      </c>
      <c r="G1553" s="5" t="s">
        <v>270</v>
      </c>
      <c r="H1553" s="9">
        <v>44822.186388888891</v>
      </c>
      <c r="I1553" s="9">
        <v>44823.186388888891</v>
      </c>
      <c r="J1553" s="9" t="e">
        <f>I1553+#REF!</f>
        <v>#REF!</v>
      </c>
      <c r="K1553" s="9" t="e">
        <f>J1553+#REF!</f>
        <v>#REF!</v>
      </c>
      <c r="L1553" s="10" t="s">
        <v>41</v>
      </c>
      <c r="M1553" s="11">
        <v>44838.186388888891</v>
      </c>
      <c r="N1553" s="5" t="s">
        <v>167</v>
      </c>
      <c r="O1553" s="5"/>
      <c r="P1553" s="9">
        <v>44840.186388888891</v>
      </c>
      <c r="Q1553" s="5" t="s">
        <v>167</v>
      </c>
      <c r="R1553" s="5"/>
      <c r="S1553" s="5"/>
      <c r="T1553" s="9">
        <v>44839.186388888891</v>
      </c>
      <c r="U1553" s="5"/>
      <c r="V1553" s="5">
        <v>0</v>
      </c>
      <c r="W1553" s="5"/>
      <c r="X1553" s="5"/>
      <c r="Y1553" s="5"/>
      <c r="Z1553" s="5"/>
      <c r="AA1553" s="5"/>
      <c r="AC1553">
        <f t="shared" si="217"/>
        <v>15</v>
      </c>
      <c r="AD1553" t="str">
        <f t="shared" si="218"/>
        <v/>
      </c>
      <c r="AE1553">
        <f t="shared" si="219"/>
        <v>1</v>
      </c>
      <c r="AF1553" t="str">
        <f t="shared" si="220"/>
        <v/>
      </c>
      <c r="AG1553" t="str">
        <f t="shared" si="221"/>
        <v/>
      </c>
      <c r="AH1553">
        <f t="shared" si="222"/>
        <v>1</v>
      </c>
      <c r="AI1553" t="str">
        <f t="shared" si="223"/>
        <v/>
      </c>
      <c r="AJ1553" t="str">
        <f t="shared" si="224"/>
        <v/>
      </c>
    </row>
    <row r="1554" spans="1:36">
      <c r="A1554" s="5">
        <v>1814</v>
      </c>
      <c r="B1554" s="5" t="s">
        <v>437</v>
      </c>
      <c r="C1554" s="5" t="s">
        <v>100</v>
      </c>
      <c r="D1554" s="5" t="s">
        <v>387</v>
      </c>
      <c r="E1554" s="5" t="s">
        <v>388</v>
      </c>
      <c r="F1554" s="5" t="str">
        <f t="shared" si="216"/>
        <v>Program Office-Extension Officer</v>
      </c>
      <c r="G1554" s="5" t="s">
        <v>40</v>
      </c>
      <c r="H1554" s="9">
        <v>44822.186388888891</v>
      </c>
      <c r="I1554" s="9">
        <v>44826.186388888891</v>
      </c>
      <c r="J1554" s="9" t="e">
        <f>I1554+#REF!</f>
        <v>#REF!</v>
      </c>
      <c r="K1554" s="9" t="e">
        <f>J1554+#REF!</f>
        <v>#REF!</v>
      </c>
      <c r="L1554" s="10" t="s">
        <v>41</v>
      </c>
      <c r="M1554" s="11">
        <v>44837.186388888891</v>
      </c>
      <c r="N1554" s="5" t="s">
        <v>42</v>
      </c>
      <c r="O1554" s="5" t="s">
        <v>113</v>
      </c>
      <c r="P1554" s="9"/>
      <c r="Q1554" s="5"/>
      <c r="R1554" s="5"/>
      <c r="S1554" s="5"/>
      <c r="T1554" s="9"/>
      <c r="U1554" s="5"/>
      <c r="V1554" s="5">
        <v>0</v>
      </c>
      <c r="W1554" s="5"/>
      <c r="X1554" s="5"/>
      <c r="Y1554" s="5"/>
      <c r="Z1554" s="5"/>
      <c r="AA1554" s="5" t="s">
        <v>44</v>
      </c>
      <c r="AC1554">
        <f t="shared" si="217"/>
        <v>11</v>
      </c>
      <c r="AD1554" t="str">
        <f t="shared" si="218"/>
        <v/>
      </c>
      <c r="AE1554" t="str">
        <f t="shared" si="219"/>
        <v/>
      </c>
      <c r="AF1554" t="str">
        <f t="shared" si="220"/>
        <v/>
      </c>
      <c r="AG1554" t="str">
        <f t="shared" si="221"/>
        <v/>
      </c>
      <c r="AH1554">
        <f t="shared" si="222"/>
        <v>4</v>
      </c>
      <c r="AI1554" t="str">
        <f t="shared" si="223"/>
        <v/>
      </c>
      <c r="AJ1554" t="str">
        <f t="shared" si="224"/>
        <v/>
      </c>
    </row>
    <row r="1555" spans="1:36">
      <c r="A1555" s="5">
        <v>1815</v>
      </c>
      <c r="B1555" s="5" t="s">
        <v>121</v>
      </c>
      <c r="C1555" s="5" t="s">
        <v>100</v>
      </c>
      <c r="D1555" s="5" t="s">
        <v>101</v>
      </c>
      <c r="E1555" s="5" t="s">
        <v>102</v>
      </c>
      <c r="F1555" s="5" t="str">
        <f t="shared" si="216"/>
        <v>Program Office-Senior Manager</v>
      </c>
      <c r="G1555" s="5" t="s">
        <v>103</v>
      </c>
      <c r="H1555" s="9">
        <v>44824.186388888891</v>
      </c>
      <c r="I1555" s="9">
        <v>44828.186388888891</v>
      </c>
      <c r="J1555" s="9" t="e">
        <f>I1555+#REF!</f>
        <v>#REF!</v>
      </c>
      <c r="K1555" s="9" t="e">
        <f>J1555+#REF!</f>
        <v>#REF!</v>
      </c>
      <c r="L1555" s="10" t="s">
        <v>41</v>
      </c>
      <c r="M1555" s="11">
        <v>44843.186388888891</v>
      </c>
      <c r="N1555" s="5" t="s">
        <v>42</v>
      </c>
      <c r="O1555" s="5" t="s">
        <v>73</v>
      </c>
      <c r="P1555" s="9"/>
      <c r="Q1555" s="5"/>
      <c r="R1555" s="5"/>
      <c r="S1555" s="5"/>
      <c r="T1555" s="9"/>
      <c r="U1555" s="5"/>
      <c r="V1555" s="5">
        <v>0</v>
      </c>
      <c r="W1555" s="5"/>
      <c r="X1555" s="5"/>
      <c r="Y1555" s="5"/>
      <c r="Z1555" s="5"/>
      <c r="AA1555" s="5" t="s">
        <v>62</v>
      </c>
      <c r="AC1555">
        <f t="shared" si="217"/>
        <v>15</v>
      </c>
      <c r="AD1555" t="str">
        <f t="shared" si="218"/>
        <v/>
      </c>
      <c r="AE1555" t="str">
        <f t="shared" si="219"/>
        <v/>
      </c>
      <c r="AF1555" t="str">
        <f t="shared" si="220"/>
        <v/>
      </c>
      <c r="AG1555" t="str">
        <f t="shared" si="221"/>
        <v/>
      </c>
      <c r="AH1555">
        <f t="shared" si="222"/>
        <v>4</v>
      </c>
      <c r="AI1555" t="str">
        <f t="shared" si="223"/>
        <v/>
      </c>
      <c r="AJ1555" t="str">
        <f t="shared" si="224"/>
        <v/>
      </c>
    </row>
    <row r="1556" spans="1:36">
      <c r="A1556" s="5">
        <v>1816</v>
      </c>
      <c r="B1556" s="5" t="s">
        <v>514</v>
      </c>
      <c r="C1556" s="5" t="s">
        <v>100</v>
      </c>
      <c r="D1556" s="5" t="s">
        <v>506</v>
      </c>
      <c r="E1556" s="5" t="s">
        <v>55</v>
      </c>
      <c r="F1556" s="5" t="str">
        <f t="shared" si="216"/>
        <v>Program Office-Director</v>
      </c>
      <c r="G1556" s="5" t="s">
        <v>56</v>
      </c>
      <c r="H1556" s="9">
        <v>44821.186388888891</v>
      </c>
      <c r="I1556" s="9">
        <v>44823.186388888891</v>
      </c>
      <c r="J1556" s="9" t="e">
        <f>I1556+#REF!</f>
        <v>#REF!</v>
      </c>
      <c r="K1556" s="9" t="e">
        <f>J1556+#REF!</f>
        <v>#REF!</v>
      </c>
      <c r="L1556" s="10" t="s">
        <v>52</v>
      </c>
      <c r="M1556" s="11"/>
      <c r="N1556" s="5"/>
      <c r="O1556" s="5"/>
      <c r="P1556" s="9"/>
      <c r="Q1556" s="5"/>
      <c r="R1556" s="5"/>
      <c r="S1556" s="5"/>
      <c r="T1556" s="9"/>
      <c r="U1556" s="5"/>
      <c r="V1556" s="5">
        <v>0</v>
      </c>
      <c r="W1556" s="5"/>
      <c r="X1556" s="5"/>
      <c r="Y1556" s="5"/>
      <c r="Z1556" s="5"/>
      <c r="AA1556" s="5"/>
      <c r="AC1556" t="str">
        <f t="shared" si="217"/>
        <v/>
      </c>
      <c r="AD1556" t="str">
        <f t="shared" si="218"/>
        <v/>
      </c>
      <c r="AE1556" t="str">
        <f t="shared" si="219"/>
        <v/>
      </c>
      <c r="AF1556" t="str">
        <f t="shared" si="220"/>
        <v/>
      </c>
      <c r="AG1556" t="str">
        <f t="shared" si="221"/>
        <v/>
      </c>
      <c r="AH1556">
        <f t="shared" si="222"/>
        <v>2</v>
      </c>
      <c r="AI1556" t="str">
        <f t="shared" si="223"/>
        <v/>
      </c>
      <c r="AJ1556" t="str">
        <f t="shared" si="224"/>
        <v/>
      </c>
    </row>
    <row r="1557" spans="1:36">
      <c r="A1557" s="5">
        <v>1817</v>
      </c>
      <c r="B1557" s="5" t="s">
        <v>612</v>
      </c>
      <c r="C1557" s="5" t="s">
        <v>100</v>
      </c>
      <c r="D1557" s="5" t="s">
        <v>554</v>
      </c>
      <c r="E1557" s="5" t="s">
        <v>597</v>
      </c>
      <c r="F1557" s="5" t="str">
        <f t="shared" si="216"/>
        <v>Program Office-Business Partner</v>
      </c>
      <c r="G1557" s="5" t="s">
        <v>47</v>
      </c>
      <c r="H1557" s="9">
        <v>44823.186388888891</v>
      </c>
      <c r="I1557" s="9">
        <v>44825.186388888891</v>
      </c>
      <c r="J1557" s="9" t="e">
        <f>I1557+#REF!</f>
        <v>#REF!</v>
      </c>
      <c r="K1557" s="9" t="e">
        <f>J1557+#REF!</f>
        <v>#REF!</v>
      </c>
      <c r="L1557" s="10" t="s">
        <v>41</v>
      </c>
      <c r="M1557" s="11">
        <v>44837.186388888891</v>
      </c>
      <c r="N1557" s="5" t="s">
        <v>64</v>
      </c>
      <c r="O1557" s="5"/>
      <c r="P1557" s="9">
        <v>44843.186388888891</v>
      </c>
      <c r="Q1557" s="5" t="s">
        <v>64</v>
      </c>
      <c r="R1557" s="9">
        <v>44838.186388888891</v>
      </c>
      <c r="S1557" s="9">
        <v>44841.186388888891</v>
      </c>
      <c r="T1557" s="9">
        <v>44840.186388888891</v>
      </c>
      <c r="U1557" s="9">
        <v>44844.186388888891</v>
      </c>
      <c r="V1557" s="12">
        <v>1</v>
      </c>
      <c r="W1557" s="9">
        <v>44846.186388888891</v>
      </c>
      <c r="X1557" s="9">
        <v>44847.186388888891</v>
      </c>
      <c r="Y1557" s="9">
        <v>44849.186388888891</v>
      </c>
      <c r="Z1557" s="5"/>
      <c r="AA1557" s="5"/>
      <c r="AB1557" s="13">
        <v>44859.186388888891</v>
      </c>
      <c r="AC1557">
        <f t="shared" si="217"/>
        <v>12</v>
      </c>
      <c r="AD1557">
        <f t="shared" si="218"/>
        <v>16</v>
      </c>
      <c r="AE1557">
        <f t="shared" si="219"/>
        <v>3</v>
      </c>
      <c r="AF1557">
        <f t="shared" si="220"/>
        <v>3</v>
      </c>
      <c r="AG1557">
        <f t="shared" si="221"/>
        <v>2</v>
      </c>
      <c r="AH1557">
        <f t="shared" si="222"/>
        <v>2</v>
      </c>
      <c r="AI1557" t="str">
        <f t="shared" si="223"/>
        <v/>
      </c>
      <c r="AJ1557" t="str">
        <f t="shared" si="224"/>
        <v/>
      </c>
    </row>
    <row r="1558" spans="1:36">
      <c r="A1558" s="5">
        <v>1818</v>
      </c>
      <c r="B1558" s="5" t="s">
        <v>436</v>
      </c>
      <c r="C1558" s="5" t="s">
        <v>100</v>
      </c>
      <c r="D1558" s="5" t="s">
        <v>387</v>
      </c>
      <c r="E1558" s="5" t="s">
        <v>388</v>
      </c>
      <c r="F1558" s="5" t="str">
        <f t="shared" si="216"/>
        <v>Program Office-Extension Officer</v>
      </c>
      <c r="G1558" s="5" t="s">
        <v>40</v>
      </c>
      <c r="H1558" s="9">
        <v>44824.186388888891</v>
      </c>
      <c r="I1558" s="9">
        <v>44825.186388888891</v>
      </c>
      <c r="J1558" s="9" t="e">
        <f>I1558+#REF!</f>
        <v>#REF!</v>
      </c>
      <c r="K1558" s="9" t="e">
        <f>J1558+#REF!</f>
        <v>#REF!</v>
      </c>
      <c r="L1558" s="10" t="s">
        <v>41</v>
      </c>
      <c r="M1558" s="11">
        <v>44845.186388888891</v>
      </c>
      <c r="N1558" s="5" t="s">
        <v>42</v>
      </c>
      <c r="O1558" s="5" t="s">
        <v>43</v>
      </c>
      <c r="P1558" s="9"/>
      <c r="Q1558" s="5"/>
      <c r="R1558" s="5"/>
      <c r="S1558" s="5"/>
      <c r="T1558" s="9"/>
      <c r="U1558" s="5"/>
      <c r="V1558" s="5">
        <v>0</v>
      </c>
      <c r="W1558" s="5"/>
      <c r="X1558" s="5"/>
      <c r="Y1558" s="5"/>
      <c r="Z1558" s="5"/>
      <c r="AA1558" s="5" t="s">
        <v>44</v>
      </c>
      <c r="AC1558">
        <f t="shared" si="217"/>
        <v>20</v>
      </c>
      <c r="AD1558" t="str">
        <f t="shared" si="218"/>
        <v/>
      </c>
      <c r="AE1558" t="str">
        <f t="shared" si="219"/>
        <v/>
      </c>
      <c r="AF1558" t="str">
        <f t="shared" si="220"/>
        <v/>
      </c>
      <c r="AG1558" t="str">
        <f t="shared" si="221"/>
        <v/>
      </c>
      <c r="AH1558">
        <f t="shared" si="222"/>
        <v>1</v>
      </c>
      <c r="AI1558" t="str">
        <f t="shared" si="223"/>
        <v/>
      </c>
      <c r="AJ1558" t="str">
        <f t="shared" si="224"/>
        <v/>
      </c>
    </row>
    <row r="1559" spans="1:36">
      <c r="A1559" s="5">
        <v>1820</v>
      </c>
      <c r="B1559" s="5" t="s">
        <v>513</v>
      </c>
      <c r="C1559" s="5" t="s">
        <v>100</v>
      </c>
      <c r="D1559" s="5" t="s">
        <v>506</v>
      </c>
      <c r="E1559" s="5" t="s">
        <v>55</v>
      </c>
      <c r="F1559" s="5" t="str">
        <f t="shared" si="216"/>
        <v>Program Office-Director</v>
      </c>
      <c r="G1559" s="5" t="s">
        <v>56</v>
      </c>
      <c r="H1559" s="9">
        <v>44823.186388888891</v>
      </c>
      <c r="I1559" s="9">
        <v>44825.186388888891</v>
      </c>
      <c r="J1559" s="9" t="e">
        <f>I1559+#REF!</f>
        <v>#REF!</v>
      </c>
      <c r="K1559" s="9" t="e">
        <f>J1559+#REF!</f>
        <v>#REF!</v>
      </c>
      <c r="L1559" s="10" t="s">
        <v>52</v>
      </c>
      <c r="M1559" s="11"/>
      <c r="N1559" s="5"/>
      <c r="O1559" s="5"/>
      <c r="P1559" s="9"/>
      <c r="Q1559" s="5"/>
      <c r="R1559" s="5"/>
      <c r="S1559" s="5"/>
      <c r="T1559" s="9"/>
      <c r="U1559" s="5"/>
      <c r="V1559" s="5">
        <v>0</v>
      </c>
      <c r="W1559" s="5"/>
      <c r="X1559" s="5"/>
      <c r="Y1559" s="5"/>
      <c r="Z1559" s="5"/>
      <c r="AA1559" s="5"/>
      <c r="AC1559" t="str">
        <f t="shared" si="217"/>
        <v/>
      </c>
      <c r="AD1559" t="str">
        <f t="shared" si="218"/>
        <v/>
      </c>
      <c r="AE1559" t="str">
        <f t="shared" si="219"/>
        <v/>
      </c>
      <c r="AF1559" t="str">
        <f t="shared" si="220"/>
        <v/>
      </c>
      <c r="AG1559" t="str">
        <f t="shared" si="221"/>
        <v/>
      </c>
      <c r="AH1559">
        <f t="shared" si="222"/>
        <v>2</v>
      </c>
      <c r="AI1559" t="str">
        <f t="shared" si="223"/>
        <v/>
      </c>
      <c r="AJ1559" t="str">
        <f t="shared" si="224"/>
        <v/>
      </c>
    </row>
    <row r="1560" spans="1:36">
      <c r="A1560" s="5">
        <v>1821</v>
      </c>
      <c r="B1560" s="5" t="s">
        <v>1867</v>
      </c>
      <c r="C1560" s="5" t="s">
        <v>1540</v>
      </c>
      <c r="D1560" s="5" t="s">
        <v>1820</v>
      </c>
      <c r="E1560" s="5" t="s">
        <v>1862</v>
      </c>
      <c r="F1560" s="5" t="str">
        <f t="shared" si="216"/>
        <v>Finance-Billing Officer</v>
      </c>
      <c r="G1560" s="5" t="s">
        <v>40</v>
      </c>
      <c r="H1560" s="9">
        <v>44659.459594907406</v>
      </c>
      <c r="I1560" s="9">
        <v>44663.459594907406</v>
      </c>
      <c r="J1560" s="9" t="e">
        <f>I1560+#REF!</f>
        <v>#REF!</v>
      </c>
      <c r="K1560" s="9" t="e">
        <f>J1560+#REF!</f>
        <v>#REF!</v>
      </c>
      <c r="L1560" s="10" t="s">
        <v>41</v>
      </c>
      <c r="M1560" s="11">
        <v>44683.459594907406</v>
      </c>
      <c r="N1560" s="5" t="s">
        <v>42</v>
      </c>
      <c r="O1560" s="5" t="s">
        <v>98</v>
      </c>
      <c r="P1560" s="9"/>
      <c r="Q1560" s="5"/>
      <c r="R1560" s="5"/>
      <c r="S1560" s="5"/>
      <c r="T1560" s="9"/>
      <c r="U1560" s="5"/>
      <c r="V1560" s="5">
        <v>0</v>
      </c>
      <c r="W1560" s="5"/>
      <c r="X1560" s="5"/>
      <c r="Y1560" s="5"/>
      <c r="Z1560" s="5"/>
      <c r="AA1560" s="5" t="s">
        <v>44</v>
      </c>
      <c r="AC1560">
        <f t="shared" si="217"/>
        <v>20</v>
      </c>
      <c r="AD1560" t="str">
        <f t="shared" si="218"/>
        <v/>
      </c>
      <c r="AE1560" t="str">
        <f t="shared" si="219"/>
        <v/>
      </c>
      <c r="AF1560" t="str">
        <f t="shared" si="220"/>
        <v/>
      </c>
      <c r="AG1560" t="str">
        <f t="shared" si="221"/>
        <v/>
      </c>
      <c r="AH1560">
        <f t="shared" si="222"/>
        <v>4</v>
      </c>
      <c r="AI1560" t="str">
        <f t="shared" si="223"/>
        <v/>
      </c>
      <c r="AJ1560" t="str">
        <f t="shared" si="224"/>
        <v/>
      </c>
    </row>
    <row r="1561" spans="1:36">
      <c r="A1561" s="5">
        <v>1823</v>
      </c>
      <c r="B1561" s="5" t="s">
        <v>2015</v>
      </c>
      <c r="C1561" s="5" t="s">
        <v>1540</v>
      </c>
      <c r="D1561" s="5" t="s">
        <v>1985</v>
      </c>
      <c r="E1561" s="5" t="s">
        <v>1986</v>
      </c>
      <c r="F1561" s="5" t="str">
        <f t="shared" si="216"/>
        <v>Finance-Revenue Recorgnition</v>
      </c>
      <c r="G1561" s="5" t="s">
        <v>47</v>
      </c>
      <c r="H1561" s="9">
        <v>44666.459594907406</v>
      </c>
      <c r="I1561" s="9">
        <v>44667.459594907406</v>
      </c>
      <c r="J1561" s="9" t="e">
        <f>I1561+#REF!</f>
        <v>#REF!</v>
      </c>
      <c r="K1561" s="9" t="e">
        <f>J1561+#REF!</f>
        <v>#REF!</v>
      </c>
      <c r="L1561" s="10" t="s">
        <v>41</v>
      </c>
      <c r="M1561" s="11">
        <v>44678.459594907406</v>
      </c>
      <c r="N1561" s="5" t="s">
        <v>48</v>
      </c>
      <c r="O1561" s="5"/>
      <c r="P1561" s="9">
        <v>44686.459594907406</v>
      </c>
      <c r="Q1561" s="5" t="s">
        <v>48</v>
      </c>
      <c r="R1561" s="5"/>
      <c r="S1561" s="5"/>
      <c r="T1561" s="9">
        <v>44682.459594907406</v>
      </c>
      <c r="U1561" s="5"/>
      <c r="V1561" s="5">
        <v>0</v>
      </c>
      <c r="W1561" s="5"/>
      <c r="X1561" s="5"/>
      <c r="Y1561" s="5"/>
      <c r="Z1561" s="5"/>
      <c r="AA1561" s="5"/>
      <c r="AC1561">
        <f t="shared" si="217"/>
        <v>11</v>
      </c>
      <c r="AD1561" t="str">
        <f t="shared" si="218"/>
        <v/>
      </c>
      <c r="AE1561">
        <f t="shared" si="219"/>
        <v>4</v>
      </c>
      <c r="AF1561" t="str">
        <f t="shared" si="220"/>
        <v/>
      </c>
      <c r="AG1561" t="str">
        <f t="shared" si="221"/>
        <v/>
      </c>
      <c r="AH1561">
        <f t="shared" si="222"/>
        <v>1</v>
      </c>
      <c r="AI1561" t="str">
        <f t="shared" si="223"/>
        <v/>
      </c>
      <c r="AJ1561" t="str">
        <f t="shared" si="224"/>
        <v/>
      </c>
    </row>
    <row r="1562" spans="1:36">
      <c r="A1562" s="5">
        <v>1824</v>
      </c>
      <c r="B1562" s="5" t="s">
        <v>1746</v>
      </c>
      <c r="C1562" s="5" t="s">
        <v>1540</v>
      </c>
      <c r="D1562" s="5" t="s">
        <v>1706</v>
      </c>
      <c r="E1562" s="5" t="s">
        <v>269</v>
      </c>
      <c r="F1562" s="5" t="str">
        <f t="shared" si="216"/>
        <v>Finance-Manager</v>
      </c>
      <c r="G1562" s="5" t="s">
        <v>270</v>
      </c>
      <c r="H1562" s="9">
        <v>44663.459594907406</v>
      </c>
      <c r="I1562" s="9">
        <v>44666.459594907406</v>
      </c>
      <c r="J1562" s="9" t="e">
        <f>I1562+#REF!</f>
        <v>#REF!</v>
      </c>
      <c r="K1562" s="9" t="e">
        <f>J1562+#REF!</f>
        <v>#REF!</v>
      </c>
      <c r="L1562" s="10" t="s">
        <v>41</v>
      </c>
      <c r="M1562" s="11">
        <v>44673.459594907406</v>
      </c>
      <c r="N1562" s="5" t="s">
        <v>42</v>
      </c>
      <c r="O1562" s="5" t="s">
        <v>58</v>
      </c>
      <c r="P1562" s="9"/>
      <c r="Q1562" s="5"/>
      <c r="R1562" s="5"/>
      <c r="S1562" s="5"/>
      <c r="T1562" s="9"/>
      <c r="U1562" s="5"/>
      <c r="V1562" s="5">
        <v>0</v>
      </c>
      <c r="W1562" s="5"/>
      <c r="X1562" s="5"/>
      <c r="Y1562" s="5"/>
      <c r="Z1562" s="5"/>
      <c r="AA1562" s="5" t="s">
        <v>62</v>
      </c>
      <c r="AC1562">
        <f t="shared" si="217"/>
        <v>7</v>
      </c>
      <c r="AD1562" t="str">
        <f t="shared" si="218"/>
        <v/>
      </c>
      <c r="AE1562" t="str">
        <f t="shared" si="219"/>
        <v/>
      </c>
      <c r="AF1562" t="str">
        <f t="shared" si="220"/>
        <v/>
      </c>
      <c r="AG1562" t="str">
        <f t="shared" si="221"/>
        <v/>
      </c>
      <c r="AH1562">
        <f t="shared" si="222"/>
        <v>3</v>
      </c>
      <c r="AI1562" t="str">
        <f t="shared" si="223"/>
        <v/>
      </c>
      <c r="AJ1562" t="str">
        <f t="shared" si="224"/>
        <v/>
      </c>
    </row>
    <row r="1563" spans="1:36">
      <c r="A1563" s="5">
        <v>1825</v>
      </c>
      <c r="B1563" s="5" t="s">
        <v>1745</v>
      </c>
      <c r="C1563" s="5" t="s">
        <v>1540</v>
      </c>
      <c r="D1563" s="5" t="s">
        <v>1706</v>
      </c>
      <c r="E1563" s="5" t="s">
        <v>269</v>
      </c>
      <c r="F1563" s="5" t="str">
        <f t="shared" si="216"/>
        <v>Finance-Manager</v>
      </c>
      <c r="G1563" s="5" t="s">
        <v>270</v>
      </c>
      <c r="H1563" s="9">
        <v>44662.459594907406</v>
      </c>
      <c r="I1563" s="9">
        <v>44665.459594907406</v>
      </c>
      <c r="J1563" s="9" t="e">
        <f>I1563+#REF!</f>
        <v>#REF!</v>
      </c>
      <c r="K1563" s="9" t="e">
        <f>J1563+#REF!</f>
        <v>#REF!</v>
      </c>
      <c r="L1563" s="10" t="s">
        <v>41</v>
      </c>
      <c r="M1563" s="11">
        <v>44673.459594907406</v>
      </c>
      <c r="N1563" s="5" t="s">
        <v>42</v>
      </c>
      <c r="O1563" s="5" t="s">
        <v>58</v>
      </c>
      <c r="P1563" s="9"/>
      <c r="Q1563" s="5"/>
      <c r="R1563" s="5"/>
      <c r="S1563" s="5"/>
      <c r="T1563" s="9"/>
      <c r="U1563" s="5"/>
      <c r="V1563" s="5">
        <v>0</v>
      </c>
      <c r="W1563" s="5"/>
      <c r="X1563" s="5"/>
      <c r="Y1563" s="5"/>
      <c r="Z1563" s="5"/>
      <c r="AA1563" s="5" t="s">
        <v>62</v>
      </c>
      <c r="AC1563">
        <f t="shared" si="217"/>
        <v>8</v>
      </c>
      <c r="AD1563" t="str">
        <f t="shared" si="218"/>
        <v/>
      </c>
      <c r="AE1563" t="str">
        <f t="shared" si="219"/>
        <v/>
      </c>
      <c r="AF1563" t="str">
        <f t="shared" si="220"/>
        <v/>
      </c>
      <c r="AG1563" t="str">
        <f t="shared" si="221"/>
        <v/>
      </c>
      <c r="AH1563">
        <f t="shared" si="222"/>
        <v>3</v>
      </c>
      <c r="AI1563" t="str">
        <f t="shared" si="223"/>
        <v/>
      </c>
      <c r="AJ1563" t="str">
        <f t="shared" si="224"/>
        <v/>
      </c>
    </row>
    <row r="1564" spans="1:36">
      <c r="A1564" s="5">
        <v>1826</v>
      </c>
      <c r="B1564" s="5" t="s">
        <v>2014</v>
      </c>
      <c r="C1564" s="5" t="s">
        <v>1540</v>
      </c>
      <c r="D1564" s="5" t="s">
        <v>1985</v>
      </c>
      <c r="E1564" s="5" t="s">
        <v>1986</v>
      </c>
      <c r="F1564" s="5" t="str">
        <f t="shared" si="216"/>
        <v>Finance-Revenue Recorgnition</v>
      </c>
      <c r="G1564" s="5" t="s">
        <v>47</v>
      </c>
      <c r="H1564" s="9">
        <v>44664.459594907406</v>
      </c>
      <c r="I1564" s="9">
        <v>44665.459594907406</v>
      </c>
      <c r="J1564" s="9" t="e">
        <f>I1564+#REF!</f>
        <v>#REF!</v>
      </c>
      <c r="K1564" s="9" t="e">
        <f>J1564+#REF!</f>
        <v>#REF!</v>
      </c>
      <c r="L1564" s="10" t="s">
        <v>41</v>
      </c>
      <c r="M1564" s="11">
        <v>44672.459594907406</v>
      </c>
      <c r="N1564" s="5" t="s">
        <v>48</v>
      </c>
      <c r="O1564" s="5"/>
      <c r="P1564" s="9">
        <v>44675.459594907406</v>
      </c>
      <c r="Q1564" s="5" t="s">
        <v>48</v>
      </c>
      <c r="R1564" s="5"/>
      <c r="S1564" s="5"/>
      <c r="T1564" s="9">
        <v>44673.459594907406</v>
      </c>
      <c r="U1564" s="5"/>
      <c r="V1564" s="5">
        <v>0</v>
      </c>
      <c r="W1564" s="5"/>
      <c r="X1564" s="5"/>
      <c r="Y1564" s="5"/>
      <c r="Z1564" s="5"/>
      <c r="AA1564" s="5"/>
      <c r="AC1564">
        <f t="shared" si="217"/>
        <v>7</v>
      </c>
      <c r="AD1564" t="str">
        <f t="shared" si="218"/>
        <v/>
      </c>
      <c r="AE1564">
        <f t="shared" si="219"/>
        <v>1</v>
      </c>
      <c r="AF1564" t="str">
        <f t="shared" si="220"/>
        <v/>
      </c>
      <c r="AG1564" t="str">
        <f t="shared" si="221"/>
        <v/>
      </c>
      <c r="AH1564">
        <f t="shared" si="222"/>
        <v>1</v>
      </c>
      <c r="AI1564" t="str">
        <f t="shared" si="223"/>
        <v/>
      </c>
      <c r="AJ1564" t="str">
        <f t="shared" si="224"/>
        <v/>
      </c>
    </row>
    <row r="1565" spans="1:36">
      <c r="A1565" s="5">
        <v>1827</v>
      </c>
      <c r="B1565" s="5" t="s">
        <v>1744</v>
      </c>
      <c r="C1565" s="5" t="s">
        <v>1540</v>
      </c>
      <c r="D1565" s="5" t="s">
        <v>1706</v>
      </c>
      <c r="E1565" s="5" t="s">
        <v>269</v>
      </c>
      <c r="F1565" s="5" t="str">
        <f t="shared" si="216"/>
        <v>Finance-Manager</v>
      </c>
      <c r="G1565" s="5" t="s">
        <v>270</v>
      </c>
      <c r="H1565" s="9">
        <v>44660.459594907406</v>
      </c>
      <c r="I1565" s="9">
        <v>44662.459594907406</v>
      </c>
      <c r="J1565" s="9" t="e">
        <f>I1565+#REF!</f>
        <v>#REF!</v>
      </c>
      <c r="K1565" s="9" t="e">
        <f>J1565+#REF!</f>
        <v>#REF!</v>
      </c>
      <c r="L1565" s="10" t="s">
        <v>41</v>
      </c>
      <c r="M1565" s="11">
        <v>44672.459594907406</v>
      </c>
      <c r="N1565" s="5" t="s">
        <v>64</v>
      </c>
      <c r="O1565" s="5"/>
      <c r="P1565" s="9">
        <v>44677.459594907406</v>
      </c>
      <c r="Q1565" s="5" t="s">
        <v>64</v>
      </c>
      <c r="R1565" s="9">
        <v>44674.459594907406</v>
      </c>
      <c r="S1565" s="9">
        <v>44677.459594907406</v>
      </c>
      <c r="T1565" s="9">
        <v>44673.459594907406</v>
      </c>
      <c r="U1565" s="9">
        <v>44681.459594907406</v>
      </c>
      <c r="V1565" s="12">
        <v>1</v>
      </c>
      <c r="W1565" s="9">
        <v>44685.459594907406</v>
      </c>
      <c r="X1565" s="9">
        <v>44687.459594907406</v>
      </c>
      <c r="Y1565" s="9">
        <v>44688.459594907406</v>
      </c>
      <c r="Z1565" s="5"/>
      <c r="AA1565" s="5"/>
      <c r="AB1565" s="13">
        <v>44701.459594907406</v>
      </c>
      <c r="AC1565">
        <f t="shared" si="217"/>
        <v>10</v>
      </c>
      <c r="AD1565">
        <f t="shared" si="218"/>
        <v>15</v>
      </c>
      <c r="AE1565">
        <f t="shared" si="219"/>
        <v>1</v>
      </c>
      <c r="AF1565">
        <f t="shared" si="220"/>
        <v>6</v>
      </c>
      <c r="AG1565">
        <f t="shared" si="221"/>
        <v>4</v>
      </c>
      <c r="AH1565">
        <f t="shared" si="222"/>
        <v>2</v>
      </c>
      <c r="AI1565" t="str">
        <f t="shared" si="223"/>
        <v/>
      </c>
      <c r="AJ1565" t="str">
        <f t="shared" si="224"/>
        <v/>
      </c>
    </row>
    <row r="1566" spans="1:36">
      <c r="A1566" s="5">
        <v>1828</v>
      </c>
      <c r="B1566" s="5" t="s">
        <v>1743</v>
      </c>
      <c r="C1566" s="5" t="s">
        <v>1540</v>
      </c>
      <c r="D1566" s="5" t="s">
        <v>1706</v>
      </c>
      <c r="E1566" s="5" t="s">
        <v>269</v>
      </c>
      <c r="F1566" s="5" t="str">
        <f t="shared" si="216"/>
        <v>Finance-Manager</v>
      </c>
      <c r="G1566" s="5" t="s">
        <v>270</v>
      </c>
      <c r="H1566" s="9">
        <v>44662.459594907406</v>
      </c>
      <c r="I1566" s="9">
        <v>44664.459594907406</v>
      </c>
      <c r="J1566" s="9" t="e">
        <f>I1566+#REF!</f>
        <v>#REF!</v>
      </c>
      <c r="K1566" s="9" t="e">
        <f>J1566+#REF!</f>
        <v>#REF!</v>
      </c>
      <c r="L1566" s="10" t="s">
        <v>41</v>
      </c>
      <c r="M1566" s="11">
        <v>44683.459594907406</v>
      </c>
      <c r="N1566" s="5" t="s">
        <v>167</v>
      </c>
      <c r="O1566" s="5"/>
      <c r="P1566" s="9">
        <v>44689.459594907406</v>
      </c>
      <c r="Q1566" s="5" t="s">
        <v>167</v>
      </c>
      <c r="R1566" s="5"/>
      <c r="S1566" s="5"/>
      <c r="T1566" s="9">
        <v>44685.459594907406</v>
      </c>
      <c r="U1566" s="5"/>
      <c r="V1566" s="5">
        <v>0</v>
      </c>
      <c r="W1566" s="5"/>
      <c r="X1566" s="5"/>
      <c r="Y1566" s="5"/>
      <c r="Z1566" s="5"/>
      <c r="AA1566" s="5"/>
      <c r="AC1566">
        <f t="shared" si="217"/>
        <v>19</v>
      </c>
      <c r="AD1566" t="str">
        <f t="shared" si="218"/>
        <v/>
      </c>
      <c r="AE1566">
        <f t="shared" si="219"/>
        <v>2</v>
      </c>
      <c r="AF1566" t="str">
        <f t="shared" si="220"/>
        <v/>
      </c>
      <c r="AG1566" t="str">
        <f t="shared" si="221"/>
        <v/>
      </c>
      <c r="AH1566">
        <f t="shared" si="222"/>
        <v>2</v>
      </c>
      <c r="AI1566" t="str">
        <f t="shared" si="223"/>
        <v/>
      </c>
      <c r="AJ1566" t="str">
        <f t="shared" si="224"/>
        <v/>
      </c>
    </row>
    <row r="1567" spans="1:36">
      <c r="A1567" s="5">
        <v>1829</v>
      </c>
      <c r="B1567" s="5" t="s">
        <v>1927</v>
      </c>
      <c r="C1567" s="5" t="s">
        <v>1540</v>
      </c>
      <c r="D1567" s="5" t="s">
        <v>1925</v>
      </c>
      <c r="E1567" s="5" t="s">
        <v>1039</v>
      </c>
      <c r="F1567" s="5" t="str">
        <f t="shared" si="216"/>
        <v>Finance-Associate Director</v>
      </c>
      <c r="G1567" s="5" t="s">
        <v>56</v>
      </c>
      <c r="H1567" s="9">
        <v>44661.459594907406</v>
      </c>
      <c r="I1567" s="9">
        <v>44665.459594907406</v>
      </c>
      <c r="J1567" s="9" t="e">
        <f>I1567+#REF!</f>
        <v>#REF!</v>
      </c>
      <c r="K1567" s="9" t="e">
        <f>J1567+#REF!</f>
        <v>#REF!</v>
      </c>
      <c r="L1567" s="10" t="s">
        <v>52</v>
      </c>
      <c r="M1567" s="11"/>
      <c r="N1567" s="5"/>
      <c r="O1567" s="5"/>
      <c r="P1567" s="9"/>
      <c r="Q1567" s="5"/>
      <c r="R1567" s="5"/>
      <c r="S1567" s="5"/>
      <c r="T1567" s="9"/>
      <c r="U1567" s="5"/>
      <c r="V1567" s="5">
        <v>0</v>
      </c>
      <c r="W1567" s="5"/>
      <c r="X1567" s="5"/>
      <c r="Y1567" s="5"/>
      <c r="Z1567" s="5"/>
      <c r="AA1567" s="5"/>
      <c r="AC1567" t="str">
        <f t="shared" si="217"/>
        <v/>
      </c>
      <c r="AD1567" t="str">
        <f t="shared" si="218"/>
        <v/>
      </c>
      <c r="AE1567" t="str">
        <f t="shared" si="219"/>
        <v/>
      </c>
      <c r="AF1567" t="str">
        <f t="shared" si="220"/>
        <v/>
      </c>
      <c r="AG1567" t="str">
        <f t="shared" si="221"/>
        <v/>
      </c>
      <c r="AH1567">
        <f t="shared" si="222"/>
        <v>4</v>
      </c>
      <c r="AI1567" t="str">
        <f t="shared" si="223"/>
        <v/>
      </c>
      <c r="AJ1567" t="str">
        <f t="shared" si="224"/>
        <v/>
      </c>
    </row>
    <row r="1568" spans="1:36">
      <c r="A1568" s="5">
        <v>1830</v>
      </c>
      <c r="B1568" s="5" t="s">
        <v>2013</v>
      </c>
      <c r="C1568" s="5" t="s">
        <v>1540</v>
      </c>
      <c r="D1568" s="5" t="s">
        <v>1985</v>
      </c>
      <c r="E1568" s="5" t="s">
        <v>1986</v>
      </c>
      <c r="F1568" s="5" t="str">
        <f t="shared" si="216"/>
        <v>Finance-Revenue Recorgnition</v>
      </c>
      <c r="G1568" s="5" t="s">
        <v>47</v>
      </c>
      <c r="H1568" s="9">
        <v>44662.459594907406</v>
      </c>
      <c r="I1568" s="9">
        <v>44664.459594907406</v>
      </c>
      <c r="J1568" s="9" t="e">
        <f>I1568+#REF!</f>
        <v>#REF!</v>
      </c>
      <c r="K1568" s="9" t="e">
        <f>J1568+#REF!</f>
        <v>#REF!</v>
      </c>
      <c r="L1568" s="10" t="s">
        <v>52</v>
      </c>
      <c r="M1568" s="11"/>
      <c r="N1568" s="5"/>
      <c r="O1568" s="5"/>
      <c r="P1568" s="9"/>
      <c r="Q1568" s="5"/>
      <c r="R1568" s="5"/>
      <c r="S1568" s="5"/>
      <c r="T1568" s="9"/>
      <c r="U1568" s="5"/>
      <c r="V1568" s="5">
        <v>0</v>
      </c>
      <c r="W1568" s="5"/>
      <c r="X1568" s="5"/>
      <c r="Y1568" s="5"/>
      <c r="Z1568" s="5"/>
      <c r="AA1568" s="5"/>
      <c r="AC1568" t="str">
        <f t="shared" si="217"/>
        <v/>
      </c>
      <c r="AD1568" t="str">
        <f t="shared" si="218"/>
        <v/>
      </c>
      <c r="AE1568" t="str">
        <f t="shared" si="219"/>
        <v/>
      </c>
      <c r="AF1568" t="str">
        <f t="shared" si="220"/>
        <v/>
      </c>
      <c r="AG1568" t="str">
        <f t="shared" si="221"/>
        <v/>
      </c>
      <c r="AH1568">
        <f t="shared" si="222"/>
        <v>2</v>
      </c>
      <c r="AI1568" t="str">
        <f t="shared" si="223"/>
        <v/>
      </c>
      <c r="AJ1568" t="str">
        <f t="shared" si="224"/>
        <v/>
      </c>
    </row>
    <row r="1569" spans="1:36">
      <c r="A1569" s="5">
        <v>1833</v>
      </c>
      <c r="B1569" s="5" t="s">
        <v>1085</v>
      </c>
      <c r="C1569" s="5" t="s">
        <v>796</v>
      </c>
      <c r="D1569" s="5" t="s">
        <v>1046</v>
      </c>
      <c r="E1569" s="5" t="s">
        <v>473</v>
      </c>
      <c r="F1569" s="5" t="str">
        <f t="shared" si="216"/>
        <v>M and E-Officer</v>
      </c>
      <c r="G1569" s="5" t="s">
        <v>47</v>
      </c>
      <c r="H1569" s="9">
        <v>45031.367280092592</v>
      </c>
      <c r="I1569" s="9">
        <v>45035.367280092592</v>
      </c>
      <c r="J1569" s="9" t="e">
        <f>I1569+#REF!</f>
        <v>#REF!</v>
      </c>
      <c r="K1569" s="9" t="e">
        <f>J1569+#REF!</f>
        <v>#REF!</v>
      </c>
      <c r="L1569" s="10" t="s">
        <v>41</v>
      </c>
      <c r="M1569" s="11">
        <v>45043.367280092592</v>
      </c>
      <c r="N1569" s="5" t="s">
        <v>64</v>
      </c>
      <c r="O1569" s="5"/>
      <c r="P1569" s="9">
        <v>45046.367280092592</v>
      </c>
      <c r="Q1569" s="5" t="s">
        <v>64</v>
      </c>
      <c r="R1569" s="9">
        <v>45044.367280092592</v>
      </c>
      <c r="S1569" s="9">
        <v>45045.367280092592</v>
      </c>
      <c r="T1569" s="9">
        <v>45045.367280092592</v>
      </c>
      <c r="U1569" s="9">
        <v>45050.367280092592</v>
      </c>
      <c r="V1569" s="12">
        <v>1</v>
      </c>
      <c r="W1569" s="9">
        <v>45051.367280092592</v>
      </c>
      <c r="X1569" s="9">
        <v>45054.367280092592</v>
      </c>
      <c r="Y1569" s="9">
        <v>45055.367280092592</v>
      </c>
      <c r="Z1569" s="5"/>
      <c r="AA1569" s="5"/>
      <c r="AB1569" s="13">
        <v>45071.367280092592</v>
      </c>
      <c r="AC1569">
        <f t="shared" si="217"/>
        <v>8</v>
      </c>
      <c r="AD1569">
        <f t="shared" si="218"/>
        <v>10</v>
      </c>
      <c r="AE1569">
        <f t="shared" si="219"/>
        <v>2</v>
      </c>
      <c r="AF1569">
        <f t="shared" si="220"/>
        <v>4</v>
      </c>
      <c r="AG1569">
        <f t="shared" si="221"/>
        <v>1</v>
      </c>
      <c r="AH1569">
        <f t="shared" si="222"/>
        <v>4</v>
      </c>
      <c r="AI1569" t="str">
        <f t="shared" si="223"/>
        <v/>
      </c>
      <c r="AJ1569" t="str">
        <f t="shared" si="224"/>
        <v/>
      </c>
    </row>
    <row r="1570" spans="1:36">
      <c r="A1570" s="5">
        <v>1834</v>
      </c>
      <c r="B1570" s="5" t="s">
        <v>989</v>
      </c>
      <c r="C1570" s="5" t="s">
        <v>796</v>
      </c>
      <c r="D1570" s="5" t="s">
        <v>957</v>
      </c>
      <c r="E1570" s="5" t="s">
        <v>388</v>
      </c>
      <c r="F1570" s="5" t="str">
        <f t="shared" si="216"/>
        <v>M and E-Extension Officer</v>
      </c>
      <c r="G1570" s="5" t="s">
        <v>40</v>
      </c>
      <c r="H1570" s="9">
        <v>45036.367280092592</v>
      </c>
      <c r="I1570" s="9">
        <v>45037.367280092592</v>
      </c>
      <c r="J1570" s="9" t="e">
        <f>I1570+#REF!</f>
        <v>#REF!</v>
      </c>
      <c r="K1570" s="9" t="e">
        <f>J1570+#REF!</f>
        <v>#REF!</v>
      </c>
      <c r="L1570" s="10" t="s">
        <v>41</v>
      </c>
      <c r="M1570" s="11">
        <v>45056.367280092592</v>
      </c>
      <c r="N1570" s="5" t="s">
        <v>42</v>
      </c>
      <c r="O1570" s="5" t="s">
        <v>73</v>
      </c>
      <c r="P1570" s="9"/>
      <c r="Q1570" s="5"/>
      <c r="R1570" s="5"/>
      <c r="S1570" s="5"/>
      <c r="T1570" s="9"/>
      <c r="U1570" s="5"/>
      <c r="V1570" s="5">
        <v>0</v>
      </c>
      <c r="W1570" s="5"/>
      <c r="X1570" s="5"/>
      <c r="Y1570" s="5"/>
      <c r="Z1570" s="5"/>
      <c r="AA1570" s="5" t="s">
        <v>44</v>
      </c>
      <c r="AC1570">
        <f t="shared" si="217"/>
        <v>19</v>
      </c>
      <c r="AD1570" t="str">
        <f t="shared" si="218"/>
        <v/>
      </c>
      <c r="AE1570" t="str">
        <f t="shared" si="219"/>
        <v/>
      </c>
      <c r="AF1570" t="str">
        <f t="shared" si="220"/>
        <v/>
      </c>
      <c r="AG1570" t="str">
        <f t="shared" si="221"/>
        <v/>
      </c>
      <c r="AH1570">
        <f t="shared" si="222"/>
        <v>1</v>
      </c>
      <c r="AI1570" t="str">
        <f t="shared" si="223"/>
        <v/>
      </c>
      <c r="AJ1570" t="str">
        <f t="shared" si="224"/>
        <v/>
      </c>
    </row>
    <row r="1571" spans="1:36">
      <c r="A1571" s="5">
        <v>1835</v>
      </c>
      <c r="B1571" s="5" t="s">
        <v>1084</v>
      </c>
      <c r="C1571" s="5" t="s">
        <v>796</v>
      </c>
      <c r="D1571" s="5" t="s">
        <v>1046</v>
      </c>
      <c r="E1571" s="5" t="s">
        <v>473</v>
      </c>
      <c r="F1571" s="5" t="str">
        <f t="shared" si="216"/>
        <v>M and E-Officer</v>
      </c>
      <c r="G1571" s="5" t="s">
        <v>47</v>
      </c>
      <c r="H1571" s="9">
        <v>45037.367280092592</v>
      </c>
      <c r="I1571" s="9">
        <v>45038.367280092592</v>
      </c>
      <c r="J1571" s="9" t="e">
        <f>I1571+#REF!</f>
        <v>#REF!</v>
      </c>
      <c r="K1571" s="9" t="e">
        <f>J1571+#REF!</f>
        <v>#REF!</v>
      </c>
      <c r="L1571" s="10" t="s">
        <v>41</v>
      </c>
      <c r="M1571" s="11">
        <v>45054.367280092592</v>
      </c>
      <c r="N1571" s="5" t="s">
        <v>42</v>
      </c>
      <c r="O1571" s="5" t="s">
        <v>98</v>
      </c>
      <c r="P1571" s="9"/>
      <c r="Q1571" s="5"/>
      <c r="R1571" s="5"/>
      <c r="S1571" s="5"/>
      <c r="T1571" s="9"/>
      <c r="U1571" s="5"/>
      <c r="V1571" s="5">
        <v>0</v>
      </c>
      <c r="W1571" s="5"/>
      <c r="X1571" s="5"/>
      <c r="Y1571" s="5"/>
      <c r="Z1571" s="5"/>
      <c r="AA1571" s="5" t="s">
        <v>44</v>
      </c>
      <c r="AC1571">
        <f t="shared" si="217"/>
        <v>16</v>
      </c>
      <c r="AD1571" t="str">
        <f t="shared" si="218"/>
        <v/>
      </c>
      <c r="AE1571" t="str">
        <f t="shared" si="219"/>
        <v/>
      </c>
      <c r="AF1571" t="str">
        <f t="shared" si="220"/>
        <v/>
      </c>
      <c r="AG1571" t="str">
        <f t="shared" si="221"/>
        <v/>
      </c>
      <c r="AH1571">
        <f t="shared" si="222"/>
        <v>1</v>
      </c>
      <c r="AI1571" t="str">
        <f t="shared" si="223"/>
        <v/>
      </c>
      <c r="AJ1571" t="str">
        <f t="shared" si="224"/>
        <v/>
      </c>
    </row>
    <row r="1572" spans="1:36">
      <c r="A1572" s="5">
        <v>1836</v>
      </c>
      <c r="B1572" s="5" t="s">
        <v>851</v>
      </c>
      <c r="C1572" s="5" t="s">
        <v>796</v>
      </c>
      <c r="D1572" s="5" t="s">
        <v>814</v>
      </c>
      <c r="E1572" s="5" t="s">
        <v>597</v>
      </c>
      <c r="F1572" s="5" t="str">
        <f t="shared" si="216"/>
        <v>M and E-Business Partner</v>
      </c>
      <c r="G1572" s="5" t="s">
        <v>147</v>
      </c>
      <c r="H1572" s="9">
        <v>45034.367280092592</v>
      </c>
      <c r="I1572" s="9">
        <v>45038.367280092592</v>
      </c>
      <c r="J1572" s="9" t="e">
        <f>I1572+#REF!</f>
        <v>#REF!</v>
      </c>
      <c r="K1572" s="9" t="e">
        <f>J1572+#REF!</f>
        <v>#REF!</v>
      </c>
      <c r="L1572" s="10" t="s">
        <v>41</v>
      </c>
      <c r="M1572" s="11">
        <v>45054.367280092592</v>
      </c>
      <c r="N1572" s="5" t="s">
        <v>42</v>
      </c>
      <c r="O1572" s="5" t="s">
        <v>43</v>
      </c>
      <c r="P1572" s="9"/>
      <c r="Q1572" s="5"/>
      <c r="R1572" s="5"/>
      <c r="S1572" s="5"/>
      <c r="T1572" s="9"/>
      <c r="U1572" s="5"/>
      <c r="V1572" s="5">
        <v>0</v>
      </c>
      <c r="W1572" s="5"/>
      <c r="X1572" s="5"/>
      <c r="Y1572" s="5"/>
      <c r="Z1572" s="5"/>
      <c r="AA1572" s="5" t="s">
        <v>62</v>
      </c>
      <c r="AC1572">
        <f t="shared" si="217"/>
        <v>16</v>
      </c>
      <c r="AD1572" t="str">
        <f t="shared" si="218"/>
        <v/>
      </c>
      <c r="AE1572" t="str">
        <f t="shared" si="219"/>
        <v/>
      </c>
      <c r="AF1572" t="str">
        <f t="shared" si="220"/>
        <v/>
      </c>
      <c r="AG1572" t="str">
        <f t="shared" si="221"/>
        <v/>
      </c>
      <c r="AH1572">
        <f t="shared" si="222"/>
        <v>4</v>
      </c>
      <c r="AI1572" t="str">
        <f t="shared" si="223"/>
        <v/>
      </c>
      <c r="AJ1572" t="str">
        <f t="shared" si="224"/>
        <v/>
      </c>
    </row>
    <row r="1573" spans="1:36">
      <c r="A1573" s="5">
        <v>1839</v>
      </c>
      <c r="B1573" s="5" t="s">
        <v>919</v>
      </c>
      <c r="C1573" s="5" t="s">
        <v>796</v>
      </c>
      <c r="D1573" s="5" t="s">
        <v>893</v>
      </c>
      <c r="E1573" s="5" t="s">
        <v>269</v>
      </c>
      <c r="F1573" s="5" t="str">
        <f t="shared" si="216"/>
        <v>M and E-Manager</v>
      </c>
      <c r="G1573" s="5" t="s">
        <v>270</v>
      </c>
      <c r="H1573" s="9">
        <v>45038.367280092592</v>
      </c>
      <c r="I1573" s="9">
        <v>45039.367280092592</v>
      </c>
      <c r="J1573" s="9" t="e">
        <f>I1573+#REF!</f>
        <v>#REF!</v>
      </c>
      <c r="K1573" s="9" t="e">
        <f>J1573+#REF!</f>
        <v>#REF!</v>
      </c>
      <c r="L1573" s="10" t="s">
        <v>41</v>
      </c>
      <c r="M1573" s="11">
        <v>45056.367280092592</v>
      </c>
      <c r="N1573" s="5" t="s">
        <v>48</v>
      </c>
      <c r="O1573" s="5"/>
      <c r="P1573" s="9">
        <v>45061.367280092592</v>
      </c>
      <c r="Q1573" s="5" t="s">
        <v>48</v>
      </c>
      <c r="R1573" s="5"/>
      <c r="S1573" s="5"/>
      <c r="T1573" s="9">
        <v>45058.367280092592</v>
      </c>
      <c r="U1573" s="5"/>
      <c r="V1573" s="5">
        <v>0</v>
      </c>
      <c r="W1573" s="5"/>
      <c r="X1573" s="5"/>
      <c r="Y1573" s="5"/>
      <c r="Z1573" s="5"/>
      <c r="AA1573" s="5"/>
      <c r="AC1573">
        <f t="shared" si="217"/>
        <v>17</v>
      </c>
      <c r="AD1573" t="str">
        <f t="shared" si="218"/>
        <v/>
      </c>
      <c r="AE1573">
        <f t="shared" si="219"/>
        <v>2</v>
      </c>
      <c r="AF1573" t="str">
        <f t="shared" si="220"/>
        <v/>
      </c>
      <c r="AG1573" t="str">
        <f t="shared" si="221"/>
        <v/>
      </c>
      <c r="AH1573">
        <f t="shared" si="222"/>
        <v>1</v>
      </c>
      <c r="AI1573" t="str">
        <f t="shared" si="223"/>
        <v/>
      </c>
      <c r="AJ1573" t="str">
        <f t="shared" si="224"/>
        <v/>
      </c>
    </row>
    <row r="1574" spans="1:36">
      <c r="A1574" s="5">
        <v>1840</v>
      </c>
      <c r="B1574" s="5" t="s">
        <v>808</v>
      </c>
      <c r="C1574" s="5" t="s">
        <v>796</v>
      </c>
      <c r="D1574" s="5" t="s">
        <v>797</v>
      </c>
      <c r="E1574" s="5" t="s">
        <v>102</v>
      </c>
      <c r="F1574" s="5" t="str">
        <f t="shared" si="216"/>
        <v>M and E-Senior Manager</v>
      </c>
      <c r="G1574" s="5" t="s">
        <v>103</v>
      </c>
      <c r="H1574" s="9">
        <v>45037.367280092592</v>
      </c>
      <c r="I1574" s="9">
        <v>45039.367280092592</v>
      </c>
      <c r="J1574" s="9" t="e">
        <f>I1574+#REF!</f>
        <v>#REF!</v>
      </c>
      <c r="K1574" s="9" t="e">
        <f>J1574+#REF!</f>
        <v>#REF!</v>
      </c>
      <c r="L1574" s="10" t="s">
        <v>41</v>
      </c>
      <c r="M1574" s="11">
        <v>45047.367280092592</v>
      </c>
      <c r="N1574" s="5" t="s">
        <v>42</v>
      </c>
      <c r="O1574" s="5" t="s">
        <v>73</v>
      </c>
      <c r="P1574" s="9"/>
      <c r="Q1574" s="5"/>
      <c r="R1574" s="5"/>
      <c r="S1574" s="5"/>
      <c r="T1574" s="9"/>
      <c r="U1574" s="5"/>
      <c r="V1574" s="5">
        <v>0</v>
      </c>
      <c r="W1574" s="5"/>
      <c r="X1574" s="5"/>
      <c r="Y1574" s="5"/>
      <c r="Z1574" s="5"/>
      <c r="AA1574" s="5" t="s">
        <v>44</v>
      </c>
      <c r="AC1574">
        <f t="shared" si="217"/>
        <v>8</v>
      </c>
      <c r="AD1574" t="str">
        <f t="shared" si="218"/>
        <v/>
      </c>
      <c r="AE1574" t="str">
        <f t="shared" si="219"/>
        <v/>
      </c>
      <c r="AF1574" t="str">
        <f t="shared" si="220"/>
        <v/>
      </c>
      <c r="AG1574" t="str">
        <f t="shared" si="221"/>
        <v/>
      </c>
      <c r="AH1574">
        <f t="shared" si="222"/>
        <v>2</v>
      </c>
      <c r="AI1574" t="str">
        <f t="shared" si="223"/>
        <v/>
      </c>
      <c r="AJ1574" t="str">
        <f t="shared" si="224"/>
        <v/>
      </c>
    </row>
    <row r="1575" spans="1:36">
      <c r="A1575" s="5">
        <v>1842</v>
      </c>
      <c r="B1575" s="5" t="s">
        <v>1742</v>
      </c>
      <c r="C1575" s="5" t="s">
        <v>1540</v>
      </c>
      <c r="D1575" s="5" t="s">
        <v>1706</v>
      </c>
      <c r="E1575" s="5" t="s">
        <v>269</v>
      </c>
      <c r="F1575" s="5" t="str">
        <f t="shared" si="216"/>
        <v>Finance-Manager</v>
      </c>
      <c r="G1575" s="5" t="s">
        <v>270</v>
      </c>
      <c r="H1575" s="9">
        <v>44610.970185185186</v>
      </c>
      <c r="I1575" s="9">
        <v>44614.970185185186</v>
      </c>
      <c r="J1575" s="9" t="e">
        <f>I1575+#REF!</f>
        <v>#REF!</v>
      </c>
      <c r="K1575" s="9" t="e">
        <f>J1575+#REF!</f>
        <v>#REF!</v>
      </c>
      <c r="L1575" s="10" t="s">
        <v>41</v>
      </c>
      <c r="M1575" s="11">
        <v>44627.970185185186</v>
      </c>
      <c r="N1575" s="5" t="s">
        <v>42</v>
      </c>
      <c r="O1575" s="5" t="s">
        <v>98</v>
      </c>
      <c r="P1575" s="9"/>
      <c r="Q1575" s="5"/>
      <c r="R1575" s="5"/>
      <c r="S1575" s="5"/>
      <c r="T1575" s="9"/>
      <c r="U1575" s="5"/>
      <c r="V1575" s="5">
        <v>0</v>
      </c>
      <c r="W1575" s="5"/>
      <c r="X1575" s="5"/>
      <c r="Y1575" s="5"/>
      <c r="Z1575" s="5"/>
      <c r="AA1575" s="5" t="s">
        <v>44</v>
      </c>
      <c r="AC1575">
        <f t="shared" si="217"/>
        <v>13</v>
      </c>
      <c r="AD1575" t="str">
        <f t="shared" si="218"/>
        <v/>
      </c>
      <c r="AE1575" t="str">
        <f t="shared" si="219"/>
        <v/>
      </c>
      <c r="AF1575" t="str">
        <f t="shared" si="220"/>
        <v/>
      </c>
      <c r="AG1575" t="str">
        <f t="shared" si="221"/>
        <v/>
      </c>
      <c r="AH1575">
        <f t="shared" si="222"/>
        <v>4</v>
      </c>
      <c r="AI1575" t="str">
        <f t="shared" si="223"/>
        <v/>
      </c>
      <c r="AJ1575" t="str">
        <f t="shared" si="224"/>
        <v/>
      </c>
    </row>
    <row r="1576" spans="1:36">
      <c r="A1576" s="5">
        <v>1843</v>
      </c>
      <c r="B1576" s="5" t="s">
        <v>1741</v>
      </c>
      <c r="C1576" s="5" t="s">
        <v>1540</v>
      </c>
      <c r="D1576" s="5" t="s">
        <v>1706</v>
      </c>
      <c r="E1576" s="5" t="s">
        <v>269</v>
      </c>
      <c r="F1576" s="5" t="str">
        <f t="shared" si="216"/>
        <v>Finance-Manager</v>
      </c>
      <c r="G1576" s="5" t="s">
        <v>270</v>
      </c>
      <c r="H1576" s="9">
        <v>44609.970185185186</v>
      </c>
      <c r="I1576" s="9">
        <v>44613.970185185186</v>
      </c>
      <c r="J1576" s="9" t="e">
        <f>I1576+#REF!</f>
        <v>#REF!</v>
      </c>
      <c r="K1576" s="9" t="e">
        <f>J1576+#REF!</f>
        <v>#REF!</v>
      </c>
      <c r="L1576" s="10" t="s">
        <v>41</v>
      </c>
      <c r="M1576" s="11">
        <v>44627.970185185186</v>
      </c>
      <c r="N1576" s="5" t="s">
        <v>167</v>
      </c>
      <c r="O1576" s="5"/>
      <c r="P1576" s="9">
        <v>44632.970185185186</v>
      </c>
      <c r="Q1576" s="5" t="s">
        <v>167</v>
      </c>
      <c r="R1576" s="5"/>
      <c r="S1576" s="5"/>
      <c r="T1576" s="9">
        <v>44628.970185185186</v>
      </c>
      <c r="U1576" s="5"/>
      <c r="V1576" s="5">
        <v>0</v>
      </c>
      <c r="W1576" s="5"/>
      <c r="X1576" s="5"/>
      <c r="Y1576" s="5"/>
      <c r="Z1576" s="5"/>
      <c r="AA1576" s="5"/>
      <c r="AC1576">
        <f t="shared" si="217"/>
        <v>14</v>
      </c>
      <c r="AD1576" t="str">
        <f t="shared" si="218"/>
        <v/>
      </c>
      <c r="AE1576">
        <f t="shared" si="219"/>
        <v>1</v>
      </c>
      <c r="AF1576" t="str">
        <f t="shared" si="220"/>
        <v/>
      </c>
      <c r="AG1576" t="str">
        <f t="shared" si="221"/>
        <v/>
      </c>
      <c r="AH1576">
        <f t="shared" si="222"/>
        <v>4</v>
      </c>
      <c r="AI1576" t="str">
        <f t="shared" si="223"/>
        <v/>
      </c>
      <c r="AJ1576" t="str">
        <f t="shared" si="224"/>
        <v/>
      </c>
    </row>
    <row r="1577" spans="1:36">
      <c r="A1577" s="5">
        <v>1844</v>
      </c>
      <c r="B1577" s="5" t="s">
        <v>1622</v>
      </c>
      <c r="C1577" s="5" t="s">
        <v>1540</v>
      </c>
      <c r="D1577" s="5" t="s">
        <v>1588</v>
      </c>
      <c r="E1577" s="5" t="s">
        <v>1360</v>
      </c>
      <c r="F1577" s="5" t="str">
        <f t="shared" si="216"/>
        <v>Finance-Fund Administrator</v>
      </c>
      <c r="G1577" s="5" t="s">
        <v>147</v>
      </c>
      <c r="H1577" s="9">
        <v>44612.970185185186</v>
      </c>
      <c r="I1577" s="9">
        <v>44614.970185185186</v>
      </c>
      <c r="J1577" s="9" t="e">
        <f>I1577+#REF!</f>
        <v>#REF!</v>
      </c>
      <c r="K1577" s="9" t="e">
        <f>J1577+#REF!</f>
        <v>#REF!</v>
      </c>
      <c r="L1577" s="10" t="s">
        <v>41</v>
      </c>
      <c r="M1577" s="11">
        <v>44620.970185185186</v>
      </c>
      <c r="N1577" s="5" t="s">
        <v>64</v>
      </c>
      <c r="O1577" s="5"/>
      <c r="P1577" s="9">
        <v>44623.970185185186</v>
      </c>
      <c r="Q1577" s="5" t="s">
        <v>64</v>
      </c>
      <c r="R1577" s="9">
        <v>44622.970185185186</v>
      </c>
      <c r="S1577" s="9">
        <v>44625.970185185186</v>
      </c>
      <c r="T1577" s="9">
        <v>44622.970185185186</v>
      </c>
      <c r="U1577" s="9">
        <v>44625.970185185186</v>
      </c>
      <c r="V1577" s="12">
        <v>1</v>
      </c>
      <c r="W1577" s="9">
        <v>44627.970185185186</v>
      </c>
      <c r="X1577" s="9">
        <v>44628.970185185186</v>
      </c>
      <c r="Y1577" s="9">
        <v>44629.970185185186</v>
      </c>
      <c r="Z1577" s="5"/>
      <c r="AA1577" s="5"/>
      <c r="AB1577" s="13">
        <v>44646.970185185186</v>
      </c>
      <c r="AC1577">
        <f t="shared" si="217"/>
        <v>6</v>
      </c>
      <c r="AD1577">
        <f t="shared" si="218"/>
        <v>11</v>
      </c>
      <c r="AE1577">
        <f t="shared" si="219"/>
        <v>2</v>
      </c>
      <c r="AF1577">
        <f t="shared" si="220"/>
        <v>3</v>
      </c>
      <c r="AG1577">
        <f t="shared" si="221"/>
        <v>2</v>
      </c>
      <c r="AH1577">
        <f t="shared" si="222"/>
        <v>2</v>
      </c>
      <c r="AI1577" t="str">
        <f t="shared" si="223"/>
        <v/>
      </c>
      <c r="AJ1577" t="str">
        <f t="shared" si="224"/>
        <v/>
      </c>
    </row>
    <row r="1578" spans="1:36">
      <c r="A1578" s="5">
        <v>1845</v>
      </c>
      <c r="B1578" s="5" t="s">
        <v>1553</v>
      </c>
      <c r="C1578" s="5" t="s">
        <v>1540</v>
      </c>
      <c r="D1578" s="5" t="s">
        <v>1541</v>
      </c>
      <c r="E1578" s="5" t="s">
        <v>102</v>
      </c>
      <c r="F1578" s="5" t="str">
        <f t="shared" si="216"/>
        <v>Finance-Senior Manager</v>
      </c>
      <c r="G1578" s="5" t="s">
        <v>103</v>
      </c>
      <c r="H1578" s="9">
        <v>44610.970185185186</v>
      </c>
      <c r="I1578" s="9">
        <v>44612.970185185186</v>
      </c>
      <c r="J1578" s="9" t="e">
        <f>I1578+#REF!</f>
        <v>#REF!</v>
      </c>
      <c r="K1578" s="9" t="e">
        <f>J1578+#REF!</f>
        <v>#REF!</v>
      </c>
      <c r="L1578" s="10" t="s">
        <v>41</v>
      </c>
      <c r="M1578" s="11">
        <v>44626.970185185186</v>
      </c>
      <c r="N1578" s="5" t="s">
        <v>42</v>
      </c>
      <c r="O1578" s="5" t="s">
        <v>43</v>
      </c>
      <c r="P1578" s="9"/>
      <c r="Q1578" s="5"/>
      <c r="R1578" s="5"/>
      <c r="S1578" s="5"/>
      <c r="T1578" s="9"/>
      <c r="U1578" s="5"/>
      <c r="V1578" s="5">
        <v>0</v>
      </c>
      <c r="W1578" s="5"/>
      <c r="X1578" s="5"/>
      <c r="Y1578" s="5"/>
      <c r="Z1578" s="5"/>
      <c r="AA1578" s="5" t="s">
        <v>44</v>
      </c>
      <c r="AC1578">
        <f t="shared" si="217"/>
        <v>14</v>
      </c>
      <c r="AD1578" t="str">
        <f t="shared" si="218"/>
        <v/>
      </c>
      <c r="AE1578" t="str">
        <f t="shared" si="219"/>
        <v/>
      </c>
      <c r="AF1578" t="str">
        <f t="shared" si="220"/>
        <v/>
      </c>
      <c r="AG1578" t="str">
        <f t="shared" si="221"/>
        <v/>
      </c>
      <c r="AH1578">
        <f t="shared" si="222"/>
        <v>2</v>
      </c>
      <c r="AI1578" t="str">
        <f t="shared" si="223"/>
        <v/>
      </c>
      <c r="AJ1578" t="str">
        <f t="shared" si="224"/>
        <v/>
      </c>
    </row>
    <row r="1579" spans="1:36">
      <c r="A1579" s="5">
        <v>1847</v>
      </c>
      <c r="B1579" s="5" t="s">
        <v>1866</v>
      </c>
      <c r="C1579" s="5" t="s">
        <v>1540</v>
      </c>
      <c r="D1579" s="5" t="s">
        <v>1820</v>
      </c>
      <c r="E1579" s="5" t="s">
        <v>1862</v>
      </c>
      <c r="F1579" s="5" t="str">
        <f t="shared" si="216"/>
        <v>Finance-Billing Officer</v>
      </c>
      <c r="G1579" s="5" t="s">
        <v>40</v>
      </c>
      <c r="H1579" s="9">
        <v>44606.970185185186</v>
      </c>
      <c r="I1579" s="9">
        <v>44609.970185185186</v>
      </c>
      <c r="J1579" s="9" t="e">
        <f>I1579+#REF!</f>
        <v>#REF!</v>
      </c>
      <c r="K1579" s="9" t="e">
        <f>J1579+#REF!</f>
        <v>#REF!</v>
      </c>
      <c r="L1579" s="10" t="s">
        <v>41</v>
      </c>
      <c r="M1579" s="11">
        <v>44618.970185185186</v>
      </c>
      <c r="N1579" s="5" t="s">
        <v>48</v>
      </c>
      <c r="O1579" s="5"/>
      <c r="P1579" s="9">
        <v>44625.970185185186</v>
      </c>
      <c r="Q1579" s="5" t="s">
        <v>48</v>
      </c>
      <c r="R1579" s="5"/>
      <c r="S1579" s="5"/>
      <c r="T1579" s="9">
        <v>44622.970185185186</v>
      </c>
      <c r="U1579" s="5"/>
      <c r="V1579" s="5">
        <v>0</v>
      </c>
      <c r="W1579" s="5"/>
      <c r="X1579" s="5"/>
      <c r="Y1579" s="5"/>
      <c r="Z1579" s="5"/>
      <c r="AA1579" s="5"/>
      <c r="AC1579">
        <f t="shared" si="217"/>
        <v>9</v>
      </c>
      <c r="AD1579" t="str">
        <f t="shared" si="218"/>
        <v/>
      </c>
      <c r="AE1579">
        <f t="shared" si="219"/>
        <v>4</v>
      </c>
      <c r="AF1579" t="str">
        <f t="shared" si="220"/>
        <v/>
      </c>
      <c r="AG1579" t="str">
        <f t="shared" si="221"/>
        <v/>
      </c>
      <c r="AH1579">
        <f t="shared" si="222"/>
        <v>3</v>
      </c>
      <c r="AI1579" t="str">
        <f t="shared" si="223"/>
        <v/>
      </c>
      <c r="AJ1579" t="str">
        <f t="shared" si="224"/>
        <v/>
      </c>
    </row>
    <row r="1580" spans="1:36">
      <c r="A1580" s="5">
        <v>1848</v>
      </c>
      <c r="B1580" s="5" t="s">
        <v>1621</v>
      </c>
      <c r="C1580" s="5" t="s">
        <v>1540</v>
      </c>
      <c r="D1580" s="5" t="s">
        <v>1588</v>
      </c>
      <c r="E1580" s="5" t="s">
        <v>1360</v>
      </c>
      <c r="F1580" s="5" t="str">
        <f t="shared" si="216"/>
        <v>Finance-Fund Administrator</v>
      </c>
      <c r="G1580" s="5" t="s">
        <v>147</v>
      </c>
      <c r="H1580" s="9">
        <v>44606.970185185186</v>
      </c>
      <c r="I1580" s="9">
        <v>44609.970185185186</v>
      </c>
      <c r="J1580" s="9" t="e">
        <f>I1580+#REF!</f>
        <v>#REF!</v>
      </c>
      <c r="K1580" s="9" t="e">
        <f>J1580+#REF!</f>
        <v>#REF!</v>
      </c>
      <c r="L1580" s="10" t="s">
        <v>41</v>
      </c>
      <c r="M1580" s="11">
        <v>44627.970185185186</v>
      </c>
      <c r="N1580" s="5" t="s">
        <v>42</v>
      </c>
      <c r="O1580" s="5" t="s">
        <v>58</v>
      </c>
      <c r="P1580" s="9"/>
      <c r="Q1580" s="5"/>
      <c r="R1580" s="5"/>
      <c r="S1580" s="5"/>
      <c r="T1580" s="9"/>
      <c r="U1580" s="5"/>
      <c r="V1580" s="5">
        <v>0</v>
      </c>
      <c r="W1580" s="5"/>
      <c r="X1580" s="5"/>
      <c r="Y1580" s="5"/>
      <c r="Z1580" s="5"/>
      <c r="AA1580" s="5" t="s">
        <v>44</v>
      </c>
      <c r="AC1580">
        <f t="shared" si="217"/>
        <v>18</v>
      </c>
      <c r="AD1580" t="str">
        <f t="shared" si="218"/>
        <v/>
      </c>
      <c r="AE1580" t="str">
        <f t="shared" si="219"/>
        <v/>
      </c>
      <c r="AF1580" t="str">
        <f t="shared" si="220"/>
        <v/>
      </c>
      <c r="AG1580" t="str">
        <f t="shared" si="221"/>
        <v/>
      </c>
      <c r="AH1580">
        <f t="shared" si="222"/>
        <v>3</v>
      </c>
      <c r="AI1580" t="str">
        <f t="shared" si="223"/>
        <v/>
      </c>
      <c r="AJ1580" t="str">
        <f t="shared" si="224"/>
        <v/>
      </c>
    </row>
    <row r="1581" spans="1:36">
      <c r="A1581" s="5">
        <v>1849</v>
      </c>
      <c r="B1581" s="5" t="s">
        <v>1865</v>
      </c>
      <c r="C1581" s="5" t="s">
        <v>1540</v>
      </c>
      <c r="D1581" s="5" t="s">
        <v>1820</v>
      </c>
      <c r="E1581" s="5" t="s">
        <v>1862</v>
      </c>
      <c r="F1581" s="5" t="str">
        <f t="shared" si="216"/>
        <v>Finance-Billing Officer</v>
      </c>
      <c r="G1581" s="5" t="s">
        <v>40</v>
      </c>
      <c r="H1581" s="9">
        <v>44611.970185185186</v>
      </c>
      <c r="I1581" s="9">
        <v>44613.970185185186</v>
      </c>
      <c r="J1581" s="9" t="e">
        <f>I1581+#REF!</f>
        <v>#REF!</v>
      </c>
      <c r="K1581" s="9" t="e">
        <f>J1581+#REF!</f>
        <v>#REF!</v>
      </c>
      <c r="L1581" s="10" t="s">
        <v>41</v>
      </c>
      <c r="M1581" s="11">
        <v>44620.970185185186</v>
      </c>
      <c r="N1581" s="5" t="s">
        <v>64</v>
      </c>
      <c r="O1581" s="5"/>
      <c r="P1581" s="9">
        <v>44623.970185185186</v>
      </c>
      <c r="Q1581" s="5" t="s">
        <v>64</v>
      </c>
      <c r="R1581" s="9">
        <v>44622.970185185186</v>
      </c>
      <c r="S1581" s="9">
        <v>44625.970185185186</v>
      </c>
      <c r="T1581" s="9">
        <v>44622.970185185186</v>
      </c>
      <c r="U1581" s="9">
        <v>44632.970185185186</v>
      </c>
      <c r="V1581" s="12">
        <v>1</v>
      </c>
      <c r="W1581" s="9">
        <v>44633.970185185186</v>
      </c>
      <c r="X1581" s="9">
        <v>44635.970185185186</v>
      </c>
      <c r="Y1581" s="9">
        <v>44636.970185185186</v>
      </c>
      <c r="Z1581" s="5"/>
      <c r="AA1581" s="5"/>
      <c r="AB1581" s="13">
        <v>44649.970185185186</v>
      </c>
      <c r="AC1581">
        <f t="shared" si="217"/>
        <v>7</v>
      </c>
      <c r="AD1581">
        <f t="shared" si="218"/>
        <v>12</v>
      </c>
      <c r="AE1581">
        <f t="shared" si="219"/>
        <v>2</v>
      </c>
      <c r="AF1581">
        <f t="shared" si="220"/>
        <v>3</v>
      </c>
      <c r="AG1581">
        <f t="shared" si="221"/>
        <v>1</v>
      </c>
      <c r="AH1581">
        <f t="shared" si="222"/>
        <v>2</v>
      </c>
      <c r="AI1581" t="str">
        <f t="shared" si="223"/>
        <v/>
      </c>
      <c r="AJ1581" t="str">
        <f t="shared" si="224"/>
        <v/>
      </c>
    </row>
    <row r="1582" spans="1:36">
      <c r="A1582" s="5">
        <v>1850</v>
      </c>
      <c r="B1582" s="5" t="s">
        <v>1620</v>
      </c>
      <c r="C1582" s="5" t="s">
        <v>1540</v>
      </c>
      <c r="D1582" s="5" t="s">
        <v>1588</v>
      </c>
      <c r="E1582" s="5" t="s">
        <v>1360</v>
      </c>
      <c r="F1582" s="5" t="str">
        <f t="shared" si="216"/>
        <v>Finance-Fund Administrator</v>
      </c>
      <c r="G1582" s="5" t="s">
        <v>147</v>
      </c>
      <c r="H1582" s="9">
        <v>44612.970185185186</v>
      </c>
      <c r="I1582" s="9">
        <v>44613.970185185186</v>
      </c>
      <c r="J1582" s="9" t="e">
        <f>I1582+#REF!</f>
        <v>#REF!</v>
      </c>
      <c r="K1582" s="9" t="e">
        <f>J1582+#REF!</f>
        <v>#REF!</v>
      </c>
      <c r="L1582" s="10" t="s">
        <v>41</v>
      </c>
      <c r="M1582" s="11">
        <v>44631.970185185186</v>
      </c>
      <c r="N1582" s="5" t="s">
        <v>42</v>
      </c>
      <c r="O1582" s="5" t="s">
        <v>43</v>
      </c>
      <c r="P1582" s="9"/>
      <c r="Q1582" s="5"/>
      <c r="R1582" s="5"/>
      <c r="S1582" s="5"/>
      <c r="T1582" s="9"/>
      <c r="U1582" s="5"/>
      <c r="V1582" s="5">
        <v>0</v>
      </c>
      <c r="W1582" s="5"/>
      <c r="X1582" s="5"/>
      <c r="Y1582" s="5"/>
      <c r="Z1582" s="5"/>
      <c r="AA1582" s="5" t="s">
        <v>62</v>
      </c>
      <c r="AC1582">
        <f t="shared" si="217"/>
        <v>18</v>
      </c>
      <c r="AD1582" t="str">
        <f t="shared" si="218"/>
        <v/>
      </c>
      <c r="AE1582" t="str">
        <f t="shared" si="219"/>
        <v/>
      </c>
      <c r="AF1582" t="str">
        <f t="shared" si="220"/>
        <v/>
      </c>
      <c r="AG1582" t="str">
        <f t="shared" si="221"/>
        <v/>
      </c>
      <c r="AH1582">
        <f t="shared" si="222"/>
        <v>1</v>
      </c>
      <c r="AI1582" t="str">
        <f t="shared" si="223"/>
        <v/>
      </c>
      <c r="AJ1582" t="str">
        <f t="shared" si="224"/>
        <v/>
      </c>
    </row>
    <row r="1583" spans="1:36">
      <c r="A1583" s="5">
        <v>1852</v>
      </c>
      <c r="B1583" s="5" t="s">
        <v>435</v>
      </c>
      <c r="C1583" s="5" t="s">
        <v>100</v>
      </c>
      <c r="D1583" s="5" t="s">
        <v>387</v>
      </c>
      <c r="E1583" s="5" t="s">
        <v>388</v>
      </c>
      <c r="F1583" s="5" t="str">
        <f t="shared" si="216"/>
        <v>Program Office-Extension Officer</v>
      </c>
      <c r="G1583" s="5" t="s">
        <v>40</v>
      </c>
      <c r="H1583" s="9">
        <v>44875.077060185184</v>
      </c>
      <c r="I1583" s="9">
        <v>44876.077060185184</v>
      </c>
      <c r="J1583" s="9" t="e">
        <f>I1583+#REF!</f>
        <v>#REF!</v>
      </c>
      <c r="K1583" s="9" t="e">
        <f>J1583+#REF!</f>
        <v>#REF!</v>
      </c>
      <c r="L1583" s="10" t="s">
        <v>52</v>
      </c>
      <c r="M1583" s="11"/>
      <c r="N1583" s="5"/>
      <c r="O1583" s="5"/>
      <c r="P1583" s="9"/>
      <c r="Q1583" s="5"/>
      <c r="R1583" s="5"/>
      <c r="S1583" s="5"/>
      <c r="T1583" s="9"/>
      <c r="U1583" s="5"/>
      <c r="V1583" s="5">
        <v>0</v>
      </c>
      <c r="W1583" s="5"/>
      <c r="X1583" s="5"/>
      <c r="Y1583" s="5"/>
      <c r="Z1583" s="5"/>
      <c r="AA1583" s="5"/>
      <c r="AC1583" t="str">
        <f t="shared" si="217"/>
        <v/>
      </c>
      <c r="AD1583" t="str">
        <f t="shared" si="218"/>
        <v/>
      </c>
      <c r="AE1583" t="str">
        <f t="shared" si="219"/>
        <v/>
      </c>
      <c r="AF1583" t="str">
        <f t="shared" si="220"/>
        <v/>
      </c>
      <c r="AG1583" t="str">
        <f t="shared" si="221"/>
        <v/>
      </c>
      <c r="AH1583">
        <f t="shared" si="222"/>
        <v>1</v>
      </c>
      <c r="AI1583" t="str">
        <f t="shared" si="223"/>
        <v/>
      </c>
      <c r="AJ1583" t="str">
        <f t="shared" si="224"/>
        <v/>
      </c>
    </row>
    <row r="1584" spans="1:36">
      <c r="A1584" s="5">
        <v>1853</v>
      </c>
      <c r="B1584" s="5" t="s">
        <v>199</v>
      </c>
      <c r="C1584" s="5" t="s">
        <v>100</v>
      </c>
      <c r="D1584" s="5" t="s">
        <v>146</v>
      </c>
      <c r="E1584" s="5" t="s">
        <v>39</v>
      </c>
      <c r="F1584" s="5" t="str">
        <f t="shared" si="216"/>
        <v>Program Office-Analyst</v>
      </c>
      <c r="G1584" s="5" t="s">
        <v>147</v>
      </c>
      <c r="H1584" s="9">
        <v>44874.077060185184</v>
      </c>
      <c r="I1584" s="9">
        <v>44878.077060185184</v>
      </c>
      <c r="J1584" s="9" t="e">
        <f>I1584+#REF!</f>
        <v>#REF!</v>
      </c>
      <c r="K1584" s="9" t="e">
        <f>J1584+#REF!</f>
        <v>#REF!</v>
      </c>
      <c r="L1584" s="10" t="s">
        <v>41</v>
      </c>
      <c r="M1584" s="11">
        <v>44885.077060185184</v>
      </c>
      <c r="N1584" s="5" t="s">
        <v>42</v>
      </c>
      <c r="O1584" s="5" t="s">
        <v>113</v>
      </c>
      <c r="P1584" s="9"/>
      <c r="Q1584" s="5"/>
      <c r="R1584" s="5"/>
      <c r="S1584" s="5"/>
      <c r="T1584" s="9">
        <v>44886.077060185184</v>
      </c>
      <c r="U1584" s="5"/>
      <c r="V1584" s="5">
        <v>0</v>
      </c>
      <c r="W1584" s="5"/>
      <c r="X1584" s="5"/>
      <c r="Y1584" s="5"/>
      <c r="Z1584" s="5"/>
      <c r="AA1584" s="5" t="s">
        <v>44</v>
      </c>
      <c r="AC1584">
        <f t="shared" si="217"/>
        <v>7</v>
      </c>
      <c r="AD1584" t="str">
        <f t="shared" si="218"/>
        <v/>
      </c>
      <c r="AE1584">
        <f t="shared" si="219"/>
        <v>1</v>
      </c>
      <c r="AF1584" t="str">
        <f t="shared" si="220"/>
        <v/>
      </c>
      <c r="AG1584" t="str">
        <f t="shared" si="221"/>
        <v/>
      </c>
      <c r="AH1584">
        <f t="shared" si="222"/>
        <v>4</v>
      </c>
      <c r="AI1584" t="str">
        <f t="shared" si="223"/>
        <v/>
      </c>
      <c r="AJ1584" t="str">
        <f t="shared" si="224"/>
        <v/>
      </c>
    </row>
    <row r="1585" spans="1:36">
      <c r="A1585" s="5">
        <v>1856</v>
      </c>
      <c r="B1585" s="5" t="s">
        <v>313</v>
      </c>
      <c r="C1585" s="5" t="s">
        <v>100</v>
      </c>
      <c r="D1585" s="5" t="s">
        <v>268</v>
      </c>
      <c r="E1585" s="5" t="s">
        <v>291</v>
      </c>
      <c r="F1585" s="5" t="str">
        <f t="shared" si="216"/>
        <v>Program Office-Cordination Manager</v>
      </c>
      <c r="G1585" s="5" t="s">
        <v>270</v>
      </c>
      <c r="H1585" s="9">
        <v>44878.077060185184</v>
      </c>
      <c r="I1585" s="9">
        <v>44881.077060185184</v>
      </c>
      <c r="J1585" s="9" t="e">
        <f>I1585+#REF!</f>
        <v>#REF!</v>
      </c>
      <c r="K1585" s="9" t="e">
        <f>J1585+#REF!</f>
        <v>#REF!</v>
      </c>
      <c r="L1585" s="10" t="s">
        <v>41</v>
      </c>
      <c r="M1585" s="11">
        <v>44896.077060185184</v>
      </c>
      <c r="N1585" s="5" t="s">
        <v>64</v>
      </c>
      <c r="O1585" s="5"/>
      <c r="P1585" s="9">
        <v>44900.077060185184</v>
      </c>
      <c r="Q1585" s="5" t="s">
        <v>64</v>
      </c>
      <c r="R1585" s="9">
        <v>44897.077060185184</v>
      </c>
      <c r="S1585" s="9">
        <v>44898.077060185184</v>
      </c>
      <c r="T1585" s="9">
        <v>44898.077060185184</v>
      </c>
      <c r="U1585" s="9">
        <v>44903.077060185184</v>
      </c>
      <c r="V1585" s="12">
        <v>1</v>
      </c>
      <c r="W1585" s="9">
        <v>44907.077060185184</v>
      </c>
      <c r="X1585" s="9">
        <v>44908.077060185184</v>
      </c>
      <c r="Y1585" s="9">
        <v>44911.077060185184</v>
      </c>
      <c r="Z1585" s="5"/>
      <c r="AA1585" s="5"/>
      <c r="AB1585" s="13">
        <v>44918.077060185184</v>
      </c>
      <c r="AC1585">
        <f t="shared" si="217"/>
        <v>15</v>
      </c>
      <c r="AD1585">
        <f t="shared" si="218"/>
        <v>17</v>
      </c>
      <c r="AE1585">
        <f t="shared" si="219"/>
        <v>2</v>
      </c>
      <c r="AF1585">
        <f t="shared" si="220"/>
        <v>5</v>
      </c>
      <c r="AG1585">
        <f t="shared" si="221"/>
        <v>4</v>
      </c>
      <c r="AH1585">
        <f t="shared" si="222"/>
        <v>3</v>
      </c>
      <c r="AI1585" t="str">
        <f t="shared" si="223"/>
        <v/>
      </c>
      <c r="AJ1585" t="str">
        <f t="shared" si="224"/>
        <v/>
      </c>
    </row>
    <row r="1586" spans="1:36">
      <c r="A1586" s="5">
        <v>1857</v>
      </c>
      <c r="B1586" s="5" t="s">
        <v>512</v>
      </c>
      <c r="C1586" s="5" t="s">
        <v>100</v>
      </c>
      <c r="D1586" s="5" t="s">
        <v>506</v>
      </c>
      <c r="E1586" s="5" t="s">
        <v>55</v>
      </c>
      <c r="F1586" s="5" t="str">
        <f t="shared" si="216"/>
        <v>Program Office-Director</v>
      </c>
      <c r="G1586" s="5" t="s">
        <v>56</v>
      </c>
      <c r="H1586" s="9">
        <v>44877.077060185184</v>
      </c>
      <c r="I1586" s="9">
        <v>44880.077060185184</v>
      </c>
      <c r="J1586" s="9" t="e">
        <f>I1586+#REF!</f>
        <v>#REF!</v>
      </c>
      <c r="K1586" s="9" t="e">
        <f>J1586+#REF!</f>
        <v>#REF!</v>
      </c>
      <c r="L1586" s="10" t="s">
        <v>52</v>
      </c>
      <c r="M1586" s="11"/>
      <c r="N1586" s="5"/>
      <c r="O1586" s="5"/>
      <c r="P1586" s="9"/>
      <c r="Q1586" s="5"/>
      <c r="R1586" s="5"/>
      <c r="S1586" s="5"/>
      <c r="T1586" s="9"/>
      <c r="U1586" s="5"/>
      <c r="V1586" s="5">
        <v>0</v>
      </c>
      <c r="W1586" s="5"/>
      <c r="X1586" s="5"/>
      <c r="Y1586" s="5"/>
      <c r="Z1586" s="5"/>
      <c r="AA1586" s="5"/>
      <c r="AC1586" t="str">
        <f t="shared" si="217"/>
        <v/>
      </c>
      <c r="AD1586" t="str">
        <f t="shared" si="218"/>
        <v/>
      </c>
      <c r="AE1586" t="str">
        <f t="shared" si="219"/>
        <v/>
      </c>
      <c r="AF1586" t="str">
        <f t="shared" si="220"/>
        <v/>
      </c>
      <c r="AG1586" t="str">
        <f t="shared" si="221"/>
        <v/>
      </c>
      <c r="AH1586">
        <f t="shared" si="222"/>
        <v>3</v>
      </c>
      <c r="AI1586" t="str">
        <f t="shared" si="223"/>
        <v/>
      </c>
      <c r="AJ1586" t="str">
        <f t="shared" si="224"/>
        <v/>
      </c>
    </row>
    <row r="1587" spans="1:36">
      <c r="A1587" s="5">
        <v>1858</v>
      </c>
      <c r="B1587" s="5" t="s">
        <v>198</v>
      </c>
      <c r="C1587" s="5" t="s">
        <v>100</v>
      </c>
      <c r="D1587" s="5" t="s">
        <v>146</v>
      </c>
      <c r="E1587" s="5" t="s">
        <v>39</v>
      </c>
      <c r="F1587" s="5" t="str">
        <f t="shared" si="216"/>
        <v>Program Office-Analyst</v>
      </c>
      <c r="G1587" s="5" t="s">
        <v>147</v>
      </c>
      <c r="H1587" s="9">
        <v>44874.077060185184</v>
      </c>
      <c r="I1587" s="9">
        <v>44876.077060185184</v>
      </c>
      <c r="J1587" s="9" t="e">
        <f>I1587+#REF!</f>
        <v>#REF!</v>
      </c>
      <c r="K1587" s="9" t="e">
        <f>J1587+#REF!</f>
        <v>#REF!</v>
      </c>
      <c r="L1587" s="10" t="s">
        <v>41</v>
      </c>
      <c r="M1587" s="11">
        <v>44894.077060185184</v>
      </c>
      <c r="N1587" s="5" t="s">
        <v>48</v>
      </c>
      <c r="O1587" s="5"/>
      <c r="P1587" s="9">
        <v>44901.077060185184</v>
      </c>
      <c r="Q1587" s="5" t="s">
        <v>48</v>
      </c>
      <c r="R1587" s="5"/>
      <c r="S1587" s="5"/>
      <c r="T1587" s="9">
        <v>44898.077060185184</v>
      </c>
      <c r="U1587" s="5"/>
      <c r="V1587" s="5">
        <v>0</v>
      </c>
      <c r="W1587" s="5"/>
      <c r="X1587" s="5"/>
      <c r="Y1587" s="5"/>
      <c r="Z1587" s="5"/>
      <c r="AA1587" s="5"/>
      <c r="AC1587">
        <f t="shared" si="217"/>
        <v>18</v>
      </c>
      <c r="AD1587" t="str">
        <f t="shared" si="218"/>
        <v/>
      </c>
      <c r="AE1587">
        <f t="shared" si="219"/>
        <v>4</v>
      </c>
      <c r="AF1587" t="str">
        <f t="shared" si="220"/>
        <v/>
      </c>
      <c r="AG1587" t="str">
        <f t="shared" si="221"/>
        <v/>
      </c>
      <c r="AH1587">
        <f t="shared" si="222"/>
        <v>2</v>
      </c>
      <c r="AI1587" t="str">
        <f t="shared" si="223"/>
        <v/>
      </c>
      <c r="AJ1587" t="str">
        <f t="shared" si="224"/>
        <v/>
      </c>
    </row>
    <row r="1588" spans="1:36">
      <c r="A1588" s="5">
        <v>1859</v>
      </c>
      <c r="B1588" s="5" t="s">
        <v>312</v>
      </c>
      <c r="C1588" s="5" t="s">
        <v>100</v>
      </c>
      <c r="D1588" s="5" t="s">
        <v>268</v>
      </c>
      <c r="E1588" s="5" t="s">
        <v>291</v>
      </c>
      <c r="F1588" s="5" t="str">
        <f t="shared" si="216"/>
        <v>Program Office-Cordination Manager</v>
      </c>
      <c r="G1588" s="5" t="s">
        <v>270</v>
      </c>
      <c r="H1588" s="9">
        <v>44878.077060185184</v>
      </c>
      <c r="I1588" s="9">
        <v>44879.077060185184</v>
      </c>
      <c r="J1588" s="9" t="e">
        <f>I1588+#REF!</f>
        <v>#REF!</v>
      </c>
      <c r="K1588" s="9" t="e">
        <f>J1588+#REF!</f>
        <v>#REF!</v>
      </c>
      <c r="L1588" s="10" t="s">
        <v>41</v>
      </c>
      <c r="M1588" s="11">
        <v>44892.077060185184</v>
      </c>
      <c r="N1588" s="5" t="s">
        <v>42</v>
      </c>
      <c r="O1588" s="5" t="s">
        <v>98</v>
      </c>
      <c r="P1588" s="9"/>
      <c r="Q1588" s="5"/>
      <c r="R1588" s="5"/>
      <c r="S1588" s="5"/>
      <c r="T1588" s="9"/>
      <c r="U1588" s="5"/>
      <c r="V1588" s="5">
        <v>0</v>
      </c>
      <c r="W1588" s="5"/>
      <c r="X1588" s="5"/>
      <c r="Y1588" s="5"/>
      <c r="Z1588" s="5"/>
      <c r="AA1588" s="5" t="s">
        <v>62</v>
      </c>
      <c r="AC1588">
        <f t="shared" si="217"/>
        <v>13</v>
      </c>
      <c r="AD1588" t="str">
        <f t="shared" si="218"/>
        <v/>
      </c>
      <c r="AE1588" t="str">
        <f t="shared" si="219"/>
        <v/>
      </c>
      <c r="AF1588" t="str">
        <f t="shared" si="220"/>
        <v/>
      </c>
      <c r="AG1588" t="str">
        <f t="shared" si="221"/>
        <v/>
      </c>
      <c r="AH1588">
        <f t="shared" si="222"/>
        <v>1</v>
      </c>
      <c r="AI1588" t="str">
        <f t="shared" si="223"/>
        <v/>
      </c>
      <c r="AJ1588" t="str">
        <f t="shared" si="224"/>
        <v/>
      </c>
    </row>
    <row r="1589" spans="1:36">
      <c r="A1589" s="5">
        <v>1860</v>
      </c>
      <c r="B1589" s="5" t="s">
        <v>197</v>
      </c>
      <c r="C1589" s="5" t="s">
        <v>100</v>
      </c>
      <c r="D1589" s="5" t="s">
        <v>146</v>
      </c>
      <c r="E1589" s="5" t="s">
        <v>39</v>
      </c>
      <c r="F1589" s="5" t="str">
        <f t="shared" si="216"/>
        <v>Program Office-Analyst</v>
      </c>
      <c r="G1589" s="5" t="s">
        <v>147</v>
      </c>
      <c r="H1589" s="9">
        <v>44874.077060185184</v>
      </c>
      <c r="I1589" s="9">
        <v>44878.077060185184</v>
      </c>
      <c r="J1589" s="9" t="e">
        <f>I1589+#REF!</f>
        <v>#REF!</v>
      </c>
      <c r="K1589" s="9" t="e">
        <f>J1589+#REF!</f>
        <v>#REF!</v>
      </c>
      <c r="L1589" s="10" t="s">
        <v>41</v>
      </c>
      <c r="M1589" s="11">
        <v>44894.077060185184</v>
      </c>
      <c r="N1589" s="5" t="s">
        <v>42</v>
      </c>
      <c r="O1589" s="5" t="s">
        <v>73</v>
      </c>
      <c r="P1589" s="9"/>
      <c r="Q1589" s="5"/>
      <c r="R1589" s="5"/>
      <c r="S1589" s="5"/>
      <c r="T1589" s="9"/>
      <c r="U1589" s="5"/>
      <c r="V1589" s="5">
        <v>0</v>
      </c>
      <c r="W1589" s="5"/>
      <c r="X1589" s="5"/>
      <c r="Y1589" s="5"/>
      <c r="Z1589" s="5"/>
      <c r="AA1589" s="5" t="s">
        <v>44</v>
      </c>
      <c r="AC1589">
        <f t="shared" si="217"/>
        <v>16</v>
      </c>
      <c r="AD1589" t="str">
        <f t="shared" si="218"/>
        <v/>
      </c>
      <c r="AE1589" t="str">
        <f t="shared" si="219"/>
        <v/>
      </c>
      <c r="AF1589" t="str">
        <f t="shared" si="220"/>
        <v/>
      </c>
      <c r="AG1589" t="str">
        <f t="shared" si="221"/>
        <v/>
      </c>
      <c r="AH1589">
        <f t="shared" si="222"/>
        <v>4</v>
      </c>
      <c r="AI1589" t="str">
        <f t="shared" si="223"/>
        <v/>
      </c>
      <c r="AJ1589" t="str">
        <f t="shared" si="224"/>
        <v/>
      </c>
    </row>
    <row r="1590" spans="1:36">
      <c r="A1590" s="5">
        <v>1861</v>
      </c>
      <c r="B1590" s="5" t="s">
        <v>1619</v>
      </c>
      <c r="C1590" s="5" t="s">
        <v>1540</v>
      </c>
      <c r="D1590" s="5" t="s">
        <v>1588</v>
      </c>
      <c r="E1590" s="5" t="s">
        <v>1360</v>
      </c>
      <c r="F1590" s="5" t="str">
        <f t="shared" si="216"/>
        <v>Finance-Fund Administrator</v>
      </c>
      <c r="G1590" s="5" t="s">
        <v>147</v>
      </c>
      <c r="H1590" s="9">
        <v>44639.350624999999</v>
      </c>
      <c r="I1590" s="9">
        <v>44640.350624999999</v>
      </c>
      <c r="J1590" s="9" t="e">
        <f>I1590+#REF!</f>
        <v>#REF!</v>
      </c>
      <c r="K1590" s="9" t="e">
        <f>J1590+#REF!</f>
        <v>#REF!</v>
      </c>
      <c r="L1590" s="10" t="s">
        <v>41</v>
      </c>
      <c r="M1590" s="11">
        <v>44650.350624999999</v>
      </c>
      <c r="N1590" s="5" t="s">
        <v>48</v>
      </c>
      <c r="O1590" s="5"/>
      <c r="P1590" s="9">
        <v>44656.350624999999</v>
      </c>
      <c r="Q1590" s="5" t="s">
        <v>48</v>
      </c>
      <c r="R1590" s="5"/>
      <c r="S1590" s="5"/>
      <c r="T1590" s="9">
        <v>44652.350624999999</v>
      </c>
      <c r="U1590" s="5"/>
      <c r="V1590" s="5">
        <v>0</v>
      </c>
      <c r="W1590" s="5"/>
      <c r="X1590" s="5"/>
      <c r="Y1590" s="5"/>
      <c r="Z1590" s="5"/>
      <c r="AA1590" s="5"/>
      <c r="AC1590">
        <f t="shared" si="217"/>
        <v>10</v>
      </c>
      <c r="AD1590" t="str">
        <f t="shared" si="218"/>
        <v/>
      </c>
      <c r="AE1590">
        <f t="shared" si="219"/>
        <v>2</v>
      </c>
      <c r="AF1590" t="str">
        <f t="shared" si="220"/>
        <v/>
      </c>
      <c r="AG1590" t="str">
        <f t="shared" si="221"/>
        <v/>
      </c>
      <c r="AH1590">
        <f t="shared" si="222"/>
        <v>1</v>
      </c>
      <c r="AI1590" t="str">
        <f t="shared" si="223"/>
        <v/>
      </c>
      <c r="AJ1590" t="str">
        <f t="shared" si="224"/>
        <v/>
      </c>
    </row>
    <row r="1591" spans="1:36">
      <c r="A1591" s="5">
        <v>1866</v>
      </c>
      <c r="B1591" s="5" t="s">
        <v>1618</v>
      </c>
      <c r="C1591" s="5" t="s">
        <v>1540</v>
      </c>
      <c r="D1591" s="5" t="s">
        <v>1588</v>
      </c>
      <c r="E1591" s="5" t="s">
        <v>1360</v>
      </c>
      <c r="F1591" s="5" t="str">
        <f t="shared" si="216"/>
        <v>Finance-Fund Administrator</v>
      </c>
      <c r="G1591" s="5" t="s">
        <v>147</v>
      </c>
      <c r="H1591" s="9">
        <v>44643.350624999999</v>
      </c>
      <c r="I1591" s="9">
        <v>44644.350624999999</v>
      </c>
      <c r="J1591" s="9" t="e">
        <f>I1591+#REF!</f>
        <v>#REF!</v>
      </c>
      <c r="K1591" s="9" t="e">
        <f>J1591+#REF!</f>
        <v>#REF!</v>
      </c>
      <c r="L1591" s="10" t="s">
        <v>41</v>
      </c>
      <c r="M1591" s="11">
        <v>44650.350624999999</v>
      </c>
      <c r="N1591" s="5" t="s">
        <v>64</v>
      </c>
      <c r="O1591" s="5"/>
      <c r="P1591" s="9">
        <v>44654.350624999999</v>
      </c>
      <c r="Q1591" s="5" t="s">
        <v>64</v>
      </c>
      <c r="R1591" s="9">
        <v>44651.350624999999</v>
      </c>
      <c r="S1591" s="9">
        <v>44653.350624999999</v>
      </c>
      <c r="T1591" s="9">
        <v>44651.350624999999</v>
      </c>
      <c r="U1591" s="9">
        <v>44660.350624999999</v>
      </c>
      <c r="V1591" s="12">
        <v>1</v>
      </c>
      <c r="W1591" s="9">
        <v>44661.350624999999</v>
      </c>
      <c r="X1591" s="9">
        <v>44662.350624999999</v>
      </c>
      <c r="Y1591" s="9">
        <v>44663.350624999999</v>
      </c>
      <c r="Z1591" s="5"/>
      <c r="AA1591" s="5"/>
      <c r="AB1591" s="13">
        <v>44685.350624999999</v>
      </c>
      <c r="AC1591">
        <f t="shared" si="217"/>
        <v>6</v>
      </c>
      <c r="AD1591">
        <f t="shared" si="218"/>
        <v>9</v>
      </c>
      <c r="AE1591">
        <f t="shared" si="219"/>
        <v>1</v>
      </c>
      <c r="AF1591">
        <f t="shared" si="220"/>
        <v>2</v>
      </c>
      <c r="AG1591">
        <f t="shared" si="221"/>
        <v>1</v>
      </c>
      <c r="AH1591">
        <f t="shared" si="222"/>
        <v>1</v>
      </c>
      <c r="AI1591" t="str">
        <f t="shared" si="223"/>
        <v/>
      </c>
      <c r="AJ1591" t="str">
        <f t="shared" si="224"/>
        <v/>
      </c>
    </row>
    <row r="1592" spans="1:36">
      <c r="A1592" s="5">
        <v>1868</v>
      </c>
      <c r="B1592" s="5" t="s">
        <v>1864</v>
      </c>
      <c r="C1592" s="5" t="s">
        <v>1540</v>
      </c>
      <c r="D1592" s="5" t="s">
        <v>1820</v>
      </c>
      <c r="E1592" s="5" t="s">
        <v>1862</v>
      </c>
      <c r="F1592" s="5" t="str">
        <f t="shared" si="216"/>
        <v>Finance-Billing Officer</v>
      </c>
      <c r="G1592" s="5" t="s">
        <v>40</v>
      </c>
      <c r="H1592" s="9">
        <v>44641.350624999999</v>
      </c>
      <c r="I1592" s="9">
        <v>44645.350624999999</v>
      </c>
      <c r="J1592" s="9" t="e">
        <f>I1592+#REF!</f>
        <v>#REF!</v>
      </c>
      <c r="K1592" s="9" t="e">
        <f>J1592+#REF!</f>
        <v>#REF!</v>
      </c>
      <c r="L1592" s="10" t="s">
        <v>41</v>
      </c>
      <c r="M1592" s="11">
        <v>44650.350624999999</v>
      </c>
      <c r="N1592" s="5" t="s">
        <v>42</v>
      </c>
      <c r="O1592" s="5" t="s">
        <v>43</v>
      </c>
      <c r="P1592" s="9"/>
      <c r="Q1592" s="5"/>
      <c r="R1592" s="5"/>
      <c r="S1592" s="5"/>
      <c r="T1592" s="9"/>
      <c r="U1592" s="5"/>
      <c r="V1592" s="5">
        <v>0</v>
      </c>
      <c r="W1592" s="5"/>
      <c r="X1592" s="5"/>
      <c r="Y1592" s="5"/>
      <c r="Z1592" s="5"/>
      <c r="AA1592" s="5" t="s">
        <v>62</v>
      </c>
      <c r="AC1592">
        <f t="shared" si="217"/>
        <v>5</v>
      </c>
      <c r="AD1592" t="str">
        <f t="shared" si="218"/>
        <v/>
      </c>
      <c r="AE1592" t="str">
        <f t="shared" si="219"/>
        <v/>
      </c>
      <c r="AF1592" t="str">
        <f t="shared" si="220"/>
        <v/>
      </c>
      <c r="AG1592" t="str">
        <f t="shared" si="221"/>
        <v/>
      </c>
      <c r="AH1592">
        <f t="shared" si="222"/>
        <v>4</v>
      </c>
      <c r="AI1592" t="str">
        <f t="shared" si="223"/>
        <v/>
      </c>
      <c r="AJ1592" t="str">
        <f t="shared" si="224"/>
        <v/>
      </c>
    </row>
    <row r="1593" spans="1:36">
      <c r="A1593" s="5">
        <v>1869</v>
      </c>
      <c r="B1593" s="5" t="s">
        <v>1863</v>
      </c>
      <c r="C1593" s="5" t="s">
        <v>1540</v>
      </c>
      <c r="D1593" s="5" t="s">
        <v>1820</v>
      </c>
      <c r="E1593" s="5" t="s">
        <v>1862</v>
      </c>
      <c r="F1593" s="5" t="str">
        <f t="shared" si="216"/>
        <v>Finance-Billing Officer</v>
      </c>
      <c r="G1593" s="5" t="s">
        <v>40</v>
      </c>
      <c r="H1593" s="9">
        <v>44639.350624999999</v>
      </c>
      <c r="I1593" s="9">
        <v>44640.350624999999</v>
      </c>
      <c r="J1593" s="9" t="e">
        <f>I1593+#REF!</f>
        <v>#REF!</v>
      </c>
      <c r="K1593" s="9" t="e">
        <f>J1593+#REF!</f>
        <v>#REF!</v>
      </c>
      <c r="L1593" s="10" t="s">
        <v>41</v>
      </c>
      <c r="M1593" s="11">
        <v>44654.350624999999</v>
      </c>
      <c r="N1593" s="5" t="s">
        <v>42</v>
      </c>
      <c r="O1593" s="5" t="s">
        <v>58</v>
      </c>
      <c r="P1593" s="9"/>
      <c r="Q1593" s="5"/>
      <c r="R1593" s="5"/>
      <c r="S1593" s="5"/>
      <c r="T1593" s="9">
        <v>44655.350624999999</v>
      </c>
      <c r="U1593" s="5"/>
      <c r="V1593" s="5">
        <v>0</v>
      </c>
      <c r="W1593" s="5"/>
      <c r="X1593" s="5"/>
      <c r="Y1593" s="5"/>
      <c r="Z1593" s="5"/>
      <c r="AA1593" s="5" t="s">
        <v>62</v>
      </c>
      <c r="AC1593">
        <f t="shared" si="217"/>
        <v>14</v>
      </c>
      <c r="AD1593" t="str">
        <f t="shared" si="218"/>
        <v/>
      </c>
      <c r="AE1593">
        <f t="shared" si="219"/>
        <v>1</v>
      </c>
      <c r="AF1593" t="str">
        <f t="shared" si="220"/>
        <v/>
      </c>
      <c r="AG1593" t="str">
        <f t="shared" si="221"/>
        <v/>
      </c>
      <c r="AH1593">
        <f t="shared" si="222"/>
        <v>1</v>
      </c>
      <c r="AI1593" t="str">
        <f t="shared" si="223"/>
        <v/>
      </c>
      <c r="AJ1593" t="str">
        <f t="shared" si="224"/>
        <v/>
      </c>
    </row>
    <row r="1594" spans="1:36">
      <c r="A1594" s="5">
        <v>1870</v>
      </c>
      <c r="B1594" s="5" t="s">
        <v>1617</v>
      </c>
      <c r="C1594" s="5" t="s">
        <v>1540</v>
      </c>
      <c r="D1594" s="5" t="s">
        <v>1588</v>
      </c>
      <c r="E1594" s="5" t="s">
        <v>1360</v>
      </c>
      <c r="F1594" s="5" t="str">
        <f t="shared" si="216"/>
        <v>Finance-Fund Administrator</v>
      </c>
      <c r="G1594" s="5" t="s">
        <v>147</v>
      </c>
      <c r="H1594" s="9">
        <v>44641.350624999999</v>
      </c>
      <c r="I1594" s="9">
        <v>44644.350624999999</v>
      </c>
      <c r="J1594" s="9" t="e">
        <f>I1594+#REF!</f>
        <v>#REF!</v>
      </c>
      <c r="K1594" s="9" t="e">
        <f>J1594+#REF!</f>
        <v>#REF!</v>
      </c>
      <c r="L1594" s="10" t="s">
        <v>41</v>
      </c>
      <c r="M1594" s="11">
        <v>44650.350624999999</v>
      </c>
      <c r="N1594" s="5" t="s">
        <v>42</v>
      </c>
      <c r="O1594" s="5" t="s">
        <v>113</v>
      </c>
      <c r="P1594" s="9"/>
      <c r="Q1594" s="5"/>
      <c r="R1594" s="5"/>
      <c r="S1594" s="5"/>
      <c r="T1594" s="9">
        <v>44654.350624999999</v>
      </c>
      <c r="U1594" s="5"/>
      <c r="V1594" s="5">
        <v>0</v>
      </c>
      <c r="W1594" s="5"/>
      <c r="X1594" s="5"/>
      <c r="Y1594" s="5"/>
      <c r="Z1594" s="5"/>
      <c r="AA1594" s="5" t="s">
        <v>62</v>
      </c>
      <c r="AC1594">
        <f t="shared" si="217"/>
        <v>6</v>
      </c>
      <c r="AD1594" t="str">
        <f t="shared" si="218"/>
        <v/>
      </c>
      <c r="AE1594">
        <f t="shared" si="219"/>
        <v>4</v>
      </c>
      <c r="AF1594" t="str">
        <f t="shared" si="220"/>
        <v/>
      </c>
      <c r="AG1594" t="str">
        <f t="shared" si="221"/>
        <v/>
      </c>
      <c r="AH1594">
        <f t="shared" si="222"/>
        <v>3</v>
      </c>
      <c r="AI1594" t="str">
        <f t="shared" si="223"/>
        <v/>
      </c>
      <c r="AJ1594" t="str">
        <f t="shared" si="224"/>
        <v/>
      </c>
    </row>
    <row r="1595" spans="1:36">
      <c r="A1595" s="5">
        <v>1871</v>
      </c>
      <c r="B1595" s="5" t="s">
        <v>2366</v>
      </c>
      <c r="C1595" s="5" t="s">
        <v>2229</v>
      </c>
      <c r="D1595" s="5" t="s">
        <v>2350</v>
      </c>
      <c r="E1595" s="5" t="s">
        <v>2351</v>
      </c>
      <c r="F1595" s="5" t="str">
        <f t="shared" si="216"/>
        <v>Capacity Building-Training Associate</v>
      </c>
      <c r="G1595" s="5" t="s">
        <v>40</v>
      </c>
      <c r="H1595" s="9">
        <v>44578.732974537037</v>
      </c>
      <c r="I1595" s="9">
        <v>44580.732974537037</v>
      </c>
      <c r="J1595" s="9" t="e">
        <f>I1595+#REF!</f>
        <v>#REF!</v>
      </c>
      <c r="K1595" s="9" t="e">
        <f>J1595+#REF!</f>
        <v>#REF!</v>
      </c>
      <c r="L1595" s="10" t="s">
        <v>41</v>
      </c>
      <c r="M1595" s="11">
        <v>44596.732974537037</v>
      </c>
      <c r="N1595" s="5" t="s">
        <v>64</v>
      </c>
      <c r="O1595" s="5"/>
      <c r="P1595" s="9">
        <v>44598.732974537037</v>
      </c>
      <c r="Q1595" s="5" t="s">
        <v>64</v>
      </c>
      <c r="R1595" s="9">
        <v>44598.732974537037</v>
      </c>
      <c r="S1595" s="9">
        <v>44599.732974537037</v>
      </c>
      <c r="T1595" s="9">
        <v>44597.732974537037</v>
      </c>
      <c r="U1595" s="9">
        <v>44599.732974537037</v>
      </c>
      <c r="V1595" s="12">
        <v>1</v>
      </c>
      <c r="W1595" s="9">
        <v>44602.732974537037</v>
      </c>
      <c r="X1595" s="9">
        <v>44604.732974537037</v>
      </c>
      <c r="Y1595" s="9">
        <v>44605.732974537037</v>
      </c>
      <c r="Z1595" s="5"/>
      <c r="AA1595" s="5"/>
      <c r="AB1595" s="13">
        <v>44624.732974537037</v>
      </c>
      <c r="AC1595">
        <f t="shared" si="217"/>
        <v>16</v>
      </c>
      <c r="AD1595">
        <f t="shared" si="218"/>
        <v>19</v>
      </c>
      <c r="AE1595">
        <f t="shared" si="219"/>
        <v>1</v>
      </c>
      <c r="AF1595">
        <f t="shared" si="220"/>
        <v>5</v>
      </c>
      <c r="AG1595">
        <f t="shared" si="221"/>
        <v>3</v>
      </c>
      <c r="AH1595">
        <f t="shared" si="222"/>
        <v>2</v>
      </c>
      <c r="AI1595" t="str">
        <f t="shared" si="223"/>
        <v/>
      </c>
      <c r="AJ1595" t="str">
        <f t="shared" si="224"/>
        <v/>
      </c>
    </row>
    <row r="1596" spans="1:36">
      <c r="A1596" s="5">
        <v>1873</v>
      </c>
      <c r="B1596" s="5" t="s">
        <v>1389</v>
      </c>
      <c r="C1596" s="5" t="s">
        <v>1332</v>
      </c>
      <c r="D1596" s="5" t="s">
        <v>1359</v>
      </c>
      <c r="E1596" s="5" t="s">
        <v>1360</v>
      </c>
      <c r="F1596" s="5" t="str">
        <f t="shared" si="216"/>
        <v>Fundraising-Fund Administrator</v>
      </c>
      <c r="G1596" s="5" t="s">
        <v>147</v>
      </c>
      <c r="H1596" s="9">
        <v>44578.732974537037</v>
      </c>
      <c r="I1596" s="9">
        <v>44580.732974537037</v>
      </c>
      <c r="J1596" s="9" t="e">
        <f>I1596+#REF!</f>
        <v>#REF!</v>
      </c>
      <c r="K1596" s="9" t="e">
        <f>J1596+#REF!</f>
        <v>#REF!</v>
      </c>
      <c r="L1596" s="10" t="s">
        <v>41</v>
      </c>
      <c r="M1596" s="11">
        <v>44586.732974537037</v>
      </c>
      <c r="N1596" s="5" t="s">
        <v>167</v>
      </c>
      <c r="O1596" s="5"/>
      <c r="P1596" s="9">
        <v>44593.732974537037</v>
      </c>
      <c r="Q1596" s="5" t="s">
        <v>167</v>
      </c>
      <c r="R1596" s="5"/>
      <c r="S1596" s="5"/>
      <c r="T1596" s="9">
        <v>44590.732974537037</v>
      </c>
      <c r="U1596" s="5"/>
      <c r="V1596" s="5">
        <v>0</v>
      </c>
      <c r="W1596" s="5"/>
      <c r="X1596" s="5"/>
      <c r="Y1596" s="5"/>
      <c r="Z1596" s="5"/>
      <c r="AA1596" s="5"/>
      <c r="AC1596">
        <f t="shared" si="217"/>
        <v>6</v>
      </c>
      <c r="AD1596" t="str">
        <f t="shared" si="218"/>
        <v/>
      </c>
      <c r="AE1596">
        <f t="shared" si="219"/>
        <v>4</v>
      </c>
      <c r="AF1596" t="str">
        <f t="shared" si="220"/>
        <v/>
      </c>
      <c r="AG1596" t="str">
        <f t="shared" si="221"/>
        <v/>
      </c>
      <c r="AH1596">
        <f t="shared" si="222"/>
        <v>2</v>
      </c>
      <c r="AI1596" t="str">
        <f t="shared" si="223"/>
        <v/>
      </c>
      <c r="AJ1596" t="str">
        <f t="shared" si="224"/>
        <v/>
      </c>
    </row>
    <row r="1597" spans="1:36">
      <c r="A1597" s="5">
        <v>1874</v>
      </c>
      <c r="B1597" s="5" t="s">
        <v>1341</v>
      </c>
      <c r="C1597" s="5" t="s">
        <v>1332</v>
      </c>
      <c r="D1597" s="5" t="s">
        <v>1333</v>
      </c>
      <c r="E1597" s="5" t="s">
        <v>102</v>
      </c>
      <c r="F1597" s="5" t="str">
        <f t="shared" si="216"/>
        <v>Fundraising-Senior Manager</v>
      </c>
      <c r="G1597" s="5" t="s">
        <v>103</v>
      </c>
      <c r="H1597" s="9">
        <v>44576.732974537037</v>
      </c>
      <c r="I1597" s="9">
        <v>44578.732974537037</v>
      </c>
      <c r="J1597" s="9" t="e">
        <f>I1597+#REF!</f>
        <v>#REF!</v>
      </c>
      <c r="K1597" s="9" t="e">
        <f>J1597+#REF!</f>
        <v>#REF!</v>
      </c>
      <c r="L1597" s="10" t="s">
        <v>41</v>
      </c>
      <c r="M1597" s="11">
        <v>44599.732974537037</v>
      </c>
      <c r="N1597" s="5" t="s">
        <v>42</v>
      </c>
      <c r="O1597" s="5" t="s">
        <v>58</v>
      </c>
      <c r="P1597" s="9"/>
      <c r="Q1597" s="5"/>
      <c r="R1597" s="5"/>
      <c r="S1597" s="5"/>
      <c r="T1597" s="9"/>
      <c r="U1597" s="5"/>
      <c r="V1597" s="5">
        <v>0</v>
      </c>
      <c r="W1597" s="5"/>
      <c r="X1597" s="5"/>
      <c r="Y1597" s="5"/>
      <c r="Z1597" s="5"/>
      <c r="AA1597" s="5" t="s">
        <v>62</v>
      </c>
      <c r="AC1597">
        <f t="shared" si="217"/>
        <v>21</v>
      </c>
      <c r="AD1597" t="str">
        <f t="shared" si="218"/>
        <v/>
      </c>
      <c r="AE1597" t="str">
        <f t="shared" si="219"/>
        <v/>
      </c>
      <c r="AF1597" t="str">
        <f t="shared" si="220"/>
        <v/>
      </c>
      <c r="AG1597" t="str">
        <f t="shared" si="221"/>
        <v/>
      </c>
      <c r="AH1597">
        <f t="shared" si="222"/>
        <v>2</v>
      </c>
      <c r="AI1597" t="str">
        <f t="shared" si="223"/>
        <v/>
      </c>
      <c r="AJ1597" t="str">
        <f t="shared" si="224"/>
        <v/>
      </c>
    </row>
    <row r="1598" spans="1:36">
      <c r="A1598" s="5">
        <v>1876</v>
      </c>
      <c r="B1598" s="5" t="s">
        <v>1482</v>
      </c>
      <c r="C1598" s="5" t="s">
        <v>1332</v>
      </c>
      <c r="D1598" s="5" t="s">
        <v>1448</v>
      </c>
      <c r="E1598" s="5" t="s">
        <v>597</v>
      </c>
      <c r="F1598" s="5" t="str">
        <f t="shared" si="216"/>
        <v>Fundraising-Business Partner</v>
      </c>
      <c r="G1598" s="5" t="s">
        <v>40</v>
      </c>
      <c r="H1598" s="9">
        <v>44575.732974537037</v>
      </c>
      <c r="I1598" s="9">
        <v>44577.732974537037</v>
      </c>
      <c r="J1598" s="9" t="e">
        <f>I1598+#REF!</f>
        <v>#REF!</v>
      </c>
      <c r="K1598" s="9" t="e">
        <f>J1598+#REF!</f>
        <v>#REF!</v>
      </c>
      <c r="L1598" s="10" t="s">
        <v>41</v>
      </c>
      <c r="M1598" s="11">
        <v>44582.732974537037</v>
      </c>
      <c r="N1598" s="5" t="s">
        <v>167</v>
      </c>
      <c r="O1598" s="5"/>
      <c r="P1598" s="9">
        <v>44587.732974537037</v>
      </c>
      <c r="Q1598" s="5" t="s">
        <v>167</v>
      </c>
      <c r="R1598" s="5"/>
      <c r="S1598" s="5"/>
      <c r="T1598" s="9">
        <v>44585.732974537037</v>
      </c>
      <c r="U1598" s="5"/>
      <c r="V1598" s="5">
        <v>0</v>
      </c>
      <c r="W1598" s="5"/>
      <c r="X1598" s="5"/>
      <c r="Y1598" s="5"/>
      <c r="Z1598" s="5"/>
      <c r="AA1598" s="5"/>
      <c r="AC1598">
        <f t="shared" si="217"/>
        <v>5</v>
      </c>
      <c r="AD1598" t="str">
        <f t="shared" si="218"/>
        <v/>
      </c>
      <c r="AE1598">
        <f t="shared" si="219"/>
        <v>3</v>
      </c>
      <c r="AF1598" t="str">
        <f t="shared" si="220"/>
        <v/>
      </c>
      <c r="AG1598" t="str">
        <f t="shared" si="221"/>
        <v/>
      </c>
      <c r="AH1598">
        <f t="shared" si="222"/>
        <v>2</v>
      </c>
      <c r="AI1598" t="str">
        <f t="shared" si="223"/>
        <v/>
      </c>
      <c r="AJ1598" t="str">
        <f t="shared" si="224"/>
        <v/>
      </c>
    </row>
    <row r="1599" spans="1:36">
      <c r="A1599" s="5">
        <v>1877</v>
      </c>
      <c r="B1599" s="5" t="s">
        <v>1432</v>
      </c>
      <c r="C1599" s="5" t="s">
        <v>1332</v>
      </c>
      <c r="D1599" s="5" t="s">
        <v>1413</v>
      </c>
      <c r="E1599" s="5" t="s">
        <v>269</v>
      </c>
      <c r="F1599" s="5" t="str">
        <f t="shared" si="216"/>
        <v>Fundraising-Manager</v>
      </c>
      <c r="G1599" s="5" t="s">
        <v>270</v>
      </c>
      <c r="H1599" s="9">
        <v>44577.732974537037</v>
      </c>
      <c r="I1599" s="9">
        <v>44579.732974537037</v>
      </c>
      <c r="J1599" s="9" t="e">
        <f>I1599+#REF!</f>
        <v>#REF!</v>
      </c>
      <c r="K1599" s="9" t="e">
        <f>J1599+#REF!</f>
        <v>#REF!</v>
      </c>
      <c r="L1599" s="10" t="s">
        <v>41</v>
      </c>
      <c r="M1599" s="11">
        <v>44591.732974537037</v>
      </c>
      <c r="N1599" s="5" t="s">
        <v>48</v>
      </c>
      <c r="O1599" s="5"/>
      <c r="P1599" s="9">
        <v>44595.732974537037</v>
      </c>
      <c r="Q1599" s="5" t="s">
        <v>48</v>
      </c>
      <c r="R1599" s="5"/>
      <c r="S1599" s="5"/>
      <c r="T1599" s="9">
        <v>44594.732974537037</v>
      </c>
      <c r="U1599" s="5"/>
      <c r="V1599" s="5">
        <v>0</v>
      </c>
      <c r="W1599" s="5"/>
      <c r="X1599" s="5"/>
      <c r="Y1599" s="5"/>
      <c r="Z1599" s="5"/>
      <c r="AA1599" s="5"/>
      <c r="AC1599">
        <f t="shared" si="217"/>
        <v>12</v>
      </c>
      <c r="AD1599" t="str">
        <f t="shared" si="218"/>
        <v/>
      </c>
      <c r="AE1599">
        <f t="shared" si="219"/>
        <v>3</v>
      </c>
      <c r="AF1599" t="str">
        <f t="shared" si="220"/>
        <v/>
      </c>
      <c r="AG1599" t="str">
        <f t="shared" si="221"/>
        <v/>
      </c>
      <c r="AH1599">
        <f t="shared" si="222"/>
        <v>2</v>
      </c>
      <c r="AI1599" t="str">
        <f t="shared" si="223"/>
        <v/>
      </c>
      <c r="AJ1599" t="str">
        <f t="shared" si="224"/>
        <v/>
      </c>
    </row>
    <row r="1600" spans="1:36">
      <c r="A1600" s="5">
        <v>1878</v>
      </c>
      <c r="B1600" s="5" t="s">
        <v>1521</v>
      </c>
      <c r="C1600" s="5" t="s">
        <v>1332</v>
      </c>
      <c r="D1600" s="5" t="s">
        <v>1500</v>
      </c>
      <c r="E1600" s="5" t="s">
        <v>815</v>
      </c>
      <c r="F1600" s="5" t="str">
        <f t="shared" si="216"/>
        <v>Fundraising-Auditor</v>
      </c>
      <c r="G1600" s="5" t="s">
        <v>47</v>
      </c>
      <c r="H1600" s="9">
        <v>44579.732974537037</v>
      </c>
      <c r="I1600" s="9">
        <v>44580.732974537037</v>
      </c>
      <c r="J1600" s="9" t="e">
        <f>I1600+#REF!</f>
        <v>#REF!</v>
      </c>
      <c r="K1600" s="9" t="e">
        <f>J1600+#REF!</f>
        <v>#REF!</v>
      </c>
      <c r="L1600" s="10" t="s">
        <v>41</v>
      </c>
      <c r="M1600" s="11">
        <v>44594.732974537037</v>
      </c>
      <c r="N1600" s="5" t="s">
        <v>42</v>
      </c>
      <c r="O1600" s="5" t="s">
        <v>113</v>
      </c>
      <c r="P1600" s="9"/>
      <c r="Q1600" s="5"/>
      <c r="R1600" s="5"/>
      <c r="S1600" s="5"/>
      <c r="T1600" s="9"/>
      <c r="U1600" s="5"/>
      <c r="V1600" s="5">
        <v>0</v>
      </c>
      <c r="W1600" s="5"/>
      <c r="X1600" s="5"/>
      <c r="Y1600" s="5"/>
      <c r="Z1600" s="5"/>
      <c r="AA1600" s="5" t="s">
        <v>44</v>
      </c>
      <c r="AC1600">
        <f t="shared" si="217"/>
        <v>14</v>
      </c>
      <c r="AD1600" t="str">
        <f t="shared" si="218"/>
        <v/>
      </c>
      <c r="AE1600" t="str">
        <f t="shared" si="219"/>
        <v/>
      </c>
      <c r="AF1600" t="str">
        <f t="shared" si="220"/>
        <v/>
      </c>
      <c r="AG1600" t="str">
        <f t="shared" si="221"/>
        <v/>
      </c>
      <c r="AH1600">
        <f t="shared" si="222"/>
        <v>1</v>
      </c>
      <c r="AI1600" t="str">
        <f t="shared" si="223"/>
        <v/>
      </c>
      <c r="AJ1600" t="str">
        <f t="shared" si="224"/>
        <v/>
      </c>
    </row>
    <row r="1601" spans="1:36">
      <c r="A1601" s="5">
        <v>1879</v>
      </c>
      <c r="B1601" s="5" t="s">
        <v>1431</v>
      </c>
      <c r="C1601" s="5" t="s">
        <v>1332</v>
      </c>
      <c r="D1601" s="5" t="s">
        <v>1413</v>
      </c>
      <c r="E1601" s="5" t="s">
        <v>269</v>
      </c>
      <c r="F1601" s="5" t="str">
        <f t="shared" si="216"/>
        <v>Fundraising-Manager</v>
      </c>
      <c r="G1601" s="5" t="s">
        <v>270</v>
      </c>
      <c r="H1601" s="9">
        <v>44573.732974537037</v>
      </c>
      <c r="I1601" s="9">
        <v>44577.732974537037</v>
      </c>
      <c r="J1601" s="9" t="e">
        <f>I1601+#REF!</f>
        <v>#REF!</v>
      </c>
      <c r="K1601" s="9" t="e">
        <f>J1601+#REF!</f>
        <v>#REF!</v>
      </c>
      <c r="L1601" s="10" t="s">
        <v>41</v>
      </c>
      <c r="M1601" s="11">
        <v>44596.732974537037</v>
      </c>
      <c r="N1601" s="5" t="s">
        <v>48</v>
      </c>
      <c r="O1601" s="5"/>
      <c r="P1601" s="9">
        <v>44599.732974537037</v>
      </c>
      <c r="Q1601" s="5" t="s">
        <v>48</v>
      </c>
      <c r="R1601" s="5"/>
      <c r="S1601" s="5"/>
      <c r="T1601" s="9">
        <v>44597.732974537037</v>
      </c>
      <c r="U1601" s="5"/>
      <c r="V1601" s="5">
        <v>0</v>
      </c>
      <c r="W1601" s="5"/>
      <c r="X1601" s="5"/>
      <c r="Y1601" s="5"/>
      <c r="Z1601" s="5"/>
      <c r="AA1601" s="5"/>
      <c r="AC1601">
        <f t="shared" si="217"/>
        <v>19</v>
      </c>
      <c r="AD1601" t="str">
        <f t="shared" si="218"/>
        <v/>
      </c>
      <c r="AE1601">
        <f t="shared" si="219"/>
        <v>1</v>
      </c>
      <c r="AF1601" t="str">
        <f t="shared" si="220"/>
        <v/>
      </c>
      <c r="AG1601" t="str">
        <f t="shared" si="221"/>
        <v/>
      </c>
      <c r="AH1601">
        <f t="shared" si="222"/>
        <v>4</v>
      </c>
      <c r="AI1601" t="str">
        <f t="shared" si="223"/>
        <v/>
      </c>
      <c r="AJ1601" t="str">
        <f t="shared" si="224"/>
        <v/>
      </c>
    </row>
    <row r="1602" spans="1:36">
      <c r="A1602" s="5">
        <v>1881</v>
      </c>
      <c r="B1602" s="5" t="s">
        <v>1861</v>
      </c>
      <c r="C1602" s="5" t="s">
        <v>1540</v>
      </c>
      <c r="D1602" s="5" t="s">
        <v>1820</v>
      </c>
      <c r="E1602" s="5" t="s">
        <v>1862</v>
      </c>
      <c r="F1602" s="5" t="str">
        <f t="shared" ref="F1602:F1665" si="225">_xlfn.CONCAT(C1602,"-",E1602)</f>
        <v>Finance-Billing Officer</v>
      </c>
      <c r="G1602" s="5" t="s">
        <v>40</v>
      </c>
      <c r="H1602" s="9">
        <v>44843.425185185188</v>
      </c>
      <c r="I1602" s="9">
        <v>44846.425185185188</v>
      </c>
      <c r="J1602" s="9" t="e">
        <f>I1602+#REF!</f>
        <v>#REF!</v>
      </c>
      <c r="K1602" s="9" t="e">
        <f>J1602+#REF!</f>
        <v>#REF!</v>
      </c>
      <c r="L1602" s="10" t="s">
        <v>41</v>
      </c>
      <c r="M1602" s="11">
        <v>44853.425185185188</v>
      </c>
      <c r="N1602" s="5" t="s">
        <v>42</v>
      </c>
      <c r="O1602" s="5" t="s">
        <v>43</v>
      </c>
      <c r="P1602" s="9"/>
      <c r="Q1602" s="5"/>
      <c r="R1602" s="5"/>
      <c r="S1602" s="5"/>
      <c r="T1602" s="9">
        <v>44855.425185185188</v>
      </c>
      <c r="U1602" s="5"/>
      <c r="V1602" s="5">
        <v>0</v>
      </c>
      <c r="W1602" s="5"/>
      <c r="X1602" s="5"/>
      <c r="Y1602" s="5"/>
      <c r="Z1602" s="5"/>
      <c r="AA1602" s="5" t="s">
        <v>62</v>
      </c>
      <c r="AC1602">
        <f t="shared" ref="AC1602:AC1665" si="226">IF(AND(ISNUMBER(M1602), ISNUMBER(I1602)), M1602 - I1602, "")</f>
        <v>7</v>
      </c>
      <c r="AD1602" t="str">
        <f t="shared" si="218"/>
        <v/>
      </c>
      <c r="AE1602">
        <f t="shared" si="219"/>
        <v>2</v>
      </c>
      <c r="AF1602" t="str">
        <f t="shared" si="220"/>
        <v/>
      </c>
      <c r="AG1602" t="str">
        <f t="shared" si="221"/>
        <v/>
      </c>
      <c r="AH1602">
        <f t="shared" si="222"/>
        <v>3</v>
      </c>
      <c r="AI1602" t="str">
        <f t="shared" si="223"/>
        <v/>
      </c>
      <c r="AJ1602" t="str">
        <f t="shared" si="224"/>
        <v/>
      </c>
    </row>
    <row r="1603" spans="1:36">
      <c r="A1603" s="5">
        <v>1882</v>
      </c>
      <c r="B1603" s="5" t="s">
        <v>1860</v>
      </c>
      <c r="C1603" s="5" t="s">
        <v>1540</v>
      </c>
      <c r="D1603" s="5" t="s">
        <v>1820</v>
      </c>
      <c r="E1603" s="5" t="s">
        <v>39</v>
      </c>
      <c r="F1603" s="5" t="str">
        <f t="shared" si="225"/>
        <v>Finance-Analyst</v>
      </c>
      <c r="G1603" s="5" t="s">
        <v>40</v>
      </c>
      <c r="H1603" s="9">
        <v>44845.425185185188</v>
      </c>
      <c r="I1603" s="9">
        <v>44847.425185185188</v>
      </c>
      <c r="J1603" s="9" t="e">
        <f>I1603+#REF!</f>
        <v>#REF!</v>
      </c>
      <c r="K1603" s="9" t="e">
        <f>J1603+#REF!</f>
        <v>#REF!</v>
      </c>
      <c r="L1603" s="10" t="s">
        <v>41</v>
      </c>
      <c r="M1603" s="11">
        <v>44856.425185185188</v>
      </c>
      <c r="N1603" s="5" t="s">
        <v>42</v>
      </c>
      <c r="O1603" s="5" t="s">
        <v>113</v>
      </c>
      <c r="P1603" s="9"/>
      <c r="Q1603" s="5"/>
      <c r="R1603" s="5"/>
      <c r="S1603" s="5"/>
      <c r="T1603" s="9">
        <v>44858.425185185188</v>
      </c>
      <c r="U1603" s="5"/>
      <c r="V1603" s="5">
        <v>0</v>
      </c>
      <c r="W1603" s="5"/>
      <c r="X1603" s="5"/>
      <c r="Y1603" s="5"/>
      <c r="Z1603" s="5"/>
      <c r="AA1603" s="5" t="s">
        <v>44</v>
      </c>
      <c r="AC1603">
        <f t="shared" si="226"/>
        <v>9</v>
      </c>
      <c r="AD1603" t="str">
        <f t="shared" ref="AD1603:AD1666" si="227">IF(AND(ISNUMBER(S1603), ISNUMBER(I1603)), S1603 - I1603, "")</f>
        <v/>
      </c>
      <c r="AE1603">
        <f t="shared" ref="AE1603:AE1666" si="228">IF(AND(ISNUMBER(T1603), ISNUMBER(M1603)), T1603-M1603, "")</f>
        <v>2</v>
      </c>
      <c r="AF1603" t="str">
        <f t="shared" ref="AF1603:AF1666" si="229">IF(AND(ISNUMBER(X1603), ISNUMBER(U1603)), X1603-U1603,"")</f>
        <v/>
      </c>
      <c r="AG1603" t="str">
        <f t="shared" ref="AG1603:AG1666" si="230">IF(AND(ISNUMBER(W1603), ISNUMBER(U1603)), W1603-U1603, "")</f>
        <v/>
      </c>
      <c r="AH1603">
        <f t="shared" ref="AH1603:AH1666" si="231">IF(AND(ISNUMBER(I1603), ISNUMBER(H1603)), I1603-H1603,"")</f>
        <v>2</v>
      </c>
      <c r="AI1603" t="str">
        <f t="shared" ref="AI1603:AI1666" si="232">IF(AND(ISNUMBER(J1603),ISNUMBER(K1603)),K1603-J1603,"")</f>
        <v/>
      </c>
      <c r="AJ1603" t="str">
        <f t="shared" ref="AJ1603:AJ1666" si="233">IF(AND(ISNUMBER(J1603),ISNUMBER(I1603)), J1603-I1603,"")</f>
        <v/>
      </c>
    </row>
    <row r="1604" spans="1:36">
      <c r="A1604" s="5">
        <v>1883</v>
      </c>
      <c r="B1604" s="5" t="s">
        <v>1552</v>
      </c>
      <c r="C1604" s="5" t="s">
        <v>1540</v>
      </c>
      <c r="D1604" s="5" t="s">
        <v>1541</v>
      </c>
      <c r="E1604" s="5" t="s">
        <v>102</v>
      </c>
      <c r="F1604" s="5" t="str">
        <f t="shared" si="225"/>
        <v>Finance-Senior Manager</v>
      </c>
      <c r="G1604" s="5" t="s">
        <v>103</v>
      </c>
      <c r="H1604" s="9">
        <v>44842.425185185188</v>
      </c>
      <c r="I1604" s="9">
        <v>44846.425185185188</v>
      </c>
      <c r="J1604" s="9" t="e">
        <f>I1604+#REF!</f>
        <v>#REF!</v>
      </c>
      <c r="K1604" s="9" t="e">
        <f>J1604+#REF!</f>
        <v>#REF!</v>
      </c>
      <c r="L1604" s="10" t="s">
        <v>41</v>
      </c>
      <c r="M1604" s="11">
        <v>44855.425185185188</v>
      </c>
      <c r="N1604" s="5" t="s">
        <v>42</v>
      </c>
      <c r="O1604" s="5" t="s">
        <v>98</v>
      </c>
      <c r="P1604" s="9"/>
      <c r="Q1604" s="5"/>
      <c r="R1604" s="5"/>
      <c r="S1604" s="5"/>
      <c r="T1604" s="9">
        <v>44857.425185185188</v>
      </c>
      <c r="U1604" s="5"/>
      <c r="V1604" s="5">
        <v>0</v>
      </c>
      <c r="W1604" s="5"/>
      <c r="X1604" s="5"/>
      <c r="Y1604" s="5"/>
      <c r="Z1604" s="5"/>
      <c r="AA1604" s="5" t="s">
        <v>44</v>
      </c>
      <c r="AC1604">
        <f t="shared" si="226"/>
        <v>9</v>
      </c>
      <c r="AD1604" t="str">
        <f t="shared" si="227"/>
        <v/>
      </c>
      <c r="AE1604">
        <f t="shared" si="228"/>
        <v>2</v>
      </c>
      <c r="AF1604" t="str">
        <f t="shared" si="229"/>
        <v/>
      </c>
      <c r="AG1604" t="str">
        <f t="shared" si="230"/>
        <v/>
      </c>
      <c r="AH1604">
        <f t="shared" si="231"/>
        <v>4</v>
      </c>
      <c r="AI1604" t="str">
        <f t="shared" si="232"/>
        <v/>
      </c>
      <c r="AJ1604" t="str">
        <f t="shared" si="233"/>
        <v/>
      </c>
    </row>
    <row r="1605" spans="1:36">
      <c r="A1605" s="5">
        <v>1884</v>
      </c>
      <c r="B1605" s="5" t="s">
        <v>1740</v>
      </c>
      <c r="C1605" s="5" t="s">
        <v>1540</v>
      </c>
      <c r="D1605" s="5" t="s">
        <v>1706</v>
      </c>
      <c r="E1605" s="5" t="s">
        <v>269</v>
      </c>
      <c r="F1605" s="5" t="str">
        <f t="shared" si="225"/>
        <v>Finance-Manager</v>
      </c>
      <c r="G1605" s="5" t="s">
        <v>270</v>
      </c>
      <c r="H1605" s="9">
        <v>44845.425185185188</v>
      </c>
      <c r="I1605" s="9">
        <v>44847.425185185188</v>
      </c>
      <c r="J1605" s="9" t="e">
        <f>I1605+#REF!</f>
        <v>#REF!</v>
      </c>
      <c r="K1605" s="9" t="e">
        <f>J1605+#REF!</f>
        <v>#REF!</v>
      </c>
      <c r="L1605" s="10" t="s">
        <v>41</v>
      </c>
      <c r="M1605" s="11">
        <v>44855.425185185188</v>
      </c>
      <c r="N1605" s="5" t="s">
        <v>64</v>
      </c>
      <c r="O1605" s="5"/>
      <c r="P1605" s="9">
        <v>44860.425185185188</v>
      </c>
      <c r="Q1605" s="5" t="s">
        <v>64</v>
      </c>
      <c r="R1605" s="9">
        <v>44856.425185185188</v>
      </c>
      <c r="S1605" s="9">
        <v>44860.425185185188</v>
      </c>
      <c r="T1605" s="9">
        <v>44858.425185185188</v>
      </c>
      <c r="U1605" s="9">
        <v>44859.425185185188</v>
      </c>
      <c r="V1605" s="12">
        <v>1</v>
      </c>
      <c r="W1605" s="9">
        <v>44862.425185185188</v>
      </c>
      <c r="X1605" s="9">
        <v>44863.425185185188</v>
      </c>
      <c r="Y1605" s="9">
        <v>44864.425185185188</v>
      </c>
      <c r="Z1605" s="5"/>
      <c r="AA1605" s="5"/>
      <c r="AB1605" s="13">
        <v>44874.425185185188</v>
      </c>
      <c r="AC1605">
        <f t="shared" si="226"/>
        <v>8</v>
      </c>
      <c r="AD1605">
        <f t="shared" si="227"/>
        <v>13</v>
      </c>
      <c r="AE1605">
        <f t="shared" si="228"/>
        <v>3</v>
      </c>
      <c r="AF1605">
        <f t="shared" si="229"/>
        <v>4</v>
      </c>
      <c r="AG1605">
        <f t="shared" si="230"/>
        <v>3</v>
      </c>
      <c r="AH1605">
        <f t="shared" si="231"/>
        <v>2</v>
      </c>
      <c r="AI1605" t="str">
        <f t="shared" si="232"/>
        <v/>
      </c>
      <c r="AJ1605" t="str">
        <f t="shared" si="233"/>
        <v/>
      </c>
    </row>
    <row r="1606" spans="1:36">
      <c r="A1606" s="5">
        <v>1885</v>
      </c>
      <c r="B1606" s="5" t="s">
        <v>1739</v>
      </c>
      <c r="C1606" s="5" t="s">
        <v>1540</v>
      </c>
      <c r="D1606" s="5" t="s">
        <v>1706</v>
      </c>
      <c r="E1606" s="5" t="s">
        <v>269</v>
      </c>
      <c r="F1606" s="5" t="str">
        <f t="shared" si="225"/>
        <v>Finance-Manager</v>
      </c>
      <c r="G1606" s="5" t="s">
        <v>270</v>
      </c>
      <c r="H1606" s="9">
        <v>44843.425185185188</v>
      </c>
      <c r="I1606" s="9">
        <v>44845.425185185188</v>
      </c>
      <c r="J1606" s="9" t="e">
        <f>I1606+#REF!</f>
        <v>#REF!</v>
      </c>
      <c r="K1606" s="9" t="e">
        <f>J1606+#REF!</f>
        <v>#REF!</v>
      </c>
      <c r="L1606" s="10" t="s">
        <v>52</v>
      </c>
      <c r="M1606" s="11"/>
      <c r="N1606" s="5"/>
      <c r="O1606" s="5"/>
      <c r="P1606" s="9"/>
      <c r="Q1606" s="5"/>
      <c r="R1606" s="5"/>
      <c r="S1606" s="5"/>
      <c r="T1606" s="9"/>
      <c r="U1606" s="5"/>
      <c r="V1606" s="5">
        <v>0</v>
      </c>
      <c r="W1606" s="5"/>
      <c r="X1606" s="5"/>
      <c r="Y1606" s="5"/>
      <c r="Z1606" s="5"/>
      <c r="AA1606" s="5"/>
      <c r="AC1606" t="str">
        <f t="shared" si="226"/>
        <v/>
      </c>
      <c r="AD1606" t="str">
        <f t="shared" si="227"/>
        <v/>
      </c>
      <c r="AE1606" t="str">
        <f t="shared" si="228"/>
        <v/>
      </c>
      <c r="AF1606" t="str">
        <f t="shared" si="229"/>
        <v/>
      </c>
      <c r="AG1606" t="str">
        <f t="shared" si="230"/>
        <v/>
      </c>
      <c r="AH1606">
        <f t="shared" si="231"/>
        <v>2</v>
      </c>
      <c r="AI1606" t="str">
        <f t="shared" si="232"/>
        <v/>
      </c>
      <c r="AJ1606" t="str">
        <f t="shared" si="233"/>
        <v/>
      </c>
    </row>
    <row r="1607" spans="1:36">
      <c r="A1607" s="5">
        <v>1886</v>
      </c>
      <c r="B1607" s="5" t="s">
        <v>1738</v>
      </c>
      <c r="C1607" s="5" t="s">
        <v>1540</v>
      </c>
      <c r="D1607" s="5" t="s">
        <v>1706</v>
      </c>
      <c r="E1607" s="5" t="s">
        <v>269</v>
      </c>
      <c r="F1607" s="5" t="str">
        <f t="shared" si="225"/>
        <v>Finance-Manager</v>
      </c>
      <c r="G1607" s="5" t="s">
        <v>270</v>
      </c>
      <c r="H1607" s="9">
        <v>44841.425185185188</v>
      </c>
      <c r="I1607" s="9">
        <v>44842.425185185188</v>
      </c>
      <c r="J1607" s="9" t="e">
        <f>I1607+#REF!</f>
        <v>#REF!</v>
      </c>
      <c r="K1607" s="9" t="e">
        <f>J1607+#REF!</f>
        <v>#REF!</v>
      </c>
      <c r="L1607" s="10" t="s">
        <v>41</v>
      </c>
      <c r="M1607" s="11">
        <v>44863.425185185188</v>
      </c>
      <c r="N1607" s="5" t="s">
        <v>42</v>
      </c>
      <c r="O1607" s="5" t="s">
        <v>43</v>
      </c>
      <c r="P1607" s="9"/>
      <c r="Q1607" s="5"/>
      <c r="R1607" s="5"/>
      <c r="S1607" s="5"/>
      <c r="T1607" s="9"/>
      <c r="U1607" s="5"/>
      <c r="V1607" s="5">
        <v>0</v>
      </c>
      <c r="W1607" s="5"/>
      <c r="X1607" s="5"/>
      <c r="Y1607" s="5"/>
      <c r="Z1607" s="5"/>
      <c r="AA1607" s="5" t="s">
        <v>62</v>
      </c>
      <c r="AC1607">
        <f t="shared" si="226"/>
        <v>21</v>
      </c>
      <c r="AD1607" t="str">
        <f t="shared" si="227"/>
        <v/>
      </c>
      <c r="AE1607" t="str">
        <f t="shared" si="228"/>
        <v/>
      </c>
      <c r="AF1607" t="str">
        <f t="shared" si="229"/>
        <v/>
      </c>
      <c r="AG1607" t="str">
        <f t="shared" si="230"/>
        <v/>
      </c>
      <c r="AH1607">
        <f t="shared" si="231"/>
        <v>1</v>
      </c>
      <c r="AI1607" t="str">
        <f t="shared" si="232"/>
        <v/>
      </c>
      <c r="AJ1607" t="str">
        <f t="shared" si="233"/>
        <v/>
      </c>
    </row>
    <row r="1608" spans="1:36">
      <c r="A1608" s="5">
        <v>1887</v>
      </c>
      <c r="B1608" s="5" t="s">
        <v>1737</v>
      </c>
      <c r="C1608" s="5" t="s">
        <v>1540</v>
      </c>
      <c r="D1608" s="5" t="s">
        <v>1706</v>
      </c>
      <c r="E1608" s="5" t="s">
        <v>269</v>
      </c>
      <c r="F1608" s="5" t="str">
        <f t="shared" si="225"/>
        <v>Finance-Manager</v>
      </c>
      <c r="G1608" s="5" t="s">
        <v>270</v>
      </c>
      <c r="H1608" s="9">
        <v>44841.425185185188</v>
      </c>
      <c r="I1608" s="9">
        <v>44844.425185185188</v>
      </c>
      <c r="J1608" s="9" t="e">
        <f>I1608+#REF!</f>
        <v>#REF!</v>
      </c>
      <c r="K1608" s="9" t="e">
        <f>J1608+#REF!</f>
        <v>#REF!</v>
      </c>
      <c r="L1608" s="10" t="s">
        <v>41</v>
      </c>
      <c r="M1608" s="11">
        <v>44856.425185185188</v>
      </c>
      <c r="N1608" s="5" t="s">
        <v>48</v>
      </c>
      <c r="O1608" s="5"/>
      <c r="P1608" s="9">
        <v>44863.425185185188</v>
      </c>
      <c r="Q1608" s="5" t="s">
        <v>48</v>
      </c>
      <c r="R1608" s="5"/>
      <c r="S1608" s="5"/>
      <c r="T1608" s="9">
        <v>44859.425185185188</v>
      </c>
      <c r="U1608" s="5"/>
      <c r="V1608" s="5">
        <v>0</v>
      </c>
      <c r="W1608" s="5"/>
      <c r="X1608" s="5"/>
      <c r="Y1608" s="5"/>
      <c r="Z1608" s="5"/>
      <c r="AA1608" s="5"/>
      <c r="AC1608">
        <f t="shared" si="226"/>
        <v>12</v>
      </c>
      <c r="AD1608" t="str">
        <f t="shared" si="227"/>
        <v/>
      </c>
      <c r="AE1608">
        <f t="shared" si="228"/>
        <v>3</v>
      </c>
      <c r="AF1608" t="str">
        <f t="shared" si="229"/>
        <v/>
      </c>
      <c r="AG1608" t="str">
        <f t="shared" si="230"/>
        <v/>
      </c>
      <c r="AH1608">
        <f t="shared" si="231"/>
        <v>3</v>
      </c>
      <c r="AI1608" t="str">
        <f t="shared" si="232"/>
        <v/>
      </c>
      <c r="AJ1608" t="str">
        <f t="shared" si="233"/>
        <v/>
      </c>
    </row>
    <row r="1609" spans="1:36">
      <c r="A1609" s="5">
        <v>1888</v>
      </c>
      <c r="B1609" s="5" t="s">
        <v>2012</v>
      </c>
      <c r="C1609" s="5" t="s">
        <v>1540</v>
      </c>
      <c r="D1609" s="5" t="s">
        <v>1985</v>
      </c>
      <c r="E1609" s="5" t="s">
        <v>1986</v>
      </c>
      <c r="F1609" s="5" t="str">
        <f t="shared" si="225"/>
        <v>Finance-Revenue Recorgnition</v>
      </c>
      <c r="G1609" s="5" t="s">
        <v>47</v>
      </c>
      <c r="H1609" s="9">
        <v>44840.425185185188</v>
      </c>
      <c r="I1609" s="9">
        <v>44844.425185185188</v>
      </c>
      <c r="J1609" s="9" t="e">
        <f>I1609+#REF!</f>
        <v>#REF!</v>
      </c>
      <c r="K1609" s="9" t="e">
        <f>J1609+#REF!</f>
        <v>#REF!</v>
      </c>
      <c r="L1609" s="10" t="s">
        <v>41</v>
      </c>
      <c r="M1609" s="11">
        <v>44852.425185185188</v>
      </c>
      <c r="N1609" s="5" t="s">
        <v>42</v>
      </c>
      <c r="O1609" s="5" t="s">
        <v>98</v>
      </c>
      <c r="P1609" s="9"/>
      <c r="Q1609" s="5"/>
      <c r="R1609" s="5"/>
      <c r="S1609" s="5"/>
      <c r="T1609" s="9">
        <v>44854.425185185188</v>
      </c>
      <c r="U1609" s="5"/>
      <c r="V1609" s="5">
        <v>0</v>
      </c>
      <c r="W1609" s="5"/>
      <c r="X1609" s="5"/>
      <c r="Y1609" s="5"/>
      <c r="Z1609" s="5"/>
      <c r="AA1609" s="5" t="s">
        <v>62</v>
      </c>
      <c r="AC1609">
        <f t="shared" si="226"/>
        <v>8</v>
      </c>
      <c r="AD1609" t="str">
        <f t="shared" si="227"/>
        <v/>
      </c>
      <c r="AE1609">
        <f t="shared" si="228"/>
        <v>2</v>
      </c>
      <c r="AF1609" t="str">
        <f t="shared" si="229"/>
        <v/>
      </c>
      <c r="AG1609" t="str">
        <f t="shared" si="230"/>
        <v/>
      </c>
      <c r="AH1609">
        <f t="shared" si="231"/>
        <v>4</v>
      </c>
      <c r="AI1609" t="str">
        <f t="shared" si="232"/>
        <v/>
      </c>
      <c r="AJ1609" t="str">
        <f t="shared" si="233"/>
        <v/>
      </c>
    </row>
    <row r="1610" spans="1:36">
      <c r="A1610" s="5">
        <v>1889</v>
      </c>
      <c r="B1610" s="5" t="s">
        <v>1736</v>
      </c>
      <c r="C1610" s="5" t="s">
        <v>1540</v>
      </c>
      <c r="D1610" s="5" t="s">
        <v>1706</v>
      </c>
      <c r="E1610" s="5" t="s">
        <v>269</v>
      </c>
      <c r="F1610" s="5" t="str">
        <f t="shared" si="225"/>
        <v>Finance-Manager</v>
      </c>
      <c r="G1610" s="5" t="s">
        <v>270</v>
      </c>
      <c r="H1610" s="9">
        <v>44841.425185185188</v>
      </c>
      <c r="I1610" s="9">
        <v>44844.425185185188</v>
      </c>
      <c r="J1610" s="9" t="e">
        <f>I1610+#REF!</f>
        <v>#REF!</v>
      </c>
      <c r="K1610" s="9" t="e">
        <f>J1610+#REF!</f>
        <v>#REF!</v>
      </c>
      <c r="L1610" s="10" t="s">
        <v>52</v>
      </c>
      <c r="M1610" s="11"/>
      <c r="N1610" s="5"/>
      <c r="O1610" s="5"/>
      <c r="P1610" s="9"/>
      <c r="Q1610" s="5"/>
      <c r="R1610" s="5"/>
      <c r="S1610" s="5"/>
      <c r="T1610" s="9"/>
      <c r="U1610" s="5"/>
      <c r="V1610" s="5">
        <v>0</v>
      </c>
      <c r="W1610" s="5"/>
      <c r="X1610" s="5"/>
      <c r="Y1610" s="5"/>
      <c r="Z1610" s="5"/>
      <c r="AA1610" s="5"/>
      <c r="AC1610" t="str">
        <f t="shared" si="226"/>
        <v/>
      </c>
      <c r="AD1610" t="str">
        <f t="shared" si="227"/>
        <v/>
      </c>
      <c r="AE1610" t="str">
        <f t="shared" si="228"/>
        <v/>
      </c>
      <c r="AF1610" t="str">
        <f t="shared" si="229"/>
        <v/>
      </c>
      <c r="AG1610" t="str">
        <f t="shared" si="230"/>
        <v/>
      </c>
      <c r="AH1610">
        <f t="shared" si="231"/>
        <v>3</v>
      </c>
      <c r="AI1610" t="str">
        <f t="shared" si="232"/>
        <v/>
      </c>
      <c r="AJ1610" t="str">
        <f t="shared" si="233"/>
        <v/>
      </c>
    </row>
    <row r="1611" spans="1:36">
      <c r="A1611" s="5">
        <v>1890</v>
      </c>
      <c r="B1611" s="5" t="s">
        <v>1551</v>
      </c>
      <c r="C1611" s="5" t="s">
        <v>1540</v>
      </c>
      <c r="D1611" s="5" t="s">
        <v>1541</v>
      </c>
      <c r="E1611" s="5" t="s">
        <v>102</v>
      </c>
      <c r="F1611" s="5" t="str">
        <f t="shared" si="225"/>
        <v>Finance-Senior Manager</v>
      </c>
      <c r="G1611" s="5" t="s">
        <v>103</v>
      </c>
      <c r="H1611" s="9">
        <v>44838.425185185188</v>
      </c>
      <c r="I1611" s="9">
        <v>44842.425185185188</v>
      </c>
      <c r="J1611" s="9" t="e">
        <f>I1611+#REF!</f>
        <v>#REF!</v>
      </c>
      <c r="K1611" s="9" t="e">
        <f>J1611+#REF!</f>
        <v>#REF!</v>
      </c>
      <c r="L1611" s="10" t="s">
        <v>41</v>
      </c>
      <c r="M1611" s="11">
        <v>44863.425185185188</v>
      </c>
      <c r="N1611" s="5" t="s">
        <v>42</v>
      </c>
      <c r="O1611" s="5" t="s">
        <v>58</v>
      </c>
      <c r="P1611" s="9"/>
      <c r="Q1611" s="5"/>
      <c r="R1611" s="5"/>
      <c r="S1611" s="5"/>
      <c r="T1611" s="9"/>
      <c r="U1611" s="5"/>
      <c r="V1611" s="5">
        <v>0</v>
      </c>
      <c r="W1611" s="5"/>
      <c r="X1611" s="5"/>
      <c r="Y1611" s="5"/>
      <c r="Z1611" s="5"/>
      <c r="AA1611" s="5" t="s">
        <v>62</v>
      </c>
      <c r="AC1611">
        <f t="shared" si="226"/>
        <v>21</v>
      </c>
      <c r="AD1611" t="str">
        <f t="shared" si="227"/>
        <v/>
      </c>
      <c r="AE1611" t="str">
        <f t="shared" si="228"/>
        <v/>
      </c>
      <c r="AF1611" t="str">
        <f t="shared" si="229"/>
        <v/>
      </c>
      <c r="AG1611" t="str">
        <f t="shared" si="230"/>
        <v/>
      </c>
      <c r="AH1611">
        <f t="shared" si="231"/>
        <v>4</v>
      </c>
      <c r="AI1611" t="str">
        <f t="shared" si="232"/>
        <v/>
      </c>
      <c r="AJ1611" t="str">
        <f t="shared" si="233"/>
        <v/>
      </c>
    </row>
    <row r="1612" spans="1:36">
      <c r="A1612" s="5">
        <v>1891</v>
      </c>
      <c r="B1612" s="5" t="s">
        <v>1199</v>
      </c>
      <c r="C1612" s="10" t="s">
        <v>1122</v>
      </c>
      <c r="D1612" s="5" t="s">
        <v>1191</v>
      </c>
      <c r="E1612" s="5" t="s">
        <v>269</v>
      </c>
      <c r="F1612" s="5" t="str">
        <f t="shared" si="225"/>
        <v>IT-Manager</v>
      </c>
      <c r="G1612" s="5" t="s">
        <v>270</v>
      </c>
      <c r="H1612" s="9">
        <v>44591.278043981481</v>
      </c>
      <c r="I1612" s="9">
        <v>44594.278043981481</v>
      </c>
      <c r="J1612" s="9" t="e">
        <f>I1612+#REF!</f>
        <v>#REF!</v>
      </c>
      <c r="K1612" s="9" t="e">
        <f>J1612+#REF!</f>
        <v>#REF!</v>
      </c>
      <c r="L1612" s="10" t="s">
        <v>41</v>
      </c>
      <c r="M1612" s="11">
        <v>44613.278043981481</v>
      </c>
      <c r="N1612" s="5" t="s">
        <v>48</v>
      </c>
      <c r="O1612" s="5"/>
      <c r="P1612" s="9">
        <v>44618.278043981481</v>
      </c>
      <c r="Q1612" s="5" t="s">
        <v>48</v>
      </c>
      <c r="R1612" s="5"/>
      <c r="S1612" s="5"/>
      <c r="T1612" s="9">
        <v>44617.278043981481</v>
      </c>
      <c r="U1612" s="5"/>
      <c r="V1612" s="5">
        <v>0</v>
      </c>
      <c r="W1612" s="5"/>
      <c r="X1612" s="5"/>
      <c r="Y1612" s="5"/>
      <c r="Z1612" s="5"/>
      <c r="AA1612" s="5"/>
      <c r="AC1612">
        <f t="shared" si="226"/>
        <v>19</v>
      </c>
      <c r="AD1612" t="str">
        <f t="shared" si="227"/>
        <v/>
      </c>
      <c r="AE1612">
        <f t="shared" si="228"/>
        <v>4</v>
      </c>
      <c r="AF1612" t="str">
        <f t="shared" si="229"/>
        <v/>
      </c>
      <c r="AG1612" t="str">
        <f t="shared" si="230"/>
        <v/>
      </c>
      <c r="AH1612">
        <f t="shared" si="231"/>
        <v>3</v>
      </c>
      <c r="AI1612" t="str">
        <f t="shared" si="232"/>
        <v/>
      </c>
      <c r="AJ1612" t="str">
        <f t="shared" si="233"/>
        <v/>
      </c>
    </row>
    <row r="1613" spans="1:36">
      <c r="A1613" s="5">
        <v>1892</v>
      </c>
      <c r="B1613" s="5" t="s">
        <v>680</v>
      </c>
      <c r="C1613" s="10" t="s">
        <v>671</v>
      </c>
      <c r="D1613" s="5" t="s">
        <v>672</v>
      </c>
      <c r="E1613" s="5" t="s">
        <v>673</v>
      </c>
      <c r="F1613" s="5" t="str">
        <f t="shared" si="225"/>
        <v>Operations-Controller</v>
      </c>
      <c r="G1613" s="5" t="s">
        <v>40</v>
      </c>
      <c r="H1613" s="9">
        <v>44593.278043981481</v>
      </c>
      <c r="I1613" s="9">
        <v>44595.278043981481</v>
      </c>
      <c r="J1613" s="9" t="e">
        <f>I1613+#REF!</f>
        <v>#REF!</v>
      </c>
      <c r="K1613" s="9" t="e">
        <f>J1613+#REF!</f>
        <v>#REF!</v>
      </c>
      <c r="L1613" s="10" t="s">
        <v>52</v>
      </c>
      <c r="M1613" s="11"/>
      <c r="N1613" s="5"/>
      <c r="O1613" s="5"/>
      <c r="P1613" s="9"/>
      <c r="Q1613" s="5"/>
      <c r="R1613" s="5"/>
      <c r="S1613" s="5"/>
      <c r="T1613" s="9"/>
      <c r="U1613" s="5"/>
      <c r="V1613" s="5">
        <v>0</v>
      </c>
      <c r="W1613" s="5"/>
      <c r="X1613" s="5"/>
      <c r="Y1613" s="5"/>
      <c r="Z1613" s="5"/>
      <c r="AA1613" s="5"/>
      <c r="AC1613" t="str">
        <f t="shared" si="226"/>
        <v/>
      </c>
      <c r="AD1613" t="str">
        <f t="shared" si="227"/>
        <v/>
      </c>
      <c r="AE1613" t="str">
        <f t="shared" si="228"/>
        <v/>
      </c>
      <c r="AF1613" t="str">
        <f t="shared" si="229"/>
        <v/>
      </c>
      <c r="AG1613" t="str">
        <f t="shared" si="230"/>
        <v/>
      </c>
      <c r="AH1613">
        <f t="shared" si="231"/>
        <v>2</v>
      </c>
      <c r="AI1613" t="str">
        <f t="shared" si="232"/>
        <v/>
      </c>
      <c r="AJ1613" t="str">
        <f t="shared" si="233"/>
        <v/>
      </c>
    </row>
    <row r="1614" spans="1:36">
      <c r="A1614" s="5">
        <v>1895</v>
      </c>
      <c r="B1614" s="5" t="s">
        <v>1300</v>
      </c>
      <c r="C1614" s="10" t="s">
        <v>1215</v>
      </c>
      <c r="D1614" s="5" t="s">
        <v>1287</v>
      </c>
      <c r="E1614" s="5" t="s">
        <v>1146</v>
      </c>
      <c r="F1614" s="5" t="str">
        <f t="shared" si="225"/>
        <v>HR-Quality Assurance</v>
      </c>
      <c r="G1614" s="5" t="s">
        <v>47</v>
      </c>
      <c r="H1614" s="9">
        <v>44593.278043981481</v>
      </c>
      <c r="I1614" s="9">
        <v>44596.278043981481</v>
      </c>
      <c r="J1614" s="9" t="e">
        <f>I1614+#REF!</f>
        <v>#REF!</v>
      </c>
      <c r="K1614" s="9" t="e">
        <f>J1614+#REF!</f>
        <v>#REF!</v>
      </c>
      <c r="L1614" s="10" t="s">
        <v>41</v>
      </c>
      <c r="M1614" s="11">
        <v>44607.278043981481</v>
      </c>
      <c r="N1614" s="5" t="s">
        <v>42</v>
      </c>
      <c r="O1614" s="5" t="s">
        <v>98</v>
      </c>
      <c r="P1614" s="9"/>
      <c r="Q1614" s="5"/>
      <c r="R1614" s="5"/>
      <c r="S1614" s="5"/>
      <c r="T1614" s="9"/>
      <c r="U1614" s="5"/>
      <c r="V1614" s="5">
        <v>0</v>
      </c>
      <c r="W1614" s="5"/>
      <c r="X1614" s="5"/>
      <c r="Y1614" s="5"/>
      <c r="Z1614" s="5"/>
      <c r="AA1614" s="5" t="s">
        <v>62</v>
      </c>
      <c r="AC1614">
        <f t="shared" si="226"/>
        <v>11</v>
      </c>
      <c r="AD1614" t="str">
        <f t="shared" si="227"/>
        <v/>
      </c>
      <c r="AE1614" t="str">
        <f t="shared" si="228"/>
        <v/>
      </c>
      <c r="AF1614" t="str">
        <f t="shared" si="229"/>
        <v/>
      </c>
      <c r="AG1614" t="str">
        <f t="shared" si="230"/>
        <v/>
      </c>
      <c r="AH1614">
        <f t="shared" si="231"/>
        <v>3</v>
      </c>
      <c r="AI1614" t="str">
        <f t="shared" si="232"/>
        <v/>
      </c>
      <c r="AJ1614" t="str">
        <f t="shared" si="233"/>
        <v/>
      </c>
    </row>
    <row r="1615" spans="1:36">
      <c r="A1615" s="5">
        <v>1896</v>
      </c>
      <c r="B1615" s="5" t="s">
        <v>1198</v>
      </c>
      <c r="C1615" s="10" t="s">
        <v>1122</v>
      </c>
      <c r="D1615" s="5" t="s">
        <v>1191</v>
      </c>
      <c r="E1615" s="5" t="s">
        <v>269</v>
      </c>
      <c r="F1615" s="5" t="str">
        <f t="shared" si="225"/>
        <v>IT-Manager</v>
      </c>
      <c r="G1615" s="5" t="s">
        <v>270</v>
      </c>
      <c r="H1615" s="9">
        <v>44592.278043981481</v>
      </c>
      <c r="I1615" s="9">
        <v>44594.278043981481</v>
      </c>
      <c r="J1615" s="9" t="e">
        <f>I1615+#REF!</f>
        <v>#REF!</v>
      </c>
      <c r="K1615" s="9" t="e">
        <f>J1615+#REF!</f>
        <v>#REF!</v>
      </c>
      <c r="L1615" s="10" t="s">
        <v>41</v>
      </c>
      <c r="M1615" s="11">
        <v>44616.278043981481</v>
      </c>
      <c r="N1615" s="5" t="s">
        <v>48</v>
      </c>
      <c r="O1615" s="5"/>
      <c r="P1615" s="9">
        <v>44621.278043981481</v>
      </c>
      <c r="Q1615" s="5" t="s">
        <v>48</v>
      </c>
      <c r="R1615" s="5"/>
      <c r="S1615" s="5"/>
      <c r="T1615" s="9">
        <v>44618.278043981481</v>
      </c>
      <c r="U1615" s="5"/>
      <c r="V1615" s="5">
        <v>0</v>
      </c>
      <c r="W1615" s="5"/>
      <c r="X1615" s="5"/>
      <c r="Y1615" s="5"/>
      <c r="Z1615" s="5"/>
      <c r="AA1615" s="5"/>
      <c r="AC1615">
        <f t="shared" si="226"/>
        <v>22</v>
      </c>
      <c r="AD1615" t="str">
        <f t="shared" si="227"/>
        <v/>
      </c>
      <c r="AE1615">
        <f t="shared" si="228"/>
        <v>2</v>
      </c>
      <c r="AF1615" t="str">
        <f t="shared" si="229"/>
        <v/>
      </c>
      <c r="AG1615" t="str">
        <f t="shared" si="230"/>
        <v/>
      </c>
      <c r="AH1615">
        <f t="shared" si="231"/>
        <v>2</v>
      </c>
      <c r="AI1615" t="str">
        <f t="shared" si="232"/>
        <v/>
      </c>
      <c r="AJ1615" t="str">
        <f t="shared" si="233"/>
        <v/>
      </c>
    </row>
    <row r="1616" spans="1:36">
      <c r="A1616" s="5">
        <v>1897</v>
      </c>
      <c r="B1616" s="5" t="s">
        <v>753</v>
      </c>
      <c r="C1616" s="10" t="s">
        <v>671</v>
      </c>
      <c r="D1616" s="5" t="s">
        <v>747</v>
      </c>
      <c r="E1616" s="5" t="s">
        <v>55</v>
      </c>
      <c r="F1616" s="5" t="str">
        <f t="shared" si="225"/>
        <v>Operations-Director</v>
      </c>
      <c r="G1616" s="5" t="s">
        <v>47</v>
      </c>
      <c r="H1616" s="9">
        <v>44592.278043981481</v>
      </c>
      <c r="I1616" s="9">
        <v>44596.278043981481</v>
      </c>
      <c r="J1616" s="9" t="e">
        <f>I1616+#REF!</f>
        <v>#REF!</v>
      </c>
      <c r="K1616" s="9" t="e">
        <f>J1616+#REF!</f>
        <v>#REF!</v>
      </c>
      <c r="L1616" s="10" t="s">
        <v>52</v>
      </c>
      <c r="M1616" s="11"/>
      <c r="N1616" s="5"/>
      <c r="O1616" s="5"/>
      <c r="P1616" s="9"/>
      <c r="Q1616" s="5"/>
      <c r="R1616" s="5"/>
      <c r="S1616" s="5"/>
      <c r="T1616" s="9"/>
      <c r="U1616" s="5"/>
      <c r="V1616" s="5">
        <v>0</v>
      </c>
      <c r="W1616" s="5"/>
      <c r="X1616" s="5"/>
      <c r="Y1616" s="5"/>
      <c r="Z1616" s="5"/>
      <c r="AA1616" s="5"/>
      <c r="AC1616" t="str">
        <f t="shared" si="226"/>
        <v/>
      </c>
      <c r="AD1616" t="str">
        <f t="shared" si="227"/>
        <v/>
      </c>
      <c r="AE1616" t="str">
        <f t="shared" si="228"/>
        <v/>
      </c>
      <c r="AF1616" t="str">
        <f t="shared" si="229"/>
        <v/>
      </c>
      <c r="AG1616" t="str">
        <f t="shared" si="230"/>
        <v/>
      </c>
      <c r="AH1616">
        <f t="shared" si="231"/>
        <v>4</v>
      </c>
      <c r="AI1616" t="str">
        <f t="shared" si="232"/>
        <v/>
      </c>
      <c r="AJ1616" t="str">
        <f t="shared" si="233"/>
        <v/>
      </c>
    </row>
    <row r="1617" spans="1:36">
      <c r="A1617" s="5">
        <v>1898</v>
      </c>
      <c r="B1617" s="5" t="s">
        <v>679</v>
      </c>
      <c r="C1617" s="10" t="s">
        <v>671</v>
      </c>
      <c r="D1617" s="5" t="s">
        <v>672</v>
      </c>
      <c r="E1617" s="5" t="s">
        <v>673</v>
      </c>
      <c r="F1617" s="5" t="str">
        <f t="shared" si="225"/>
        <v>Operations-Controller</v>
      </c>
      <c r="G1617" s="5" t="s">
        <v>40</v>
      </c>
      <c r="H1617" s="9">
        <v>44591.278043981481</v>
      </c>
      <c r="I1617" s="9">
        <v>44594.278043981481</v>
      </c>
      <c r="J1617" s="9" t="e">
        <f>I1617+#REF!</f>
        <v>#REF!</v>
      </c>
      <c r="K1617" s="9" t="e">
        <f>J1617+#REF!</f>
        <v>#REF!</v>
      </c>
      <c r="L1617" s="10" t="s">
        <v>41</v>
      </c>
      <c r="M1617" s="11">
        <v>44604.278043981481</v>
      </c>
      <c r="N1617" s="5" t="s">
        <v>64</v>
      </c>
      <c r="O1617" s="5"/>
      <c r="P1617" s="9">
        <v>44611.278043981481</v>
      </c>
      <c r="Q1617" s="5" t="s">
        <v>64</v>
      </c>
      <c r="R1617" s="9">
        <v>44605.278043981481</v>
      </c>
      <c r="S1617" s="9">
        <v>44608.278043981481</v>
      </c>
      <c r="T1617" s="9">
        <v>44608.278043981481</v>
      </c>
      <c r="U1617" s="9">
        <v>44613.278043981481</v>
      </c>
      <c r="V1617" s="12">
        <v>1</v>
      </c>
      <c r="W1617" s="9">
        <v>44615.278043981481</v>
      </c>
      <c r="X1617" s="9">
        <v>44617.278043981481</v>
      </c>
      <c r="Y1617" s="9">
        <v>44619.278043981481</v>
      </c>
      <c r="Z1617" s="5"/>
      <c r="AA1617" s="5"/>
      <c r="AB1617" s="13">
        <v>44640.278043981481</v>
      </c>
      <c r="AC1617">
        <f t="shared" si="226"/>
        <v>10</v>
      </c>
      <c r="AD1617">
        <f t="shared" si="227"/>
        <v>14</v>
      </c>
      <c r="AE1617">
        <f t="shared" si="228"/>
        <v>4</v>
      </c>
      <c r="AF1617">
        <f t="shared" si="229"/>
        <v>4</v>
      </c>
      <c r="AG1617">
        <f t="shared" si="230"/>
        <v>2</v>
      </c>
      <c r="AH1617">
        <f t="shared" si="231"/>
        <v>3</v>
      </c>
      <c r="AI1617" t="str">
        <f t="shared" si="232"/>
        <v/>
      </c>
      <c r="AJ1617" t="str">
        <f t="shared" si="233"/>
        <v/>
      </c>
    </row>
    <row r="1618" spans="1:36">
      <c r="A1618" s="5">
        <v>1901</v>
      </c>
      <c r="B1618" s="5" t="s">
        <v>711</v>
      </c>
      <c r="C1618" s="10" t="s">
        <v>671</v>
      </c>
      <c r="D1618" s="5" t="s">
        <v>708</v>
      </c>
      <c r="E1618" s="5" t="s">
        <v>709</v>
      </c>
      <c r="F1618" s="5" t="str">
        <f t="shared" si="225"/>
        <v>Operations-Lead</v>
      </c>
      <c r="G1618" s="5" t="s">
        <v>56</v>
      </c>
      <c r="H1618" s="9">
        <v>44997.686469907407</v>
      </c>
      <c r="I1618" s="9">
        <v>45000.686469907407</v>
      </c>
      <c r="J1618" s="9" t="e">
        <f>I1618+#REF!</f>
        <v>#REF!</v>
      </c>
      <c r="K1618" s="9" t="e">
        <f>J1618+#REF!</f>
        <v>#REF!</v>
      </c>
      <c r="L1618" s="10" t="s">
        <v>52</v>
      </c>
      <c r="M1618" s="11"/>
      <c r="N1618" s="5"/>
      <c r="O1618" s="5"/>
      <c r="P1618" s="9"/>
      <c r="Q1618" s="5"/>
      <c r="R1618" s="5"/>
      <c r="S1618" s="5"/>
      <c r="T1618" s="9"/>
      <c r="U1618" s="5"/>
      <c r="V1618" s="5">
        <v>0</v>
      </c>
      <c r="W1618" s="5"/>
      <c r="X1618" s="5"/>
      <c r="Y1618" s="5"/>
      <c r="Z1618" s="5"/>
      <c r="AA1618" s="5"/>
      <c r="AC1618" t="str">
        <f t="shared" si="226"/>
        <v/>
      </c>
      <c r="AD1618" t="str">
        <f t="shared" si="227"/>
        <v/>
      </c>
      <c r="AE1618" t="str">
        <f t="shared" si="228"/>
        <v/>
      </c>
      <c r="AF1618" t="str">
        <f t="shared" si="229"/>
        <v/>
      </c>
      <c r="AG1618" t="str">
        <f t="shared" si="230"/>
        <v/>
      </c>
      <c r="AH1618">
        <f t="shared" si="231"/>
        <v>3</v>
      </c>
      <c r="AI1618" t="str">
        <f t="shared" si="232"/>
        <v/>
      </c>
      <c r="AJ1618" t="str">
        <f t="shared" si="233"/>
        <v/>
      </c>
    </row>
    <row r="1619" spans="1:36">
      <c r="A1619" s="5">
        <v>1902</v>
      </c>
      <c r="B1619" s="5" t="s">
        <v>1197</v>
      </c>
      <c r="C1619" s="10" t="s">
        <v>1122</v>
      </c>
      <c r="D1619" s="5" t="s">
        <v>1191</v>
      </c>
      <c r="E1619" s="5" t="s">
        <v>269</v>
      </c>
      <c r="F1619" s="5" t="str">
        <f t="shared" si="225"/>
        <v>IT-Manager</v>
      </c>
      <c r="G1619" s="5" t="s">
        <v>270</v>
      </c>
      <c r="H1619" s="9">
        <v>44994.686469907407</v>
      </c>
      <c r="I1619" s="9">
        <v>44996.686469907407</v>
      </c>
      <c r="J1619" s="9" t="e">
        <f>I1619+#REF!</f>
        <v>#REF!</v>
      </c>
      <c r="K1619" s="9" t="e">
        <f>J1619+#REF!</f>
        <v>#REF!</v>
      </c>
      <c r="L1619" s="10" t="s">
        <v>41</v>
      </c>
      <c r="M1619" s="11">
        <v>45004.686469907407</v>
      </c>
      <c r="N1619" s="5" t="s">
        <v>48</v>
      </c>
      <c r="O1619" s="5"/>
      <c r="P1619" s="9">
        <v>45009.686469907407</v>
      </c>
      <c r="Q1619" s="5" t="s">
        <v>48</v>
      </c>
      <c r="R1619" s="5"/>
      <c r="S1619" s="5"/>
      <c r="T1619" s="9">
        <v>45007.686469907407</v>
      </c>
      <c r="U1619" s="5"/>
      <c r="V1619" s="5">
        <v>0</v>
      </c>
      <c r="W1619" s="5"/>
      <c r="X1619" s="5"/>
      <c r="Y1619" s="5"/>
      <c r="Z1619" s="5"/>
      <c r="AA1619" s="5"/>
      <c r="AC1619">
        <f t="shared" si="226"/>
        <v>8</v>
      </c>
      <c r="AD1619" t="str">
        <f t="shared" si="227"/>
        <v/>
      </c>
      <c r="AE1619">
        <f t="shared" si="228"/>
        <v>3</v>
      </c>
      <c r="AF1619" t="str">
        <f t="shared" si="229"/>
        <v/>
      </c>
      <c r="AG1619" t="str">
        <f t="shared" si="230"/>
        <v/>
      </c>
      <c r="AH1619">
        <f t="shared" si="231"/>
        <v>2</v>
      </c>
      <c r="AI1619" t="str">
        <f t="shared" si="232"/>
        <v/>
      </c>
      <c r="AJ1619" t="str">
        <f t="shared" si="233"/>
        <v/>
      </c>
    </row>
    <row r="1620" spans="1:36">
      <c r="A1620" s="5">
        <v>1904</v>
      </c>
      <c r="B1620" s="5" t="s">
        <v>1299</v>
      </c>
      <c r="C1620" s="10" t="s">
        <v>1215</v>
      </c>
      <c r="D1620" s="5" t="s">
        <v>1287</v>
      </c>
      <c r="E1620" s="5" t="s">
        <v>1146</v>
      </c>
      <c r="F1620" s="5" t="str">
        <f t="shared" si="225"/>
        <v>HR-Quality Assurance</v>
      </c>
      <c r="G1620" s="5" t="s">
        <v>47</v>
      </c>
      <c r="H1620" s="9">
        <v>44995.686469907407</v>
      </c>
      <c r="I1620" s="9">
        <v>44997.686469907407</v>
      </c>
      <c r="J1620" s="9" t="e">
        <f>I1620+#REF!</f>
        <v>#REF!</v>
      </c>
      <c r="K1620" s="9" t="e">
        <f>J1620+#REF!</f>
        <v>#REF!</v>
      </c>
      <c r="L1620" s="10" t="s">
        <v>41</v>
      </c>
      <c r="M1620" s="11">
        <v>45016.686469907407</v>
      </c>
      <c r="N1620" s="5" t="s">
        <v>42</v>
      </c>
      <c r="O1620" s="5" t="s">
        <v>98</v>
      </c>
      <c r="P1620" s="9"/>
      <c r="Q1620" s="5"/>
      <c r="R1620" s="5"/>
      <c r="S1620" s="5"/>
      <c r="T1620" s="9"/>
      <c r="U1620" s="5"/>
      <c r="V1620" s="5">
        <v>0</v>
      </c>
      <c r="W1620" s="5"/>
      <c r="X1620" s="5"/>
      <c r="Y1620" s="5"/>
      <c r="Z1620" s="5"/>
      <c r="AA1620" s="5" t="s">
        <v>62</v>
      </c>
      <c r="AC1620">
        <f t="shared" si="226"/>
        <v>19</v>
      </c>
      <c r="AD1620" t="str">
        <f t="shared" si="227"/>
        <v/>
      </c>
      <c r="AE1620" t="str">
        <f t="shared" si="228"/>
        <v/>
      </c>
      <c r="AF1620" t="str">
        <f t="shared" si="229"/>
        <v/>
      </c>
      <c r="AG1620" t="str">
        <f t="shared" si="230"/>
        <v/>
      </c>
      <c r="AH1620">
        <f t="shared" si="231"/>
        <v>2</v>
      </c>
      <c r="AI1620" t="str">
        <f t="shared" si="232"/>
        <v/>
      </c>
      <c r="AJ1620" t="str">
        <f t="shared" si="233"/>
        <v/>
      </c>
    </row>
    <row r="1621" spans="1:36">
      <c r="A1621" s="5">
        <v>1905</v>
      </c>
      <c r="B1621" s="5" t="s">
        <v>1163</v>
      </c>
      <c r="C1621" s="10" t="s">
        <v>1122</v>
      </c>
      <c r="D1621" s="5" t="s">
        <v>1145</v>
      </c>
      <c r="E1621" s="5" t="s">
        <v>1146</v>
      </c>
      <c r="F1621" s="5" t="str">
        <f t="shared" si="225"/>
        <v>IT-Quality Assurance</v>
      </c>
      <c r="G1621" s="5" t="s">
        <v>147</v>
      </c>
      <c r="H1621" s="9">
        <v>44993.686469907407</v>
      </c>
      <c r="I1621" s="9">
        <v>44996.686469907407</v>
      </c>
      <c r="J1621" s="9" t="e">
        <f>I1621+#REF!</f>
        <v>#REF!</v>
      </c>
      <c r="K1621" s="9" t="e">
        <f>J1621+#REF!</f>
        <v>#REF!</v>
      </c>
      <c r="L1621" s="10" t="s">
        <v>41</v>
      </c>
      <c r="M1621" s="11">
        <v>45017.686469907407</v>
      </c>
      <c r="N1621" s="5" t="s">
        <v>48</v>
      </c>
      <c r="O1621" s="5"/>
      <c r="P1621" s="9">
        <v>45022.686469907407</v>
      </c>
      <c r="Q1621" s="5" t="s">
        <v>48</v>
      </c>
      <c r="R1621" s="5"/>
      <c r="S1621" s="5"/>
      <c r="T1621" s="9">
        <v>45020.686469907407</v>
      </c>
      <c r="U1621" s="5"/>
      <c r="V1621" s="5">
        <v>0</v>
      </c>
      <c r="W1621" s="5"/>
      <c r="X1621" s="5"/>
      <c r="Y1621" s="5"/>
      <c r="Z1621" s="5"/>
      <c r="AA1621" s="5"/>
      <c r="AC1621">
        <f t="shared" si="226"/>
        <v>21</v>
      </c>
      <c r="AD1621" t="str">
        <f t="shared" si="227"/>
        <v/>
      </c>
      <c r="AE1621">
        <f t="shared" si="228"/>
        <v>3</v>
      </c>
      <c r="AF1621" t="str">
        <f t="shared" si="229"/>
        <v/>
      </c>
      <c r="AG1621" t="str">
        <f t="shared" si="230"/>
        <v/>
      </c>
      <c r="AH1621">
        <f t="shared" si="231"/>
        <v>3</v>
      </c>
      <c r="AI1621" t="str">
        <f t="shared" si="232"/>
        <v/>
      </c>
      <c r="AJ1621" t="str">
        <f t="shared" si="233"/>
        <v/>
      </c>
    </row>
    <row r="1622" spans="1:36">
      <c r="A1622" s="5">
        <v>1906</v>
      </c>
      <c r="B1622" s="5" t="s">
        <v>678</v>
      </c>
      <c r="C1622" s="10" t="s">
        <v>671</v>
      </c>
      <c r="D1622" s="5" t="s">
        <v>672</v>
      </c>
      <c r="E1622" s="5" t="s">
        <v>673</v>
      </c>
      <c r="F1622" s="5" t="str">
        <f t="shared" si="225"/>
        <v>Operations-Controller</v>
      </c>
      <c r="G1622" s="5" t="s">
        <v>40</v>
      </c>
      <c r="H1622" s="9">
        <v>44992.686469907407</v>
      </c>
      <c r="I1622" s="9">
        <v>44996.686469907407</v>
      </c>
      <c r="J1622" s="9" t="e">
        <f>I1622+#REF!</f>
        <v>#REF!</v>
      </c>
      <c r="K1622" s="9" t="e">
        <f>J1622+#REF!</f>
        <v>#REF!</v>
      </c>
      <c r="L1622" s="10" t="s">
        <v>52</v>
      </c>
      <c r="M1622" s="11"/>
      <c r="N1622" s="5"/>
      <c r="O1622" s="5"/>
      <c r="P1622" s="9"/>
      <c r="Q1622" s="5"/>
      <c r="R1622" s="5"/>
      <c r="S1622" s="5"/>
      <c r="T1622" s="9"/>
      <c r="U1622" s="5"/>
      <c r="V1622" s="5">
        <v>0</v>
      </c>
      <c r="W1622" s="5"/>
      <c r="X1622" s="5"/>
      <c r="Y1622" s="5"/>
      <c r="Z1622" s="5"/>
      <c r="AA1622" s="5"/>
      <c r="AC1622" t="str">
        <f t="shared" si="226"/>
        <v/>
      </c>
      <c r="AD1622" t="str">
        <f t="shared" si="227"/>
        <v/>
      </c>
      <c r="AE1622" t="str">
        <f t="shared" si="228"/>
        <v/>
      </c>
      <c r="AF1622" t="str">
        <f t="shared" si="229"/>
        <v/>
      </c>
      <c r="AG1622" t="str">
        <f t="shared" si="230"/>
        <v/>
      </c>
      <c r="AH1622">
        <f t="shared" si="231"/>
        <v>4</v>
      </c>
      <c r="AI1622" t="str">
        <f t="shared" si="232"/>
        <v/>
      </c>
      <c r="AJ1622" t="str">
        <f t="shared" si="233"/>
        <v/>
      </c>
    </row>
    <row r="1623" spans="1:36">
      <c r="A1623" s="5">
        <v>1908</v>
      </c>
      <c r="B1623" s="5" t="s">
        <v>1262</v>
      </c>
      <c r="C1623" s="10" t="s">
        <v>1215</v>
      </c>
      <c r="D1623" s="5" t="s">
        <v>1249</v>
      </c>
      <c r="E1623" s="5" t="s">
        <v>1250</v>
      </c>
      <c r="F1623" s="5" t="str">
        <f t="shared" si="225"/>
        <v>HR-Screening Associate</v>
      </c>
      <c r="G1623" s="5" t="s">
        <v>40</v>
      </c>
      <c r="H1623" s="9">
        <v>44995.686469907407</v>
      </c>
      <c r="I1623" s="9">
        <v>44998.686469907407</v>
      </c>
      <c r="J1623" s="9" t="e">
        <f>I1623+#REF!</f>
        <v>#REF!</v>
      </c>
      <c r="K1623" s="9" t="e">
        <f>J1623+#REF!</f>
        <v>#REF!</v>
      </c>
      <c r="L1623" s="10" t="s">
        <v>41</v>
      </c>
      <c r="M1623" s="11">
        <v>45014.686469907407</v>
      </c>
      <c r="N1623" s="5" t="s">
        <v>42</v>
      </c>
      <c r="O1623" s="5" t="s">
        <v>43</v>
      </c>
      <c r="P1623" s="9"/>
      <c r="Q1623" s="5"/>
      <c r="R1623" s="5"/>
      <c r="S1623" s="5"/>
      <c r="T1623" s="9"/>
      <c r="U1623" s="5"/>
      <c r="V1623" s="5">
        <v>0</v>
      </c>
      <c r="W1623" s="5"/>
      <c r="X1623" s="5"/>
      <c r="Y1623" s="5"/>
      <c r="Z1623" s="5"/>
      <c r="AA1623" s="5" t="s">
        <v>44</v>
      </c>
      <c r="AC1623">
        <f t="shared" si="226"/>
        <v>16</v>
      </c>
      <c r="AD1623" t="str">
        <f t="shared" si="227"/>
        <v/>
      </c>
      <c r="AE1623" t="str">
        <f t="shared" si="228"/>
        <v/>
      </c>
      <c r="AF1623" t="str">
        <f t="shared" si="229"/>
        <v/>
      </c>
      <c r="AG1623" t="str">
        <f t="shared" si="230"/>
        <v/>
      </c>
      <c r="AH1623">
        <f t="shared" si="231"/>
        <v>3</v>
      </c>
      <c r="AI1623" t="str">
        <f t="shared" si="232"/>
        <v/>
      </c>
      <c r="AJ1623" t="str">
        <f t="shared" si="233"/>
        <v/>
      </c>
    </row>
    <row r="1624" spans="1:36">
      <c r="A1624" s="5">
        <v>1909</v>
      </c>
      <c r="B1624" s="5" t="s">
        <v>1162</v>
      </c>
      <c r="C1624" s="10" t="s">
        <v>1122</v>
      </c>
      <c r="D1624" s="5" t="s">
        <v>1145</v>
      </c>
      <c r="E1624" s="5" t="s">
        <v>1146</v>
      </c>
      <c r="F1624" s="5" t="str">
        <f t="shared" si="225"/>
        <v>IT-Quality Assurance</v>
      </c>
      <c r="G1624" s="5" t="s">
        <v>147</v>
      </c>
      <c r="H1624" s="9">
        <v>44994.686469907407</v>
      </c>
      <c r="I1624" s="9">
        <v>44998.686469907407</v>
      </c>
      <c r="J1624" s="9" t="e">
        <f>I1624+#REF!</f>
        <v>#REF!</v>
      </c>
      <c r="K1624" s="9" t="e">
        <f>J1624+#REF!</f>
        <v>#REF!</v>
      </c>
      <c r="L1624" s="10" t="s">
        <v>41</v>
      </c>
      <c r="M1624" s="11">
        <v>45013.686469907407</v>
      </c>
      <c r="N1624" s="5" t="s">
        <v>42</v>
      </c>
      <c r="O1624" s="5" t="s">
        <v>113</v>
      </c>
      <c r="P1624" s="9"/>
      <c r="Q1624" s="5"/>
      <c r="R1624" s="5"/>
      <c r="S1624" s="5"/>
      <c r="T1624" s="9">
        <v>45015.686469907407</v>
      </c>
      <c r="U1624" s="5"/>
      <c r="V1624" s="5">
        <v>0</v>
      </c>
      <c r="W1624" s="5"/>
      <c r="X1624" s="5"/>
      <c r="Y1624" s="5"/>
      <c r="Z1624" s="5"/>
      <c r="AA1624" s="5" t="s">
        <v>62</v>
      </c>
      <c r="AC1624">
        <f t="shared" si="226"/>
        <v>15</v>
      </c>
      <c r="AD1624" t="str">
        <f t="shared" si="227"/>
        <v/>
      </c>
      <c r="AE1624">
        <f t="shared" si="228"/>
        <v>2</v>
      </c>
      <c r="AF1624" t="str">
        <f t="shared" si="229"/>
        <v/>
      </c>
      <c r="AG1624" t="str">
        <f t="shared" si="230"/>
        <v/>
      </c>
      <c r="AH1624">
        <f t="shared" si="231"/>
        <v>4</v>
      </c>
      <c r="AI1624" t="str">
        <f t="shared" si="232"/>
        <v/>
      </c>
      <c r="AJ1624" t="str">
        <f t="shared" si="233"/>
        <v/>
      </c>
    </row>
    <row r="1625" spans="1:36">
      <c r="A1625" s="5">
        <v>1911</v>
      </c>
      <c r="B1625" s="5" t="s">
        <v>2174</v>
      </c>
      <c r="C1625" s="10" t="s">
        <v>2089</v>
      </c>
      <c r="D1625" s="5" t="s">
        <v>2167</v>
      </c>
      <c r="E1625" s="5" t="s">
        <v>269</v>
      </c>
      <c r="F1625" s="5" t="str">
        <f t="shared" si="225"/>
        <v>Communication and Advocacy-Manager</v>
      </c>
      <c r="G1625" s="5" t="s">
        <v>270</v>
      </c>
      <c r="H1625" s="9">
        <v>44685.892118055555</v>
      </c>
      <c r="I1625" s="9">
        <v>44687.892118055555</v>
      </c>
      <c r="J1625" s="9" t="e">
        <f>I1625+#REF!</f>
        <v>#REF!</v>
      </c>
      <c r="K1625" s="9" t="e">
        <f>J1625+#REF!</f>
        <v>#REF!</v>
      </c>
      <c r="L1625" s="10" t="s">
        <v>52</v>
      </c>
      <c r="M1625" s="11"/>
      <c r="N1625" s="5"/>
      <c r="O1625" s="5"/>
      <c r="P1625" s="9"/>
      <c r="Q1625" s="5"/>
      <c r="R1625" s="5"/>
      <c r="S1625" s="5"/>
      <c r="T1625" s="9"/>
      <c r="U1625" s="5"/>
      <c r="V1625" s="5">
        <v>0</v>
      </c>
      <c r="W1625" s="5"/>
      <c r="X1625" s="5"/>
      <c r="Y1625" s="5"/>
      <c r="Z1625" s="5"/>
      <c r="AA1625" s="5"/>
      <c r="AC1625" t="str">
        <f t="shared" si="226"/>
        <v/>
      </c>
      <c r="AD1625" t="str">
        <f t="shared" si="227"/>
        <v/>
      </c>
      <c r="AE1625" t="str">
        <f t="shared" si="228"/>
        <v/>
      </c>
      <c r="AF1625" t="str">
        <f t="shared" si="229"/>
        <v/>
      </c>
      <c r="AG1625" t="str">
        <f t="shared" si="230"/>
        <v/>
      </c>
      <c r="AH1625">
        <f t="shared" si="231"/>
        <v>2</v>
      </c>
      <c r="AI1625" t="str">
        <f t="shared" si="232"/>
        <v/>
      </c>
      <c r="AJ1625" t="str">
        <f t="shared" si="233"/>
        <v/>
      </c>
    </row>
    <row r="1626" spans="1:36">
      <c r="A1626" s="5">
        <v>1912</v>
      </c>
      <c r="B1626" s="5" t="s">
        <v>1261</v>
      </c>
      <c r="C1626" s="10" t="s">
        <v>1215</v>
      </c>
      <c r="D1626" s="5" t="s">
        <v>1249</v>
      </c>
      <c r="E1626" s="5" t="s">
        <v>1250</v>
      </c>
      <c r="F1626" s="5" t="str">
        <f t="shared" si="225"/>
        <v>HR-Screening Associate</v>
      </c>
      <c r="G1626" s="5" t="s">
        <v>40</v>
      </c>
      <c r="H1626" s="9">
        <v>44684.892118055555</v>
      </c>
      <c r="I1626" s="9">
        <v>44685.892118055555</v>
      </c>
      <c r="J1626" s="9" t="e">
        <f>I1626+#REF!</f>
        <v>#REF!</v>
      </c>
      <c r="K1626" s="9" t="e">
        <f>J1626+#REF!</f>
        <v>#REF!</v>
      </c>
      <c r="L1626" s="10" t="s">
        <v>41</v>
      </c>
      <c r="M1626" s="11">
        <v>44696.892118055555</v>
      </c>
      <c r="N1626" s="5" t="s">
        <v>42</v>
      </c>
      <c r="O1626" s="5" t="s">
        <v>113</v>
      </c>
      <c r="P1626" s="9"/>
      <c r="Q1626" s="5"/>
      <c r="R1626" s="5"/>
      <c r="S1626" s="5"/>
      <c r="T1626" s="9">
        <v>44697.892118055555</v>
      </c>
      <c r="U1626" s="5"/>
      <c r="V1626" s="5">
        <v>0</v>
      </c>
      <c r="W1626" s="5"/>
      <c r="X1626" s="5"/>
      <c r="Y1626" s="5"/>
      <c r="Z1626" s="5"/>
      <c r="AA1626" s="5" t="s">
        <v>44</v>
      </c>
      <c r="AC1626">
        <f t="shared" si="226"/>
        <v>11</v>
      </c>
      <c r="AD1626" t="str">
        <f t="shared" si="227"/>
        <v/>
      </c>
      <c r="AE1626">
        <f t="shared" si="228"/>
        <v>1</v>
      </c>
      <c r="AF1626" t="str">
        <f t="shared" si="229"/>
        <v/>
      </c>
      <c r="AG1626" t="str">
        <f t="shared" si="230"/>
        <v/>
      </c>
      <c r="AH1626">
        <f t="shared" si="231"/>
        <v>1</v>
      </c>
      <c r="AI1626" t="str">
        <f t="shared" si="232"/>
        <v/>
      </c>
      <c r="AJ1626" t="str">
        <f t="shared" si="233"/>
        <v/>
      </c>
    </row>
    <row r="1627" spans="1:36">
      <c r="A1627" s="5">
        <v>1914</v>
      </c>
      <c r="B1627" s="5" t="s">
        <v>1161</v>
      </c>
      <c r="C1627" s="10" t="s">
        <v>1122</v>
      </c>
      <c r="D1627" s="5" t="s">
        <v>1145</v>
      </c>
      <c r="E1627" s="5" t="s">
        <v>1146</v>
      </c>
      <c r="F1627" s="5" t="str">
        <f t="shared" si="225"/>
        <v>IT-Quality Assurance</v>
      </c>
      <c r="G1627" s="5" t="s">
        <v>147</v>
      </c>
      <c r="H1627" s="9">
        <v>44683.892118055555</v>
      </c>
      <c r="I1627" s="9">
        <v>44686.892118055555</v>
      </c>
      <c r="J1627" s="9" t="e">
        <f>I1627+#REF!</f>
        <v>#REF!</v>
      </c>
      <c r="K1627" s="9" t="e">
        <f>J1627+#REF!</f>
        <v>#REF!</v>
      </c>
      <c r="L1627" s="10" t="s">
        <v>41</v>
      </c>
      <c r="M1627" s="11">
        <v>44691.892118055555</v>
      </c>
      <c r="N1627" s="5" t="s">
        <v>167</v>
      </c>
      <c r="O1627" s="5"/>
      <c r="P1627" s="9">
        <v>44696.892118055555</v>
      </c>
      <c r="Q1627" s="5" t="s">
        <v>167</v>
      </c>
      <c r="R1627" s="5"/>
      <c r="S1627" s="5"/>
      <c r="T1627" s="9">
        <v>44695.892118055555</v>
      </c>
      <c r="U1627" s="5"/>
      <c r="V1627" s="5">
        <v>0</v>
      </c>
      <c r="W1627" s="5"/>
      <c r="X1627" s="5"/>
      <c r="Y1627" s="5"/>
      <c r="Z1627" s="5"/>
      <c r="AA1627" s="5"/>
      <c r="AC1627">
        <f t="shared" si="226"/>
        <v>5</v>
      </c>
      <c r="AD1627" t="str">
        <f t="shared" si="227"/>
        <v/>
      </c>
      <c r="AE1627">
        <f t="shared" si="228"/>
        <v>4</v>
      </c>
      <c r="AF1627" t="str">
        <f t="shared" si="229"/>
        <v/>
      </c>
      <c r="AG1627" t="str">
        <f t="shared" si="230"/>
        <v/>
      </c>
      <c r="AH1627">
        <f t="shared" si="231"/>
        <v>3</v>
      </c>
      <c r="AI1627" t="str">
        <f t="shared" si="232"/>
        <v/>
      </c>
      <c r="AJ1627" t="str">
        <f t="shared" si="233"/>
        <v/>
      </c>
    </row>
    <row r="1628" spans="1:36">
      <c r="A1628" s="5">
        <v>1915</v>
      </c>
      <c r="B1628" s="5" t="s">
        <v>1160</v>
      </c>
      <c r="C1628" s="10" t="s">
        <v>1122</v>
      </c>
      <c r="D1628" s="5" t="s">
        <v>1145</v>
      </c>
      <c r="E1628" s="5" t="s">
        <v>1146</v>
      </c>
      <c r="F1628" s="5" t="str">
        <f t="shared" si="225"/>
        <v>IT-Quality Assurance</v>
      </c>
      <c r="G1628" s="5" t="s">
        <v>147</v>
      </c>
      <c r="H1628" s="9">
        <v>44687.892118055555</v>
      </c>
      <c r="I1628" s="9">
        <v>44688.892118055555</v>
      </c>
      <c r="J1628" s="9" t="e">
        <f>I1628+#REF!</f>
        <v>#REF!</v>
      </c>
      <c r="K1628" s="9" t="e">
        <f>J1628+#REF!</f>
        <v>#REF!</v>
      </c>
      <c r="L1628" s="10" t="s">
        <v>41</v>
      </c>
      <c r="M1628" s="11">
        <v>44697.892118055555</v>
      </c>
      <c r="N1628" s="5" t="s">
        <v>42</v>
      </c>
      <c r="O1628" s="5" t="s">
        <v>43</v>
      </c>
      <c r="P1628" s="9"/>
      <c r="Q1628" s="5"/>
      <c r="R1628" s="5"/>
      <c r="S1628" s="5"/>
      <c r="T1628" s="9">
        <v>44700.892118055555</v>
      </c>
      <c r="U1628" s="5"/>
      <c r="V1628" s="5">
        <v>0</v>
      </c>
      <c r="W1628" s="5"/>
      <c r="X1628" s="5"/>
      <c r="Y1628" s="5"/>
      <c r="Z1628" s="5"/>
      <c r="AA1628" s="5" t="s">
        <v>44</v>
      </c>
      <c r="AC1628">
        <f t="shared" si="226"/>
        <v>9</v>
      </c>
      <c r="AD1628" t="str">
        <f t="shared" si="227"/>
        <v/>
      </c>
      <c r="AE1628">
        <f t="shared" si="228"/>
        <v>3</v>
      </c>
      <c r="AF1628" t="str">
        <f t="shared" si="229"/>
        <v/>
      </c>
      <c r="AG1628" t="str">
        <f t="shared" si="230"/>
        <v/>
      </c>
      <c r="AH1628">
        <f t="shared" si="231"/>
        <v>1</v>
      </c>
      <c r="AI1628" t="str">
        <f t="shared" si="232"/>
        <v/>
      </c>
      <c r="AJ1628" t="str">
        <f t="shared" si="233"/>
        <v/>
      </c>
    </row>
    <row r="1629" spans="1:36">
      <c r="A1629" s="5">
        <v>1916</v>
      </c>
      <c r="B1629" s="5" t="s">
        <v>1135</v>
      </c>
      <c r="C1629" s="10" t="s">
        <v>1122</v>
      </c>
      <c r="D1629" s="5" t="s">
        <v>1123</v>
      </c>
      <c r="E1629" s="5" t="s">
        <v>102</v>
      </c>
      <c r="F1629" s="5" t="str">
        <f t="shared" si="225"/>
        <v>IT-Senior Manager</v>
      </c>
      <c r="G1629" s="5" t="s">
        <v>103</v>
      </c>
      <c r="H1629" s="9">
        <v>44682.892118055555</v>
      </c>
      <c r="I1629" s="9">
        <v>44684.892118055555</v>
      </c>
      <c r="J1629" s="9" t="e">
        <f>I1629+#REF!</f>
        <v>#REF!</v>
      </c>
      <c r="K1629" s="9" t="e">
        <f>J1629+#REF!</f>
        <v>#REF!</v>
      </c>
      <c r="L1629" s="10" t="s">
        <v>41</v>
      </c>
      <c r="M1629" s="11">
        <v>44700.892118055555</v>
      </c>
      <c r="N1629" s="5" t="s">
        <v>42</v>
      </c>
      <c r="O1629" s="5" t="s">
        <v>73</v>
      </c>
      <c r="P1629" s="9"/>
      <c r="Q1629" s="5"/>
      <c r="R1629" s="5"/>
      <c r="S1629" s="5"/>
      <c r="T1629" s="9">
        <v>44702.892118055555</v>
      </c>
      <c r="U1629" s="5"/>
      <c r="V1629" s="5">
        <v>0</v>
      </c>
      <c r="W1629" s="5"/>
      <c r="X1629" s="5"/>
      <c r="Y1629" s="5"/>
      <c r="Z1629" s="5"/>
      <c r="AA1629" s="5" t="s">
        <v>44</v>
      </c>
      <c r="AC1629">
        <f t="shared" si="226"/>
        <v>16</v>
      </c>
      <c r="AD1629" t="str">
        <f t="shared" si="227"/>
        <v/>
      </c>
      <c r="AE1629">
        <f t="shared" si="228"/>
        <v>2</v>
      </c>
      <c r="AF1629" t="str">
        <f t="shared" si="229"/>
        <v/>
      </c>
      <c r="AG1629" t="str">
        <f t="shared" si="230"/>
        <v/>
      </c>
      <c r="AH1629">
        <f t="shared" si="231"/>
        <v>2</v>
      </c>
      <c r="AI1629" t="str">
        <f t="shared" si="232"/>
        <v/>
      </c>
      <c r="AJ1629" t="str">
        <f t="shared" si="233"/>
        <v/>
      </c>
    </row>
    <row r="1630" spans="1:36">
      <c r="A1630" s="5">
        <v>1917</v>
      </c>
      <c r="B1630" s="5" t="s">
        <v>1228</v>
      </c>
      <c r="C1630" s="10" t="s">
        <v>1215</v>
      </c>
      <c r="D1630" s="5" t="s">
        <v>1216</v>
      </c>
      <c r="E1630" s="5" t="s">
        <v>1217</v>
      </c>
      <c r="F1630" s="5" t="str">
        <f t="shared" si="225"/>
        <v>HR-Specialist</v>
      </c>
      <c r="G1630" s="5" t="s">
        <v>270</v>
      </c>
      <c r="H1630" s="9">
        <v>44679.892118055555</v>
      </c>
      <c r="I1630" s="9">
        <v>44683.892118055555</v>
      </c>
      <c r="J1630" s="9" t="e">
        <f>I1630+#REF!</f>
        <v>#REF!</v>
      </c>
      <c r="K1630" s="9" t="e">
        <f>J1630+#REF!</f>
        <v>#REF!</v>
      </c>
      <c r="L1630" s="10" t="s">
        <v>41</v>
      </c>
      <c r="M1630" s="11">
        <v>44693.892118055555</v>
      </c>
      <c r="N1630" s="5" t="s">
        <v>42</v>
      </c>
      <c r="O1630" s="5" t="s">
        <v>113</v>
      </c>
      <c r="P1630" s="9"/>
      <c r="Q1630" s="5"/>
      <c r="R1630" s="5"/>
      <c r="S1630" s="5"/>
      <c r="T1630" s="9">
        <v>44694.892118055555</v>
      </c>
      <c r="U1630" s="5"/>
      <c r="V1630" s="5">
        <v>0</v>
      </c>
      <c r="W1630" s="5"/>
      <c r="X1630" s="5"/>
      <c r="Y1630" s="5"/>
      <c r="Z1630" s="5"/>
      <c r="AA1630" s="5" t="s">
        <v>44</v>
      </c>
      <c r="AC1630">
        <f t="shared" si="226"/>
        <v>10</v>
      </c>
      <c r="AD1630" t="str">
        <f t="shared" si="227"/>
        <v/>
      </c>
      <c r="AE1630">
        <f t="shared" si="228"/>
        <v>1</v>
      </c>
      <c r="AF1630" t="str">
        <f t="shared" si="229"/>
        <v/>
      </c>
      <c r="AG1630" t="str">
        <f t="shared" si="230"/>
        <v/>
      </c>
      <c r="AH1630">
        <f t="shared" si="231"/>
        <v>4</v>
      </c>
      <c r="AI1630" t="str">
        <f t="shared" si="232"/>
        <v/>
      </c>
      <c r="AJ1630" t="str">
        <f t="shared" si="233"/>
        <v/>
      </c>
    </row>
    <row r="1631" spans="1:36">
      <c r="A1631" s="5">
        <v>1918</v>
      </c>
      <c r="B1631" s="5" t="s">
        <v>1134</v>
      </c>
      <c r="C1631" s="10" t="s">
        <v>1122</v>
      </c>
      <c r="D1631" s="5" t="s">
        <v>1123</v>
      </c>
      <c r="E1631" s="5" t="s">
        <v>102</v>
      </c>
      <c r="F1631" s="5" t="str">
        <f t="shared" si="225"/>
        <v>IT-Senior Manager</v>
      </c>
      <c r="G1631" s="5" t="s">
        <v>103</v>
      </c>
      <c r="H1631" s="9">
        <v>44679.892118055555</v>
      </c>
      <c r="I1631" s="9">
        <v>44683.892118055555</v>
      </c>
      <c r="J1631" s="9" t="e">
        <f>I1631+#REF!</f>
        <v>#REF!</v>
      </c>
      <c r="K1631" s="9" t="e">
        <f>J1631+#REF!</f>
        <v>#REF!</v>
      </c>
      <c r="L1631" s="10" t="s">
        <v>41</v>
      </c>
      <c r="M1631" s="11">
        <v>44693.892118055555</v>
      </c>
      <c r="N1631" s="5" t="s">
        <v>42</v>
      </c>
      <c r="O1631" s="5" t="s">
        <v>58</v>
      </c>
      <c r="P1631" s="9"/>
      <c r="Q1631" s="5"/>
      <c r="R1631" s="5"/>
      <c r="S1631" s="5"/>
      <c r="T1631" s="9"/>
      <c r="U1631" s="5"/>
      <c r="V1631" s="5">
        <v>0</v>
      </c>
      <c r="W1631" s="5"/>
      <c r="X1631" s="5"/>
      <c r="Y1631" s="5"/>
      <c r="Z1631" s="5"/>
      <c r="AA1631" s="5" t="s">
        <v>44</v>
      </c>
      <c r="AC1631">
        <f t="shared" si="226"/>
        <v>10</v>
      </c>
      <c r="AD1631" t="str">
        <f t="shared" si="227"/>
        <v/>
      </c>
      <c r="AE1631" t="str">
        <f t="shared" si="228"/>
        <v/>
      </c>
      <c r="AF1631" t="str">
        <f t="shared" si="229"/>
        <v/>
      </c>
      <c r="AG1631" t="str">
        <f t="shared" si="230"/>
        <v/>
      </c>
      <c r="AH1631">
        <f t="shared" si="231"/>
        <v>4</v>
      </c>
      <c r="AI1631" t="str">
        <f t="shared" si="232"/>
        <v/>
      </c>
      <c r="AJ1631" t="str">
        <f t="shared" si="233"/>
        <v/>
      </c>
    </row>
    <row r="1632" spans="1:36">
      <c r="A1632" s="5">
        <v>1920</v>
      </c>
      <c r="B1632" s="5" t="s">
        <v>2121</v>
      </c>
      <c r="C1632" s="10" t="s">
        <v>2089</v>
      </c>
      <c r="D1632" s="5" t="s">
        <v>2114</v>
      </c>
      <c r="E1632" s="5" t="s">
        <v>388</v>
      </c>
      <c r="F1632" s="5" t="str">
        <f t="shared" si="225"/>
        <v>Communication and Advocacy-Extension Officer</v>
      </c>
      <c r="G1632" s="5" t="s">
        <v>147</v>
      </c>
      <c r="H1632" s="9">
        <v>44682.892118055555</v>
      </c>
      <c r="I1632" s="9">
        <v>44686.892118055555</v>
      </c>
      <c r="J1632" s="9" t="e">
        <f>I1632+#REF!</f>
        <v>#REF!</v>
      </c>
      <c r="K1632" s="9" t="e">
        <f>J1632+#REF!</f>
        <v>#REF!</v>
      </c>
      <c r="L1632" s="10" t="s">
        <v>52</v>
      </c>
      <c r="M1632" s="11"/>
      <c r="N1632" s="5"/>
      <c r="O1632" s="5"/>
      <c r="P1632" s="9"/>
      <c r="Q1632" s="5"/>
      <c r="R1632" s="5"/>
      <c r="S1632" s="5"/>
      <c r="T1632" s="9"/>
      <c r="U1632" s="5"/>
      <c r="V1632" s="5">
        <v>0</v>
      </c>
      <c r="W1632" s="5"/>
      <c r="X1632" s="5"/>
      <c r="Y1632" s="5"/>
      <c r="Z1632" s="5"/>
      <c r="AA1632" s="5"/>
      <c r="AC1632" t="str">
        <f t="shared" si="226"/>
        <v/>
      </c>
      <c r="AD1632" t="str">
        <f t="shared" si="227"/>
        <v/>
      </c>
      <c r="AE1632" t="str">
        <f t="shared" si="228"/>
        <v/>
      </c>
      <c r="AF1632" t="str">
        <f t="shared" si="229"/>
        <v/>
      </c>
      <c r="AG1632" t="str">
        <f t="shared" si="230"/>
        <v/>
      </c>
      <c r="AH1632">
        <f t="shared" si="231"/>
        <v>4</v>
      </c>
      <c r="AI1632" t="str">
        <f t="shared" si="232"/>
        <v/>
      </c>
      <c r="AJ1632" t="str">
        <f t="shared" si="233"/>
        <v/>
      </c>
    </row>
    <row r="1633" spans="1:36">
      <c r="A1633" s="5">
        <v>1922</v>
      </c>
      <c r="B1633" s="5" t="s">
        <v>988</v>
      </c>
      <c r="C1633" s="5" t="s">
        <v>796</v>
      </c>
      <c r="D1633" s="5" t="s">
        <v>957</v>
      </c>
      <c r="E1633" s="5" t="s">
        <v>388</v>
      </c>
      <c r="F1633" s="5" t="str">
        <f t="shared" si="225"/>
        <v>M and E-Extension Officer</v>
      </c>
      <c r="G1633" s="5" t="s">
        <v>40</v>
      </c>
      <c r="H1633" s="9">
        <v>44793.391932870371</v>
      </c>
      <c r="I1633" s="9">
        <v>44794.391932870371</v>
      </c>
      <c r="J1633" s="9" t="e">
        <f>I1633+#REF!</f>
        <v>#REF!</v>
      </c>
      <c r="K1633" s="9" t="e">
        <f>J1633+#REF!</f>
        <v>#REF!</v>
      </c>
      <c r="L1633" s="10" t="s">
        <v>41</v>
      </c>
      <c r="M1633" s="11">
        <v>44801.391932870371</v>
      </c>
      <c r="N1633" s="5" t="s">
        <v>167</v>
      </c>
      <c r="O1633" s="5"/>
      <c r="P1633" s="9">
        <v>44805.391932870371</v>
      </c>
      <c r="Q1633" s="5" t="s">
        <v>167</v>
      </c>
      <c r="R1633" s="5"/>
      <c r="S1633" s="5"/>
      <c r="T1633" s="9">
        <v>44803.391932870371</v>
      </c>
      <c r="U1633" s="5"/>
      <c r="V1633" s="5">
        <v>0</v>
      </c>
      <c r="W1633" s="5"/>
      <c r="X1633" s="5"/>
      <c r="Y1633" s="5"/>
      <c r="Z1633" s="5"/>
      <c r="AA1633" s="5"/>
      <c r="AC1633">
        <f t="shared" si="226"/>
        <v>7</v>
      </c>
      <c r="AD1633" t="str">
        <f t="shared" si="227"/>
        <v/>
      </c>
      <c r="AE1633">
        <f t="shared" si="228"/>
        <v>2</v>
      </c>
      <c r="AF1633" t="str">
        <f t="shared" si="229"/>
        <v/>
      </c>
      <c r="AG1633" t="str">
        <f t="shared" si="230"/>
        <v/>
      </c>
      <c r="AH1633">
        <f t="shared" si="231"/>
        <v>1</v>
      </c>
      <c r="AI1633" t="str">
        <f t="shared" si="232"/>
        <v/>
      </c>
      <c r="AJ1633" t="str">
        <f t="shared" si="233"/>
        <v/>
      </c>
    </row>
    <row r="1634" spans="1:36">
      <c r="A1634" s="5">
        <v>1923</v>
      </c>
      <c r="B1634" s="5" t="s">
        <v>918</v>
      </c>
      <c r="C1634" s="5" t="s">
        <v>796</v>
      </c>
      <c r="D1634" s="5" t="s">
        <v>893</v>
      </c>
      <c r="E1634" s="5" t="s">
        <v>269</v>
      </c>
      <c r="F1634" s="5" t="str">
        <f t="shared" si="225"/>
        <v>M and E-Manager</v>
      </c>
      <c r="G1634" s="5" t="s">
        <v>270</v>
      </c>
      <c r="H1634" s="9">
        <v>44796.391932870371</v>
      </c>
      <c r="I1634" s="9">
        <v>44797.391932870371</v>
      </c>
      <c r="J1634" s="9" t="e">
        <f>I1634+#REF!</f>
        <v>#REF!</v>
      </c>
      <c r="K1634" s="9" t="e">
        <f>J1634+#REF!</f>
        <v>#REF!</v>
      </c>
      <c r="L1634" s="10" t="s">
        <v>41</v>
      </c>
      <c r="M1634" s="11">
        <v>44807.391932870371</v>
      </c>
      <c r="N1634" s="5" t="s">
        <v>42</v>
      </c>
      <c r="O1634" s="5" t="s">
        <v>58</v>
      </c>
      <c r="P1634" s="9"/>
      <c r="Q1634" s="5"/>
      <c r="R1634" s="5"/>
      <c r="S1634" s="5"/>
      <c r="T1634" s="9">
        <v>44809.391932870371</v>
      </c>
      <c r="U1634" s="5"/>
      <c r="V1634" s="5">
        <v>0</v>
      </c>
      <c r="W1634" s="5"/>
      <c r="X1634" s="5"/>
      <c r="Y1634" s="5"/>
      <c r="Z1634" s="5"/>
      <c r="AA1634" s="5" t="s">
        <v>62</v>
      </c>
      <c r="AC1634">
        <f t="shared" si="226"/>
        <v>10</v>
      </c>
      <c r="AD1634" t="str">
        <f t="shared" si="227"/>
        <v/>
      </c>
      <c r="AE1634">
        <f t="shared" si="228"/>
        <v>2</v>
      </c>
      <c r="AF1634" t="str">
        <f t="shared" si="229"/>
        <v/>
      </c>
      <c r="AG1634" t="str">
        <f t="shared" si="230"/>
        <v/>
      </c>
      <c r="AH1634">
        <f t="shared" si="231"/>
        <v>1</v>
      </c>
      <c r="AI1634" t="str">
        <f t="shared" si="232"/>
        <v/>
      </c>
      <c r="AJ1634" t="str">
        <f t="shared" si="233"/>
        <v/>
      </c>
    </row>
    <row r="1635" spans="1:36">
      <c r="A1635" s="5">
        <v>1924</v>
      </c>
      <c r="B1635" s="5" t="s">
        <v>1083</v>
      </c>
      <c r="C1635" s="5" t="s">
        <v>796</v>
      </c>
      <c r="D1635" s="5" t="s">
        <v>1046</v>
      </c>
      <c r="E1635" s="5" t="s">
        <v>473</v>
      </c>
      <c r="F1635" s="5" t="str">
        <f t="shared" si="225"/>
        <v>M and E-Officer</v>
      </c>
      <c r="G1635" s="5" t="s">
        <v>47</v>
      </c>
      <c r="H1635" s="9">
        <v>44788.391932870371</v>
      </c>
      <c r="I1635" s="9">
        <v>44792.391932870371</v>
      </c>
      <c r="J1635" s="9" t="e">
        <f>I1635+#REF!</f>
        <v>#REF!</v>
      </c>
      <c r="K1635" s="9" t="e">
        <f>J1635+#REF!</f>
        <v>#REF!</v>
      </c>
      <c r="L1635" s="10" t="s">
        <v>41</v>
      </c>
      <c r="M1635" s="11">
        <v>44814.391932870371</v>
      </c>
      <c r="N1635" s="5" t="s">
        <v>64</v>
      </c>
      <c r="O1635" s="5"/>
      <c r="P1635" s="9">
        <v>44817.391932870371</v>
      </c>
      <c r="Q1635" s="5" t="s">
        <v>64</v>
      </c>
      <c r="R1635" s="9">
        <v>44815.391932870371</v>
      </c>
      <c r="S1635" s="9">
        <v>44817.391932870371</v>
      </c>
      <c r="T1635" s="9">
        <v>44815.391932870371</v>
      </c>
      <c r="U1635" s="9">
        <v>44817.391932870371</v>
      </c>
      <c r="V1635" s="12">
        <v>1</v>
      </c>
      <c r="W1635" s="9">
        <v>44819.391932870371</v>
      </c>
      <c r="X1635" s="9">
        <v>44821.391932870371</v>
      </c>
      <c r="Y1635" s="9">
        <v>44823.391932870371</v>
      </c>
      <c r="Z1635" s="5"/>
      <c r="AA1635" s="5"/>
      <c r="AB1635" s="13">
        <v>44844.391932870371</v>
      </c>
      <c r="AC1635">
        <f t="shared" si="226"/>
        <v>22</v>
      </c>
      <c r="AD1635">
        <f t="shared" si="227"/>
        <v>25</v>
      </c>
      <c r="AE1635">
        <f t="shared" si="228"/>
        <v>1</v>
      </c>
      <c r="AF1635">
        <f t="shared" si="229"/>
        <v>4</v>
      </c>
      <c r="AG1635">
        <f t="shared" si="230"/>
        <v>2</v>
      </c>
      <c r="AH1635">
        <f t="shared" si="231"/>
        <v>4</v>
      </c>
      <c r="AI1635" t="str">
        <f t="shared" si="232"/>
        <v/>
      </c>
      <c r="AJ1635" t="str">
        <f t="shared" si="233"/>
        <v/>
      </c>
    </row>
    <row r="1636" spans="1:36">
      <c r="A1636" s="5">
        <v>1926</v>
      </c>
      <c r="B1636" s="5" t="s">
        <v>1082</v>
      </c>
      <c r="C1636" s="5" t="s">
        <v>796</v>
      </c>
      <c r="D1636" s="5" t="s">
        <v>1046</v>
      </c>
      <c r="E1636" s="5" t="s">
        <v>473</v>
      </c>
      <c r="F1636" s="5" t="str">
        <f t="shared" si="225"/>
        <v>M and E-Officer</v>
      </c>
      <c r="G1636" s="5" t="s">
        <v>47</v>
      </c>
      <c r="H1636" s="9">
        <v>44796.391932870371</v>
      </c>
      <c r="I1636" s="9">
        <v>44797.391932870371</v>
      </c>
      <c r="J1636" s="9" t="e">
        <f>I1636+#REF!</f>
        <v>#REF!</v>
      </c>
      <c r="K1636" s="9" t="e">
        <f>J1636+#REF!</f>
        <v>#REF!</v>
      </c>
      <c r="L1636" s="10" t="s">
        <v>41</v>
      </c>
      <c r="M1636" s="11">
        <v>44807.391932870371</v>
      </c>
      <c r="N1636" s="5" t="s">
        <v>42</v>
      </c>
      <c r="O1636" s="5" t="s">
        <v>43</v>
      </c>
      <c r="P1636" s="9"/>
      <c r="Q1636" s="5"/>
      <c r="R1636" s="5"/>
      <c r="S1636" s="5"/>
      <c r="T1636" s="9"/>
      <c r="U1636" s="5"/>
      <c r="V1636" s="5">
        <v>0</v>
      </c>
      <c r="W1636" s="5"/>
      <c r="X1636" s="5"/>
      <c r="Y1636" s="5"/>
      <c r="Z1636" s="5"/>
      <c r="AA1636" s="5" t="s">
        <v>44</v>
      </c>
      <c r="AC1636">
        <f t="shared" si="226"/>
        <v>10</v>
      </c>
      <c r="AD1636" t="str">
        <f t="shared" si="227"/>
        <v/>
      </c>
      <c r="AE1636" t="str">
        <f t="shared" si="228"/>
        <v/>
      </c>
      <c r="AF1636" t="str">
        <f t="shared" si="229"/>
        <v/>
      </c>
      <c r="AG1636" t="str">
        <f t="shared" si="230"/>
        <v/>
      </c>
      <c r="AH1636">
        <f t="shared" si="231"/>
        <v>1</v>
      </c>
      <c r="AI1636" t="str">
        <f t="shared" si="232"/>
        <v/>
      </c>
      <c r="AJ1636" t="str">
        <f t="shared" si="233"/>
        <v/>
      </c>
    </row>
    <row r="1637" spans="1:36">
      <c r="A1637" s="5">
        <v>1927</v>
      </c>
      <c r="B1637" s="5" t="s">
        <v>917</v>
      </c>
      <c r="C1637" s="5" t="s">
        <v>796</v>
      </c>
      <c r="D1637" s="5" t="s">
        <v>893</v>
      </c>
      <c r="E1637" s="5" t="s">
        <v>269</v>
      </c>
      <c r="F1637" s="5" t="str">
        <f t="shared" si="225"/>
        <v>M and E-Manager</v>
      </c>
      <c r="G1637" s="5" t="s">
        <v>270</v>
      </c>
      <c r="H1637" s="9">
        <v>44795.391932870371</v>
      </c>
      <c r="I1637" s="9">
        <v>44796.391932870371</v>
      </c>
      <c r="J1637" s="9" t="e">
        <f>I1637+#REF!</f>
        <v>#REF!</v>
      </c>
      <c r="K1637" s="9" t="e">
        <f>J1637+#REF!</f>
        <v>#REF!</v>
      </c>
      <c r="L1637" s="10" t="s">
        <v>52</v>
      </c>
      <c r="M1637" s="11"/>
      <c r="N1637" s="5"/>
      <c r="O1637" s="5"/>
      <c r="P1637" s="9"/>
      <c r="Q1637" s="5"/>
      <c r="R1637" s="5"/>
      <c r="S1637" s="5"/>
      <c r="T1637" s="9"/>
      <c r="U1637" s="5"/>
      <c r="V1637" s="5">
        <v>0</v>
      </c>
      <c r="W1637" s="5"/>
      <c r="X1637" s="5"/>
      <c r="Y1637" s="5"/>
      <c r="Z1637" s="5"/>
      <c r="AA1637" s="5"/>
      <c r="AC1637" t="str">
        <f t="shared" si="226"/>
        <v/>
      </c>
      <c r="AD1637" t="str">
        <f t="shared" si="227"/>
        <v/>
      </c>
      <c r="AE1637" t="str">
        <f t="shared" si="228"/>
        <v/>
      </c>
      <c r="AF1637" t="str">
        <f t="shared" si="229"/>
        <v/>
      </c>
      <c r="AG1637" t="str">
        <f t="shared" si="230"/>
        <v/>
      </c>
      <c r="AH1637">
        <f t="shared" si="231"/>
        <v>1</v>
      </c>
      <c r="AI1637" t="str">
        <f t="shared" si="232"/>
        <v/>
      </c>
      <c r="AJ1637" t="str">
        <f t="shared" si="233"/>
        <v/>
      </c>
    </row>
    <row r="1638" spans="1:36">
      <c r="A1638" s="5">
        <v>1929</v>
      </c>
      <c r="B1638" s="5" t="s">
        <v>1034</v>
      </c>
      <c r="C1638" s="5" t="s">
        <v>796</v>
      </c>
      <c r="D1638" s="5" t="s">
        <v>1026</v>
      </c>
      <c r="E1638" s="5" t="s">
        <v>709</v>
      </c>
      <c r="F1638" s="5" t="str">
        <f t="shared" si="225"/>
        <v>M and E-Lead</v>
      </c>
      <c r="G1638" s="5" t="s">
        <v>56</v>
      </c>
      <c r="H1638" s="9">
        <v>44793.391932870371</v>
      </c>
      <c r="I1638" s="9">
        <v>44796.391932870371</v>
      </c>
      <c r="J1638" s="9" t="e">
        <f>I1638+#REF!</f>
        <v>#REF!</v>
      </c>
      <c r="K1638" s="9" t="e">
        <f>J1638+#REF!</f>
        <v>#REF!</v>
      </c>
      <c r="L1638" s="10" t="s">
        <v>52</v>
      </c>
      <c r="M1638" s="11"/>
      <c r="N1638" s="5"/>
      <c r="O1638" s="5"/>
      <c r="P1638" s="9"/>
      <c r="Q1638" s="5"/>
      <c r="R1638" s="5"/>
      <c r="S1638" s="5"/>
      <c r="T1638" s="9"/>
      <c r="U1638" s="5"/>
      <c r="V1638" s="5">
        <v>0</v>
      </c>
      <c r="W1638" s="5"/>
      <c r="X1638" s="5"/>
      <c r="Y1638" s="5"/>
      <c r="Z1638" s="5"/>
      <c r="AA1638" s="5"/>
      <c r="AC1638" t="str">
        <f t="shared" si="226"/>
        <v/>
      </c>
      <c r="AD1638" t="str">
        <f t="shared" si="227"/>
        <v/>
      </c>
      <c r="AE1638" t="str">
        <f t="shared" si="228"/>
        <v/>
      </c>
      <c r="AF1638" t="str">
        <f t="shared" si="229"/>
        <v/>
      </c>
      <c r="AG1638" t="str">
        <f t="shared" si="230"/>
        <v/>
      </c>
      <c r="AH1638">
        <f t="shared" si="231"/>
        <v>3</v>
      </c>
      <c r="AI1638" t="str">
        <f t="shared" si="232"/>
        <v/>
      </c>
      <c r="AJ1638" t="str">
        <f t="shared" si="233"/>
        <v/>
      </c>
    </row>
    <row r="1639" spans="1:36">
      <c r="A1639" s="5">
        <v>1931</v>
      </c>
      <c r="B1639" s="5" t="s">
        <v>2460</v>
      </c>
      <c r="C1639" s="5" t="s">
        <v>2229</v>
      </c>
      <c r="D1639" s="5" t="s">
        <v>2445</v>
      </c>
      <c r="E1639" s="5" t="s">
        <v>388</v>
      </c>
      <c r="F1639" s="5" t="str">
        <f t="shared" si="225"/>
        <v>Capacity Building-Extension Officer</v>
      </c>
      <c r="G1639" s="5" t="s">
        <v>47</v>
      </c>
      <c r="H1639" s="9">
        <v>45178.30609953704</v>
      </c>
      <c r="I1639" s="9">
        <v>45180.30609953704</v>
      </c>
      <c r="J1639" s="9" t="e">
        <f>I1639+#REF!</f>
        <v>#REF!</v>
      </c>
      <c r="K1639" s="9" t="e">
        <f>J1639+#REF!</f>
        <v>#REF!</v>
      </c>
      <c r="L1639" s="10" t="s">
        <v>41</v>
      </c>
      <c r="M1639" s="11">
        <v>45190.30609953704</v>
      </c>
      <c r="N1639" s="5" t="s">
        <v>64</v>
      </c>
      <c r="O1639" s="5"/>
      <c r="P1639" s="9">
        <v>45195.30609953704</v>
      </c>
      <c r="Q1639" s="5" t="s">
        <v>64</v>
      </c>
      <c r="R1639" s="9">
        <v>45192.30609953704</v>
      </c>
      <c r="S1639" s="9">
        <v>45193.30609953704</v>
      </c>
      <c r="T1639" s="9">
        <v>45192.30609953704</v>
      </c>
      <c r="U1639" s="9">
        <v>45201.30609953704</v>
      </c>
      <c r="V1639" s="12">
        <v>1</v>
      </c>
      <c r="W1639" s="9">
        <v>45203.30609953704</v>
      </c>
      <c r="X1639" s="9">
        <v>45204.30609953704</v>
      </c>
      <c r="Y1639" s="9">
        <v>45205.30609953704</v>
      </c>
      <c r="Z1639" s="5"/>
      <c r="AA1639" s="5"/>
      <c r="AB1639" s="13">
        <v>45224.30609953704</v>
      </c>
      <c r="AC1639">
        <f t="shared" si="226"/>
        <v>10</v>
      </c>
      <c r="AD1639">
        <f t="shared" si="227"/>
        <v>13</v>
      </c>
      <c r="AE1639">
        <f t="shared" si="228"/>
        <v>2</v>
      </c>
      <c r="AF1639">
        <f t="shared" si="229"/>
        <v>3</v>
      </c>
      <c r="AG1639">
        <f t="shared" si="230"/>
        <v>2</v>
      </c>
      <c r="AH1639">
        <f t="shared" si="231"/>
        <v>2</v>
      </c>
      <c r="AI1639" t="str">
        <f t="shared" si="232"/>
        <v/>
      </c>
      <c r="AJ1639" t="str">
        <f t="shared" si="233"/>
        <v/>
      </c>
    </row>
    <row r="1640" spans="1:36">
      <c r="A1640" s="5">
        <v>1933</v>
      </c>
      <c r="B1640" s="5" t="s">
        <v>1388</v>
      </c>
      <c r="C1640" s="5" t="s">
        <v>1332</v>
      </c>
      <c r="D1640" s="5" t="s">
        <v>1359</v>
      </c>
      <c r="E1640" s="5" t="s">
        <v>1360</v>
      </c>
      <c r="F1640" s="5" t="str">
        <f t="shared" si="225"/>
        <v>Fundraising-Fund Administrator</v>
      </c>
      <c r="G1640" s="5" t="s">
        <v>147</v>
      </c>
      <c r="H1640" s="9">
        <v>45179.30609953704</v>
      </c>
      <c r="I1640" s="9">
        <v>45183.30609953704</v>
      </c>
      <c r="J1640" s="9" t="e">
        <f>I1640+#REF!</f>
        <v>#REF!</v>
      </c>
      <c r="K1640" s="9" t="e">
        <f>J1640+#REF!</f>
        <v>#REF!</v>
      </c>
      <c r="L1640" s="10" t="s">
        <v>41</v>
      </c>
      <c r="M1640" s="11">
        <v>45198.30609953704</v>
      </c>
      <c r="N1640" s="5" t="s">
        <v>167</v>
      </c>
      <c r="O1640" s="5"/>
      <c r="P1640" s="9">
        <v>45201.30609953704</v>
      </c>
      <c r="Q1640" s="5" t="s">
        <v>167</v>
      </c>
      <c r="R1640" s="5"/>
      <c r="S1640" s="5"/>
      <c r="T1640" s="9">
        <v>45200.30609953704</v>
      </c>
      <c r="U1640" s="5"/>
      <c r="V1640" s="5">
        <v>0</v>
      </c>
      <c r="W1640" s="5"/>
      <c r="X1640" s="5"/>
      <c r="Y1640" s="5"/>
      <c r="Z1640" s="5"/>
      <c r="AA1640" s="5"/>
      <c r="AC1640">
        <f t="shared" si="226"/>
        <v>15</v>
      </c>
      <c r="AD1640" t="str">
        <f t="shared" si="227"/>
        <v/>
      </c>
      <c r="AE1640">
        <f t="shared" si="228"/>
        <v>2</v>
      </c>
      <c r="AF1640" t="str">
        <f t="shared" si="229"/>
        <v/>
      </c>
      <c r="AG1640" t="str">
        <f t="shared" si="230"/>
        <v/>
      </c>
      <c r="AH1640">
        <f t="shared" si="231"/>
        <v>4</v>
      </c>
      <c r="AI1640" t="str">
        <f t="shared" si="232"/>
        <v/>
      </c>
      <c r="AJ1640" t="str">
        <f t="shared" si="233"/>
        <v/>
      </c>
    </row>
    <row r="1641" spans="1:36">
      <c r="A1641" s="5">
        <v>1934</v>
      </c>
      <c r="B1641" s="5" t="s">
        <v>1520</v>
      </c>
      <c r="C1641" s="5" t="s">
        <v>1332</v>
      </c>
      <c r="D1641" s="5" t="s">
        <v>1500</v>
      </c>
      <c r="E1641" s="5" t="s">
        <v>815</v>
      </c>
      <c r="F1641" s="5" t="str">
        <f t="shared" si="225"/>
        <v>Fundraising-Auditor</v>
      </c>
      <c r="G1641" s="5" t="s">
        <v>47</v>
      </c>
      <c r="H1641" s="9">
        <v>45177.30609953704</v>
      </c>
      <c r="I1641" s="9">
        <v>45178.30609953704</v>
      </c>
      <c r="J1641" s="9" t="e">
        <f>I1641+#REF!</f>
        <v>#REF!</v>
      </c>
      <c r="K1641" s="9" t="e">
        <f>J1641+#REF!</f>
        <v>#REF!</v>
      </c>
      <c r="L1641" s="10" t="s">
        <v>41</v>
      </c>
      <c r="M1641" s="11">
        <v>45194.30609953704</v>
      </c>
      <c r="N1641" s="5" t="s">
        <v>48</v>
      </c>
      <c r="O1641" s="5"/>
      <c r="P1641" s="9">
        <v>45199.30609953704</v>
      </c>
      <c r="Q1641" s="5" t="s">
        <v>48</v>
      </c>
      <c r="R1641" s="5"/>
      <c r="S1641" s="5"/>
      <c r="T1641" s="9">
        <v>45198.30609953704</v>
      </c>
      <c r="U1641" s="5"/>
      <c r="V1641" s="5">
        <v>0</v>
      </c>
      <c r="W1641" s="5"/>
      <c r="X1641" s="5"/>
      <c r="Y1641" s="5"/>
      <c r="Z1641" s="5"/>
      <c r="AA1641" s="5"/>
      <c r="AC1641">
        <f t="shared" si="226"/>
        <v>16</v>
      </c>
      <c r="AD1641" t="str">
        <f t="shared" si="227"/>
        <v/>
      </c>
      <c r="AE1641">
        <f t="shared" si="228"/>
        <v>4</v>
      </c>
      <c r="AF1641" t="str">
        <f t="shared" si="229"/>
        <v/>
      </c>
      <c r="AG1641" t="str">
        <f t="shared" si="230"/>
        <v/>
      </c>
      <c r="AH1641">
        <f t="shared" si="231"/>
        <v>1</v>
      </c>
      <c r="AI1641" t="str">
        <f t="shared" si="232"/>
        <v/>
      </c>
      <c r="AJ1641" t="str">
        <f t="shared" si="233"/>
        <v/>
      </c>
    </row>
    <row r="1642" spans="1:36">
      <c r="A1642" s="5">
        <v>1936</v>
      </c>
      <c r="B1642" s="5" t="s">
        <v>1430</v>
      </c>
      <c r="C1642" s="5" t="s">
        <v>1332</v>
      </c>
      <c r="D1642" s="5" t="s">
        <v>1413</v>
      </c>
      <c r="E1642" s="5" t="s">
        <v>269</v>
      </c>
      <c r="F1642" s="5" t="str">
        <f t="shared" si="225"/>
        <v>Fundraising-Manager</v>
      </c>
      <c r="G1642" s="5" t="s">
        <v>270</v>
      </c>
      <c r="H1642" s="9">
        <v>45180.30609953704</v>
      </c>
      <c r="I1642" s="9">
        <v>45181.30609953704</v>
      </c>
      <c r="J1642" s="9" t="e">
        <f>I1642+#REF!</f>
        <v>#REF!</v>
      </c>
      <c r="K1642" s="9" t="e">
        <f>J1642+#REF!</f>
        <v>#REF!</v>
      </c>
      <c r="L1642" s="10" t="s">
        <v>41</v>
      </c>
      <c r="M1642" s="11">
        <v>45193.30609953704</v>
      </c>
      <c r="N1642" s="5" t="s">
        <v>167</v>
      </c>
      <c r="O1642" s="5"/>
      <c r="P1642" s="9">
        <v>45198.30609953704</v>
      </c>
      <c r="Q1642" s="5" t="s">
        <v>167</v>
      </c>
      <c r="R1642" s="5"/>
      <c r="S1642" s="5"/>
      <c r="T1642" s="9">
        <v>45196.30609953704</v>
      </c>
      <c r="U1642" s="5"/>
      <c r="V1642" s="5">
        <v>0</v>
      </c>
      <c r="W1642" s="5"/>
      <c r="X1642" s="5"/>
      <c r="Y1642" s="5"/>
      <c r="Z1642" s="5"/>
      <c r="AA1642" s="5"/>
      <c r="AC1642">
        <f t="shared" si="226"/>
        <v>12</v>
      </c>
      <c r="AD1642" t="str">
        <f t="shared" si="227"/>
        <v/>
      </c>
      <c r="AE1642">
        <f t="shared" si="228"/>
        <v>3</v>
      </c>
      <c r="AF1642" t="str">
        <f t="shared" si="229"/>
        <v/>
      </c>
      <c r="AG1642" t="str">
        <f t="shared" si="230"/>
        <v/>
      </c>
      <c r="AH1642">
        <f t="shared" si="231"/>
        <v>1</v>
      </c>
      <c r="AI1642" t="str">
        <f t="shared" si="232"/>
        <v/>
      </c>
      <c r="AJ1642" t="str">
        <f t="shared" si="233"/>
        <v/>
      </c>
    </row>
    <row r="1643" spans="1:36">
      <c r="A1643" s="5">
        <v>1937</v>
      </c>
      <c r="B1643" s="5" t="s">
        <v>1429</v>
      </c>
      <c r="C1643" s="5" t="s">
        <v>1332</v>
      </c>
      <c r="D1643" s="5" t="s">
        <v>1413</v>
      </c>
      <c r="E1643" s="5" t="s">
        <v>269</v>
      </c>
      <c r="F1643" s="5" t="str">
        <f t="shared" si="225"/>
        <v>Fundraising-Manager</v>
      </c>
      <c r="G1643" s="5" t="s">
        <v>270</v>
      </c>
      <c r="H1643" s="9">
        <v>45182.30609953704</v>
      </c>
      <c r="I1643" s="9">
        <v>45183.30609953704</v>
      </c>
      <c r="J1643" s="9" t="e">
        <f>I1643+#REF!</f>
        <v>#REF!</v>
      </c>
      <c r="K1643" s="9" t="e">
        <f>J1643+#REF!</f>
        <v>#REF!</v>
      </c>
      <c r="L1643" s="10" t="s">
        <v>41</v>
      </c>
      <c r="M1643" s="11">
        <v>45189.30609953704</v>
      </c>
      <c r="N1643" s="5" t="s">
        <v>42</v>
      </c>
      <c r="O1643" s="5" t="s">
        <v>73</v>
      </c>
      <c r="P1643" s="9"/>
      <c r="Q1643" s="5"/>
      <c r="R1643" s="5"/>
      <c r="S1643" s="5"/>
      <c r="T1643" s="9">
        <v>45192.30609953704</v>
      </c>
      <c r="U1643" s="5"/>
      <c r="V1643" s="5">
        <v>0</v>
      </c>
      <c r="W1643" s="5"/>
      <c r="X1643" s="5"/>
      <c r="Y1643" s="5"/>
      <c r="Z1643" s="5"/>
      <c r="AA1643" s="5" t="s">
        <v>44</v>
      </c>
      <c r="AC1643">
        <f t="shared" si="226"/>
        <v>6</v>
      </c>
      <c r="AD1643" t="str">
        <f t="shared" si="227"/>
        <v/>
      </c>
      <c r="AE1643">
        <f t="shared" si="228"/>
        <v>3</v>
      </c>
      <c r="AF1643" t="str">
        <f t="shared" si="229"/>
        <v/>
      </c>
      <c r="AG1643" t="str">
        <f t="shared" si="230"/>
        <v/>
      </c>
      <c r="AH1643">
        <f t="shared" si="231"/>
        <v>1</v>
      </c>
      <c r="AI1643" t="str">
        <f t="shared" si="232"/>
        <v/>
      </c>
      <c r="AJ1643" t="str">
        <f t="shared" si="233"/>
        <v/>
      </c>
    </row>
    <row r="1644" spans="1:36">
      <c r="A1644" s="5">
        <v>1939</v>
      </c>
      <c r="B1644" s="5" t="s">
        <v>2409</v>
      </c>
      <c r="C1644" s="5" t="s">
        <v>2229</v>
      </c>
      <c r="D1644" s="5" t="s">
        <v>2403</v>
      </c>
      <c r="E1644" s="5" t="s">
        <v>1039</v>
      </c>
      <c r="F1644" s="5" t="str">
        <f t="shared" si="225"/>
        <v>Capacity Building-Associate Director</v>
      </c>
      <c r="G1644" s="5" t="s">
        <v>56</v>
      </c>
      <c r="H1644" s="9">
        <v>45179.30609953704</v>
      </c>
      <c r="I1644" s="9">
        <v>45182.30609953704</v>
      </c>
      <c r="J1644" s="9" t="e">
        <f>I1644+#REF!</f>
        <v>#REF!</v>
      </c>
      <c r="K1644" s="9" t="e">
        <f>J1644+#REF!</f>
        <v>#REF!</v>
      </c>
      <c r="L1644" s="10" t="s">
        <v>52</v>
      </c>
      <c r="M1644" s="11"/>
      <c r="N1644" s="5"/>
      <c r="O1644" s="5"/>
      <c r="P1644" s="9"/>
      <c r="Q1644" s="5"/>
      <c r="R1644" s="5"/>
      <c r="S1644" s="5"/>
      <c r="T1644" s="9"/>
      <c r="U1644" s="5"/>
      <c r="V1644" s="5">
        <v>0</v>
      </c>
      <c r="W1644" s="5"/>
      <c r="X1644" s="5"/>
      <c r="Y1644" s="5"/>
      <c r="Z1644" s="5"/>
      <c r="AA1644" s="5"/>
      <c r="AC1644" t="str">
        <f t="shared" si="226"/>
        <v/>
      </c>
      <c r="AD1644" t="str">
        <f t="shared" si="227"/>
        <v/>
      </c>
      <c r="AE1644" t="str">
        <f t="shared" si="228"/>
        <v/>
      </c>
      <c r="AF1644" t="str">
        <f t="shared" si="229"/>
        <v/>
      </c>
      <c r="AG1644" t="str">
        <f t="shared" si="230"/>
        <v/>
      </c>
      <c r="AH1644">
        <f t="shared" si="231"/>
        <v>3</v>
      </c>
      <c r="AI1644" t="str">
        <f t="shared" si="232"/>
        <v/>
      </c>
      <c r="AJ1644" t="str">
        <f t="shared" si="233"/>
        <v/>
      </c>
    </row>
    <row r="1645" spans="1:36">
      <c r="A1645" s="5">
        <v>1940</v>
      </c>
      <c r="B1645" s="5" t="s">
        <v>1481</v>
      </c>
      <c r="C1645" s="5" t="s">
        <v>1332</v>
      </c>
      <c r="D1645" s="5" t="s">
        <v>1448</v>
      </c>
      <c r="E1645" s="5" t="s">
        <v>597</v>
      </c>
      <c r="F1645" s="5" t="str">
        <f t="shared" si="225"/>
        <v>Fundraising-Business Partner</v>
      </c>
      <c r="G1645" s="5" t="s">
        <v>40</v>
      </c>
      <c r="H1645" s="9">
        <v>45178.30609953704</v>
      </c>
      <c r="I1645" s="9">
        <v>45180.30609953704</v>
      </c>
      <c r="J1645" s="9" t="e">
        <f>I1645+#REF!</f>
        <v>#REF!</v>
      </c>
      <c r="K1645" s="9" t="e">
        <f>J1645+#REF!</f>
        <v>#REF!</v>
      </c>
      <c r="L1645" s="10" t="s">
        <v>41</v>
      </c>
      <c r="M1645" s="11">
        <v>45200.30609953704</v>
      </c>
      <c r="N1645" s="5" t="s">
        <v>48</v>
      </c>
      <c r="O1645" s="5"/>
      <c r="P1645" s="9">
        <v>45206.30609953704</v>
      </c>
      <c r="Q1645" s="5" t="s">
        <v>48</v>
      </c>
      <c r="R1645" s="5"/>
      <c r="S1645" s="5"/>
      <c r="T1645" s="9">
        <v>45204.30609953704</v>
      </c>
      <c r="U1645" s="5"/>
      <c r="V1645" s="5">
        <v>0</v>
      </c>
      <c r="W1645" s="5"/>
      <c r="X1645" s="5"/>
      <c r="Y1645" s="5"/>
      <c r="Z1645" s="5"/>
      <c r="AA1645" s="5"/>
      <c r="AC1645">
        <f t="shared" si="226"/>
        <v>20</v>
      </c>
      <c r="AD1645" t="str">
        <f t="shared" si="227"/>
        <v/>
      </c>
      <c r="AE1645">
        <f t="shared" si="228"/>
        <v>4</v>
      </c>
      <c r="AF1645" t="str">
        <f t="shared" si="229"/>
        <v/>
      </c>
      <c r="AG1645" t="str">
        <f t="shared" si="230"/>
        <v/>
      </c>
      <c r="AH1645">
        <f t="shared" si="231"/>
        <v>2</v>
      </c>
      <c r="AI1645" t="str">
        <f t="shared" si="232"/>
        <v/>
      </c>
      <c r="AJ1645" t="str">
        <f t="shared" si="233"/>
        <v/>
      </c>
    </row>
    <row r="1646" spans="1:36">
      <c r="A1646" s="5">
        <v>1941</v>
      </c>
      <c r="B1646" s="5" t="s">
        <v>850</v>
      </c>
      <c r="C1646" s="5" t="s">
        <v>796</v>
      </c>
      <c r="D1646" s="5" t="s">
        <v>814</v>
      </c>
      <c r="E1646" s="5" t="s">
        <v>597</v>
      </c>
      <c r="F1646" s="5" t="str">
        <f t="shared" si="225"/>
        <v>M and E-Business Partner</v>
      </c>
      <c r="G1646" s="5" t="s">
        <v>147</v>
      </c>
      <c r="H1646" s="9">
        <v>44982.264120370368</v>
      </c>
      <c r="I1646" s="9">
        <v>44984.264120370368</v>
      </c>
      <c r="J1646" s="9" t="e">
        <f>I1646+#REF!</f>
        <v>#REF!</v>
      </c>
      <c r="K1646" s="9" t="e">
        <f>J1646+#REF!</f>
        <v>#REF!</v>
      </c>
      <c r="L1646" s="10" t="s">
        <v>52</v>
      </c>
      <c r="M1646" s="11"/>
      <c r="N1646" s="5"/>
      <c r="O1646" s="5"/>
      <c r="P1646" s="9"/>
      <c r="Q1646" s="5"/>
      <c r="R1646" s="5"/>
      <c r="S1646" s="5"/>
      <c r="T1646" s="9"/>
      <c r="U1646" s="5"/>
      <c r="V1646" s="5">
        <v>0</v>
      </c>
      <c r="W1646" s="5"/>
      <c r="X1646" s="5"/>
      <c r="Y1646" s="5"/>
      <c r="Z1646" s="5"/>
      <c r="AA1646" s="5"/>
      <c r="AC1646" t="str">
        <f t="shared" si="226"/>
        <v/>
      </c>
      <c r="AD1646" t="str">
        <f t="shared" si="227"/>
        <v/>
      </c>
      <c r="AE1646" t="str">
        <f t="shared" si="228"/>
        <v/>
      </c>
      <c r="AF1646" t="str">
        <f t="shared" si="229"/>
        <v/>
      </c>
      <c r="AG1646" t="str">
        <f t="shared" si="230"/>
        <v/>
      </c>
      <c r="AH1646">
        <f t="shared" si="231"/>
        <v>2</v>
      </c>
      <c r="AI1646" t="str">
        <f t="shared" si="232"/>
        <v/>
      </c>
      <c r="AJ1646" t="str">
        <f t="shared" si="233"/>
        <v/>
      </c>
    </row>
    <row r="1647" spans="1:36">
      <c r="A1647" s="5">
        <v>1942</v>
      </c>
      <c r="B1647" s="5" t="s">
        <v>916</v>
      </c>
      <c r="C1647" s="5" t="s">
        <v>796</v>
      </c>
      <c r="D1647" s="5" t="s">
        <v>893</v>
      </c>
      <c r="E1647" s="5" t="s">
        <v>269</v>
      </c>
      <c r="F1647" s="5" t="str">
        <f t="shared" si="225"/>
        <v>M and E-Manager</v>
      </c>
      <c r="G1647" s="5" t="s">
        <v>270</v>
      </c>
      <c r="H1647" s="9">
        <v>44984.264120370368</v>
      </c>
      <c r="I1647" s="9">
        <v>44988.264120370368</v>
      </c>
      <c r="J1647" s="9" t="e">
        <f>I1647+#REF!</f>
        <v>#REF!</v>
      </c>
      <c r="K1647" s="9" t="e">
        <f>J1647+#REF!</f>
        <v>#REF!</v>
      </c>
      <c r="L1647" s="10" t="s">
        <v>41</v>
      </c>
      <c r="M1647" s="11">
        <v>44999.264120370368</v>
      </c>
      <c r="N1647" s="5" t="s">
        <v>64</v>
      </c>
      <c r="O1647" s="5"/>
      <c r="P1647" s="9">
        <v>45003.264120370368</v>
      </c>
      <c r="Q1647" s="5" t="s">
        <v>64</v>
      </c>
      <c r="R1647" s="9">
        <v>45001.264120370368</v>
      </c>
      <c r="S1647" s="9">
        <v>45004.264120370368</v>
      </c>
      <c r="T1647" s="9">
        <v>45001.264120370368</v>
      </c>
      <c r="U1647" s="9">
        <v>45008.264120370368</v>
      </c>
      <c r="V1647" s="12">
        <v>1</v>
      </c>
      <c r="W1647" s="9">
        <v>45010.264120370368</v>
      </c>
      <c r="X1647" s="9">
        <v>45012.264120370368</v>
      </c>
      <c r="Y1647" s="9">
        <v>45013.264120370368</v>
      </c>
      <c r="Z1647" s="5"/>
      <c r="AA1647" s="5"/>
      <c r="AB1647" s="13">
        <v>45027.264120370368</v>
      </c>
      <c r="AC1647">
        <f t="shared" si="226"/>
        <v>11</v>
      </c>
      <c r="AD1647">
        <f t="shared" si="227"/>
        <v>16</v>
      </c>
      <c r="AE1647">
        <f t="shared" si="228"/>
        <v>2</v>
      </c>
      <c r="AF1647">
        <f t="shared" si="229"/>
        <v>4</v>
      </c>
      <c r="AG1647">
        <f t="shared" si="230"/>
        <v>2</v>
      </c>
      <c r="AH1647">
        <f t="shared" si="231"/>
        <v>4</v>
      </c>
      <c r="AI1647" t="str">
        <f t="shared" si="232"/>
        <v/>
      </c>
      <c r="AJ1647" t="str">
        <f t="shared" si="233"/>
        <v/>
      </c>
    </row>
    <row r="1648" spans="1:36">
      <c r="A1648" s="5">
        <v>1943</v>
      </c>
      <c r="B1648" s="5" t="s">
        <v>1081</v>
      </c>
      <c r="C1648" s="5" t="s">
        <v>796</v>
      </c>
      <c r="D1648" s="5" t="s">
        <v>1046</v>
      </c>
      <c r="E1648" s="5" t="s">
        <v>473</v>
      </c>
      <c r="F1648" s="5" t="str">
        <f t="shared" si="225"/>
        <v>M and E-Officer</v>
      </c>
      <c r="G1648" s="5" t="s">
        <v>47</v>
      </c>
      <c r="H1648" s="9">
        <v>44987.264120370368</v>
      </c>
      <c r="I1648" s="9">
        <v>44988.264120370368</v>
      </c>
      <c r="J1648" s="9" t="e">
        <f>I1648+#REF!</f>
        <v>#REF!</v>
      </c>
      <c r="K1648" s="9" t="e">
        <f>J1648+#REF!</f>
        <v>#REF!</v>
      </c>
      <c r="L1648" s="10" t="s">
        <v>52</v>
      </c>
      <c r="M1648" s="11"/>
      <c r="N1648" s="5"/>
      <c r="O1648" s="5"/>
      <c r="P1648" s="9"/>
      <c r="Q1648" s="5"/>
      <c r="R1648" s="5"/>
      <c r="S1648" s="5"/>
      <c r="T1648" s="9"/>
      <c r="U1648" s="5"/>
      <c r="V1648" s="5">
        <v>0</v>
      </c>
      <c r="W1648" s="5"/>
      <c r="X1648" s="5"/>
      <c r="Y1648" s="5"/>
      <c r="Z1648" s="5"/>
      <c r="AA1648" s="5"/>
      <c r="AC1648" t="str">
        <f t="shared" si="226"/>
        <v/>
      </c>
      <c r="AD1648" t="str">
        <f t="shared" si="227"/>
        <v/>
      </c>
      <c r="AE1648" t="str">
        <f t="shared" si="228"/>
        <v/>
      </c>
      <c r="AF1648" t="str">
        <f t="shared" si="229"/>
        <v/>
      </c>
      <c r="AG1648" t="str">
        <f t="shared" si="230"/>
        <v/>
      </c>
      <c r="AH1648">
        <f t="shared" si="231"/>
        <v>1</v>
      </c>
      <c r="AI1648" t="str">
        <f t="shared" si="232"/>
        <v/>
      </c>
      <c r="AJ1648" t="str">
        <f t="shared" si="233"/>
        <v/>
      </c>
    </row>
    <row r="1649" spans="1:36">
      <c r="A1649" s="5">
        <v>1944</v>
      </c>
      <c r="B1649" s="5" t="s">
        <v>987</v>
      </c>
      <c r="C1649" s="5" t="s">
        <v>796</v>
      </c>
      <c r="D1649" s="5" t="s">
        <v>957</v>
      </c>
      <c r="E1649" s="5" t="s">
        <v>388</v>
      </c>
      <c r="F1649" s="5" t="str">
        <f t="shared" si="225"/>
        <v>M and E-Extension Officer</v>
      </c>
      <c r="G1649" s="5" t="s">
        <v>40</v>
      </c>
      <c r="H1649" s="9">
        <v>44986.264120370368</v>
      </c>
      <c r="I1649" s="9">
        <v>44989.264120370368</v>
      </c>
      <c r="J1649" s="9" t="e">
        <f>I1649+#REF!</f>
        <v>#REF!</v>
      </c>
      <c r="K1649" s="9" t="e">
        <f>J1649+#REF!</f>
        <v>#REF!</v>
      </c>
      <c r="L1649" s="10" t="s">
        <v>41</v>
      </c>
      <c r="M1649" s="11">
        <v>44998.264120370368</v>
      </c>
      <c r="N1649" s="5" t="s">
        <v>42</v>
      </c>
      <c r="O1649" s="5" t="s">
        <v>98</v>
      </c>
      <c r="P1649" s="9"/>
      <c r="Q1649" s="5"/>
      <c r="R1649" s="5"/>
      <c r="S1649" s="5"/>
      <c r="T1649" s="9"/>
      <c r="U1649" s="5"/>
      <c r="V1649" s="5">
        <v>0</v>
      </c>
      <c r="W1649" s="5"/>
      <c r="X1649" s="5"/>
      <c r="Y1649" s="5"/>
      <c r="Z1649" s="5"/>
      <c r="AA1649" s="5" t="s">
        <v>44</v>
      </c>
      <c r="AC1649">
        <f t="shared" si="226"/>
        <v>9</v>
      </c>
      <c r="AD1649" t="str">
        <f t="shared" si="227"/>
        <v/>
      </c>
      <c r="AE1649" t="str">
        <f t="shared" si="228"/>
        <v/>
      </c>
      <c r="AF1649" t="str">
        <f t="shared" si="229"/>
        <v/>
      </c>
      <c r="AG1649" t="str">
        <f t="shared" si="230"/>
        <v/>
      </c>
      <c r="AH1649">
        <f t="shared" si="231"/>
        <v>3</v>
      </c>
      <c r="AI1649" t="str">
        <f t="shared" si="232"/>
        <v/>
      </c>
      <c r="AJ1649" t="str">
        <f t="shared" si="233"/>
        <v/>
      </c>
    </row>
    <row r="1650" spans="1:36">
      <c r="A1650" s="5">
        <v>1945</v>
      </c>
      <c r="B1650" s="5" t="s">
        <v>915</v>
      </c>
      <c r="C1650" s="5" t="s">
        <v>796</v>
      </c>
      <c r="D1650" s="5" t="s">
        <v>893</v>
      </c>
      <c r="E1650" s="5" t="s">
        <v>269</v>
      </c>
      <c r="F1650" s="5" t="str">
        <f t="shared" si="225"/>
        <v>M and E-Manager</v>
      </c>
      <c r="G1650" s="5" t="s">
        <v>270</v>
      </c>
      <c r="H1650" s="9">
        <v>44982.264120370368</v>
      </c>
      <c r="I1650" s="9">
        <v>44984.264120370368</v>
      </c>
      <c r="J1650" s="9" t="e">
        <f>I1650+#REF!</f>
        <v>#REF!</v>
      </c>
      <c r="K1650" s="9" t="e">
        <f>J1650+#REF!</f>
        <v>#REF!</v>
      </c>
      <c r="L1650" s="10" t="s">
        <v>41</v>
      </c>
      <c r="M1650" s="11">
        <v>44999.264120370368</v>
      </c>
      <c r="N1650" s="5" t="s">
        <v>42</v>
      </c>
      <c r="O1650" s="5" t="s">
        <v>58</v>
      </c>
      <c r="P1650" s="9"/>
      <c r="Q1650" s="5"/>
      <c r="R1650" s="5"/>
      <c r="S1650" s="5"/>
      <c r="T1650" s="9"/>
      <c r="U1650" s="5"/>
      <c r="V1650" s="5">
        <v>0</v>
      </c>
      <c r="W1650" s="5"/>
      <c r="X1650" s="5"/>
      <c r="Y1650" s="5"/>
      <c r="Z1650" s="5"/>
      <c r="AA1650" s="5" t="s">
        <v>62</v>
      </c>
      <c r="AC1650">
        <f t="shared" si="226"/>
        <v>15</v>
      </c>
      <c r="AD1650" t="str">
        <f t="shared" si="227"/>
        <v/>
      </c>
      <c r="AE1650" t="str">
        <f t="shared" si="228"/>
        <v/>
      </c>
      <c r="AF1650" t="str">
        <f t="shared" si="229"/>
        <v/>
      </c>
      <c r="AG1650" t="str">
        <f t="shared" si="230"/>
        <v/>
      </c>
      <c r="AH1650">
        <f t="shared" si="231"/>
        <v>2</v>
      </c>
      <c r="AI1650" t="str">
        <f t="shared" si="232"/>
        <v/>
      </c>
      <c r="AJ1650" t="str">
        <f t="shared" si="233"/>
        <v/>
      </c>
    </row>
    <row r="1651" spans="1:36">
      <c r="A1651" s="5">
        <v>1946</v>
      </c>
      <c r="B1651" s="5" t="s">
        <v>849</v>
      </c>
      <c r="C1651" s="5" t="s">
        <v>796</v>
      </c>
      <c r="D1651" s="5" t="s">
        <v>814</v>
      </c>
      <c r="E1651" s="5" t="s">
        <v>597</v>
      </c>
      <c r="F1651" s="5" t="str">
        <f t="shared" si="225"/>
        <v>M and E-Business Partner</v>
      </c>
      <c r="G1651" s="5" t="s">
        <v>147</v>
      </c>
      <c r="H1651" s="9">
        <v>44985.264120370368</v>
      </c>
      <c r="I1651" s="9">
        <v>44987.264120370368</v>
      </c>
      <c r="J1651" s="9" t="e">
        <f>I1651+#REF!</f>
        <v>#REF!</v>
      </c>
      <c r="K1651" s="9" t="e">
        <f>J1651+#REF!</f>
        <v>#REF!</v>
      </c>
      <c r="L1651" s="10" t="s">
        <v>41</v>
      </c>
      <c r="M1651" s="11">
        <v>44996.264120370368</v>
      </c>
      <c r="N1651" s="5" t="s">
        <v>64</v>
      </c>
      <c r="O1651" s="5"/>
      <c r="P1651" s="9">
        <v>44998.264120370368</v>
      </c>
      <c r="Q1651" s="5" t="s">
        <v>64</v>
      </c>
      <c r="R1651" s="9">
        <v>44998.264120370368</v>
      </c>
      <c r="S1651" s="9">
        <v>45000.264120370368</v>
      </c>
      <c r="T1651" s="9">
        <v>44997.264120370368</v>
      </c>
      <c r="U1651" s="9">
        <v>45002.264120370368</v>
      </c>
      <c r="V1651" s="12">
        <v>1</v>
      </c>
      <c r="W1651" s="9">
        <v>45005.264120370368</v>
      </c>
      <c r="X1651" s="9">
        <v>45006.264120370368</v>
      </c>
      <c r="Y1651" s="9">
        <v>45007.264120370368</v>
      </c>
      <c r="Z1651" s="5"/>
      <c r="AA1651" s="5"/>
      <c r="AB1651" s="13">
        <v>45021.264120370368</v>
      </c>
      <c r="AC1651">
        <f t="shared" si="226"/>
        <v>9</v>
      </c>
      <c r="AD1651">
        <f t="shared" si="227"/>
        <v>13</v>
      </c>
      <c r="AE1651">
        <f t="shared" si="228"/>
        <v>1</v>
      </c>
      <c r="AF1651">
        <f t="shared" si="229"/>
        <v>4</v>
      </c>
      <c r="AG1651">
        <f t="shared" si="230"/>
        <v>3</v>
      </c>
      <c r="AH1651">
        <f t="shared" si="231"/>
        <v>2</v>
      </c>
      <c r="AI1651" t="str">
        <f t="shared" si="232"/>
        <v/>
      </c>
      <c r="AJ1651" t="str">
        <f t="shared" si="233"/>
        <v/>
      </c>
    </row>
    <row r="1652" spans="1:36">
      <c r="A1652" s="5">
        <v>1948</v>
      </c>
      <c r="B1652" s="5" t="s">
        <v>807</v>
      </c>
      <c r="C1652" s="5" t="s">
        <v>796</v>
      </c>
      <c r="D1652" s="5" t="s">
        <v>797</v>
      </c>
      <c r="E1652" s="5" t="s">
        <v>102</v>
      </c>
      <c r="F1652" s="5" t="str">
        <f t="shared" si="225"/>
        <v>M and E-Senior Manager</v>
      </c>
      <c r="G1652" s="5" t="s">
        <v>103</v>
      </c>
      <c r="H1652" s="9">
        <v>44981.264120370368</v>
      </c>
      <c r="I1652" s="9">
        <v>44984.264120370368</v>
      </c>
      <c r="J1652" s="9" t="e">
        <f>I1652+#REF!</f>
        <v>#REF!</v>
      </c>
      <c r="K1652" s="9" t="e">
        <f>J1652+#REF!</f>
        <v>#REF!</v>
      </c>
      <c r="L1652" s="10" t="s">
        <v>41</v>
      </c>
      <c r="M1652" s="11">
        <v>45005.264120370368</v>
      </c>
      <c r="N1652" s="5" t="s">
        <v>42</v>
      </c>
      <c r="O1652" s="5" t="s">
        <v>58</v>
      </c>
      <c r="P1652" s="9"/>
      <c r="Q1652" s="5"/>
      <c r="R1652" s="5"/>
      <c r="S1652" s="5"/>
      <c r="T1652" s="9"/>
      <c r="U1652" s="5"/>
      <c r="V1652" s="5">
        <v>0</v>
      </c>
      <c r="W1652" s="5"/>
      <c r="X1652" s="5"/>
      <c r="Y1652" s="5"/>
      <c r="Z1652" s="5"/>
      <c r="AA1652" s="5" t="s">
        <v>44</v>
      </c>
      <c r="AC1652">
        <f t="shared" si="226"/>
        <v>21</v>
      </c>
      <c r="AD1652" t="str">
        <f t="shared" si="227"/>
        <v/>
      </c>
      <c r="AE1652" t="str">
        <f t="shared" si="228"/>
        <v/>
      </c>
      <c r="AF1652" t="str">
        <f t="shared" si="229"/>
        <v/>
      </c>
      <c r="AG1652" t="str">
        <f t="shared" si="230"/>
        <v/>
      </c>
      <c r="AH1652">
        <f t="shared" si="231"/>
        <v>3</v>
      </c>
      <c r="AI1652" t="str">
        <f t="shared" si="232"/>
        <v/>
      </c>
      <c r="AJ1652" t="str">
        <f t="shared" si="233"/>
        <v/>
      </c>
    </row>
    <row r="1653" spans="1:36">
      <c r="A1653" s="5">
        <v>1949</v>
      </c>
      <c r="B1653" s="5" t="s">
        <v>848</v>
      </c>
      <c r="C1653" s="5" t="s">
        <v>796</v>
      </c>
      <c r="D1653" s="5" t="s">
        <v>814</v>
      </c>
      <c r="E1653" s="5" t="s">
        <v>597</v>
      </c>
      <c r="F1653" s="5" t="str">
        <f t="shared" si="225"/>
        <v>M and E-Business Partner</v>
      </c>
      <c r="G1653" s="5" t="s">
        <v>147</v>
      </c>
      <c r="H1653" s="9">
        <v>44984.264120370368</v>
      </c>
      <c r="I1653" s="9">
        <v>44987.264120370368</v>
      </c>
      <c r="J1653" s="9" t="e">
        <f>I1653+#REF!</f>
        <v>#REF!</v>
      </c>
      <c r="K1653" s="9" t="e">
        <f>J1653+#REF!</f>
        <v>#REF!</v>
      </c>
      <c r="L1653" s="10" t="s">
        <v>41</v>
      </c>
      <c r="M1653" s="11">
        <v>44993.264120370368</v>
      </c>
      <c r="N1653" s="5" t="s">
        <v>167</v>
      </c>
      <c r="O1653" s="5"/>
      <c r="P1653" s="9">
        <v>44997.264120370368</v>
      </c>
      <c r="Q1653" s="5" t="s">
        <v>167</v>
      </c>
      <c r="R1653" s="5"/>
      <c r="S1653" s="5"/>
      <c r="T1653" s="9">
        <v>44995.264120370368</v>
      </c>
      <c r="U1653" s="5"/>
      <c r="V1653" s="5">
        <v>0</v>
      </c>
      <c r="W1653" s="5"/>
      <c r="X1653" s="5"/>
      <c r="Y1653" s="5"/>
      <c r="Z1653" s="5"/>
      <c r="AA1653" s="5"/>
      <c r="AC1653">
        <f t="shared" si="226"/>
        <v>6</v>
      </c>
      <c r="AD1653" t="str">
        <f t="shared" si="227"/>
        <v/>
      </c>
      <c r="AE1653">
        <f t="shared" si="228"/>
        <v>2</v>
      </c>
      <c r="AF1653" t="str">
        <f t="shared" si="229"/>
        <v/>
      </c>
      <c r="AG1653" t="str">
        <f t="shared" si="230"/>
        <v/>
      </c>
      <c r="AH1653">
        <f t="shared" si="231"/>
        <v>3</v>
      </c>
      <c r="AI1653" t="str">
        <f t="shared" si="232"/>
        <v/>
      </c>
      <c r="AJ1653" t="str">
        <f t="shared" si="233"/>
        <v/>
      </c>
    </row>
    <row r="1654" spans="1:36">
      <c r="A1654" s="5">
        <v>1950</v>
      </c>
      <c r="B1654" s="5" t="s">
        <v>914</v>
      </c>
      <c r="C1654" s="5" t="s">
        <v>796</v>
      </c>
      <c r="D1654" s="5" t="s">
        <v>893</v>
      </c>
      <c r="E1654" s="5" t="s">
        <v>269</v>
      </c>
      <c r="F1654" s="5" t="str">
        <f t="shared" si="225"/>
        <v>M and E-Manager</v>
      </c>
      <c r="G1654" s="5" t="s">
        <v>270</v>
      </c>
      <c r="H1654" s="9">
        <v>44987.264120370368</v>
      </c>
      <c r="I1654" s="9">
        <v>44988.264120370368</v>
      </c>
      <c r="J1654" s="9" t="e">
        <f>I1654+#REF!</f>
        <v>#REF!</v>
      </c>
      <c r="K1654" s="9" t="e">
        <f>J1654+#REF!</f>
        <v>#REF!</v>
      </c>
      <c r="L1654" s="10" t="s">
        <v>41</v>
      </c>
      <c r="M1654" s="11">
        <v>44991.264120370368</v>
      </c>
      <c r="N1654" s="5" t="s">
        <v>64</v>
      </c>
      <c r="O1654" s="5"/>
      <c r="P1654" s="9">
        <v>44995.264120370368</v>
      </c>
      <c r="Q1654" s="5" t="s">
        <v>64</v>
      </c>
      <c r="R1654" s="9">
        <v>44992.264120370368</v>
      </c>
      <c r="S1654" s="9">
        <v>44993.264120370368</v>
      </c>
      <c r="T1654" s="9">
        <v>44993.264120370368</v>
      </c>
      <c r="U1654" s="9">
        <v>45000.264120370368</v>
      </c>
      <c r="V1654" s="12">
        <v>1</v>
      </c>
      <c r="W1654" s="9">
        <v>45002.264120370368</v>
      </c>
      <c r="X1654" s="9">
        <v>45005.264120370368</v>
      </c>
      <c r="Y1654" s="9">
        <v>45008.264120370368</v>
      </c>
      <c r="Z1654" s="5"/>
      <c r="AA1654" s="5"/>
      <c r="AB1654" s="13">
        <v>45016.264120370368</v>
      </c>
      <c r="AC1654">
        <f t="shared" si="226"/>
        <v>3</v>
      </c>
      <c r="AD1654">
        <f t="shared" si="227"/>
        <v>5</v>
      </c>
      <c r="AE1654">
        <f t="shared" si="228"/>
        <v>2</v>
      </c>
      <c r="AF1654">
        <f t="shared" si="229"/>
        <v>5</v>
      </c>
      <c r="AG1654">
        <f t="shared" si="230"/>
        <v>2</v>
      </c>
      <c r="AH1654">
        <f t="shared" si="231"/>
        <v>1</v>
      </c>
      <c r="AI1654" t="str">
        <f t="shared" si="232"/>
        <v/>
      </c>
      <c r="AJ1654" t="str">
        <f t="shared" si="233"/>
        <v/>
      </c>
    </row>
    <row r="1655" spans="1:36">
      <c r="A1655" s="5">
        <v>1951</v>
      </c>
      <c r="B1655" s="5" t="s">
        <v>1159</v>
      </c>
      <c r="C1655" s="10" t="s">
        <v>1122</v>
      </c>
      <c r="D1655" s="5" t="s">
        <v>1145</v>
      </c>
      <c r="E1655" s="5" t="s">
        <v>1146</v>
      </c>
      <c r="F1655" s="5" t="str">
        <f t="shared" si="225"/>
        <v>IT-Quality Assurance</v>
      </c>
      <c r="G1655" s="5" t="s">
        <v>147</v>
      </c>
      <c r="H1655" s="9">
        <v>44821.042395833334</v>
      </c>
      <c r="I1655" s="9">
        <v>44823.042395833334</v>
      </c>
      <c r="J1655" s="9" t="e">
        <f>I1655+#REF!</f>
        <v>#REF!</v>
      </c>
      <c r="K1655" s="9" t="e">
        <f>J1655+#REF!</f>
        <v>#REF!</v>
      </c>
      <c r="L1655" s="10" t="s">
        <v>41</v>
      </c>
      <c r="M1655" s="11">
        <v>44835.042395833334</v>
      </c>
      <c r="N1655" s="5" t="s">
        <v>42</v>
      </c>
      <c r="O1655" s="5" t="s">
        <v>43</v>
      </c>
      <c r="P1655" s="9"/>
      <c r="Q1655" s="5"/>
      <c r="R1655" s="5"/>
      <c r="S1655" s="5"/>
      <c r="T1655" s="9"/>
      <c r="U1655" s="5"/>
      <c r="V1655" s="5">
        <v>0</v>
      </c>
      <c r="W1655" s="5"/>
      <c r="X1655" s="5"/>
      <c r="Y1655" s="5"/>
      <c r="Z1655" s="5"/>
      <c r="AA1655" s="5" t="s">
        <v>44</v>
      </c>
      <c r="AC1655">
        <f t="shared" si="226"/>
        <v>12</v>
      </c>
      <c r="AD1655" t="str">
        <f t="shared" si="227"/>
        <v/>
      </c>
      <c r="AE1655" t="str">
        <f t="shared" si="228"/>
        <v/>
      </c>
      <c r="AF1655" t="str">
        <f t="shared" si="229"/>
        <v/>
      </c>
      <c r="AG1655" t="str">
        <f t="shared" si="230"/>
        <v/>
      </c>
      <c r="AH1655">
        <f t="shared" si="231"/>
        <v>2</v>
      </c>
      <c r="AI1655" t="str">
        <f t="shared" si="232"/>
        <v/>
      </c>
      <c r="AJ1655" t="str">
        <f t="shared" si="233"/>
        <v/>
      </c>
    </row>
    <row r="1656" spans="1:36">
      <c r="A1656" s="5">
        <v>1953</v>
      </c>
      <c r="B1656" s="5" t="s">
        <v>1227</v>
      </c>
      <c r="C1656" s="10" t="s">
        <v>1215</v>
      </c>
      <c r="D1656" s="5" t="s">
        <v>1216</v>
      </c>
      <c r="E1656" s="5" t="s">
        <v>1217</v>
      </c>
      <c r="F1656" s="5" t="str">
        <f t="shared" si="225"/>
        <v>HR-Specialist</v>
      </c>
      <c r="G1656" s="5" t="s">
        <v>270</v>
      </c>
      <c r="H1656" s="9">
        <v>44817.042395833334</v>
      </c>
      <c r="I1656" s="9">
        <v>44820.042395833334</v>
      </c>
      <c r="J1656" s="9" t="e">
        <f>I1656+#REF!</f>
        <v>#REF!</v>
      </c>
      <c r="K1656" s="9" t="e">
        <f>J1656+#REF!</f>
        <v>#REF!</v>
      </c>
      <c r="L1656" s="10" t="s">
        <v>41</v>
      </c>
      <c r="M1656" s="11">
        <v>44842.042395833334</v>
      </c>
      <c r="N1656" s="5" t="s">
        <v>42</v>
      </c>
      <c r="O1656" s="5" t="s">
        <v>58</v>
      </c>
      <c r="P1656" s="9"/>
      <c r="Q1656" s="5"/>
      <c r="R1656" s="5"/>
      <c r="S1656" s="5"/>
      <c r="T1656" s="9">
        <v>44843.042395833334</v>
      </c>
      <c r="U1656" s="5"/>
      <c r="V1656" s="5">
        <v>0</v>
      </c>
      <c r="W1656" s="5"/>
      <c r="X1656" s="5"/>
      <c r="Y1656" s="5"/>
      <c r="Z1656" s="5"/>
      <c r="AA1656" s="5" t="s">
        <v>62</v>
      </c>
      <c r="AC1656">
        <f t="shared" si="226"/>
        <v>22</v>
      </c>
      <c r="AD1656" t="str">
        <f t="shared" si="227"/>
        <v/>
      </c>
      <c r="AE1656">
        <f t="shared" si="228"/>
        <v>1</v>
      </c>
      <c r="AF1656" t="str">
        <f t="shared" si="229"/>
        <v/>
      </c>
      <c r="AG1656" t="str">
        <f t="shared" si="230"/>
        <v/>
      </c>
      <c r="AH1656">
        <f t="shared" si="231"/>
        <v>3</v>
      </c>
      <c r="AI1656" t="str">
        <f t="shared" si="232"/>
        <v/>
      </c>
      <c r="AJ1656" t="str">
        <f t="shared" si="233"/>
        <v/>
      </c>
    </row>
    <row r="1657" spans="1:36">
      <c r="A1657" s="5">
        <v>1954</v>
      </c>
      <c r="B1657" s="5" t="s">
        <v>1158</v>
      </c>
      <c r="C1657" s="10" t="s">
        <v>1122</v>
      </c>
      <c r="D1657" s="5" t="s">
        <v>1145</v>
      </c>
      <c r="E1657" s="5" t="s">
        <v>1146</v>
      </c>
      <c r="F1657" s="5" t="str">
        <f t="shared" si="225"/>
        <v>IT-Quality Assurance</v>
      </c>
      <c r="G1657" s="5" t="s">
        <v>147</v>
      </c>
      <c r="H1657" s="9">
        <v>44818.042395833334</v>
      </c>
      <c r="I1657" s="9">
        <v>44820.042395833334</v>
      </c>
      <c r="J1657" s="9" t="e">
        <f>I1657+#REF!</f>
        <v>#REF!</v>
      </c>
      <c r="K1657" s="9" t="e">
        <f>J1657+#REF!</f>
        <v>#REF!</v>
      </c>
      <c r="L1657" s="10" t="s">
        <v>41</v>
      </c>
      <c r="M1657" s="11">
        <v>44838.042395833334</v>
      </c>
      <c r="N1657" s="5" t="s">
        <v>48</v>
      </c>
      <c r="O1657" s="5"/>
      <c r="P1657" s="9">
        <v>44844.042395833334</v>
      </c>
      <c r="Q1657" s="5" t="s">
        <v>48</v>
      </c>
      <c r="R1657" s="5"/>
      <c r="S1657" s="5"/>
      <c r="T1657" s="9">
        <v>44841.042395833334</v>
      </c>
      <c r="U1657" s="5"/>
      <c r="V1657" s="5">
        <v>0</v>
      </c>
      <c r="W1657" s="5"/>
      <c r="X1657" s="5"/>
      <c r="Y1657" s="5"/>
      <c r="Z1657" s="5"/>
      <c r="AA1657" s="5"/>
      <c r="AC1657">
        <f t="shared" si="226"/>
        <v>18</v>
      </c>
      <c r="AD1657" t="str">
        <f t="shared" si="227"/>
        <v/>
      </c>
      <c r="AE1657">
        <f t="shared" si="228"/>
        <v>3</v>
      </c>
      <c r="AF1657" t="str">
        <f t="shared" si="229"/>
        <v/>
      </c>
      <c r="AG1657" t="str">
        <f t="shared" si="230"/>
        <v/>
      </c>
      <c r="AH1657">
        <f t="shared" si="231"/>
        <v>2</v>
      </c>
      <c r="AI1657" t="str">
        <f t="shared" si="232"/>
        <v/>
      </c>
      <c r="AJ1657" t="str">
        <f t="shared" si="233"/>
        <v/>
      </c>
    </row>
    <row r="1658" spans="1:36">
      <c r="A1658" s="5">
        <v>1955</v>
      </c>
      <c r="B1658" s="5" t="s">
        <v>2120</v>
      </c>
      <c r="C1658" s="10" t="s">
        <v>2089</v>
      </c>
      <c r="D1658" s="5" t="s">
        <v>2114</v>
      </c>
      <c r="E1658" s="5" t="s">
        <v>388</v>
      </c>
      <c r="F1658" s="5" t="str">
        <f t="shared" si="225"/>
        <v>Communication and Advocacy-Extension Officer</v>
      </c>
      <c r="G1658" s="5" t="s">
        <v>147</v>
      </c>
      <c r="H1658" s="9">
        <v>44820.042395833334</v>
      </c>
      <c r="I1658" s="9">
        <v>44822.042395833334</v>
      </c>
      <c r="J1658" s="9" t="e">
        <f>I1658+#REF!</f>
        <v>#REF!</v>
      </c>
      <c r="K1658" s="9" t="e">
        <f>J1658+#REF!</f>
        <v>#REF!</v>
      </c>
      <c r="L1658" s="10" t="s">
        <v>52</v>
      </c>
      <c r="M1658" s="11"/>
      <c r="N1658" s="5"/>
      <c r="O1658" s="5"/>
      <c r="P1658" s="9"/>
      <c r="Q1658" s="5"/>
      <c r="R1658" s="5"/>
      <c r="S1658" s="5"/>
      <c r="T1658" s="9"/>
      <c r="U1658" s="5"/>
      <c r="V1658" s="5">
        <v>0</v>
      </c>
      <c r="W1658" s="5"/>
      <c r="X1658" s="5"/>
      <c r="Y1658" s="5"/>
      <c r="Z1658" s="5"/>
      <c r="AA1658" s="5"/>
      <c r="AC1658" t="str">
        <f t="shared" si="226"/>
        <v/>
      </c>
      <c r="AD1658" t="str">
        <f t="shared" si="227"/>
        <v/>
      </c>
      <c r="AE1658" t="str">
        <f t="shared" si="228"/>
        <v/>
      </c>
      <c r="AF1658" t="str">
        <f t="shared" si="229"/>
        <v/>
      </c>
      <c r="AG1658" t="str">
        <f t="shared" si="230"/>
        <v/>
      </c>
      <c r="AH1658">
        <f t="shared" si="231"/>
        <v>2</v>
      </c>
      <c r="AI1658" t="str">
        <f t="shared" si="232"/>
        <v/>
      </c>
      <c r="AJ1658" t="str">
        <f t="shared" si="233"/>
        <v/>
      </c>
    </row>
    <row r="1659" spans="1:36">
      <c r="A1659" s="5">
        <v>1957</v>
      </c>
      <c r="B1659" s="5" t="s">
        <v>1133</v>
      </c>
      <c r="C1659" s="10" t="s">
        <v>1122</v>
      </c>
      <c r="D1659" s="5" t="s">
        <v>1123</v>
      </c>
      <c r="E1659" s="5" t="s">
        <v>102</v>
      </c>
      <c r="F1659" s="5" t="str">
        <f t="shared" si="225"/>
        <v>IT-Senior Manager</v>
      </c>
      <c r="G1659" s="5" t="s">
        <v>103</v>
      </c>
      <c r="H1659" s="9">
        <v>44817.042395833334</v>
      </c>
      <c r="I1659" s="9">
        <v>44820.042395833334</v>
      </c>
      <c r="J1659" s="9" t="e">
        <f>I1659+#REF!</f>
        <v>#REF!</v>
      </c>
      <c r="K1659" s="9" t="e">
        <f>J1659+#REF!</f>
        <v>#REF!</v>
      </c>
      <c r="L1659" s="10" t="s">
        <v>41</v>
      </c>
      <c r="M1659" s="11">
        <v>44839.042395833334</v>
      </c>
      <c r="N1659" s="5" t="s">
        <v>42</v>
      </c>
      <c r="O1659" s="5" t="s">
        <v>98</v>
      </c>
      <c r="P1659" s="9"/>
      <c r="Q1659" s="5"/>
      <c r="R1659" s="5"/>
      <c r="S1659" s="5"/>
      <c r="T1659" s="9"/>
      <c r="U1659" s="5"/>
      <c r="V1659" s="5">
        <v>0</v>
      </c>
      <c r="W1659" s="5"/>
      <c r="X1659" s="5"/>
      <c r="Y1659" s="5"/>
      <c r="Z1659" s="5"/>
      <c r="AA1659" s="5" t="s">
        <v>44</v>
      </c>
      <c r="AC1659">
        <f t="shared" si="226"/>
        <v>19</v>
      </c>
      <c r="AD1659" t="str">
        <f t="shared" si="227"/>
        <v/>
      </c>
      <c r="AE1659" t="str">
        <f t="shared" si="228"/>
        <v/>
      </c>
      <c r="AF1659" t="str">
        <f t="shared" si="229"/>
        <v/>
      </c>
      <c r="AG1659" t="str">
        <f t="shared" si="230"/>
        <v/>
      </c>
      <c r="AH1659">
        <f t="shared" si="231"/>
        <v>3</v>
      </c>
      <c r="AI1659" t="str">
        <f t="shared" si="232"/>
        <v/>
      </c>
      <c r="AJ1659" t="str">
        <f t="shared" si="233"/>
        <v/>
      </c>
    </row>
    <row r="1660" spans="1:36">
      <c r="A1660" s="5">
        <v>1958</v>
      </c>
      <c r="B1660" s="5" t="s">
        <v>1132</v>
      </c>
      <c r="C1660" s="10" t="s">
        <v>1122</v>
      </c>
      <c r="D1660" s="5" t="s">
        <v>1123</v>
      </c>
      <c r="E1660" s="5" t="s">
        <v>102</v>
      </c>
      <c r="F1660" s="5" t="str">
        <f t="shared" si="225"/>
        <v>IT-Senior Manager</v>
      </c>
      <c r="G1660" s="5" t="s">
        <v>103</v>
      </c>
      <c r="H1660" s="9">
        <v>44821.042395833334</v>
      </c>
      <c r="I1660" s="9">
        <v>44824.042395833334</v>
      </c>
      <c r="J1660" s="9" t="e">
        <f>I1660+#REF!</f>
        <v>#REF!</v>
      </c>
      <c r="K1660" s="9" t="e">
        <f>J1660+#REF!</f>
        <v>#REF!</v>
      </c>
      <c r="L1660" s="10" t="s">
        <v>41</v>
      </c>
      <c r="M1660" s="11">
        <v>44838.042395833334</v>
      </c>
      <c r="N1660" s="5" t="s">
        <v>42</v>
      </c>
      <c r="O1660" s="5" t="s">
        <v>98</v>
      </c>
      <c r="P1660" s="9"/>
      <c r="Q1660" s="5"/>
      <c r="R1660" s="5"/>
      <c r="S1660" s="5"/>
      <c r="T1660" s="9"/>
      <c r="U1660" s="5"/>
      <c r="V1660" s="5">
        <v>0</v>
      </c>
      <c r="W1660" s="5"/>
      <c r="X1660" s="5"/>
      <c r="Y1660" s="5"/>
      <c r="Z1660" s="5"/>
      <c r="AA1660" s="5" t="s">
        <v>62</v>
      </c>
      <c r="AC1660">
        <f t="shared" si="226"/>
        <v>14</v>
      </c>
      <c r="AD1660" t="str">
        <f t="shared" si="227"/>
        <v/>
      </c>
      <c r="AE1660" t="str">
        <f t="shared" si="228"/>
        <v/>
      </c>
      <c r="AF1660" t="str">
        <f t="shared" si="229"/>
        <v/>
      </c>
      <c r="AG1660" t="str">
        <f t="shared" si="230"/>
        <v/>
      </c>
      <c r="AH1660">
        <f t="shared" si="231"/>
        <v>3</v>
      </c>
      <c r="AI1660" t="str">
        <f t="shared" si="232"/>
        <v/>
      </c>
      <c r="AJ1660" t="str">
        <f t="shared" si="233"/>
        <v/>
      </c>
    </row>
    <row r="1661" spans="1:36">
      <c r="A1661" s="5">
        <v>1959</v>
      </c>
      <c r="B1661" s="5" t="s">
        <v>1298</v>
      </c>
      <c r="C1661" s="10" t="s">
        <v>1215</v>
      </c>
      <c r="D1661" s="5" t="s">
        <v>1287</v>
      </c>
      <c r="E1661" s="5" t="s">
        <v>1146</v>
      </c>
      <c r="F1661" s="5" t="str">
        <f t="shared" si="225"/>
        <v>HR-Quality Assurance</v>
      </c>
      <c r="G1661" s="5" t="s">
        <v>47</v>
      </c>
      <c r="H1661" s="9">
        <v>44815.042395833334</v>
      </c>
      <c r="I1661" s="9">
        <v>44819.042395833334</v>
      </c>
      <c r="J1661" s="9" t="e">
        <f>I1661+#REF!</f>
        <v>#REF!</v>
      </c>
      <c r="K1661" s="9" t="e">
        <f>J1661+#REF!</f>
        <v>#REF!</v>
      </c>
      <c r="L1661" s="10" t="s">
        <v>41</v>
      </c>
      <c r="M1661" s="11">
        <v>44842.042395833334</v>
      </c>
      <c r="N1661" s="5" t="s">
        <v>167</v>
      </c>
      <c r="O1661" s="5"/>
      <c r="P1661" s="9">
        <v>44847.042395833334</v>
      </c>
      <c r="Q1661" s="5" t="s">
        <v>167</v>
      </c>
      <c r="R1661" s="5"/>
      <c r="S1661" s="5"/>
      <c r="T1661" s="9">
        <v>44846.042395833334</v>
      </c>
      <c r="U1661" s="5"/>
      <c r="V1661" s="5">
        <v>0</v>
      </c>
      <c r="W1661" s="5"/>
      <c r="X1661" s="5"/>
      <c r="Y1661" s="5"/>
      <c r="Z1661" s="5"/>
      <c r="AA1661" s="5"/>
      <c r="AC1661">
        <f t="shared" si="226"/>
        <v>23</v>
      </c>
      <c r="AD1661" t="str">
        <f t="shared" si="227"/>
        <v/>
      </c>
      <c r="AE1661">
        <f t="shared" si="228"/>
        <v>4</v>
      </c>
      <c r="AF1661" t="str">
        <f t="shared" si="229"/>
        <v/>
      </c>
      <c r="AG1661" t="str">
        <f t="shared" si="230"/>
        <v/>
      </c>
      <c r="AH1661">
        <f t="shared" si="231"/>
        <v>4</v>
      </c>
      <c r="AI1661" t="str">
        <f t="shared" si="232"/>
        <v/>
      </c>
      <c r="AJ1661" t="str">
        <f t="shared" si="233"/>
        <v/>
      </c>
    </row>
    <row r="1662" spans="1:36">
      <c r="A1662" s="5">
        <v>1960</v>
      </c>
      <c r="B1662" s="5" t="s">
        <v>1196</v>
      </c>
      <c r="C1662" s="10" t="s">
        <v>1122</v>
      </c>
      <c r="D1662" s="5" t="s">
        <v>1191</v>
      </c>
      <c r="E1662" s="5" t="s">
        <v>269</v>
      </c>
      <c r="F1662" s="5" t="str">
        <f t="shared" si="225"/>
        <v>IT-Manager</v>
      </c>
      <c r="G1662" s="5" t="s">
        <v>270</v>
      </c>
      <c r="H1662" s="9">
        <v>44819.042395833334</v>
      </c>
      <c r="I1662" s="9">
        <v>44820.042395833334</v>
      </c>
      <c r="J1662" s="9" t="e">
        <f>I1662+#REF!</f>
        <v>#REF!</v>
      </c>
      <c r="K1662" s="9" t="e">
        <f>J1662+#REF!</f>
        <v>#REF!</v>
      </c>
      <c r="L1662" s="10" t="s">
        <v>41</v>
      </c>
      <c r="M1662" s="11">
        <v>44837.042395833334</v>
      </c>
      <c r="N1662" s="5" t="s">
        <v>48</v>
      </c>
      <c r="O1662" s="5"/>
      <c r="P1662" s="9">
        <v>44840.042395833334</v>
      </c>
      <c r="Q1662" s="5" t="s">
        <v>48</v>
      </c>
      <c r="R1662" s="5"/>
      <c r="S1662" s="5"/>
      <c r="T1662" s="9">
        <v>44838.042395833334</v>
      </c>
      <c r="U1662" s="5"/>
      <c r="V1662" s="5">
        <v>0</v>
      </c>
      <c r="W1662" s="5"/>
      <c r="X1662" s="5"/>
      <c r="Y1662" s="5"/>
      <c r="Z1662" s="5"/>
      <c r="AA1662" s="5"/>
      <c r="AC1662">
        <f t="shared" si="226"/>
        <v>17</v>
      </c>
      <c r="AD1662" t="str">
        <f t="shared" si="227"/>
        <v/>
      </c>
      <c r="AE1662">
        <f t="shared" si="228"/>
        <v>1</v>
      </c>
      <c r="AF1662" t="str">
        <f t="shared" si="229"/>
        <v/>
      </c>
      <c r="AG1662" t="str">
        <f t="shared" si="230"/>
        <v/>
      </c>
      <c r="AH1662">
        <f t="shared" si="231"/>
        <v>1</v>
      </c>
      <c r="AI1662" t="str">
        <f t="shared" si="232"/>
        <v/>
      </c>
      <c r="AJ1662" t="str">
        <f t="shared" si="233"/>
        <v/>
      </c>
    </row>
    <row r="1663" spans="1:36">
      <c r="A1663" s="5">
        <v>1961</v>
      </c>
      <c r="B1663" s="5" t="s">
        <v>611</v>
      </c>
      <c r="C1663" s="5" t="s">
        <v>100</v>
      </c>
      <c r="D1663" s="5" t="s">
        <v>554</v>
      </c>
      <c r="E1663" s="5" t="s">
        <v>597</v>
      </c>
      <c r="F1663" s="5" t="str">
        <f t="shared" si="225"/>
        <v>Program Office-Business Partner</v>
      </c>
      <c r="G1663" s="5" t="s">
        <v>47</v>
      </c>
      <c r="H1663" s="9">
        <v>44897.432847222219</v>
      </c>
      <c r="I1663" s="9">
        <v>44900.432847222219</v>
      </c>
      <c r="J1663" s="9" t="e">
        <f>I1663+#REF!</f>
        <v>#REF!</v>
      </c>
      <c r="K1663" s="9" t="e">
        <f>J1663+#REF!</f>
        <v>#REF!</v>
      </c>
      <c r="L1663" s="10" t="s">
        <v>41</v>
      </c>
      <c r="M1663" s="11">
        <v>44918.432847222219</v>
      </c>
      <c r="N1663" s="5" t="s">
        <v>64</v>
      </c>
      <c r="O1663" s="5"/>
      <c r="P1663" s="9">
        <v>44924.432847222219</v>
      </c>
      <c r="Q1663" s="5" t="s">
        <v>64</v>
      </c>
      <c r="R1663" s="9">
        <v>44920.432847222219</v>
      </c>
      <c r="S1663" s="9">
        <v>44924.432847222219</v>
      </c>
      <c r="T1663" s="9">
        <v>44921.432847222219</v>
      </c>
      <c r="U1663" s="9">
        <v>44927.432847222219</v>
      </c>
      <c r="V1663" s="12">
        <v>1</v>
      </c>
      <c r="W1663" s="9">
        <v>44928.432847222219</v>
      </c>
      <c r="X1663" s="9">
        <v>44931.432847222219</v>
      </c>
      <c r="Y1663" s="9">
        <v>44934.432847222219</v>
      </c>
      <c r="Z1663" s="5"/>
      <c r="AA1663" s="5"/>
      <c r="AB1663" s="13">
        <v>44943.432847222219</v>
      </c>
      <c r="AC1663">
        <f t="shared" si="226"/>
        <v>18</v>
      </c>
      <c r="AD1663">
        <f t="shared" si="227"/>
        <v>24</v>
      </c>
      <c r="AE1663">
        <f t="shared" si="228"/>
        <v>3</v>
      </c>
      <c r="AF1663">
        <f t="shared" si="229"/>
        <v>4</v>
      </c>
      <c r="AG1663">
        <f t="shared" si="230"/>
        <v>1</v>
      </c>
      <c r="AH1663">
        <f t="shared" si="231"/>
        <v>3</v>
      </c>
      <c r="AI1663" t="str">
        <f t="shared" si="232"/>
        <v/>
      </c>
      <c r="AJ1663" t="str">
        <f t="shared" si="233"/>
        <v/>
      </c>
    </row>
    <row r="1664" spans="1:36">
      <c r="A1664" s="5">
        <v>1962</v>
      </c>
      <c r="B1664" s="5" t="s">
        <v>434</v>
      </c>
      <c r="C1664" s="5" t="s">
        <v>100</v>
      </c>
      <c r="D1664" s="5" t="s">
        <v>387</v>
      </c>
      <c r="E1664" s="5" t="s">
        <v>388</v>
      </c>
      <c r="F1664" s="5" t="str">
        <f t="shared" si="225"/>
        <v>Program Office-Extension Officer</v>
      </c>
      <c r="G1664" s="5" t="s">
        <v>40</v>
      </c>
      <c r="H1664" s="9">
        <v>44897.432847222219</v>
      </c>
      <c r="I1664" s="9">
        <v>44900.432847222219</v>
      </c>
      <c r="J1664" s="9" t="e">
        <f>I1664+#REF!</f>
        <v>#REF!</v>
      </c>
      <c r="K1664" s="9" t="e">
        <f>J1664+#REF!</f>
        <v>#REF!</v>
      </c>
      <c r="L1664" s="10" t="s">
        <v>41</v>
      </c>
      <c r="M1664" s="11">
        <v>44904.432847222219</v>
      </c>
      <c r="N1664" s="5" t="s">
        <v>42</v>
      </c>
      <c r="O1664" s="5" t="s">
        <v>113</v>
      </c>
      <c r="P1664" s="9"/>
      <c r="Q1664" s="5"/>
      <c r="R1664" s="5"/>
      <c r="S1664" s="5"/>
      <c r="T1664" s="9">
        <v>44908.432847222219</v>
      </c>
      <c r="U1664" s="5"/>
      <c r="V1664" s="5">
        <v>0</v>
      </c>
      <c r="W1664" s="5"/>
      <c r="X1664" s="5"/>
      <c r="Y1664" s="5"/>
      <c r="Z1664" s="5"/>
      <c r="AA1664" s="5" t="s">
        <v>62</v>
      </c>
      <c r="AC1664">
        <f t="shared" si="226"/>
        <v>4</v>
      </c>
      <c r="AD1664" t="str">
        <f t="shared" si="227"/>
        <v/>
      </c>
      <c r="AE1664">
        <f t="shared" si="228"/>
        <v>4</v>
      </c>
      <c r="AF1664" t="str">
        <f t="shared" si="229"/>
        <v/>
      </c>
      <c r="AG1664" t="str">
        <f t="shared" si="230"/>
        <v/>
      </c>
      <c r="AH1664">
        <f t="shared" si="231"/>
        <v>3</v>
      </c>
      <c r="AI1664" t="str">
        <f t="shared" si="232"/>
        <v/>
      </c>
      <c r="AJ1664" t="str">
        <f t="shared" si="233"/>
        <v/>
      </c>
    </row>
    <row r="1665" spans="1:36">
      <c r="A1665" s="5">
        <v>1963</v>
      </c>
      <c r="B1665" s="5" t="s">
        <v>433</v>
      </c>
      <c r="C1665" s="5" t="s">
        <v>100</v>
      </c>
      <c r="D1665" s="5" t="s">
        <v>387</v>
      </c>
      <c r="E1665" s="5" t="s">
        <v>388</v>
      </c>
      <c r="F1665" s="5" t="str">
        <f t="shared" si="225"/>
        <v>Program Office-Extension Officer</v>
      </c>
      <c r="G1665" s="5" t="s">
        <v>40</v>
      </c>
      <c r="H1665" s="9">
        <v>44897.432847222219</v>
      </c>
      <c r="I1665" s="9">
        <v>44899.432847222219</v>
      </c>
      <c r="J1665" s="9" t="e">
        <f>I1665+#REF!</f>
        <v>#REF!</v>
      </c>
      <c r="K1665" s="9" t="e">
        <f>J1665+#REF!</f>
        <v>#REF!</v>
      </c>
      <c r="L1665" s="10" t="s">
        <v>41</v>
      </c>
      <c r="M1665" s="11">
        <v>44912.432847222219</v>
      </c>
      <c r="N1665" s="5" t="s">
        <v>42</v>
      </c>
      <c r="O1665" s="5" t="s">
        <v>43</v>
      </c>
      <c r="P1665" s="9"/>
      <c r="Q1665" s="5"/>
      <c r="R1665" s="5"/>
      <c r="S1665" s="5"/>
      <c r="T1665" s="9">
        <v>44913.432847222219</v>
      </c>
      <c r="U1665" s="5"/>
      <c r="V1665" s="5">
        <v>0</v>
      </c>
      <c r="W1665" s="5"/>
      <c r="X1665" s="5"/>
      <c r="Y1665" s="5"/>
      <c r="Z1665" s="5"/>
      <c r="AA1665" s="5" t="s">
        <v>44</v>
      </c>
      <c r="AC1665">
        <f t="shared" si="226"/>
        <v>13</v>
      </c>
      <c r="AD1665" t="str">
        <f t="shared" si="227"/>
        <v/>
      </c>
      <c r="AE1665">
        <f t="shared" si="228"/>
        <v>1</v>
      </c>
      <c r="AF1665" t="str">
        <f t="shared" si="229"/>
        <v/>
      </c>
      <c r="AG1665" t="str">
        <f t="shared" si="230"/>
        <v/>
      </c>
      <c r="AH1665">
        <f t="shared" si="231"/>
        <v>2</v>
      </c>
      <c r="AI1665" t="str">
        <f t="shared" si="232"/>
        <v/>
      </c>
      <c r="AJ1665" t="str">
        <f t="shared" si="233"/>
        <v/>
      </c>
    </row>
    <row r="1666" spans="1:36">
      <c r="A1666" s="5">
        <v>1964</v>
      </c>
      <c r="B1666" s="5" t="s">
        <v>610</v>
      </c>
      <c r="C1666" s="5" t="s">
        <v>100</v>
      </c>
      <c r="D1666" s="5" t="s">
        <v>554</v>
      </c>
      <c r="E1666" s="5" t="s">
        <v>597</v>
      </c>
      <c r="F1666" s="5" t="str">
        <f t="shared" ref="F1666:F1729" si="234">_xlfn.CONCAT(C1666,"-",E1666)</f>
        <v>Program Office-Business Partner</v>
      </c>
      <c r="G1666" s="5" t="s">
        <v>47</v>
      </c>
      <c r="H1666" s="9">
        <v>44897.432847222219</v>
      </c>
      <c r="I1666" s="9">
        <v>44899.432847222219</v>
      </c>
      <c r="J1666" s="9" t="e">
        <f>I1666+#REF!</f>
        <v>#REF!</v>
      </c>
      <c r="K1666" s="9" t="e">
        <f>J1666+#REF!</f>
        <v>#REF!</v>
      </c>
      <c r="L1666" s="10" t="s">
        <v>41</v>
      </c>
      <c r="M1666" s="11">
        <v>44906.432847222219</v>
      </c>
      <c r="N1666" s="5" t="s">
        <v>42</v>
      </c>
      <c r="O1666" s="5" t="s">
        <v>98</v>
      </c>
      <c r="P1666" s="9"/>
      <c r="Q1666" s="5"/>
      <c r="R1666" s="5"/>
      <c r="S1666" s="5"/>
      <c r="T1666" s="9"/>
      <c r="U1666" s="5"/>
      <c r="V1666" s="5">
        <v>0</v>
      </c>
      <c r="W1666" s="5"/>
      <c r="X1666" s="5"/>
      <c r="Y1666" s="5"/>
      <c r="Z1666" s="5"/>
      <c r="AA1666" s="5" t="s">
        <v>44</v>
      </c>
      <c r="AC1666">
        <f t="shared" ref="AC1666:AC1729" si="235">IF(AND(ISNUMBER(M1666), ISNUMBER(I1666)), M1666 - I1666, "")</f>
        <v>7</v>
      </c>
      <c r="AD1666" t="str">
        <f t="shared" si="227"/>
        <v/>
      </c>
      <c r="AE1666" t="str">
        <f t="shared" si="228"/>
        <v/>
      </c>
      <c r="AF1666" t="str">
        <f t="shared" si="229"/>
        <v/>
      </c>
      <c r="AG1666" t="str">
        <f t="shared" si="230"/>
        <v/>
      </c>
      <c r="AH1666">
        <f t="shared" si="231"/>
        <v>2</v>
      </c>
      <c r="AI1666" t="str">
        <f t="shared" si="232"/>
        <v/>
      </c>
      <c r="AJ1666" t="str">
        <f t="shared" si="233"/>
        <v/>
      </c>
    </row>
    <row r="1667" spans="1:36">
      <c r="A1667" s="5">
        <v>1965</v>
      </c>
      <c r="B1667" s="5" t="s">
        <v>432</v>
      </c>
      <c r="C1667" s="5" t="s">
        <v>100</v>
      </c>
      <c r="D1667" s="5" t="s">
        <v>387</v>
      </c>
      <c r="E1667" s="5" t="s">
        <v>388</v>
      </c>
      <c r="F1667" s="5" t="str">
        <f t="shared" si="234"/>
        <v>Program Office-Extension Officer</v>
      </c>
      <c r="G1667" s="5" t="s">
        <v>40</v>
      </c>
      <c r="H1667" s="9">
        <v>44897.432847222219</v>
      </c>
      <c r="I1667" s="9">
        <v>44898.432847222219</v>
      </c>
      <c r="J1667" s="9" t="e">
        <f>I1667+#REF!</f>
        <v>#REF!</v>
      </c>
      <c r="K1667" s="9" t="e">
        <f>J1667+#REF!</f>
        <v>#REF!</v>
      </c>
      <c r="L1667" s="10" t="s">
        <v>41</v>
      </c>
      <c r="M1667" s="11">
        <v>44914.432847222219</v>
      </c>
      <c r="N1667" s="5" t="s">
        <v>64</v>
      </c>
      <c r="O1667" s="5"/>
      <c r="P1667" s="9">
        <v>44921.432847222219</v>
      </c>
      <c r="Q1667" s="5" t="s">
        <v>64</v>
      </c>
      <c r="R1667" s="9">
        <v>44916.432847222219</v>
      </c>
      <c r="S1667" s="9">
        <v>44918.432847222219</v>
      </c>
      <c r="T1667" s="9">
        <v>44917.432847222219</v>
      </c>
      <c r="U1667" s="9">
        <v>44918.432847222219</v>
      </c>
      <c r="V1667" s="12">
        <v>1</v>
      </c>
      <c r="W1667" s="9">
        <v>44922.432847222219</v>
      </c>
      <c r="X1667" s="9">
        <v>44925.432847222219</v>
      </c>
      <c r="Y1667" s="9">
        <v>44927.432847222219</v>
      </c>
      <c r="Z1667" s="5"/>
      <c r="AA1667" s="5"/>
      <c r="AB1667" s="13">
        <v>44947.432847222219</v>
      </c>
      <c r="AC1667">
        <f t="shared" si="235"/>
        <v>16</v>
      </c>
      <c r="AD1667">
        <f t="shared" ref="AD1667:AD1730" si="236">IF(AND(ISNUMBER(S1667), ISNUMBER(I1667)), S1667 - I1667, "")</f>
        <v>20</v>
      </c>
      <c r="AE1667">
        <f t="shared" ref="AE1667:AE1730" si="237">IF(AND(ISNUMBER(T1667), ISNUMBER(M1667)), T1667-M1667, "")</f>
        <v>3</v>
      </c>
      <c r="AF1667">
        <f t="shared" ref="AF1667:AF1730" si="238">IF(AND(ISNUMBER(X1667), ISNUMBER(U1667)), X1667-U1667,"")</f>
        <v>7</v>
      </c>
      <c r="AG1667">
        <f t="shared" ref="AG1667:AG1730" si="239">IF(AND(ISNUMBER(W1667), ISNUMBER(U1667)), W1667-U1667, "")</f>
        <v>4</v>
      </c>
      <c r="AH1667">
        <f t="shared" ref="AH1667:AH1730" si="240">IF(AND(ISNUMBER(I1667), ISNUMBER(H1667)), I1667-H1667,"")</f>
        <v>1</v>
      </c>
      <c r="AI1667" t="str">
        <f t="shared" ref="AI1667:AI1730" si="241">IF(AND(ISNUMBER(J1667),ISNUMBER(K1667)),K1667-J1667,"")</f>
        <v/>
      </c>
      <c r="AJ1667" t="str">
        <f t="shared" ref="AJ1667:AJ1730" si="242">IF(AND(ISNUMBER(J1667),ISNUMBER(I1667)), J1667-I1667,"")</f>
        <v/>
      </c>
    </row>
    <row r="1668" spans="1:36">
      <c r="A1668" s="5">
        <v>1968</v>
      </c>
      <c r="B1668" s="5" t="s">
        <v>196</v>
      </c>
      <c r="C1668" s="5" t="s">
        <v>100</v>
      </c>
      <c r="D1668" s="5" t="s">
        <v>146</v>
      </c>
      <c r="E1668" s="5" t="s">
        <v>39</v>
      </c>
      <c r="F1668" s="5" t="str">
        <f t="shared" si="234"/>
        <v>Program Office-Analyst</v>
      </c>
      <c r="G1668" s="5" t="s">
        <v>147</v>
      </c>
      <c r="H1668" s="9">
        <v>44896.432847222219</v>
      </c>
      <c r="I1668" s="9">
        <v>44900.432847222219</v>
      </c>
      <c r="J1668" s="9" t="e">
        <f>I1668+#REF!</f>
        <v>#REF!</v>
      </c>
      <c r="K1668" s="9" t="e">
        <f>J1668+#REF!</f>
        <v>#REF!</v>
      </c>
      <c r="L1668" s="10" t="s">
        <v>41</v>
      </c>
      <c r="M1668" s="11">
        <v>44912.432847222219</v>
      </c>
      <c r="N1668" s="5" t="s">
        <v>42</v>
      </c>
      <c r="O1668" s="5" t="s">
        <v>98</v>
      </c>
      <c r="P1668" s="9"/>
      <c r="Q1668" s="5"/>
      <c r="R1668" s="5"/>
      <c r="S1668" s="5"/>
      <c r="T1668" s="9"/>
      <c r="U1668" s="5"/>
      <c r="V1668" s="5">
        <v>0</v>
      </c>
      <c r="W1668" s="5"/>
      <c r="X1668" s="5"/>
      <c r="Y1668" s="5"/>
      <c r="Z1668" s="5"/>
      <c r="AA1668" s="5" t="s">
        <v>62</v>
      </c>
      <c r="AC1668">
        <f t="shared" si="235"/>
        <v>12</v>
      </c>
      <c r="AD1668" t="str">
        <f t="shared" si="236"/>
        <v/>
      </c>
      <c r="AE1668" t="str">
        <f t="shared" si="237"/>
        <v/>
      </c>
      <c r="AF1668" t="str">
        <f t="shared" si="238"/>
        <v/>
      </c>
      <c r="AG1668" t="str">
        <f t="shared" si="239"/>
        <v/>
      </c>
      <c r="AH1668">
        <f t="shared" si="240"/>
        <v>4</v>
      </c>
      <c r="AI1668" t="str">
        <f t="shared" si="241"/>
        <v/>
      </c>
      <c r="AJ1668" t="str">
        <f t="shared" si="242"/>
        <v/>
      </c>
    </row>
    <row r="1669" spans="1:36">
      <c r="A1669" s="5">
        <v>1969</v>
      </c>
      <c r="B1669" s="5" t="s">
        <v>609</v>
      </c>
      <c r="C1669" s="5" t="s">
        <v>100</v>
      </c>
      <c r="D1669" s="5" t="s">
        <v>554</v>
      </c>
      <c r="E1669" s="5" t="s">
        <v>597</v>
      </c>
      <c r="F1669" s="5" t="str">
        <f t="shared" si="234"/>
        <v>Program Office-Business Partner</v>
      </c>
      <c r="G1669" s="5" t="s">
        <v>47</v>
      </c>
      <c r="H1669" s="9">
        <v>44900.432847222219</v>
      </c>
      <c r="I1669" s="9">
        <v>44901.432847222219</v>
      </c>
      <c r="J1669" s="9" t="e">
        <f>I1669+#REF!</f>
        <v>#REF!</v>
      </c>
      <c r="K1669" s="9" t="e">
        <f>J1669+#REF!</f>
        <v>#REF!</v>
      </c>
      <c r="L1669" s="10" t="s">
        <v>41</v>
      </c>
      <c r="M1669" s="11">
        <v>44904.432847222219</v>
      </c>
      <c r="N1669" s="5" t="s">
        <v>42</v>
      </c>
      <c r="O1669" s="5" t="s">
        <v>73</v>
      </c>
      <c r="P1669" s="9"/>
      <c r="Q1669" s="5"/>
      <c r="R1669" s="5"/>
      <c r="S1669" s="5"/>
      <c r="T1669" s="9">
        <v>44908.432847222219</v>
      </c>
      <c r="U1669" s="5"/>
      <c r="V1669" s="5">
        <v>0</v>
      </c>
      <c r="W1669" s="5"/>
      <c r="X1669" s="5"/>
      <c r="Y1669" s="5"/>
      <c r="Z1669" s="5"/>
      <c r="AA1669" s="5" t="s">
        <v>62</v>
      </c>
      <c r="AC1669">
        <f t="shared" si="235"/>
        <v>3</v>
      </c>
      <c r="AD1669" t="str">
        <f t="shared" si="236"/>
        <v/>
      </c>
      <c r="AE1669">
        <f t="shared" si="237"/>
        <v>4</v>
      </c>
      <c r="AF1669" t="str">
        <f t="shared" si="238"/>
        <v/>
      </c>
      <c r="AG1669" t="str">
        <f t="shared" si="239"/>
        <v/>
      </c>
      <c r="AH1669">
        <f t="shared" si="240"/>
        <v>1</v>
      </c>
      <c r="AI1669" t="str">
        <f t="shared" si="241"/>
        <v/>
      </c>
      <c r="AJ1669" t="str">
        <f t="shared" si="242"/>
        <v/>
      </c>
    </row>
    <row r="1670" spans="1:36">
      <c r="A1670" s="5">
        <v>1970</v>
      </c>
      <c r="B1670" s="5" t="s">
        <v>195</v>
      </c>
      <c r="C1670" s="5" t="s">
        <v>100</v>
      </c>
      <c r="D1670" s="5" t="s">
        <v>146</v>
      </c>
      <c r="E1670" s="5" t="s">
        <v>39</v>
      </c>
      <c r="F1670" s="5" t="str">
        <f t="shared" si="234"/>
        <v>Program Office-Analyst</v>
      </c>
      <c r="G1670" s="5" t="s">
        <v>147</v>
      </c>
      <c r="H1670" s="9">
        <v>44895.432847222219</v>
      </c>
      <c r="I1670" s="9">
        <v>44898.432847222219</v>
      </c>
      <c r="J1670" s="9" t="e">
        <f>I1670+#REF!</f>
        <v>#REF!</v>
      </c>
      <c r="K1670" s="9" t="e">
        <f>J1670+#REF!</f>
        <v>#REF!</v>
      </c>
      <c r="L1670" s="10" t="s">
        <v>41</v>
      </c>
      <c r="M1670" s="11">
        <v>44906.432847222219</v>
      </c>
      <c r="N1670" s="5" t="s">
        <v>48</v>
      </c>
      <c r="O1670" s="5"/>
      <c r="P1670" s="9">
        <v>44912.432847222219</v>
      </c>
      <c r="Q1670" s="5" t="s">
        <v>48</v>
      </c>
      <c r="R1670" s="5"/>
      <c r="S1670" s="5"/>
      <c r="T1670" s="9">
        <v>44910.432847222219</v>
      </c>
      <c r="U1670" s="5"/>
      <c r="V1670" s="5">
        <v>0</v>
      </c>
      <c r="W1670" s="5"/>
      <c r="X1670" s="5"/>
      <c r="Y1670" s="5"/>
      <c r="Z1670" s="5"/>
      <c r="AA1670" s="5"/>
      <c r="AC1670">
        <f t="shared" si="235"/>
        <v>8</v>
      </c>
      <c r="AD1670" t="str">
        <f t="shared" si="236"/>
        <v/>
      </c>
      <c r="AE1670">
        <f t="shared" si="237"/>
        <v>4</v>
      </c>
      <c r="AF1670" t="str">
        <f t="shared" si="238"/>
        <v/>
      </c>
      <c r="AG1670" t="str">
        <f t="shared" si="239"/>
        <v/>
      </c>
      <c r="AH1670">
        <f t="shared" si="240"/>
        <v>3</v>
      </c>
      <c r="AI1670" t="str">
        <f t="shared" si="241"/>
        <v/>
      </c>
      <c r="AJ1670" t="str">
        <f t="shared" si="242"/>
        <v/>
      </c>
    </row>
    <row r="1671" spans="1:36">
      <c r="A1671" s="5">
        <v>1971</v>
      </c>
      <c r="B1671" s="5" t="s">
        <v>311</v>
      </c>
      <c r="C1671" s="5" t="s">
        <v>100</v>
      </c>
      <c r="D1671" s="5" t="s">
        <v>268</v>
      </c>
      <c r="E1671" s="5" t="s">
        <v>291</v>
      </c>
      <c r="F1671" s="5" t="str">
        <f t="shared" si="234"/>
        <v>Program Office-Cordination Manager</v>
      </c>
      <c r="G1671" s="5" t="s">
        <v>270</v>
      </c>
      <c r="H1671" s="9">
        <v>44856.498391203706</v>
      </c>
      <c r="I1671" s="9">
        <v>44857.498391203706</v>
      </c>
      <c r="J1671" s="9" t="e">
        <f>I1671+#REF!</f>
        <v>#REF!</v>
      </c>
      <c r="K1671" s="9" t="e">
        <f>J1671+#REF!</f>
        <v>#REF!</v>
      </c>
      <c r="L1671" s="10" t="s">
        <v>41</v>
      </c>
      <c r="M1671" s="11">
        <v>44871.498391203706</v>
      </c>
      <c r="N1671" s="5" t="s">
        <v>42</v>
      </c>
      <c r="O1671" s="5" t="s">
        <v>73</v>
      </c>
      <c r="P1671" s="9"/>
      <c r="Q1671" s="5"/>
      <c r="R1671" s="5"/>
      <c r="S1671" s="5"/>
      <c r="T1671" s="9"/>
      <c r="U1671" s="5"/>
      <c r="V1671" s="5">
        <v>0</v>
      </c>
      <c r="W1671" s="5"/>
      <c r="X1671" s="5"/>
      <c r="Y1671" s="5"/>
      <c r="Z1671" s="5"/>
      <c r="AA1671" s="5" t="s">
        <v>62</v>
      </c>
      <c r="AC1671">
        <f t="shared" si="235"/>
        <v>14</v>
      </c>
      <c r="AD1671" t="str">
        <f t="shared" si="236"/>
        <v/>
      </c>
      <c r="AE1671" t="str">
        <f t="shared" si="237"/>
        <v/>
      </c>
      <c r="AF1671" t="str">
        <f t="shared" si="238"/>
        <v/>
      </c>
      <c r="AG1671" t="str">
        <f t="shared" si="239"/>
        <v/>
      </c>
      <c r="AH1671">
        <f t="shared" si="240"/>
        <v>1</v>
      </c>
      <c r="AI1671" t="str">
        <f t="shared" si="241"/>
        <v/>
      </c>
      <c r="AJ1671" t="str">
        <f t="shared" si="242"/>
        <v/>
      </c>
    </row>
    <row r="1672" spans="1:36">
      <c r="A1672" s="5">
        <v>1972</v>
      </c>
      <c r="B1672" s="5" t="s">
        <v>608</v>
      </c>
      <c r="C1672" s="5" t="s">
        <v>100</v>
      </c>
      <c r="D1672" s="5" t="s">
        <v>554</v>
      </c>
      <c r="E1672" s="5" t="s">
        <v>597</v>
      </c>
      <c r="F1672" s="5" t="str">
        <f t="shared" si="234"/>
        <v>Program Office-Business Partner</v>
      </c>
      <c r="G1672" s="5" t="s">
        <v>47</v>
      </c>
      <c r="H1672" s="9">
        <v>44852.498391203706</v>
      </c>
      <c r="I1672" s="9">
        <v>44856.498391203706</v>
      </c>
      <c r="J1672" s="9" t="e">
        <f>I1672+#REF!</f>
        <v>#REF!</v>
      </c>
      <c r="K1672" s="9" t="e">
        <f>J1672+#REF!</f>
        <v>#REF!</v>
      </c>
      <c r="L1672" s="10" t="s">
        <v>41</v>
      </c>
      <c r="M1672" s="11">
        <v>44873.498391203706</v>
      </c>
      <c r="N1672" s="5" t="s">
        <v>42</v>
      </c>
      <c r="O1672" s="5" t="s">
        <v>58</v>
      </c>
      <c r="P1672" s="9"/>
      <c r="Q1672" s="5"/>
      <c r="R1672" s="5"/>
      <c r="S1672" s="5"/>
      <c r="T1672" s="9"/>
      <c r="U1672" s="5"/>
      <c r="V1672" s="5">
        <v>0</v>
      </c>
      <c r="W1672" s="5"/>
      <c r="X1672" s="5"/>
      <c r="Y1672" s="5"/>
      <c r="Z1672" s="5"/>
      <c r="AA1672" s="5" t="s">
        <v>62</v>
      </c>
      <c r="AC1672">
        <f t="shared" si="235"/>
        <v>17</v>
      </c>
      <c r="AD1672" t="str">
        <f t="shared" si="236"/>
        <v/>
      </c>
      <c r="AE1672" t="str">
        <f t="shared" si="237"/>
        <v/>
      </c>
      <c r="AF1672" t="str">
        <f t="shared" si="238"/>
        <v/>
      </c>
      <c r="AG1672" t="str">
        <f t="shared" si="239"/>
        <v/>
      </c>
      <c r="AH1672">
        <f t="shared" si="240"/>
        <v>4</v>
      </c>
      <c r="AI1672" t="str">
        <f t="shared" si="241"/>
        <v/>
      </c>
      <c r="AJ1672" t="str">
        <f t="shared" si="242"/>
        <v/>
      </c>
    </row>
    <row r="1673" spans="1:36">
      <c r="A1673" s="5">
        <v>1974</v>
      </c>
      <c r="B1673" s="5" t="s">
        <v>431</v>
      </c>
      <c r="C1673" s="5" t="s">
        <v>100</v>
      </c>
      <c r="D1673" s="5" t="s">
        <v>387</v>
      </c>
      <c r="E1673" s="5" t="s">
        <v>388</v>
      </c>
      <c r="F1673" s="5" t="str">
        <f t="shared" si="234"/>
        <v>Program Office-Extension Officer</v>
      </c>
      <c r="G1673" s="5" t="s">
        <v>40</v>
      </c>
      <c r="H1673" s="9">
        <v>44854.498391203706</v>
      </c>
      <c r="I1673" s="9">
        <v>44855.498391203706</v>
      </c>
      <c r="J1673" s="9" t="e">
        <f>I1673+#REF!</f>
        <v>#REF!</v>
      </c>
      <c r="K1673" s="9" t="e">
        <f>J1673+#REF!</f>
        <v>#REF!</v>
      </c>
      <c r="L1673" s="10" t="s">
        <v>41</v>
      </c>
      <c r="M1673" s="11">
        <v>44876.498391203706</v>
      </c>
      <c r="N1673" s="5" t="s">
        <v>42</v>
      </c>
      <c r="O1673" s="5" t="s">
        <v>73</v>
      </c>
      <c r="P1673" s="9"/>
      <c r="Q1673" s="5"/>
      <c r="R1673" s="5"/>
      <c r="S1673" s="5"/>
      <c r="T1673" s="9">
        <v>44878.498391203706</v>
      </c>
      <c r="U1673" s="5"/>
      <c r="V1673" s="5">
        <v>0</v>
      </c>
      <c r="W1673" s="5"/>
      <c r="X1673" s="5"/>
      <c r="Y1673" s="5"/>
      <c r="Z1673" s="5"/>
      <c r="AA1673" s="5" t="s">
        <v>44</v>
      </c>
      <c r="AC1673">
        <f t="shared" si="235"/>
        <v>21</v>
      </c>
      <c r="AD1673" t="str">
        <f t="shared" si="236"/>
        <v/>
      </c>
      <c r="AE1673">
        <f t="shared" si="237"/>
        <v>2</v>
      </c>
      <c r="AF1673" t="str">
        <f t="shared" si="238"/>
        <v/>
      </c>
      <c r="AG1673" t="str">
        <f t="shared" si="239"/>
        <v/>
      </c>
      <c r="AH1673">
        <f t="shared" si="240"/>
        <v>1</v>
      </c>
      <c r="AI1673" t="str">
        <f t="shared" si="241"/>
        <v/>
      </c>
      <c r="AJ1673" t="str">
        <f t="shared" si="242"/>
        <v/>
      </c>
    </row>
    <row r="1674" spans="1:36">
      <c r="A1674" s="5">
        <v>1975</v>
      </c>
      <c r="B1674" s="5" t="s">
        <v>194</v>
      </c>
      <c r="C1674" s="5" t="s">
        <v>100</v>
      </c>
      <c r="D1674" s="5" t="s">
        <v>146</v>
      </c>
      <c r="E1674" s="5" t="s">
        <v>39</v>
      </c>
      <c r="F1674" s="5" t="str">
        <f t="shared" si="234"/>
        <v>Program Office-Analyst</v>
      </c>
      <c r="G1674" s="5" t="s">
        <v>147</v>
      </c>
      <c r="H1674" s="9">
        <v>44851.498391203706</v>
      </c>
      <c r="I1674" s="9">
        <v>44854.498391203706</v>
      </c>
      <c r="J1674" s="9" t="e">
        <f>I1674+#REF!</f>
        <v>#REF!</v>
      </c>
      <c r="K1674" s="9" t="e">
        <f>J1674+#REF!</f>
        <v>#REF!</v>
      </c>
      <c r="L1674" s="10" t="s">
        <v>41</v>
      </c>
      <c r="M1674" s="11">
        <v>44866.498391203706</v>
      </c>
      <c r="N1674" s="5" t="s">
        <v>167</v>
      </c>
      <c r="O1674" s="5"/>
      <c r="P1674" s="9">
        <v>44871.498391203706</v>
      </c>
      <c r="Q1674" s="5" t="s">
        <v>167</v>
      </c>
      <c r="R1674" s="5"/>
      <c r="S1674" s="5"/>
      <c r="T1674" s="9">
        <v>44869.498391203706</v>
      </c>
      <c r="U1674" s="5"/>
      <c r="V1674" s="5">
        <v>0</v>
      </c>
      <c r="W1674" s="5"/>
      <c r="X1674" s="5"/>
      <c r="Y1674" s="5"/>
      <c r="Z1674" s="5"/>
      <c r="AA1674" s="5"/>
      <c r="AC1674">
        <f t="shared" si="235"/>
        <v>12</v>
      </c>
      <c r="AD1674" t="str">
        <f t="shared" si="236"/>
        <v/>
      </c>
      <c r="AE1674">
        <f t="shared" si="237"/>
        <v>3</v>
      </c>
      <c r="AF1674" t="str">
        <f t="shared" si="238"/>
        <v/>
      </c>
      <c r="AG1674" t="str">
        <f t="shared" si="239"/>
        <v/>
      </c>
      <c r="AH1674">
        <f t="shared" si="240"/>
        <v>3</v>
      </c>
      <c r="AI1674" t="str">
        <f t="shared" si="241"/>
        <v/>
      </c>
      <c r="AJ1674" t="str">
        <f t="shared" si="242"/>
        <v/>
      </c>
    </row>
    <row r="1675" spans="1:36">
      <c r="A1675" s="5">
        <v>1977</v>
      </c>
      <c r="B1675" s="5" t="s">
        <v>193</v>
      </c>
      <c r="C1675" s="5" t="s">
        <v>100</v>
      </c>
      <c r="D1675" s="5" t="s">
        <v>146</v>
      </c>
      <c r="E1675" s="5" t="s">
        <v>39</v>
      </c>
      <c r="F1675" s="5" t="str">
        <f t="shared" si="234"/>
        <v>Program Office-Analyst</v>
      </c>
      <c r="G1675" s="5" t="s">
        <v>147</v>
      </c>
      <c r="H1675" s="9">
        <v>44854.498391203706</v>
      </c>
      <c r="I1675" s="9">
        <v>44857.498391203706</v>
      </c>
      <c r="J1675" s="9" t="e">
        <f>I1675+#REF!</f>
        <v>#REF!</v>
      </c>
      <c r="K1675" s="9" t="e">
        <f>J1675+#REF!</f>
        <v>#REF!</v>
      </c>
      <c r="L1675" s="10" t="s">
        <v>41</v>
      </c>
      <c r="M1675" s="11">
        <v>44866.498391203706</v>
      </c>
      <c r="N1675" s="5" t="s">
        <v>48</v>
      </c>
      <c r="O1675" s="5"/>
      <c r="P1675" s="9">
        <v>44872.498391203706</v>
      </c>
      <c r="Q1675" s="5" t="s">
        <v>48</v>
      </c>
      <c r="R1675" s="5"/>
      <c r="S1675" s="5"/>
      <c r="T1675" s="9">
        <v>44868.498391203706</v>
      </c>
      <c r="U1675" s="5"/>
      <c r="V1675" s="5">
        <v>0</v>
      </c>
      <c r="W1675" s="5"/>
      <c r="X1675" s="5"/>
      <c r="Y1675" s="5"/>
      <c r="Z1675" s="5"/>
      <c r="AA1675" s="5"/>
      <c r="AC1675">
        <f t="shared" si="235"/>
        <v>9</v>
      </c>
      <c r="AD1675" t="str">
        <f t="shared" si="236"/>
        <v/>
      </c>
      <c r="AE1675">
        <f t="shared" si="237"/>
        <v>2</v>
      </c>
      <c r="AF1675" t="str">
        <f t="shared" si="238"/>
        <v/>
      </c>
      <c r="AG1675" t="str">
        <f t="shared" si="239"/>
        <v/>
      </c>
      <c r="AH1675">
        <f t="shared" si="240"/>
        <v>3</v>
      </c>
      <c r="AI1675" t="str">
        <f t="shared" si="241"/>
        <v/>
      </c>
      <c r="AJ1675" t="str">
        <f t="shared" si="242"/>
        <v/>
      </c>
    </row>
    <row r="1676" spans="1:36">
      <c r="A1676" s="5">
        <v>1980</v>
      </c>
      <c r="B1676" s="5" t="s">
        <v>120</v>
      </c>
      <c r="C1676" s="5" t="s">
        <v>100</v>
      </c>
      <c r="D1676" s="5" t="s">
        <v>101</v>
      </c>
      <c r="E1676" s="5" t="s">
        <v>102</v>
      </c>
      <c r="F1676" s="5" t="str">
        <f t="shared" si="234"/>
        <v>Program Office-Senior Manager</v>
      </c>
      <c r="G1676" s="5" t="s">
        <v>103</v>
      </c>
      <c r="H1676" s="9">
        <v>44857.498391203706</v>
      </c>
      <c r="I1676" s="9">
        <v>44858.498391203706</v>
      </c>
      <c r="J1676" s="9" t="e">
        <f>I1676+#REF!</f>
        <v>#REF!</v>
      </c>
      <c r="K1676" s="9" t="e">
        <f>J1676+#REF!</f>
        <v>#REF!</v>
      </c>
      <c r="L1676" s="10" t="s">
        <v>41</v>
      </c>
      <c r="M1676" s="11">
        <v>44861.498391203706</v>
      </c>
      <c r="N1676" s="5" t="s">
        <v>42</v>
      </c>
      <c r="O1676" s="5" t="s">
        <v>98</v>
      </c>
      <c r="P1676" s="9"/>
      <c r="Q1676" s="5"/>
      <c r="R1676" s="5"/>
      <c r="S1676" s="5"/>
      <c r="T1676" s="9">
        <v>44864.498391203706</v>
      </c>
      <c r="U1676" s="5"/>
      <c r="V1676" s="5">
        <v>0</v>
      </c>
      <c r="W1676" s="5"/>
      <c r="X1676" s="5"/>
      <c r="Y1676" s="5"/>
      <c r="Z1676" s="5"/>
      <c r="AA1676" s="5" t="s">
        <v>44</v>
      </c>
      <c r="AC1676">
        <f t="shared" si="235"/>
        <v>3</v>
      </c>
      <c r="AD1676" t="str">
        <f t="shared" si="236"/>
        <v/>
      </c>
      <c r="AE1676">
        <f t="shared" si="237"/>
        <v>3</v>
      </c>
      <c r="AF1676" t="str">
        <f t="shared" si="238"/>
        <v/>
      </c>
      <c r="AG1676" t="str">
        <f t="shared" si="239"/>
        <v/>
      </c>
      <c r="AH1676">
        <f t="shared" si="240"/>
        <v>1</v>
      </c>
      <c r="AI1676" t="str">
        <f t="shared" si="241"/>
        <v/>
      </c>
      <c r="AJ1676" t="str">
        <f t="shared" si="242"/>
        <v/>
      </c>
    </row>
    <row r="1677" spans="1:36">
      <c r="A1677" s="5">
        <v>1982</v>
      </c>
      <c r="B1677" s="5" t="s">
        <v>192</v>
      </c>
      <c r="C1677" s="5" t="s">
        <v>100</v>
      </c>
      <c r="D1677" s="5" t="s">
        <v>146</v>
      </c>
      <c r="E1677" s="5" t="s">
        <v>39</v>
      </c>
      <c r="F1677" s="5" t="str">
        <f t="shared" si="234"/>
        <v>Program Office-Analyst</v>
      </c>
      <c r="G1677" s="5" t="s">
        <v>147</v>
      </c>
      <c r="H1677" s="9">
        <v>44592.370439814818</v>
      </c>
      <c r="I1677" s="9">
        <v>44595.370439814818</v>
      </c>
      <c r="J1677" s="9" t="e">
        <f>I1677+#REF!</f>
        <v>#REF!</v>
      </c>
      <c r="K1677" s="9" t="e">
        <f>J1677+#REF!</f>
        <v>#REF!</v>
      </c>
      <c r="L1677" s="10" t="s">
        <v>52</v>
      </c>
      <c r="M1677" s="11"/>
      <c r="N1677" s="5"/>
      <c r="O1677" s="5"/>
      <c r="P1677" s="9"/>
      <c r="Q1677" s="5"/>
      <c r="R1677" s="5"/>
      <c r="S1677" s="5"/>
      <c r="T1677" s="9"/>
      <c r="U1677" s="5"/>
      <c r="V1677" s="5">
        <v>0</v>
      </c>
      <c r="W1677" s="5"/>
      <c r="X1677" s="5"/>
      <c r="Y1677" s="5"/>
      <c r="Z1677" s="5"/>
      <c r="AA1677" s="5"/>
      <c r="AC1677" t="str">
        <f t="shared" si="235"/>
        <v/>
      </c>
      <c r="AD1677" t="str">
        <f t="shared" si="236"/>
        <v/>
      </c>
      <c r="AE1677" t="str">
        <f t="shared" si="237"/>
        <v/>
      </c>
      <c r="AF1677" t="str">
        <f t="shared" si="238"/>
        <v/>
      </c>
      <c r="AG1677" t="str">
        <f t="shared" si="239"/>
        <v/>
      </c>
      <c r="AH1677">
        <f t="shared" si="240"/>
        <v>3</v>
      </c>
      <c r="AI1677" t="str">
        <f t="shared" si="241"/>
        <v/>
      </c>
      <c r="AJ1677" t="str">
        <f t="shared" si="242"/>
        <v/>
      </c>
    </row>
    <row r="1678" spans="1:36">
      <c r="A1678" s="5">
        <v>1983</v>
      </c>
      <c r="B1678" s="5" t="s">
        <v>430</v>
      </c>
      <c r="C1678" s="5" t="s">
        <v>100</v>
      </c>
      <c r="D1678" s="5" t="s">
        <v>387</v>
      </c>
      <c r="E1678" s="5" t="s">
        <v>388</v>
      </c>
      <c r="F1678" s="5" t="str">
        <f t="shared" si="234"/>
        <v>Program Office-Extension Officer</v>
      </c>
      <c r="G1678" s="5" t="s">
        <v>40</v>
      </c>
      <c r="H1678" s="9">
        <v>44593.370439814818</v>
      </c>
      <c r="I1678" s="9">
        <v>44597.370439814818</v>
      </c>
      <c r="J1678" s="9" t="e">
        <f>I1678+#REF!</f>
        <v>#REF!</v>
      </c>
      <c r="K1678" s="9" t="e">
        <f>J1678+#REF!</f>
        <v>#REF!</v>
      </c>
      <c r="L1678" s="10" t="s">
        <v>52</v>
      </c>
      <c r="M1678" s="11"/>
      <c r="N1678" s="5"/>
      <c r="O1678" s="5"/>
      <c r="P1678" s="9"/>
      <c r="Q1678" s="5"/>
      <c r="R1678" s="5"/>
      <c r="S1678" s="5"/>
      <c r="T1678" s="9"/>
      <c r="U1678" s="5"/>
      <c r="V1678" s="5">
        <v>0</v>
      </c>
      <c r="W1678" s="5"/>
      <c r="X1678" s="5"/>
      <c r="Y1678" s="5"/>
      <c r="Z1678" s="5"/>
      <c r="AA1678" s="5"/>
      <c r="AC1678" t="str">
        <f t="shared" si="235"/>
        <v/>
      </c>
      <c r="AD1678" t="str">
        <f t="shared" si="236"/>
        <v/>
      </c>
      <c r="AE1678" t="str">
        <f t="shared" si="237"/>
        <v/>
      </c>
      <c r="AF1678" t="str">
        <f t="shared" si="238"/>
        <v/>
      </c>
      <c r="AG1678" t="str">
        <f t="shared" si="239"/>
        <v/>
      </c>
      <c r="AH1678">
        <f t="shared" si="240"/>
        <v>4</v>
      </c>
      <c r="AI1678" t="str">
        <f t="shared" si="241"/>
        <v/>
      </c>
      <c r="AJ1678" t="str">
        <f t="shared" si="242"/>
        <v/>
      </c>
    </row>
    <row r="1679" spans="1:36">
      <c r="A1679" s="5">
        <v>1984</v>
      </c>
      <c r="B1679" s="5" t="s">
        <v>191</v>
      </c>
      <c r="C1679" s="5" t="s">
        <v>100</v>
      </c>
      <c r="D1679" s="5" t="s">
        <v>146</v>
      </c>
      <c r="E1679" s="5" t="s">
        <v>39</v>
      </c>
      <c r="F1679" s="5" t="str">
        <f t="shared" si="234"/>
        <v>Program Office-Analyst</v>
      </c>
      <c r="G1679" s="5" t="s">
        <v>147</v>
      </c>
      <c r="H1679" s="9">
        <v>44594.370439814818</v>
      </c>
      <c r="I1679" s="9">
        <v>44596.370439814818</v>
      </c>
      <c r="J1679" s="9" t="e">
        <f>I1679+#REF!</f>
        <v>#REF!</v>
      </c>
      <c r="K1679" s="9" t="e">
        <f>J1679+#REF!</f>
        <v>#REF!</v>
      </c>
      <c r="L1679" s="10" t="s">
        <v>41</v>
      </c>
      <c r="M1679" s="11">
        <v>44609.370439814818</v>
      </c>
      <c r="N1679" s="5" t="s">
        <v>48</v>
      </c>
      <c r="O1679" s="5"/>
      <c r="P1679" s="9">
        <v>44614.370439814818</v>
      </c>
      <c r="Q1679" s="5" t="s">
        <v>48</v>
      </c>
      <c r="R1679" s="5"/>
      <c r="S1679" s="5"/>
      <c r="T1679" s="9">
        <v>44612.370439814818</v>
      </c>
      <c r="U1679" s="5"/>
      <c r="V1679" s="5">
        <v>0</v>
      </c>
      <c r="W1679" s="5"/>
      <c r="X1679" s="5"/>
      <c r="Y1679" s="5"/>
      <c r="Z1679" s="5"/>
      <c r="AA1679" s="5"/>
      <c r="AC1679">
        <f t="shared" si="235"/>
        <v>13</v>
      </c>
      <c r="AD1679" t="str">
        <f t="shared" si="236"/>
        <v/>
      </c>
      <c r="AE1679">
        <f t="shared" si="237"/>
        <v>3</v>
      </c>
      <c r="AF1679" t="str">
        <f t="shared" si="238"/>
        <v/>
      </c>
      <c r="AG1679" t="str">
        <f t="shared" si="239"/>
        <v/>
      </c>
      <c r="AH1679">
        <f t="shared" si="240"/>
        <v>2</v>
      </c>
      <c r="AI1679" t="str">
        <f t="shared" si="241"/>
        <v/>
      </c>
      <c r="AJ1679" t="str">
        <f t="shared" si="242"/>
        <v/>
      </c>
    </row>
    <row r="1680" spans="1:36">
      <c r="A1680" s="5">
        <v>1985</v>
      </c>
      <c r="B1680" s="5" t="s">
        <v>607</v>
      </c>
      <c r="C1680" s="5" t="s">
        <v>100</v>
      </c>
      <c r="D1680" s="5" t="s">
        <v>554</v>
      </c>
      <c r="E1680" s="5" t="s">
        <v>597</v>
      </c>
      <c r="F1680" s="5" t="str">
        <f t="shared" si="234"/>
        <v>Program Office-Business Partner</v>
      </c>
      <c r="G1680" s="5" t="s">
        <v>47</v>
      </c>
      <c r="H1680" s="9">
        <v>44595.370439814818</v>
      </c>
      <c r="I1680" s="9">
        <v>44599.370439814818</v>
      </c>
      <c r="J1680" s="9" t="e">
        <f>I1680+#REF!</f>
        <v>#REF!</v>
      </c>
      <c r="K1680" s="9" t="e">
        <f>J1680+#REF!</f>
        <v>#REF!</v>
      </c>
      <c r="L1680" s="10" t="s">
        <v>41</v>
      </c>
      <c r="M1680" s="11">
        <v>44618.370439814818</v>
      </c>
      <c r="N1680" s="5" t="s">
        <v>167</v>
      </c>
      <c r="O1680" s="5"/>
      <c r="P1680" s="9">
        <v>44626.370439814818</v>
      </c>
      <c r="Q1680" s="5" t="s">
        <v>167</v>
      </c>
      <c r="R1680" s="5"/>
      <c r="S1680" s="5"/>
      <c r="T1680" s="9">
        <v>44622.370439814818</v>
      </c>
      <c r="U1680" s="5"/>
      <c r="V1680" s="5">
        <v>0</v>
      </c>
      <c r="W1680" s="5"/>
      <c r="X1680" s="5"/>
      <c r="Y1680" s="5"/>
      <c r="Z1680" s="5"/>
      <c r="AA1680" s="5"/>
      <c r="AC1680">
        <f t="shared" si="235"/>
        <v>19</v>
      </c>
      <c r="AD1680" t="str">
        <f t="shared" si="236"/>
        <v/>
      </c>
      <c r="AE1680">
        <f t="shared" si="237"/>
        <v>4</v>
      </c>
      <c r="AF1680" t="str">
        <f t="shared" si="238"/>
        <v/>
      </c>
      <c r="AG1680" t="str">
        <f t="shared" si="239"/>
        <v/>
      </c>
      <c r="AH1680">
        <f t="shared" si="240"/>
        <v>4</v>
      </c>
      <c r="AI1680" t="str">
        <f t="shared" si="241"/>
        <v/>
      </c>
      <c r="AJ1680" t="str">
        <f t="shared" si="242"/>
        <v/>
      </c>
    </row>
    <row r="1681" spans="1:36">
      <c r="A1681" s="5">
        <v>1986</v>
      </c>
      <c r="B1681" s="5" t="s">
        <v>190</v>
      </c>
      <c r="C1681" s="5" t="s">
        <v>100</v>
      </c>
      <c r="D1681" s="5" t="s">
        <v>146</v>
      </c>
      <c r="E1681" s="5" t="s">
        <v>39</v>
      </c>
      <c r="F1681" s="5" t="str">
        <f t="shared" si="234"/>
        <v>Program Office-Analyst</v>
      </c>
      <c r="G1681" s="5" t="s">
        <v>147</v>
      </c>
      <c r="H1681" s="9">
        <v>44595.370439814818</v>
      </c>
      <c r="I1681" s="9">
        <v>44597.370439814818</v>
      </c>
      <c r="J1681" s="9" t="e">
        <f>I1681+#REF!</f>
        <v>#REF!</v>
      </c>
      <c r="K1681" s="9" t="e">
        <f>J1681+#REF!</f>
        <v>#REF!</v>
      </c>
      <c r="L1681" s="10" t="s">
        <v>41</v>
      </c>
      <c r="M1681" s="11">
        <v>44614.370439814818</v>
      </c>
      <c r="N1681" s="5" t="s">
        <v>48</v>
      </c>
      <c r="O1681" s="5"/>
      <c r="P1681" s="9">
        <v>44621.370439814818</v>
      </c>
      <c r="Q1681" s="5" t="s">
        <v>48</v>
      </c>
      <c r="R1681" s="5"/>
      <c r="S1681" s="5"/>
      <c r="T1681" s="9">
        <v>44617.370439814818</v>
      </c>
      <c r="U1681" s="5"/>
      <c r="V1681" s="5">
        <v>0</v>
      </c>
      <c r="W1681" s="5"/>
      <c r="X1681" s="5"/>
      <c r="Y1681" s="5"/>
      <c r="Z1681" s="5"/>
      <c r="AA1681" s="5"/>
      <c r="AC1681">
        <f t="shared" si="235"/>
        <v>17</v>
      </c>
      <c r="AD1681" t="str">
        <f t="shared" si="236"/>
        <v/>
      </c>
      <c r="AE1681">
        <f t="shared" si="237"/>
        <v>3</v>
      </c>
      <c r="AF1681" t="str">
        <f t="shared" si="238"/>
        <v/>
      </c>
      <c r="AG1681" t="str">
        <f t="shared" si="239"/>
        <v/>
      </c>
      <c r="AH1681">
        <f t="shared" si="240"/>
        <v>2</v>
      </c>
      <c r="AI1681" t="str">
        <f t="shared" si="241"/>
        <v/>
      </c>
      <c r="AJ1681" t="str">
        <f t="shared" si="242"/>
        <v/>
      </c>
    </row>
    <row r="1682" spans="1:36">
      <c r="A1682" s="5">
        <v>1988</v>
      </c>
      <c r="B1682" s="5" t="s">
        <v>189</v>
      </c>
      <c r="C1682" s="5" t="s">
        <v>100</v>
      </c>
      <c r="D1682" s="5" t="s">
        <v>146</v>
      </c>
      <c r="E1682" s="5" t="s">
        <v>39</v>
      </c>
      <c r="F1682" s="5" t="str">
        <f t="shared" si="234"/>
        <v>Program Office-Analyst</v>
      </c>
      <c r="G1682" s="5" t="s">
        <v>147</v>
      </c>
      <c r="H1682" s="9">
        <v>44594.370439814818</v>
      </c>
      <c r="I1682" s="9">
        <v>44595.370439814818</v>
      </c>
      <c r="J1682" s="9" t="e">
        <f>I1682+#REF!</f>
        <v>#REF!</v>
      </c>
      <c r="K1682" s="9" t="e">
        <f>J1682+#REF!</f>
        <v>#REF!</v>
      </c>
      <c r="L1682" s="10" t="s">
        <v>41</v>
      </c>
      <c r="M1682" s="11">
        <v>44603.370439814818</v>
      </c>
      <c r="N1682" s="5" t="s">
        <v>42</v>
      </c>
      <c r="O1682" s="5" t="s">
        <v>58</v>
      </c>
      <c r="P1682" s="9"/>
      <c r="Q1682" s="5"/>
      <c r="R1682" s="5"/>
      <c r="S1682" s="5"/>
      <c r="T1682" s="9">
        <v>44605.370439814818</v>
      </c>
      <c r="U1682" s="5"/>
      <c r="V1682" s="5">
        <v>0</v>
      </c>
      <c r="W1682" s="5"/>
      <c r="X1682" s="5"/>
      <c r="Y1682" s="5"/>
      <c r="Z1682" s="5"/>
      <c r="AA1682" s="5" t="s">
        <v>44</v>
      </c>
      <c r="AC1682">
        <f t="shared" si="235"/>
        <v>8</v>
      </c>
      <c r="AD1682" t="str">
        <f t="shared" si="236"/>
        <v/>
      </c>
      <c r="AE1682">
        <f t="shared" si="237"/>
        <v>2</v>
      </c>
      <c r="AF1682" t="str">
        <f t="shared" si="238"/>
        <v/>
      </c>
      <c r="AG1682" t="str">
        <f t="shared" si="239"/>
        <v/>
      </c>
      <c r="AH1682">
        <f t="shared" si="240"/>
        <v>1</v>
      </c>
      <c r="AI1682" t="str">
        <f t="shared" si="241"/>
        <v/>
      </c>
      <c r="AJ1682" t="str">
        <f t="shared" si="242"/>
        <v/>
      </c>
    </row>
    <row r="1683" spans="1:36">
      <c r="A1683" s="5">
        <v>1990</v>
      </c>
      <c r="B1683" s="5" t="s">
        <v>310</v>
      </c>
      <c r="C1683" s="5" t="s">
        <v>100</v>
      </c>
      <c r="D1683" s="5" t="s">
        <v>268</v>
      </c>
      <c r="E1683" s="5" t="s">
        <v>291</v>
      </c>
      <c r="F1683" s="5" t="str">
        <f t="shared" si="234"/>
        <v>Program Office-Cordination Manager</v>
      </c>
      <c r="G1683" s="5" t="s">
        <v>270</v>
      </c>
      <c r="H1683" s="9">
        <v>44598.370439814818</v>
      </c>
      <c r="I1683" s="9">
        <v>44600.370439814818</v>
      </c>
      <c r="J1683" s="9" t="e">
        <f>I1683+#REF!</f>
        <v>#REF!</v>
      </c>
      <c r="K1683" s="9" t="e">
        <f>J1683+#REF!</f>
        <v>#REF!</v>
      </c>
      <c r="L1683" s="10" t="s">
        <v>41</v>
      </c>
      <c r="M1683" s="11">
        <v>44613.370439814818</v>
      </c>
      <c r="N1683" s="5" t="s">
        <v>42</v>
      </c>
      <c r="O1683" s="5" t="s">
        <v>73</v>
      </c>
      <c r="P1683" s="9"/>
      <c r="Q1683" s="5"/>
      <c r="R1683" s="5"/>
      <c r="S1683" s="5"/>
      <c r="T1683" s="9">
        <v>44614.370439814818</v>
      </c>
      <c r="U1683" s="5"/>
      <c r="V1683" s="5">
        <v>0</v>
      </c>
      <c r="W1683" s="5"/>
      <c r="X1683" s="5"/>
      <c r="Y1683" s="5"/>
      <c r="Z1683" s="5"/>
      <c r="AA1683" s="5" t="s">
        <v>44</v>
      </c>
      <c r="AC1683">
        <f t="shared" si="235"/>
        <v>13</v>
      </c>
      <c r="AD1683" t="str">
        <f t="shared" si="236"/>
        <v/>
      </c>
      <c r="AE1683">
        <f t="shared" si="237"/>
        <v>1</v>
      </c>
      <c r="AF1683" t="str">
        <f t="shared" si="238"/>
        <v/>
      </c>
      <c r="AG1683" t="str">
        <f t="shared" si="239"/>
        <v/>
      </c>
      <c r="AH1683">
        <f t="shared" si="240"/>
        <v>2</v>
      </c>
      <c r="AI1683" t="str">
        <f t="shared" si="241"/>
        <v/>
      </c>
      <c r="AJ1683" t="str">
        <f t="shared" si="242"/>
        <v/>
      </c>
    </row>
    <row r="1684" spans="1:36">
      <c r="A1684" s="5">
        <v>1993</v>
      </c>
      <c r="B1684" s="5" t="s">
        <v>1616</v>
      </c>
      <c r="C1684" s="5" t="s">
        <v>1540</v>
      </c>
      <c r="D1684" s="5" t="s">
        <v>1588</v>
      </c>
      <c r="E1684" s="5" t="s">
        <v>1360</v>
      </c>
      <c r="F1684" s="5" t="str">
        <f t="shared" si="234"/>
        <v>Finance-Fund Administrator</v>
      </c>
      <c r="G1684" s="5" t="s">
        <v>147</v>
      </c>
      <c r="H1684" s="9">
        <v>45014.653923611113</v>
      </c>
      <c r="I1684" s="9">
        <v>45016.653923611113</v>
      </c>
      <c r="J1684" s="9" t="e">
        <f>I1684+#REF!</f>
        <v>#REF!</v>
      </c>
      <c r="K1684" s="9" t="e">
        <f>J1684+#REF!</f>
        <v>#REF!</v>
      </c>
      <c r="L1684" s="10" t="s">
        <v>41</v>
      </c>
      <c r="M1684" s="11">
        <v>45030.653923611113</v>
      </c>
      <c r="N1684" s="5" t="s">
        <v>42</v>
      </c>
      <c r="O1684" s="5" t="s">
        <v>43</v>
      </c>
      <c r="P1684" s="9"/>
      <c r="Q1684" s="5"/>
      <c r="R1684" s="5"/>
      <c r="S1684" s="5"/>
      <c r="T1684" s="9">
        <v>45033.653923611113</v>
      </c>
      <c r="U1684" s="5"/>
      <c r="V1684" s="5">
        <v>0</v>
      </c>
      <c r="W1684" s="5"/>
      <c r="X1684" s="5"/>
      <c r="Y1684" s="5"/>
      <c r="Z1684" s="5"/>
      <c r="AA1684" s="5" t="s">
        <v>62</v>
      </c>
      <c r="AC1684">
        <f t="shared" si="235"/>
        <v>14</v>
      </c>
      <c r="AD1684" t="str">
        <f t="shared" si="236"/>
        <v/>
      </c>
      <c r="AE1684">
        <f t="shared" si="237"/>
        <v>3</v>
      </c>
      <c r="AF1684" t="str">
        <f t="shared" si="238"/>
        <v/>
      </c>
      <c r="AG1684" t="str">
        <f t="shared" si="239"/>
        <v/>
      </c>
      <c r="AH1684">
        <f t="shared" si="240"/>
        <v>2</v>
      </c>
      <c r="AI1684" t="str">
        <f t="shared" si="241"/>
        <v/>
      </c>
      <c r="AJ1684" t="str">
        <f t="shared" si="242"/>
        <v/>
      </c>
    </row>
    <row r="1685" spans="1:36">
      <c r="A1685" s="5">
        <v>1994</v>
      </c>
      <c r="B1685" s="5" t="s">
        <v>1859</v>
      </c>
      <c r="C1685" s="5" t="s">
        <v>1540</v>
      </c>
      <c r="D1685" s="5" t="s">
        <v>1820</v>
      </c>
      <c r="E1685" s="5" t="s">
        <v>39</v>
      </c>
      <c r="F1685" s="5" t="str">
        <f t="shared" si="234"/>
        <v>Finance-Analyst</v>
      </c>
      <c r="G1685" s="5" t="s">
        <v>40</v>
      </c>
      <c r="H1685" s="9">
        <v>45016.653923611113</v>
      </c>
      <c r="I1685" s="9">
        <v>45019.653923611113</v>
      </c>
      <c r="J1685" s="9" t="e">
        <f>I1685+#REF!</f>
        <v>#REF!</v>
      </c>
      <c r="K1685" s="9" t="e">
        <f>J1685+#REF!</f>
        <v>#REF!</v>
      </c>
      <c r="L1685" s="10" t="s">
        <v>41</v>
      </c>
      <c r="M1685" s="11">
        <v>45035.653923611113</v>
      </c>
      <c r="N1685" s="5" t="s">
        <v>64</v>
      </c>
      <c r="O1685" s="5"/>
      <c r="P1685" s="9">
        <v>45041.653923611113</v>
      </c>
      <c r="Q1685" s="5" t="s">
        <v>64</v>
      </c>
      <c r="R1685" s="9">
        <v>45037.653923611113</v>
      </c>
      <c r="S1685" s="9">
        <v>45038.653923611113</v>
      </c>
      <c r="T1685" s="9">
        <v>45038.653923611113</v>
      </c>
      <c r="U1685" s="9">
        <v>45040.653923611113</v>
      </c>
      <c r="V1685" s="12">
        <v>1</v>
      </c>
      <c r="W1685" s="9">
        <v>45044.653923611113</v>
      </c>
      <c r="X1685" s="9">
        <v>45046.653923611113</v>
      </c>
      <c r="Y1685" s="9">
        <v>45047.653923611113</v>
      </c>
      <c r="Z1685" s="5"/>
      <c r="AA1685" s="5"/>
      <c r="AB1685" s="13">
        <v>45067.653923611113</v>
      </c>
      <c r="AC1685">
        <f t="shared" si="235"/>
        <v>16</v>
      </c>
      <c r="AD1685">
        <f t="shared" si="236"/>
        <v>19</v>
      </c>
      <c r="AE1685">
        <f t="shared" si="237"/>
        <v>3</v>
      </c>
      <c r="AF1685">
        <f t="shared" si="238"/>
        <v>6</v>
      </c>
      <c r="AG1685">
        <f t="shared" si="239"/>
        <v>4</v>
      </c>
      <c r="AH1685">
        <f t="shared" si="240"/>
        <v>3</v>
      </c>
      <c r="AI1685" t="str">
        <f t="shared" si="241"/>
        <v/>
      </c>
      <c r="AJ1685" t="str">
        <f t="shared" si="242"/>
        <v/>
      </c>
    </row>
    <row r="1686" spans="1:36">
      <c r="A1686" s="5">
        <v>1995</v>
      </c>
      <c r="B1686" s="5" t="s">
        <v>1615</v>
      </c>
      <c r="C1686" s="5" t="s">
        <v>1540</v>
      </c>
      <c r="D1686" s="5" t="s">
        <v>1588</v>
      </c>
      <c r="E1686" s="5" t="s">
        <v>1360</v>
      </c>
      <c r="F1686" s="5" t="str">
        <f t="shared" si="234"/>
        <v>Finance-Fund Administrator</v>
      </c>
      <c r="G1686" s="5" t="s">
        <v>147</v>
      </c>
      <c r="H1686" s="9">
        <v>45018.653923611113</v>
      </c>
      <c r="I1686" s="9">
        <v>45019.653923611113</v>
      </c>
      <c r="J1686" s="9" t="e">
        <f>I1686+#REF!</f>
        <v>#REF!</v>
      </c>
      <c r="K1686" s="9" t="e">
        <f>J1686+#REF!</f>
        <v>#REF!</v>
      </c>
      <c r="L1686" s="10" t="s">
        <v>41</v>
      </c>
      <c r="M1686" s="11">
        <v>45037.653923611113</v>
      </c>
      <c r="N1686" s="5" t="s">
        <v>167</v>
      </c>
      <c r="O1686" s="5"/>
      <c r="P1686" s="9">
        <v>45042.653923611113</v>
      </c>
      <c r="Q1686" s="5" t="s">
        <v>167</v>
      </c>
      <c r="R1686" s="5"/>
      <c r="S1686" s="5"/>
      <c r="T1686" s="9">
        <v>45038.653923611113</v>
      </c>
      <c r="U1686" s="5"/>
      <c r="V1686" s="5">
        <v>0</v>
      </c>
      <c r="W1686" s="5"/>
      <c r="X1686" s="5"/>
      <c r="Y1686" s="5"/>
      <c r="Z1686" s="5"/>
      <c r="AA1686" s="5"/>
      <c r="AC1686">
        <f t="shared" si="235"/>
        <v>18</v>
      </c>
      <c r="AD1686" t="str">
        <f t="shared" si="236"/>
        <v/>
      </c>
      <c r="AE1686">
        <f t="shared" si="237"/>
        <v>1</v>
      </c>
      <c r="AF1686" t="str">
        <f t="shared" si="238"/>
        <v/>
      </c>
      <c r="AG1686" t="str">
        <f t="shared" si="239"/>
        <v/>
      </c>
      <c r="AH1686">
        <f t="shared" si="240"/>
        <v>1</v>
      </c>
      <c r="AI1686" t="str">
        <f t="shared" si="241"/>
        <v/>
      </c>
      <c r="AJ1686" t="str">
        <f t="shared" si="242"/>
        <v/>
      </c>
    </row>
    <row r="1687" spans="1:36">
      <c r="A1687" s="5">
        <v>1996</v>
      </c>
      <c r="B1687" s="5" t="s">
        <v>1735</v>
      </c>
      <c r="C1687" s="5" t="s">
        <v>1540</v>
      </c>
      <c r="D1687" s="5" t="s">
        <v>1706</v>
      </c>
      <c r="E1687" s="5" t="s">
        <v>269</v>
      </c>
      <c r="F1687" s="5" t="str">
        <f t="shared" si="234"/>
        <v>Finance-Manager</v>
      </c>
      <c r="G1687" s="5" t="s">
        <v>270</v>
      </c>
      <c r="H1687" s="9">
        <v>45015.653923611113</v>
      </c>
      <c r="I1687" s="9">
        <v>45018.653923611113</v>
      </c>
      <c r="J1687" s="9" t="e">
        <f>I1687+#REF!</f>
        <v>#REF!</v>
      </c>
      <c r="K1687" s="9" t="e">
        <f>J1687+#REF!</f>
        <v>#REF!</v>
      </c>
      <c r="L1687" s="10" t="s">
        <v>41</v>
      </c>
      <c r="M1687" s="11">
        <v>45026.653923611113</v>
      </c>
      <c r="N1687" s="5" t="s">
        <v>42</v>
      </c>
      <c r="O1687" s="5" t="s">
        <v>73</v>
      </c>
      <c r="P1687" s="9"/>
      <c r="Q1687" s="5"/>
      <c r="R1687" s="5"/>
      <c r="S1687" s="5"/>
      <c r="T1687" s="9">
        <v>45029.653923611113</v>
      </c>
      <c r="U1687" s="5"/>
      <c r="V1687" s="5">
        <v>0</v>
      </c>
      <c r="W1687" s="5"/>
      <c r="X1687" s="5"/>
      <c r="Y1687" s="5"/>
      <c r="Z1687" s="5"/>
      <c r="AA1687" s="5" t="s">
        <v>44</v>
      </c>
      <c r="AC1687">
        <f t="shared" si="235"/>
        <v>8</v>
      </c>
      <c r="AD1687" t="str">
        <f t="shared" si="236"/>
        <v/>
      </c>
      <c r="AE1687">
        <f t="shared" si="237"/>
        <v>3</v>
      </c>
      <c r="AF1687" t="str">
        <f t="shared" si="238"/>
        <v/>
      </c>
      <c r="AG1687" t="str">
        <f t="shared" si="239"/>
        <v/>
      </c>
      <c r="AH1687">
        <f t="shared" si="240"/>
        <v>3</v>
      </c>
      <c r="AI1687" t="str">
        <f t="shared" si="241"/>
        <v/>
      </c>
      <c r="AJ1687" t="str">
        <f t="shared" si="242"/>
        <v/>
      </c>
    </row>
    <row r="1688" spans="1:36">
      <c r="A1688" s="5">
        <v>1997</v>
      </c>
      <c r="B1688" s="5" t="s">
        <v>1614</v>
      </c>
      <c r="C1688" s="5" t="s">
        <v>1540</v>
      </c>
      <c r="D1688" s="5" t="s">
        <v>1588</v>
      </c>
      <c r="E1688" s="5" t="s">
        <v>1360</v>
      </c>
      <c r="F1688" s="5" t="str">
        <f t="shared" si="234"/>
        <v>Finance-Fund Administrator</v>
      </c>
      <c r="G1688" s="5" t="s">
        <v>147</v>
      </c>
      <c r="H1688" s="9">
        <v>45013.653923611113</v>
      </c>
      <c r="I1688" s="9">
        <v>45017.653923611113</v>
      </c>
      <c r="J1688" s="9" t="e">
        <f>I1688+#REF!</f>
        <v>#REF!</v>
      </c>
      <c r="K1688" s="9" t="e">
        <f>J1688+#REF!</f>
        <v>#REF!</v>
      </c>
      <c r="L1688" s="10" t="s">
        <v>52</v>
      </c>
      <c r="M1688" s="11"/>
      <c r="N1688" s="5"/>
      <c r="O1688" s="5"/>
      <c r="P1688" s="9"/>
      <c r="Q1688" s="5"/>
      <c r="R1688" s="5"/>
      <c r="S1688" s="5"/>
      <c r="T1688" s="9"/>
      <c r="U1688" s="5"/>
      <c r="V1688" s="5">
        <v>0</v>
      </c>
      <c r="W1688" s="5"/>
      <c r="X1688" s="5"/>
      <c r="Y1688" s="5"/>
      <c r="Z1688" s="5"/>
      <c r="AA1688" s="5"/>
      <c r="AC1688" t="str">
        <f t="shared" si="235"/>
        <v/>
      </c>
      <c r="AD1688" t="str">
        <f t="shared" si="236"/>
        <v/>
      </c>
      <c r="AE1688" t="str">
        <f t="shared" si="237"/>
        <v/>
      </c>
      <c r="AF1688" t="str">
        <f t="shared" si="238"/>
        <v/>
      </c>
      <c r="AG1688" t="str">
        <f t="shared" si="239"/>
        <v/>
      </c>
      <c r="AH1688">
        <f t="shared" si="240"/>
        <v>4</v>
      </c>
      <c r="AI1688" t="str">
        <f t="shared" si="241"/>
        <v/>
      </c>
      <c r="AJ1688" t="str">
        <f t="shared" si="242"/>
        <v/>
      </c>
    </row>
    <row r="1689" spans="1:36">
      <c r="A1689" s="5">
        <v>1998</v>
      </c>
      <c r="B1689" s="5" t="s">
        <v>1613</v>
      </c>
      <c r="C1689" s="5" t="s">
        <v>1540</v>
      </c>
      <c r="D1689" s="5" t="s">
        <v>1588</v>
      </c>
      <c r="E1689" s="5" t="s">
        <v>1360</v>
      </c>
      <c r="F1689" s="5" t="str">
        <f t="shared" si="234"/>
        <v>Finance-Fund Administrator</v>
      </c>
      <c r="G1689" s="5" t="s">
        <v>147</v>
      </c>
      <c r="H1689" s="9">
        <v>45017.653923611113</v>
      </c>
      <c r="I1689" s="9">
        <v>45019.653923611113</v>
      </c>
      <c r="J1689" s="9" t="e">
        <f>I1689+#REF!</f>
        <v>#REF!</v>
      </c>
      <c r="K1689" s="9" t="e">
        <f>J1689+#REF!</f>
        <v>#REF!</v>
      </c>
      <c r="L1689" s="10" t="s">
        <v>41</v>
      </c>
      <c r="M1689" s="11">
        <v>45023.653923611113</v>
      </c>
      <c r="N1689" s="5" t="s">
        <v>42</v>
      </c>
      <c r="O1689" s="5" t="s">
        <v>73</v>
      </c>
      <c r="P1689" s="9"/>
      <c r="Q1689" s="5"/>
      <c r="R1689" s="5"/>
      <c r="S1689" s="5"/>
      <c r="T1689" s="9"/>
      <c r="U1689" s="5"/>
      <c r="V1689" s="5">
        <v>0</v>
      </c>
      <c r="W1689" s="5"/>
      <c r="X1689" s="5"/>
      <c r="Y1689" s="5"/>
      <c r="Z1689" s="5"/>
      <c r="AA1689" s="5" t="s">
        <v>44</v>
      </c>
      <c r="AC1689">
        <f t="shared" si="235"/>
        <v>4</v>
      </c>
      <c r="AD1689" t="str">
        <f t="shared" si="236"/>
        <v/>
      </c>
      <c r="AE1689" t="str">
        <f t="shared" si="237"/>
        <v/>
      </c>
      <c r="AF1689" t="str">
        <f t="shared" si="238"/>
        <v/>
      </c>
      <c r="AG1689" t="str">
        <f t="shared" si="239"/>
        <v/>
      </c>
      <c r="AH1689">
        <f t="shared" si="240"/>
        <v>2</v>
      </c>
      <c r="AI1689" t="str">
        <f t="shared" si="241"/>
        <v/>
      </c>
      <c r="AJ1689" t="str">
        <f t="shared" si="242"/>
        <v/>
      </c>
    </row>
    <row r="1690" spans="1:36">
      <c r="A1690" s="5">
        <v>2000</v>
      </c>
      <c r="B1690" s="5" t="s">
        <v>1612</v>
      </c>
      <c r="C1690" s="5" t="s">
        <v>1540</v>
      </c>
      <c r="D1690" s="5" t="s">
        <v>1588</v>
      </c>
      <c r="E1690" s="5" t="s">
        <v>1360</v>
      </c>
      <c r="F1690" s="5" t="str">
        <f t="shared" si="234"/>
        <v>Finance-Fund Administrator</v>
      </c>
      <c r="G1690" s="5" t="s">
        <v>147</v>
      </c>
      <c r="H1690" s="9">
        <v>45015.653923611113</v>
      </c>
      <c r="I1690" s="9">
        <v>45018.653923611113</v>
      </c>
      <c r="J1690" s="9" t="e">
        <f>I1690+#REF!</f>
        <v>#REF!</v>
      </c>
      <c r="K1690" s="9" t="e">
        <f>J1690+#REF!</f>
        <v>#REF!</v>
      </c>
      <c r="L1690" s="10" t="s">
        <v>41</v>
      </c>
      <c r="M1690" s="11">
        <v>45028.653923611113</v>
      </c>
      <c r="N1690" s="5" t="s">
        <v>64</v>
      </c>
      <c r="O1690" s="5"/>
      <c r="P1690" s="9">
        <v>45033.653923611113</v>
      </c>
      <c r="Q1690" s="5" t="s">
        <v>64</v>
      </c>
      <c r="R1690" s="9">
        <v>45029.653923611113</v>
      </c>
      <c r="S1690" s="9">
        <v>45031.653923611113</v>
      </c>
      <c r="T1690" s="9">
        <v>45031.653923611113</v>
      </c>
      <c r="U1690" s="9">
        <v>45032.653923611113</v>
      </c>
      <c r="V1690" s="12">
        <v>1</v>
      </c>
      <c r="W1690" s="9">
        <v>45035.653923611113</v>
      </c>
      <c r="X1690" s="9">
        <v>45037.653923611113</v>
      </c>
      <c r="Y1690" s="9">
        <v>45039.653923611113</v>
      </c>
      <c r="Z1690" s="5"/>
      <c r="AA1690" s="5"/>
      <c r="AB1690" s="13">
        <v>45056.653923611113</v>
      </c>
      <c r="AC1690">
        <f t="shared" si="235"/>
        <v>10</v>
      </c>
      <c r="AD1690">
        <f t="shared" si="236"/>
        <v>13</v>
      </c>
      <c r="AE1690">
        <f t="shared" si="237"/>
        <v>3</v>
      </c>
      <c r="AF1690">
        <f t="shared" si="238"/>
        <v>5</v>
      </c>
      <c r="AG1690">
        <f t="shared" si="239"/>
        <v>3</v>
      </c>
      <c r="AH1690">
        <f t="shared" si="240"/>
        <v>3</v>
      </c>
      <c r="AI1690" t="str">
        <f t="shared" si="241"/>
        <v/>
      </c>
      <c r="AJ1690" t="str">
        <f t="shared" si="242"/>
        <v/>
      </c>
    </row>
    <row r="1691" spans="1:36">
      <c r="A1691" s="5">
        <v>2001</v>
      </c>
      <c r="B1691" s="5" t="s">
        <v>606</v>
      </c>
      <c r="C1691" s="5" t="s">
        <v>100</v>
      </c>
      <c r="D1691" s="5" t="s">
        <v>554</v>
      </c>
      <c r="E1691" s="5" t="s">
        <v>597</v>
      </c>
      <c r="F1691" s="5" t="str">
        <f t="shared" si="234"/>
        <v>Program Office-Business Partner</v>
      </c>
      <c r="G1691" s="5" t="s">
        <v>47</v>
      </c>
      <c r="H1691" s="9">
        <v>44749.13113425926</v>
      </c>
      <c r="I1691" s="9">
        <v>44752.13113425926</v>
      </c>
      <c r="J1691" s="9" t="e">
        <f>I1691+#REF!</f>
        <v>#REF!</v>
      </c>
      <c r="K1691" s="9" t="e">
        <f>J1691+#REF!</f>
        <v>#REF!</v>
      </c>
      <c r="L1691" s="10" t="s">
        <v>41</v>
      </c>
      <c r="M1691" s="11">
        <v>44766.13113425926</v>
      </c>
      <c r="N1691" s="5" t="s">
        <v>167</v>
      </c>
      <c r="O1691" s="5"/>
      <c r="P1691" s="9">
        <v>44769.13113425926</v>
      </c>
      <c r="Q1691" s="5" t="s">
        <v>167</v>
      </c>
      <c r="R1691" s="5"/>
      <c r="S1691" s="5"/>
      <c r="T1691" s="9">
        <v>44768.13113425926</v>
      </c>
      <c r="U1691" s="5"/>
      <c r="V1691" s="5">
        <v>0</v>
      </c>
      <c r="W1691" s="5"/>
      <c r="X1691" s="5"/>
      <c r="Y1691" s="5"/>
      <c r="Z1691" s="5"/>
      <c r="AA1691" s="5"/>
      <c r="AC1691">
        <f t="shared" si="235"/>
        <v>14</v>
      </c>
      <c r="AD1691" t="str">
        <f t="shared" si="236"/>
        <v/>
      </c>
      <c r="AE1691">
        <f t="shared" si="237"/>
        <v>2</v>
      </c>
      <c r="AF1691" t="str">
        <f t="shared" si="238"/>
        <v/>
      </c>
      <c r="AG1691" t="str">
        <f t="shared" si="239"/>
        <v/>
      </c>
      <c r="AH1691">
        <f t="shared" si="240"/>
        <v>3</v>
      </c>
      <c r="AI1691" t="str">
        <f t="shared" si="241"/>
        <v/>
      </c>
      <c r="AJ1691" t="str">
        <f t="shared" si="242"/>
        <v/>
      </c>
    </row>
    <row r="1692" spans="1:36">
      <c r="A1692" s="5">
        <v>2002</v>
      </c>
      <c r="B1692" s="5" t="s">
        <v>309</v>
      </c>
      <c r="C1692" s="5" t="s">
        <v>100</v>
      </c>
      <c r="D1692" s="5" t="s">
        <v>268</v>
      </c>
      <c r="E1692" s="5" t="s">
        <v>291</v>
      </c>
      <c r="F1692" s="5" t="str">
        <f t="shared" si="234"/>
        <v>Program Office-Cordination Manager</v>
      </c>
      <c r="G1692" s="5" t="s">
        <v>270</v>
      </c>
      <c r="H1692" s="9">
        <v>44751.13113425926</v>
      </c>
      <c r="I1692" s="9">
        <v>44754.13113425926</v>
      </c>
      <c r="J1692" s="9" t="e">
        <f>I1692+#REF!</f>
        <v>#REF!</v>
      </c>
      <c r="K1692" s="9" t="e">
        <f>J1692+#REF!</f>
        <v>#REF!</v>
      </c>
      <c r="L1692" s="10" t="s">
        <v>41</v>
      </c>
      <c r="M1692" s="11">
        <v>44765.13113425926</v>
      </c>
      <c r="N1692" s="5" t="s">
        <v>42</v>
      </c>
      <c r="O1692" s="5" t="s">
        <v>113</v>
      </c>
      <c r="P1692" s="9"/>
      <c r="Q1692" s="5"/>
      <c r="R1692" s="5"/>
      <c r="S1692" s="5"/>
      <c r="T1692" s="9">
        <v>44769.13113425926</v>
      </c>
      <c r="U1692" s="5"/>
      <c r="V1692" s="5">
        <v>0</v>
      </c>
      <c r="W1692" s="5"/>
      <c r="X1692" s="5"/>
      <c r="Y1692" s="5"/>
      <c r="Z1692" s="5"/>
      <c r="AA1692" s="5" t="s">
        <v>62</v>
      </c>
      <c r="AC1692">
        <f t="shared" si="235"/>
        <v>11</v>
      </c>
      <c r="AD1692" t="str">
        <f t="shared" si="236"/>
        <v/>
      </c>
      <c r="AE1692">
        <f t="shared" si="237"/>
        <v>4</v>
      </c>
      <c r="AF1692" t="str">
        <f t="shared" si="238"/>
        <v/>
      </c>
      <c r="AG1692" t="str">
        <f t="shared" si="239"/>
        <v/>
      </c>
      <c r="AH1692">
        <f t="shared" si="240"/>
        <v>3</v>
      </c>
      <c r="AI1692" t="str">
        <f t="shared" si="241"/>
        <v/>
      </c>
      <c r="AJ1692" t="str">
        <f t="shared" si="242"/>
        <v/>
      </c>
    </row>
    <row r="1693" spans="1:36">
      <c r="A1693" s="5">
        <v>2003</v>
      </c>
      <c r="B1693" s="5" t="s">
        <v>308</v>
      </c>
      <c r="C1693" s="5" t="s">
        <v>100</v>
      </c>
      <c r="D1693" s="5" t="s">
        <v>268</v>
      </c>
      <c r="E1693" s="5" t="s">
        <v>291</v>
      </c>
      <c r="F1693" s="5" t="str">
        <f t="shared" si="234"/>
        <v>Program Office-Cordination Manager</v>
      </c>
      <c r="G1693" s="5" t="s">
        <v>270</v>
      </c>
      <c r="H1693" s="9">
        <v>44750.13113425926</v>
      </c>
      <c r="I1693" s="9">
        <v>44751.13113425926</v>
      </c>
      <c r="J1693" s="9" t="e">
        <f>I1693+#REF!</f>
        <v>#REF!</v>
      </c>
      <c r="K1693" s="9" t="e">
        <f>J1693+#REF!</f>
        <v>#REF!</v>
      </c>
      <c r="L1693" s="10" t="s">
        <v>41</v>
      </c>
      <c r="M1693" s="11">
        <v>44762.13113425926</v>
      </c>
      <c r="N1693" s="5" t="s">
        <v>42</v>
      </c>
      <c r="O1693" s="5" t="s">
        <v>43</v>
      </c>
      <c r="P1693" s="9"/>
      <c r="Q1693" s="5"/>
      <c r="R1693" s="5"/>
      <c r="S1693" s="5"/>
      <c r="T1693" s="9">
        <v>44766.13113425926</v>
      </c>
      <c r="U1693" s="5"/>
      <c r="V1693" s="5">
        <v>0</v>
      </c>
      <c r="W1693" s="5"/>
      <c r="X1693" s="5"/>
      <c r="Y1693" s="5"/>
      <c r="Z1693" s="5"/>
      <c r="AA1693" s="5" t="s">
        <v>44</v>
      </c>
      <c r="AC1693">
        <f t="shared" si="235"/>
        <v>11</v>
      </c>
      <c r="AD1693" t="str">
        <f t="shared" si="236"/>
        <v/>
      </c>
      <c r="AE1693">
        <f t="shared" si="237"/>
        <v>4</v>
      </c>
      <c r="AF1693" t="str">
        <f t="shared" si="238"/>
        <v/>
      </c>
      <c r="AG1693" t="str">
        <f t="shared" si="239"/>
        <v/>
      </c>
      <c r="AH1693">
        <f t="shared" si="240"/>
        <v>1</v>
      </c>
      <c r="AI1693" t="str">
        <f t="shared" si="241"/>
        <v/>
      </c>
      <c r="AJ1693" t="str">
        <f t="shared" si="242"/>
        <v/>
      </c>
    </row>
    <row r="1694" spans="1:36">
      <c r="A1694" s="5">
        <v>2006</v>
      </c>
      <c r="B1694" s="5" t="s">
        <v>605</v>
      </c>
      <c r="C1694" s="5" t="s">
        <v>100</v>
      </c>
      <c r="D1694" s="5" t="s">
        <v>554</v>
      </c>
      <c r="E1694" s="5" t="s">
        <v>597</v>
      </c>
      <c r="F1694" s="5" t="str">
        <f t="shared" si="234"/>
        <v>Program Office-Business Partner</v>
      </c>
      <c r="G1694" s="5" t="s">
        <v>47</v>
      </c>
      <c r="H1694" s="9">
        <v>44747.13113425926</v>
      </c>
      <c r="I1694" s="9">
        <v>44750.13113425926</v>
      </c>
      <c r="J1694" s="9" t="e">
        <f>I1694+#REF!</f>
        <v>#REF!</v>
      </c>
      <c r="K1694" s="9" t="e">
        <f>J1694+#REF!</f>
        <v>#REF!</v>
      </c>
      <c r="L1694" s="10" t="s">
        <v>41</v>
      </c>
      <c r="M1694" s="11">
        <v>44769.13113425926</v>
      </c>
      <c r="N1694" s="5" t="s">
        <v>42</v>
      </c>
      <c r="O1694" s="5" t="s">
        <v>98</v>
      </c>
      <c r="P1694" s="9"/>
      <c r="Q1694" s="5"/>
      <c r="R1694" s="5"/>
      <c r="S1694" s="5"/>
      <c r="T1694" s="9">
        <v>44773.13113425926</v>
      </c>
      <c r="U1694" s="5"/>
      <c r="V1694" s="5">
        <v>0</v>
      </c>
      <c r="W1694" s="5"/>
      <c r="X1694" s="5"/>
      <c r="Y1694" s="5"/>
      <c r="Z1694" s="5"/>
      <c r="AA1694" s="5" t="s">
        <v>44</v>
      </c>
      <c r="AC1694">
        <f t="shared" si="235"/>
        <v>19</v>
      </c>
      <c r="AD1694" t="str">
        <f t="shared" si="236"/>
        <v/>
      </c>
      <c r="AE1694">
        <f t="shared" si="237"/>
        <v>4</v>
      </c>
      <c r="AF1694" t="str">
        <f t="shared" si="238"/>
        <v/>
      </c>
      <c r="AG1694" t="str">
        <f t="shared" si="239"/>
        <v/>
      </c>
      <c r="AH1694">
        <f t="shared" si="240"/>
        <v>3</v>
      </c>
      <c r="AI1694" t="str">
        <f t="shared" si="241"/>
        <v/>
      </c>
      <c r="AJ1694" t="str">
        <f t="shared" si="242"/>
        <v/>
      </c>
    </row>
    <row r="1695" spans="1:36">
      <c r="A1695" s="5">
        <v>2007</v>
      </c>
      <c r="B1695" s="5" t="s">
        <v>307</v>
      </c>
      <c r="C1695" s="5" t="s">
        <v>100</v>
      </c>
      <c r="D1695" s="5" t="s">
        <v>268</v>
      </c>
      <c r="E1695" s="5" t="s">
        <v>291</v>
      </c>
      <c r="F1695" s="5" t="str">
        <f t="shared" si="234"/>
        <v>Program Office-Cordination Manager</v>
      </c>
      <c r="G1695" s="5" t="s">
        <v>270</v>
      </c>
      <c r="H1695" s="9">
        <v>44749.13113425926</v>
      </c>
      <c r="I1695" s="9">
        <v>44750.13113425926</v>
      </c>
      <c r="J1695" s="9" t="e">
        <f>I1695+#REF!</f>
        <v>#REF!</v>
      </c>
      <c r="K1695" s="9" t="e">
        <f>J1695+#REF!</f>
        <v>#REF!</v>
      </c>
      <c r="L1695" s="10" t="s">
        <v>41</v>
      </c>
      <c r="M1695" s="11">
        <v>44764.13113425926</v>
      </c>
      <c r="N1695" s="5" t="s">
        <v>64</v>
      </c>
      <c r="O1695" s="5"/>
      <c r="P1695" s="9">
        <v>44769.13113425926</v>
      </c>
      <c r="Q1695" s="5" t="s">
        <v>64</v>
      </c>
      <c r="R1695" s="9">
        <v>44766.13113425926</v>
      </c>
      <c r="S1695" s="9">
        <v>44768.13113425926</v>
      </c>
      <c r="T1695" s="9">
        <v>44765.13113425926</v>
      </c>
      <c r="U1695" s="9">
        <v>44774.13113425926</v>
      </c>
      <c r="V1695" s="12">
        <v>1</v>
      </c>
      <c r="W1695" s="9">
        <v>44778.13113425926</v>
      </c>
      <c r="X1695" s="9">
        <v>44780.13113425926</v>
      </c>
      <c r="Y1695" s="9">
        <v>44782.13113425926</v>
      </c>
      <c r="Z1695" s="5"/>
      <c r="AA1695" s="5"/>
      <c r="AB1695" s="13">
        <v>44802.13113425926</v>
      </c>
      <c r="AC1695">
        <f t="shared" si="235"/>
        <v>14</v>
      </c>
      <c r="AD1695">
        <f t="shared" si="236"/>
        <v>18</v>
      </c>
      <c r="AE1695">
        <f t="shared" si="237"/>
        <v>1</v>
      </c>
      <c r="AF1695">
        <f t="shared" si="238"/>
        <v>6</v>
      </c>
      <c r="AG1695">
        <f t="shared" si="239"/>
        <v>4</v>
      </c>
      <c r="AH1695">
        <f t="shared" si="240"/>
        <v>1</v>
      </c>
      <c r="AI1695" t="str">
        <f t="shared" si="241"/>
        <v/>
      </c>
      <c r="AJ1695" t="str">
        <f t="shared" si="242"/>
        <v/>
      </c>
    </row>
    <row r="1696" spans="1:36">
      <c r="A1696" s="5">
        <v>2008</v>
      </c>
      <c r="B1696" s="5" t="s">
        <v>604</v>
      </c>
      <c r="C1696" s="5" t="s">
        <v>100</v>
      </c>
      <c r="D1696" s="5" t="s">
        <v>554</v>
      </c>
      <c r="E1696" s="5" t="s">
        <v>597</v>
      </c>
      <c r="F1696" s="5" t="str">
        <f t="shared" si="234"/>
        <v>Program Office-Business Partner</v>
      </c>
      <c r="G1696" s="5" t="s">
        <v>47</v>
      </c>
      <c r="H1696" s="9">
        <v>44748.13113425926</v>
      </c>
      <c r="I1696" s="9">
        <v>44749.13113425926</v>
      </c>
      <c r="J1696" s="9" t="e">
        <f>I1696+#REF!</f>
        <v>#REF!</v>
      </c>
      <c r="K1696" s="9" t="e">
        <f>J1696+#REF!</f>
        <v>#REF!</v>
      </c>
      <c r="L1696" s="10" t="s">
        <v>41</v>
      </c>
      <c r="M1696" s="11">
        <v>44765.13113425926</v>
      </c>
      <c r="N1696" s="5" t="s">
        <v>48</v>
      </c>
      <c r="O1696" s="5"/>
      <c r="P1696" s="9">
        <v>44770.13113425926</v>
      </c>
      <c r="Q1696" s="5" t="s">
        <v>48</v>
      </c>
      <c r="R1696" s="5"/>
      <c r="S1696" s="5"/>
      <c r="T1696" s="9">
        <v>44767.13113425926</v>
      </c>
      <c r="U1696" s="5"/>
      <c r="V1696" s="5">
        <v>0</v>
      </c>
      <c r="W1696" s="5"/>
      <c r="X1696" s="5"/>
      <c r="Y1696" s="5"/>
      <c r="Z1696" s="5"/>
      <c r="AA1696" s="5"/>
      <c r="AC1696">
        <f t="shared" si="235"/>
        <v>16</v>
      </c>
      <c r="AD1696" t="str">
        <f t="shared" si="236"/>
        <v/>
      </c>
      <c r="AE1696">
        <f t="shared" si="237"/>
        <v>2</v>
      </c>
      <c r="AF1696" t="str">
        <f t="shared" si="238"/>
        <v/>
      </c>
      <c r="AG1696" t="str">
        <f t="shared" si="239"/>
        <v/>
      </c>
      <c r="AH1696">
        <f t="shared" si="240"/>
        <v>1</v>
      </c>
      <c r="AI1696" t="str">
        <f t="shared" si="241"/>
        <v/>
      </c>
      <c r="AJ1696" t="str">
        <f t="shared" si="242"/>
        <v/>
      </c>
    </row>
    <row r="1697" spans="1:36">
      <c r="A1697" s="5">
        <v>2009</v>
      </c>
      <c r="B1697" s="5" t="s">
        <v>306</v>
      </c>
      <c r="C1697" s="5" t="s">
        <v>100</v>
      </c>
      <c r="D1697" s="5" t="s">
        <v>268</v>
      </c>
      <c r="E1697" s="5" t="s">
        <v>291</v>
      </c>
      <c r="F1697" s="5" t="str">
        <f t="shared" si="234"/>
        <v>Program Office-Cordination Manager</v>
      </c>
      <c r="G1697" s="5" t="s">
        <v>270</v>
      </c>
      <c r="H1697" s="9">
        <v>44748.13113425926</v>
      </c>
      <c r="I1697" s="9">
        <v>44750.13113425926</v>
      </c>
      <c r="J1697" s="9" t="e">
        <f>I1697+#REF!</f>
        <v>#REF!</v>
      </c>
      <c r="K1697" s="9" t="e">
        <f>J1697+#REF!</f>
        <v>#REF!</v>
      </c>
      <c r="L1697" s="10" t="s">
        <v>41</v>
      </c>
      <c r="M1697" s="11">
        <v>44769.13113425926</v>
      </c>
      <c r="N1697" s="5" t="s">
        <v>48</v>
      </c>
      <c r="O1697" s="5"/>
      <c r="P1697" s="9">
        <v>44775.13113425926</v>
      </c>
      <c r="Q1697" s="5" t="s">
        <v>48</v>
      </c>
      <c r="R1697" s="5"/>
      <c r="S1697" s="5"/>
      <c r="T1697" s="9">
        <v>44772.13113425926</v>
      </c>
      <c r="U1697" s="5"/>
      <c r="V1697" s="5">
        <v>0</v>
      </c>
      <c r="W1697" s="5"/>
      <c r="X1697" s="5"/>
      <c r="Y1697" s="5"/>
      <c r="Z1697" s="5"/>
      <c r="AA1697" s="5"/>
      <c r="AC1697">
        <f t="shared" si="235"/>
        <v>19</v>
      </c>
      <c r="AD1697" t="str">
        <f t="shared" si="236"/>
        <v/>
      </c>
      <c r="AE1697">
        <f t="shared" si="237"/>
        <v>3</v>
      </c>
      <c r="AF1697" t="str">
        <f t="shared" si="238"/>
        <v/>
      </c>
      <c r="AG1697" t="str">
        <f t="shared" si="239"/>
        <v/>
      </c>
      <c r="AH1697">
        <f t="shared" si="240"/>
        <v>2</v>
      </c>
      <c r="AI1697" t="str">
        <f t="shared" si="241"/>
        <v/>
      </c>
      <c r="AJ1697" t="str">
        <f t="shared" si="242"/>
        <v/>
      </c>
    </row>
    <row r="1698" spans="1:36">
      <c r="A1698" s="5">
        <v>2011</v>
      </c>
      <c r="B1698" s="5" t="s">
        <v>847</v>
      </c>
      <c r="C1698" s="5" t="s">
        <v>796</v>
      </c>
      <c r="D1698" s="5" t="s">
        <v>814</v>
      </c>
      <c r="E1698" s="5" t="s">
        <v>597</v>
      </c>
      <c r="F1698" s="5" t="str">
        <f t="shared" si="234"/>
        <v>M and E-Business Partner</v>
      </c>
      <c r="G1698" s="5" t="s">
        <v>147</v>
      </c>
      <c r="H1698" s="9">
        <v>45081.58390046296</v>
      </c>
      <c r="I1698" s="9">
        <v>45085.58390046296</v>
      </c>
      <c r="J1698" s="9" t="e">
        <f>I1698+#REF!</f>
        <v>#REF!</v>
      </c>
      <c r="K1698" s="9" t="e">
        <f>J1698+#REF!</f>
        <v>#REF!</v>
      </c>
      <c r="L1698" s="10" t="s">
        <v>41</v>
      </c>
      <c r="M1698" s="11">
        <v>45102.58390046296</v>
      </c>
      <c r="N1698" s="5" t="s">
        <v>167</v>
      </c>
      <c r="O1698" s="5"/>
      <c r="P1698" s="9">
        <v>45107.58390046296</v>
      </c>
      <c r="Q1698" s="5" t="s">
        <v>167</v>
      </c>
      <c r="R1698" s="5"/>
      <c r="S1698" s="5"/>
      <c r="T1698" s="9">
        <v>45104.58390046296</v>
      </c>
      <c r="U1698" s="5"/>
      <c r="V1698" s="5">
        <v>0</v>
      </c>
      <c r="W1698" s="5"/>
      <c r="X1698" s="5"/>
      <c r="Y1698" s="5"/>
      <c r="Z1698" s="5"/>
      <c r="AA1698" s="5"/>
      <c r="AC1698">
        <f t="shared" si="235"/>
        <v>17</v>
      </c>
      <c r="AD1698" t="str">
        <f t="shared" si="236"/>
        <v/>
      </c>
      <c r="AE1698">
        <f t="shared" si="237"/>
        <v>2</v>
      </c>
      <c r="AF1698" t="str">
        <f t="shared" si="238"/>
        <v/>
      </c>
      <c r="AG1698" t="str">
        <f t="shared" si="239"/>
        <v/>
      </c>
      <c r="AH1698">
        <f t="shared" si="240"/>
        <v>4</v>
      </c>
      <c r="AI1698" t="str">
        <f t="shared" si="241"/>
        <v/>
      </c>
      <c r="AJ1698" t="str">
        <f t="shared" si="242"/>
        <v/>
      </c>
    </row>
    <row r="1699" spans="1:36">
      <c r="A1699" s="5">
        <v>2013</v>
      </c>
      <c r="B1699" s="5" t="s">
        <v>986</v>
      </c>
      <c r="C1699" s="5" t="s">
        <v>796</v>
      </c>
      <c r="D1699" s="5" t="s">
        <v>957</v>
      </c>
      <c r="E1699" s="5" t="s">
        <v>388</v>
      </c>
      <c r="F1699" s="5" t="str">
        <f t="shared" si="234"/>
        <v>M and E-Extension Officer</v>
      </c>
      <c r="G1699" s="5" t="s">
        <v>40</v>
      </c>
      <c r="H1699" s="9">
        <v>45082.58390046296</v>
      </c>
      <c r="I1699" s="9">
        <v>45084.58390046296</v>
      </c>
      <c r="J1699" s="9" t="e">
        <f>I1699+#REF!</f>
        <v>#REF!</v>
      </c>
      <c r="K1699" s="9" t="e">
        <f>J1699+#REF!</f>
        <v>#REF!</v>
      </c>
      <c r="L1699" s="10" t="s">
        <v>41</v>
      </c>
      <c r="M1699" s="11">
        <v>45094.58390046296</v>
      </c>
      <c r="N1699" s="5" t="s">
        <v>48</v>
      </c>
      <c r="O1699" s="5"/>
      <c r="P1699" s="9">
        <v>45099.58390046296</v>
      </c>
      <c r="Q1699" s="5" t="s">
        <v>48</v>
      </c>
      <c r="R1699" s="5"/>
      <c r="S1699" s="5"/>
      <c r="T1699" s="9">
        <v>45097.58390046296</v>
      </c>
      <c r="U1699" s="5"/>
      <c r="V1699" s="5">
        <v>0</v>
      </c>
      <c r="W1699" s="5"/>
      <c r="X1699" s="5"/>
      <c r="Y1699" s="5"/>
      <c r="Z1699" s="5"/>
      <c r="AA1699" s="5"/>
      <c r="AC1699">
        <f t="shared" si="235"/>
        <v>10</v>
      </c>
      <c r="AD1699" t="str">
        <f t="shared" si="236"/>
        <v/>
      </c>
      <c r="AE1699">
        <f t="shared" si="237"/>
        <v>3</v>
      </c>
      <c r="AF1699" t="str">
        <f t="shared" si="238"/>
        <v/>
      </c>
      <c r="AG1699" t="str">
        <f t="shared" si="239"/>
        <v/>
      </c>
      <c r="AH1699">
        <f t="shared" si="240"/>
        <v>2</v>
      </c>
      <c r="AI1699" t="str">
        <f t="shared" si="241"/>
        <v/>
      </c>
      <c r="AJ1699" t="str">
        <f t="shared" si="242"/>
        <v/>
      </c>
    </row>
    <row r="1700" spans="1:36">
      <c r="A1700" s="5">
        <v>2014</v>
      </c>
      <c r="B1700" s="5" t="s">
        <v>846</v>
      </c>
      <c r="C1700" s="5" t="s">
        <v>796</v>
      </c>
      <c r="D1700" s="5" t="s">
        <v>814</v>
      </c>
      <c r="E1700" s="5" t="s">
        <v>597</v>
      </c>
      <c r="F1700" s="5" t="str">
        <f t="shared" si="234"/>
        <v>M and E-Business Partner</v>
      </c>
      <c r="G1700" s="5" t="s">
        <v>147</v>
      </c>
      <c r="H1700" s="9">
        <v>45080.58390046296</v>
      </c>
      <c r="I1700" s="9">
        <v>45081.58390046296</v>
      </c>
      <c r="J1700" s="9" t="e">
        <f>I1700+#REF!</f>
        <v>#REF!</v>
      </c>
      <c r="K1700" s="9" t="e">
        <f>J1700+#REF!</f>
        <v>#REF!</v>
      </c>
      <c r="L1700" s="10" t="s">
        <v>41</v>
      </c>
      <c r="M1700" s="11">
        <v>45100.58390046296</v>
      </c>
      <c r="N1700" s="5" t="s">
        <v>42</v>
      </c>
      <c r="O1700" s="5" t="s">
        <v>43</v>
      </c>
      <c r="P1700" s="9"/>
      <c r="Q1700" s="5"/>
      <c r="R1700" s="5"/>
      <c r="S1700" s="5"/>
      <c r="T1700" s="9"/>
      <c r="U1700" s="5"/>
      <c r="V1700" s="5">
        <v>0</v>
      </c>
      <c r="W1700" s="5"/>
      <c r="X1700" s="5"/>
      <c r="Y1700" s="5"/>
      <c r="Z1700" s="5"/>
      <c r="AA1700" s="5" t="s">
        <v>44</v>
      </c>
      <c r="AC1700">
        <f t="shared" si="235"/>
        <v>19</v>
      </c>
      <c r="AD1700" t="str">
        <f t="shared" si="236"/>
        <v/>
      </c>
      <c r="AE1700" t="str">
        <f t="shared" si="237"/>
        <v/>
      </c>
      <c r="AF1700" t="str">
        <f t="shared" si="238"/>
        <v/>
      </c>
      <c r="AG1700" t="str">
        <f t="shared" si="239"/>
        <v/>
      </c>
      <c r="AH1700">
        <f t="shared" si="240"/>
        <v>1</v>
      </c>
      <c r="AI1700" t="str">
        <f t="shared" si="241"/>
        <v/>
      </c>
      <c r="AJ1700" t="str">
        <f t="shared" si="242"/>
        <v/>
      </c>
    </row>
    <row r="1701" spans="1:36">
      <c r="A1701" s="5">
        <v>2015</v>
      </c>
      <c r="B1701" s="5" t="s">
        <v>1080</v>
      </c>
      <c r="C1701" s="5" t="s">
        <v>796</v>
      </c>
      <c r="D1701" s="5" t="s">
        <v>1046</v>
      </c>
      <c r="E1701" s="5" t="s">
        <v>473</v>
      </c>
      <c r="F1701" s="5" t="str">
        <f t="shared" si="234"/>
        <v>M and E-Officer</v>
      </c>
      <c r="G1701" s="5" t="s">
        <v>47</v>
      </c>
      <c r="H1701" s="9">
        <v>45084.58390046296</v>
      </c>
      <c r="I1701" s="9">
        <v>45085.58390046296</v>
      </c>
      <c r="J1701" s="9" t="e">
        <f>I1701+#REF!</f>
        <v>#REF!</v>
      </c>
      <c r="K1701" s="9" t="e">
        <f>J1701+#REF!</f>
        <v>#REF!</v>
      </c>
      <c r="L1701" s="10" t="s">
        <v>52</v>
      </c>
      <c r="M1701" s="11"/>
      <c r="N1701" s="5"/>
      <c r="O1701" s="5"/>
      <c r="P1701" s="9"/>
      <c r="Q1701" s="5"/>
      <c r="R1701" s="5"/>
      <c r="S1701" s="5"/>
      <c r="T1701" s="9"/>
      <c r="U1701" s="5"/>
      <c r="V1701" s="5">
        <v>0</v>
      </c>
      <c r="W1701" s="5"/>
      <c r="X1701" s="5"/>
      <c r="Y1701" s="5"/>
      <c r="Z1701" s="5"/>
      <c r="AA1701" s="5"/>
      <c r="AC1701" t="str">
        <f t="shared" si="235"/>
        <v/>
      </c>
      <c r="AD1701" t="str">
        <f t="shared" si="236"/>
        <v/>
      </c>
      <c r="AE1701" t="str">
        <f t="shared" si="237"/>
        <v/>
      </c>
      <c r="AF1701" t="str">
        <f t="shared" si="238"/>
        <v/>
      </c>
      <c r="AG1701" t="str">
        <f t="shared" si="239"/>
        <v/>
      </c>
      <c r="AH1701">
        <f t="shared" si="240"/>
        <v>1</v>
      </c>
      <c r="AI1701" t="str">
        <f t="shared" si="241"/>
        <v/>
      </c>
      <c r="AJ1701" t="str">
        <f t="shared" si="242"/>
        <v/>
      </c>
    </row>
    <row r="1702" spans="1:36">
      <c r="A1702" s="5">
        <v>2016</v>
      </c>
      <c r="B1702" s="5" t="s">
        <v>985</v>
      </c>
      <c r="C1702" s="5" t="s">
        <v>796</v>
      </c>
      <c r="D1702" s="5" t="s">
        <v>957</v>
      </c>
      <c r="E1702" s="5" t="s">
        <v>388</v>
      </c>
      <c r="F1702" s="5" t="str">
        <f t="shared" si="234"/>
        <v>M and E-Extension Officer</v>
      </c>
      <c r="G1702" s="5" t="s">
        <v>40</v>
      </c>
      <c r="H1702" s="9">
        <v>45079.58390046296</v>
      </c>
      <c r="I1702" s="9">
        <v>45083.58390046296</v>
      </c>
      <c r="J1702" s="9" t="e">
        <f>I1702+#REF!</f>
        <v>#REF!</v>
      </c>
      <c r="K1702" s="9" t="e">
        <f>J1702+#REF!</f>
        <v>#REF!</v>
      </c>
      <c r="L1702" s="10" t="s">
        <v>41</v>
      </c>
      <c r="M1702" s="11">
        <v>45090.58390046296</v>
      </c>
      <c r="N1702" s="5" t="s">
        <v>42</v>
      </c>
      <c r="O1702" s="5" t="s">
        <v>113</v>
      </c>
      <c r="P1702" s="9"/>
      <c r="Q1702" s="5"/>
      <c r="R1702" s="5"/>
      <c r="S1702" s="5"/>
      <c r="T1702" s="9">
        <v>45094.58390046296</v>
      </c>
      <c r="U1702" s="5"/>
      <c r="V1702" s="5">
        <v>0</v>
      </c>
      <c r="W1702" s="5"/>
      <c r="X1702" s="5"/>
      <c r="Y1702" s="5"/>
      <c r="Z1702" s="5"/>
      <c r="AA1702" s="5" t="s">
        <v>44</v>
      </c>
      <c r="AC1702">
        <f t="shared" si="235"/>
        <v>7</v>
      </c>
      <c r="AD1702" t="str">
        <f t="shared" si="236"/>
        <v/>
      </c>
      <c r="AE1702">
        <f t="shared" si="237"/>
        <v>4</v>
      </c>
      <c r="AF1702" t="str">
        <f t="shared" si="238"/>
        <v/>
      </c>
      <c r="AG1702" t="str">
        <f t="shared" si="239"/>
        <v/>
      </c>
      <c r="AH1702">
        <f t="shared" si="240"/>
        <v>4</v>
      </c>
      <c r="AI1702" t="str">
        <f t="shared" si="241"/>
        <v/>
      </c>
      <c r="AJ1702" t="str">
        <f t="shared" si="242"/>
        <v/>
      </c>
    </row>
    <row r="1703" spans="1:36">
      <c r="A1703" s="5">
        <v>2017</v>
      </c>
      <c r="B1703" s="5" t="s">
        <v>845</v>
      </c>
      <c r="C1703" s="5" t="s">
        <v>796</v>
      </c>
      <c r="D1703" s="5" t="s">
        <v>814</v>
      </c>
      <c r="E1703" s="5" t="s">
        <v>597</v>
      </c>
      <c r="F1703" s="5" t="str">
        <f t="shared" si="234"/>
        <v>M and E-Business Partner</v>
      </c>
      <c r="G1703" s="5" t="s">
        <v>147</v>
      </c>
      <c r="H1703" s="9">
        <v>45080.58390046296</v>
      </c>
      <c r="I1703" s="9">
        <v>45083.58390046296</v>
      </c>
      <c r="J1703" s="9" t="e">
        <f>I1703+#REF!</f>
        <v>#REF!</v>
      </c>
      <c r="K1703" s="9" t="e">
        <f>J1703+#REF!</f>
        <v>#REF!</v>
      </c>
      <c r="L1703" s="10" t="s">
        <v>41</v>
      </c>
      <c r="M1703" s="11">
        <v>45097.58390046296</v>
      </c>
      <c r="N1703" s="5" t="s">
        <v>42</v>
      </c>
      <c r="O1703" s="5" t="s">
        <v>98</v>
      </c>
      <c r="P1703" s="9"/>
      <c r="Q1703" s="5"/>
      <c r="R1703" s="5"/>
      <c r="S1703" s="5"/>
      <c r="T1703" s="9"/>
      <c r="U1703" s="5"/>
      <c r="V1703" s="5">
        <v>0</v>
      </c>
      <c r="W1703" s="5"/>
      <c r="X1703" s="5"/>
      <c r="Y1703" s="5"/>
      <c r="Z1703" s="5"/>
      <c r="AA1703" s="5" t="s">
        <v>44</v>
      </c>
      <c r="AC1703">
        <f t="shared" si="235"/>
        <v>14</v>
      </c>
      <c r="AD1703" t="str">
        <f t="shared" si="236"/>
        <v/>
      </c>
      <c r="AE1703" t="str">
        <f t="shared" si="237"/>
        <v/>
      </c>
      <c r="AF1703" t="str">
        <f t="shared" si="238"/>
        <v/>
      </c>
      <c r="AG1703" t="str">
        <f t="shared" si="239"/>
        <v/>
      </c>
      <c r="AH1703">
        <f t="shared" si="240"/>
        <v>3</v>
      </c>
      <c r="AI1703" t="str">
        <f t="shared" si="241"/>
        <v/>
      </c>
      <c r="AJ1703" t="str">
        <f t="shared" si="242"/>
        <v/>
      </c>
    </row>
    <row r="1704" spans="1:36">
      <c r="A1704" s="5">
        <v>2019</v>
      </c>
      <c r="B1704" s="5" t="s">
        <v>806</v>
      </c>
      <c r="C1704" s="5" t="s">
        <v>796</v>
      </c>
      <c r="D1704" s="5" t="s">
        <v>797</v>
      </c>
      <c r="E1704" s="5" t="s">
        <v>709</v>
      </c>
      <c r="F1704" s="5" t="str">
        <f t="shared" si="234"/>
        <v>M and E-Lead</v>
      </c>
      <c r="G1704" s="5" t="s">
        <v>103</v>
      </c>
      <c r="H1704" s="9">
        <v>45082.58390046296</v>
      </c>
      <c r="I1704" s="9">
        <v>45085.58390046296</v>
      </c>
      <c r="J1704" s="9" t="e">
        <f>I1704+#REF!</f>
        <v>#REF!</v>
      </c>
      <c r="K1704" s="9" t="e">
        <f>J1704+#REF!</f>
        <v>#REF!</v>
      </c>
      <c r="L1704" s="10" t="s">
        <v>41</v>
      </c>
      <c r="M1704" s="11">
        <v>45091.58390046296</v>
      </c>
      <c r="N1704" s="5" t="s">
        <v>42</v>
      </c>
      <c r="O1704" s="5" t="s">
        <v>58</v>
      </c>
      <c r="P1704" s="9"/>
      <c r="Q1704" s="5"/>
      <c r="R1704" s="5"/>
      <c r="S1704" s="5"/>
      <c r="T1704" s="9">
        <v>45094.58390046296</v>
      </c>
      <c r="U1704" s="5"/>
      <c r="V1704" s="5">
        <v>0</v>
      </c>
      <c r="W1704" s="5"/>
      <c r="X1704" s="5"/>
      <c r="Y1704" s="5"/>
      <c r="Z1704" s="5"/>
      <c r="AA1704" s="5" t="s">
        <v>44</v>
      </c>
      <c r="AC1704">
        <f t="shared" si="235"/>
        <v>6</v>
      </c>
      <c r="AD1704" t="str">
        <f t="shared" si="236"/>
        <v/>
      </c>
      <c r="AE1704">
        <f t="shared" si="237"/>
        <v>3</v>
      </c>
      <c r="AF1704" t="str">
        <f t="shared" si="238"/>
        <v/>
      </c>
      <c r="AG1704" t="str">
        <f t="shared" si="239"/>
        <v/>
      </c>
      <c r="AH1704">
        <f t="shared" si="240"/>
        <v>3</v>
      </c>
      <c r="AI1704" t="str">
        <f t="shared" si="241"/>
        <v/>
      </c>
      <c r="AJ1704" t="str">
        <f t="shared" si="242"/>
        <v/>
      </c>
    </row>
    <row r="1705" spans="1:36">
      <c r="A1705" s="5">
        <v>2020</v>
      </c>
      <c r="B1705" s="5" t="s">
        <v>913</v>
      </c>
      <c r="C1705" s="5" t="s">
        <v>796</v>
      </c>
      <c r="D1705" s="5" t="s">
        <v>893</v>
      </c>
      <c r="E1705" s="5" t="s">
        <v>269</v>
      </c>
      <c r="F1705" s="5" t="str">
        <f t="shared" si="234"/>
        <v>M and E-Manager</v>
      </c>
      <c r="G1705" s="5" t="s">
        <v>270</v>
      </c>
      <c r="H1705" s="9">
        <v>45082.58390046296</v>
      </c>
      <c r="I1705" s="9">
        <v>45083.58390046296</v>
      </c>
      <c r="J1705" s="9" t="e">
        <f>I1705+#REF!</f>
        <v>#REF!</v>
      </c>
      <c r="K1705" s="9" t="e">
        <f>J1705+#REF!</f>
        <v>#REF!</v>
      </c>
      <c r="L1705" s="10" t="s">
        <v>41</v>
      </c>
      <c r="M1705" s="11">
        <v>45101.58390046296</v>
      </c>
      <c r="N1705" s="5" t="s">
        <v>167</v>
      </c>
      <c r="O1705" s="5"/>
      <c r="P1705" s="9">
        <v>45106.58390046296</v>
      </c>
      <c r="Q1705" s="5" t="s">
        <v>167</v>
      </c>
      <c r="R1705" s="5"/>
      <c r="S1705" s="5"/>
      <c r="T1705" s="9">
        <v>45105.58390046296</v>
      </c>
      <c r="U1705" s="5"/>
      <c r="V1705" s="5">
        <v>0</v>
      </c>
      <c r="W1705" s="5"/>
      <c r="X1705" s="5"/>
      <c r="Y1705" s="5"/>
      <c r="Z1705" s="5"/>
      <c r="AA1705" s="5"/>
      <c r="AC1705">
        <f t="shared" si="235"/>
        <v>18</v>
      </c>
      <c r="AD1705" t="str">
        <f t="shared" si="236"/>
        <v/>
      </c>
      <c r="AE1705">
        <f t="shared" si="237"/>
        <v>4</v>
      </c>
      <c r="AF1705" t="str">
        <f t="shared" si="238"/>
        <v/>
      </c>
      <c r="AG1705" t="str">
        <f t="shared" si="239"/>
        <v/>
      </c>
      <c r="AH1705">
        <f t="shared" si="240"/>
        <v>1</v>
      </c>
      <c r="AI1705" t="str">
        <f t="shared" si="241"/>
        <v/>
      </c>
      <c r="AJ1705" t="str">
        <f t="shared" si="242"/>
        <v/>
      </c>
    </row>
    <row r="1706" spans="1:36">
      <c r="A1706" s="5">
        <v>2021</v>
      </c>
      <c r="B1706" s="5" t="s">
        <v>1734</v>
      </c>
      <c r="C1706" s="5" t="s">
        <v>1540</v>
      </c>
      <c r="D1706" s="5" t="s">
        <v>1706</v>
      </c>
      <c r="E1706" s="5" t="s">
        <v>269</v>
      </c>
      <c r="F1706" s="5" t="str">
        <f t="shared" si="234"/>
        <v>Finance-Manager</v>
      </c>
      <c r="G1706" s="5" t="s">
        <v>270</v>
      </c>
      <c r="H1706" s="9">
        <v>44785.679872685185</v>
      </c>
      <c r="I1706" s="9">
        <v>44788.679872685185</v>
      </c>
      <c r="J1706" s="9" t="e">
        <f>I1706+#REF!</f>
        <v>#REF!</v>
      </c>
      <c r="K1706" s="9" t="e">
        <f>J1706+#REF!</f>
        <v>#REF!</v>
      </c>
      <c r="L1706" s="10" t="s">
        <v>52</v>
      </c>
      <c r="M1706" s="11"/>
      <c r="N1706" s="5"/>
      <c r="O1706" s="5"/>
      <c r="P1706" s="9"/>
      <c r="Q1706" s="5"/>
      <c r="R1706" s="5"/>
      <c r="S1706" s="5"/>
      <c r="T1706" s="9"/>
      <c r="U1706" s="5"/>
      <c r="V1706" s="5">
        <v>0</v>
      </c>
      <c r="W1706" s="5"/>
      <c r="X1706" s="5"/>
      <c r="Y1706" s="5"/>
      <c r="Z1706" s="5"/>
      <c r="AA1706" s="5"/>
      <c r="AC1706" t="str">
        <f t="shared" si="235"/>
        <v/>
      </c>
      <c r="AD1706" t="str">
        <f t="shared" si="236"/>
        <v/>
      </c>
      <c r="AE1706" t="str">
        <f t="shared" si="237"/>
        <v/>
      </c>
      <c r="AF1706" t="str">
        <f t="shared" si="238"/>
        <v/>
      </c>
      <c r="AG1706" t="str">
        <f t="shared" si="239"/>
        <v/>
      </c>
      <c r="AH1706">
        <f t="shared" si="240"/>
        <v>3</v>
      </c>
      <c r="AI1706" t="str">
        <f t="shared" si="241"/>
        <v/>
      </c>
      <c r="AJ1706" t="str">
        <f t="shared" si="242"/>
        <v/>
      </c>
    </row>
    <row r="1707" spans="1:36">
      <c r="A1707" s="5">
        <v>2023</v>
      </c>
      <c r="B1707" s="5" t="s">
        <v>1611</v>
      </c>
      <c r="C1707" s="5" t="s">
        <v>1540</v>
      </c>
      <c r="D1707" s="5" t="s">
        <v>1588</v>
      </c>
      <c r="E1707" s="5" t="s">
        <v>1360</v>
      </c>
      <c r="F1707" s="5" t="str">
        <f t="shared" si="234"/>
        <v>Finance-Fund Administrator</v>
      </c>
      <c r="G1707" s="5" t="s">
        <v>147</v>
      </c>
      <c r="H1707" s="9">
        <v>44783.679872685185</v>
      </c>
      <c r="I1707" s="9">
        <v>44784.679872685185</v>
      </c>
      <c r="J1707" s="9" t="e">
        <f>I1707+#REF!</f>
        <v>#REF!</v>
      </c>
      <c r="K1707" s="9" t="e">
        <f>J1707+#REF!</f>
        <v>#REF!</v>
      </c>
      <c r="L1707" s="10" t="s">
        <v>41</v>
      </c>
      <c r="M1707" s="11">
        <v>44803.679872685185</v>
      </c>
      <c r="N1707" s="5" t="s">
        <v>42</v>
      </c>
      <c r="O1707" s="5" t="s">
        <v>113</v>
      </c>
      <c r="P1707" s="9"/>
      <c r="Q1707" s="5"/>
      <c r="R1707" s="5"/>
      <c r="S1707" s="5"/>
      <c r="T1707" s="9"/>
      <c r="U1707" s="5"/>
      <c r="V1707" s="5">
        <v>0</v>
      </c>
      <c r="W1707" s="5"/>
      <c r="X1707" s="5"/>
      <c r="Y1707" s="5"/>
      <c r="Z1707" s="5"/>
      <c r="AA1707" s="5" t="s">
        <v>44</v>
      </c>
      <c r="AC1707">
        <f t="shared" si="235"/>
        <v>19</v>
      </c>
      <c r="AD1707" t="str">
        <f t="shared" si="236"/>
        <v/>
      </c>
      <c r="AE1707" t="str">
        <f t="shared" si="237"/>
        <v/>
      </c>
      <c r="AF1707" t="str">
        <f t="shared" si="238"/>
        <v/>
      </c>
      <c r="AG1707" t="str">
        <f t="shared" si="239"/>
        <v/>
      </c>
      <c r="AH1707">
        <f t="shared" si="240"/>
        <v>1</v>
      </c>
      <c r="AI1707" t="str">
        <f t="shared" si="241"/>
        <v/>
      </c>
      <c r="AJ1707" t="str">
        <f t="shared" si="242"/>
        <v/>
      </c>
    </row>
    <row r="1708" spans="1:36">
      <c r="A1708" s="5">
        <v>2024</v>
      </c>
      <c r="B1708" s="5" t="s">
        <v>2011</v>
      </c>
      <c r="C1708" s="5" t="s">
        <v>1540</v>
      </c>
      <c r="D1708" s="5" t="s">
        <v>1985</v>
      </c>
      <c r="E1708" s="5" t="s">
        <v>1986</v>
      </c>
      <c r="F1708" s="5" t="str">
        <f t="shared" si="234"/>
        <v>Finance-Revenue Recorgnition</v>
      </c>
      <c r="G1708" s="5" t="s">
        <v>47</v>
      </c>
      <c r="H1708" s="9">
        <v>44782.679872685185</v>
      </c>
      <c r="I1708" s="9">
        <v>44785.679872685185</v>
      </c>
      <c r="J1708" s="9" t="e">
        <f>I1708+#REF!</f>
        <v>#REF!</v>
      </c>
      <c r="K1708" s="9" t="e">
        <f>J1708+#REF!</f>
        <v>#REF!</v>
      </c>
      <c r="L1708" s="10" t="s">
        <v>41</v>
      </c>
      <c r="M1708" s="11">
        <v>44802.679872685185</v>
      </c>
      <c r="N1708" s="5" t="s">
        <v>42</v>
      </c>
      <c r="O1708" s="5" t="s">
        <v>113</v>
      </c>
      <c r="P1708" s="9"/>
      <c r="Q1708" s="5"/>
      <c r="R1708" s="5"/>
      <c r="S1708" s="5"/>
      <c r="T1708" s="9"/>
      <c r="U1708" s="5"/>
      <c r="V1708" s="5">
        <v>0</v>
      </c>
      <c r="W1708" s="5"/>
      <c r="X1708" s="5"/>
      <c r="Y1708" s="5"/>
      <c r="Z1708" s="5"/>
      <c r="AA1708" s="5" t="s">
        <v>62</v>
      </c>
      <c r="AC1708">
        <f t="shared" si="235"/>
        <v>17</v>
      </c>
      <c r="AD1708" t="str">
        <f t="shared" si="236"/>
        <v/>
      </c>
      <c r="AE1708" t="str">
        <f t="shared" si="237"/>
        <v/>
      </c>
      <c r="AF1708" t="str">
        <f t="shared" si="238"/>
        <v/>
      </c>
      <c r="AG1708" t="str">
        <f t="shared" si="239"/>
        <v/>
      </c>
      <c r="AH1708">
        <f t="shared" si="240"/>
        <v>3</v>
      </c>
      <c r="AI1708" t="str">
        <f t="shared" si="241"/>
        <v/>
      </c>
      <c r="AJ1708" t="str">
        <f t="shared" si="242"/>
        <v/>
      </c>
    </row>
    <row r="1709" spans="1:36">
      <c r="A1709" s="5">
        <v>2028</v>
      </c>
      <c r="B1709" s="5" t="s">
        <v>1926</v>
      </c>
      <c r="C1709" s="5" t="s">
        <v>1540</v>
      </c>
      <c r="D1709" s="5" t="s">
        <v>1925</v>
      </c>
      <c r="E1709" s="5" t="s">
        <v>1039</v>
      </c>
      <c r="F1709" s="5" t="str">
        <f t="shared" si="234"/>
        <v>Finance-Associate Director</v>
      </c>
      <c r="G1709" s="5" t="s">
        <v>56</v>
      </c>
      <c r="H1709" s="9">
        <v>44787.679872685185</v>
      </c>
      <c r="I1709" s="9">
        <v>44788.679872685185</v>
      </c>
      <c r="J1709" s="9" t="e">
        <f>I1709+#REF!</f>
        <v>#REF!</v>
      </c>
      <c r="K1709" s="9" t="e">
        <f>J1709+#REF!</f>
        <v>#REF!</v>
      </c>
      <c r="L1709" s="10" t="s">
        <v>52</v>
      </c>
      <c r="M1709" s="11"/>
      <c r="N1709" s="5"/>
      <c r="O1709" s="5"/>
      <c r="P1709" s="9"/>
      <c r="Q1709" s="5"/>
      <c r="R1709" s="5"/>
      <c r="S1709" s="5"/>
      <c r="T1709" s="9"/>
      <c r="U1709" s="5"/>
      <c r="V1709" s="5">
        <v>0</v>
      </c>
      <c r="W1709" s="5"/>
      <c r="X1709" s="5"/>
      <c r="Y1709" s="5"/>
      <c r="Z1709" s="5"/>
      <c r="AA1709" s="5"/>
      <c r="AC1709" t="str">
        <f t="shared" si="235"/>
        <v/>
      </c>
      <c r="AD1709" t="str">
        <f t="shared" si="236"/>
        <v/>
      </c>
      <c r="AE1709" t="str">
        <f t="shared" si="237"/>
        <v/>
      </c>
      <c r="AF1709" t="str">
        <f t="shared" si="238"/>
        <v/>
      </c>
      <c r="AG1709" t="str">
        <f t="shared" si="239"/>
        <v/>
      </c>
      <c r="AH1709">
        <f t="shared" si="240"/>
        <v>1</v>
      </c>
      <c r="AI1709" t="str">
        <f t="shared" si="241"/>
        <v/>
      </c>
      <c r="AJ1709" t="str">
        <f t="shared" si="242"/>
        <v/>
      </c>
    </row>
    <row r="1710" spans="1:36">
      <c r="A1710" s="5">
        <v>2030</v>
      </c>
      <c r="B1710" s="5" t="s">
        <v>1733</v>
      </c>
      <c r="C1710" s="5" t="s">
        <v>1540</v>
      </c>
      <c r="D1710" s="5" t="s">
        <v>1706</v>
      </c>
      <c r="E1710" s="5" t="s">
        <v>269</v>
      </c>
      <c r="F1710" s="5" t="str">
        <f t="shared" si="234"/>
        <v>Finance-Manager</v>
      </c>
      <c r="G1710" s="5" t="s">
        <v>270</v>
      </c>
      <c r="H1710" s="9">
        <v>44783.679872685185</v>
      </c>
      <c r="I1710" s="9">
        <v>44787.679872685185</v>
      </c>
      <c r="J1710" s="9" t="e">
        <f>I1710+#REF!</f>
        <v>#REF!</v>
      </c>
      <c r="K1710" s="9" t="e">
        <f>J1710+#REF!</f>
        <v>#REF!</v>
      </c>
      <c r="L1710" s="10" t="s">
        <v>52</v>
      </c>
      <c r="M1710" s="11"/>
      <c r="N1710" s="5"/>
      <c r="O1710" s="5"/>
      <c r="P1710" s="9"/>
      <c r="Q1710" s="5"/>
      <c r="R1710" s="5"/>
      <c r="S1710" s="5"/>
      <c r="T1710" s="9"/>
      <c r="U1710" s="5"/>
      <c r="V1710" s="5">
        <v>0</v>
      </c>
      <c r="W1710" s="5"/>
      <c r="X1710" s="5"/>
      <c r="Y1710" s="5"/>
      <c r="Z1710" s="5"/>
      <c r="AA1710" s="5"/>
      <c r="AC1710" t="str">
        <f t="shared" si="235"/>
        <v/>
      </c>
      <c r="AD1710" t="str">
        <f t="shared" si="236"/>
        <v/>
      </c>
      <c r="AE1710" t="str">
        <f t="shared" si="237"/>
        <v/>
      </c>
      <c r="AF1710" t="str">
        <f t="shared" si="238"/>
        <v/>
      </c>
      <c r="AG1710" t="str">
        <f t="shared" si="239"/>
        <v/>
      </c>
      <c r="AH1710">
        <f t="shared" si="240"/>
        <v>4</v>
      </c>
      <c r="AI1710" t="str">
        <f t="shared" si="241"/>
        <v/>
      </c>
      <c r="AJ1710" t="str">
        <f t="shared" si="242"/>
        <v/>
      </c>
    </row>
    <row r="1711" spans="1:36">
      <c r="A1711" s="5">
        <v>2031</v>
      </c>
      <c r="B1711" s="5" t="s">
        <v>1519</v>
      </c>
      <c r="C1711" s="5" t="s">
        <v>1332</v>
      </c>
      <c r="D1711" s="5" t="s">
        <v>1500</v>
      </c>
      <c r="E1711" s="5" t="s">
        <v>39</v>
      </c>
      <c r="F1711" s="5" t="str">
        <f t="shared" si="234"/>
        <v>Fundraising-Analyst</v>
      </c>
      <c r="G1711" s="5" t="s">
        <v>47</v>
      </c>
      <c r="H1711" s="9">
        <v>44645.861122685186</v>
      </c>
      <c r="I1711" s="9">
        <v>44648.861122685186</v>
      </c>
      <c r="J1711" s="9" t="e">
        <f>I1711+#REF!</f>
        <v>#REF!</v>
      </c>
      <c r="K1711" s="9" t="e">
        <f>J1711+#REF!</f>
        <v>#REF!</v>
      </c>
      <c r="L1711" s="10" t="s">
        <v>41</v>
      </c>
      <c r="M1711" s="11">
        <v>44657.861122685186</v>
      </c>
      <c r="N1711" s="5" t="s">
        <v>167</v>
      </c>
      <c r="O1711" s="5"/>
      <c r="P1711" s="9">
        <v>44662.861122685186</v>
      </c>
      <c r="Q1711" s="5" t="s">
        <v>167</v>
      </c>
      <c r="R1711" s="5"/>
      <c r="S1711" s="5"/>
      <c r="T1711" s="9">
        <v>44658.861122685186</v>
      </c>
      <c r="U1711" s="5"/>
      <c r="V1711" s="5">
        <v>0</v>
      </c>
      <c r="W1711" s="5"/>
      <c r="X1711" s="5"/>
      <c r="Y1711" s="5"/>
      <c r="Z1711" s="5"/>
      <c r="AA1711" s="5"/>
      <c r="AC1711">
        <f t="shared" si="235"/>
        <v>9</v>
      </c>
      <c r="AD1711" t="str">
        <f t="shared" si="236"/>
        <v/>
      </c>
      <c r="AE1711">
        <f t="shared" si="237"/>
        <v>1</v>
      </c>
      <c r="AF1711" t="str">
        <f t="shared" si="238"/>
        <v/>
      </c>
      <c r="AG1711" t="str">
        <f t="shared" si="239"/>
        <v/>
      </c>
      <c r="AH1711">
        <f t="shared" si="240"/>
        <v>3</v>
      </c>
      <c r="AI1711" t="str">
        <f t="shared" si="241"/>
        <v/>
      </c>
      <c r="AJ1711" t="str">
        <f t="shared" si="242"/>
        <v/>
      </c>
    </row>
    <row r="1712" spans="1:36">
      <c r="A1712" s="5">
        <v>2032</v>
      </c>
      <c r="B1712" s="5" t="s">
        <v>1518</v>
      </c>
      <c r="C1712" s="5" t="s">
        <v>1332</v>
      </c>
      <c r="D1712" s="5" t="s">
        <v>1500</v>
      </c>
      <c r="E1712" s="5" t="s">
        <v>39</v>
      </c>
      <c r="F1712" s="5" t="str">
        <f t="shared" si="234"/>
        <v>Fundraising-Analyst</v>
      </c>
      <c r="G1712" s="5" t="s">
        <v>47</v>
      </c>
      <c r="H1712" s="9">
        <v>44648.861122685186</v>
      </c>
      <c r="I1712" s="9">
        <v>44651.861122685186</v>
      </c>
      <c r="J1712" s="9" t="e">
        <f>I1712+#REF!</f>
        <v>#REF!</v>
      </c>
      <c r="K1712" s="9" t="e">
        <f>J1712+#REF!</f>
        <v>#REF!</v>
      </c>
      <c r="L1712" s="10" t="s">
        <v>41</v>
      </c>
      <c r="M1712" s="11">
        <v>44667.861122685186</v>
      </c>
      <c r="N1712" s="5" t="s">
        <v>42</v>
      </c>
      <c r="O1712" s="5" t="s">
        <v>73</v>
      </c>
      <c r="P1712" s="9"/>
      <c r="Q1712" s="5"/>
      <c r="R1712" s="5"/>
      <c r="S1712" s="5"/>
      <c r="T1712" s="9">
        <v>44669.861122685186</v>
      </c>
      <c r="U1712" s="5"/>
      <c r="V1712" s="5">
        <v>0</v>
      </c>
      <c r="W1712" s="5"/>
      <c r="X1712" s="5"/>
      <c r="Y1712" s="5"/>
      <c r="Z1712" s="5"/>
      <c r="AA1712" s="5" t="s">
        <v>62</v>
      </c>
      <c r="AC1712">
        <f t="shared" si="235"/>
        <v>16</v>
      </c>
      <c r="AD1712" t="str">
        <f t="shared" si="236"/>
        <v/>
      </c>
      <c r="AE1712">
        <f t="shared" si="237"/>
        <v>2</v>
      </c>
      <c r="AF1712" t="str">
        <f t="shared" si="238"/>
        <v/>
      </c>
      <c r="AG1712" t="str">
        <f t="shared" si="239"/>
        <v/>
      </c>
      <c r="AH1712">
        <f t="shared" si="240"/>
        <v>3</v>
      </c>
      <c r="AI1712" t="str">
        <f t="shared" si="241"/>
        <v/>
      </c>
      <c r="AJ1712" t="str">
        <f t="shared" si="242"/>
        <v/>
      </c>
    </row>
    <row r="1713" spans="1:36">
      <c r="A1713" s="5">
        <v>2033</v>
      </c>
      <c r="B1713" s="5" t="s">
        <v>1387</v>
      </c>
      <c r="C1713" s="5" t="s">
        <v>1332</v>
      </c>
      <c r="D1713" s="5" t="s">
        <v>1359</v>
      </c>
      <c r="E1713" s="5" t="s">
        <v>1360</v>
      </c>
      <c r="F1713" s="5" t="str">
        <f t="shared" si="234"/>
        <v>Fundraising-Fund Administrator</v>
      </c>
      <c r="G1713" s="5" t="s">
        <v>147</v>
      </c>
      <c r="H1713" s="9">
        <v>44642.861122685186</v>
      </c>
      <c r="I1713" s="9">
        <v>44646.861122685186</v>
      </c>
      <c r="J1713" s="9" t="e">
        <f>I1713+#REF!</f>
        <v>#REF!</v>
      </c>
      <c r="K1713" s="9" t="e">
        <f>J1713+#REF!</f>
        <v>#REF!</v>
      </c>
      <c r="L1713" s="10" t="s">
        <v>41</v>
      </c>
      <c r="M1713" s="11">
        <v>44656.861122685186</v>
      </c>
      <c r="N1713" s="5" t="s">
        <v>48</v>
      </c>
      <c r="O1713" s="5"/>
      <c r="P1713" s="9">
        <v>44658.861122685186</v>
      </c>
      <c r="Q1713" s="5" t="s">
        <v>48</v>
      </c>
      <c r="R1713" s="5"/>
      <c r="S1713" s="5"/>
      <c r="T1713" s="9">
        <v>44657.861122685186</v>
      </c>
      <c r="U1713" s="5"/>
      <c r="V1713" s="5">
        <v>0</v>
      </c>
      <c r="W1713" s="5"/>
      <c r="X1713" s="5"/>
      <c r="Y1713" s="5"/>
      <c r="Z1713" s="5"/>
      <c r="AA1713" s="5"/>
      <c r="AC1713">
        <f t="shared" si="235"/>
        <v>10</v>
      </c>
      <c r="AD1713" t="str">
        <f t="shared" si="236"/>
        <v/>
      </c>
      <c r="AE1713">
        <f t="shared" si="237"/>
        <v>1</v>
      </c>
      <c r="AF1713" t="str">
        <f t="shared" si="238"/>
        <v/>
      </c>
      <c r="AG1713" t="str">
        <f t="shared" si="239"/>
        <v/>
      </c>
      <c r="AH1713">
        <f t="shared" si="240"/>
        <v>4</v>
      </c>
      <c r="AI1713" t="str">
        <f t="shared" si="241"/>
        <v/>
      </c>
      <c r="AJ1713" t="str">
        <f t="shared" si="242"/>
        <v/>
      </c>
    </row>
    <row r="1714" spans="1:36">
      <c r="A1714" s="5">
        <v>2034</v>
      </c>
      <c r="B1714" s="5" t="s">
        <v>2459</v>
      </c>
      <c r="C1714" s="5" t="s">
        <v>2229</v>
      </c>
      <c r="D1714" s="5" t="s">
        <v>2445</v>
      </c>
      <c r="E1714" s="5" t="s">
        <v>388</v>
      </c>
      <c r="F1714" s="5" t="str">
        <f t="shared" si="234"/>
        <v>Capacity Building-Extension Officer</v>
      </c>
      <c r="G1714" s="5" t="s">
        <v>47</v>
      </c>
      <c r="H1714" s="9">
        <v>44648.861122685186</v>
      </c>
      <c r="I1714" s="9">
        <v>44649.861122685186</v>
      </c>
      <c r="J1714" s="9" t="e">
        <f>I1714+#REF!</f>
        <v>#REF!</v>
      </c>
      <c r="K1714" s="9" t="e">
        <f>J1714+#REF!</f>
        <v>#REF!</v>
      </c>
      <c r="L1714" s="10" t="s">
        <v>41</v>
      </c>
      <c r="M1714" s="11">
        <v>44662.861122685186</v>
      </c>
      <c r="N1714" s="5" t="s">
        <v>64</v>
      </c>
      <c r="O1714" s="5"/>
      <c r="P1714" s="9">
        <v>44667.861122685186</v>
      </c>
      <c r="Q1714" s="5" t="s">
        <v>64</v>
      </c>
      <c r="R1714" s="9">
        <v>44663.861122685186</v>
      </c>
      <c r="S1714" s="9">
        <v>44667.861122685186</v>
      </c>
      <c r="T1714" s="9">
        <v>44663.861122685186</v>
      </c>
      <c r="U1714" s="9">
        <v>44665.861122685186</v>
      </c>
      <c r="V1714" s="12">
        <v>1</v>
      </c>
      <c r="W1714" s="9">
        <v>44669.861122685186</v>
      </c>
      <c r="X1714" s="9">
        <v>44672.861122685186</v>
      </c>
      <c r="Y1714" s="9">
        <v>44673.861122685186</v>
      </c>
      <c r="Z1714" s="5"/>
      <c r="AA1714" s="5"/>
      <c r="AB1714" s="13">
        <v>44694.861122685186</v>
      </c>
      <c r="AC1714">
        <f t="shared" si="235"/>
        <v>13</v>
      </c>
      <c r="AD1714">
        <f t="shared" si="236"/>
        <v>18</v>
      </c>
      <c r="AE1714">
        <f t="shared" si="237"/>
        <v>1</v>
      </c>
      <c r="AF1714">
        <f t="shared" si="238"/>
        <v>7</v>
      </c>
      <c r="AG1714">
        <f t="shared" si="239"/>
        <v>4</v>
      </c>
      <c r="AH1714">
        <f t="shared" si="240"/>
        <v>1</v>
      </c>
      <c r="AI1714" t="str">
        <f t="shared" si="241"/>
        <v/>
      </c>
      <c r="AJ1714" t="str">
        <f t="shared" si="242"/>
        <v/>
      </c>
    </row>
    <row r="1715" spans="1:36">
      <c r="A1715" s="5">
        <v>2035</v>
      </c>
      <c r="B1715" s="5" t="s">
        <v>1386</v>
      </c>
      <c r="C1715" s="5" t="s">
        <v>1332</v>
      </c>
      <c r="D1715" s="5" t="s">
        <v>1359</v>
      </c>
      <c r="E1715" s="5" t="s">
        <v>1360</v>
      </c>
      <c r="F1715" s="5" t="str">
        <f t="shared" si="234"/>
        <v>Fundraising-Fund Administrator</v>
      </c>
      <c r="G1715" s="5" t="s">
        <v>147</v>
      </c>
      <c r="H1715" s="9">
        <v>44645.861122685186</v>
      </c>
      <c r="I1715" s="9">
        <v>44646.861122685186</v>
      </c>
      <c r="J1715" s="9" t="e">
        <f>I1715+#REF!</f>
        <v>#REF!</v>
      </c>
      <c r="K1715" s="9" t="e">
        <f>J1715+#REF!</f>
        <v>#REF!</v>
      </c>
      <c r="L1715" s="10" t="s">
        <v>41</v>
      </c>
      <c r="M1715" s="11">
        <v>44663.861122685186</v>
      </c>
      <c r="N1715" s="5" t="s">
        <v>42</v>
      </c>
      <c r="O1715" s="5" t="s">
        <v>113</v>
      </c>
      <c r="P1715" s="9"/>
      <c r="Q1715" s="5"/>
      <c r="R1715" s="5"/>
      <c r="S1715" s="5"/>
      <c r="T1715" s="9"/>
      <c r="U1715" s="5"/>
      <c r="V1715" s="5">
        <v>0</v>
      </c>
      <c r="W1715" s="5"/>
      <c r="X1715" s="5"/>
      <c r="Y1715" s="5"/>
      <c r="Z1715" s="5"/>
      <c r="AA1715" s="5" t="s">
        <v>62</v>
      </c>
      <c r="AC1715">
        <f t="shared" si="235"/>
        <v>17</v>
      </c>
      <c r="AD1715" t="str">
        <f t="shared" si="236"/>
        <v/>
      </c>
      <c r="AE1715" t="str">
        <f t="shared" si="237"/>
        <v/>
      </c>
      <c r="AF1715" t="str">
        <f t="shared" si="238"/>
        <v/>
      </c>
      <c r="AG1715" t="str">
        <f t="shared" si="239"/>
        <v/>
      </c>
      <c r="AH1715">
        <f t="shared" si="240"/>
        <v>1</v>
      </c>
      <c r="AI1715" t="str">
        <f t="shared" si="241"/>
        <v/>
      </c>
      <c r="AJ1715" t="str">
        <f t="shared" si="242"/>
        <v/>
      </c>
    </row>
    <row r="1716" spans="1:36">
      <c r="A1716" s="5">
        <v>2036</v>
      </c>
      <c r="B1716" s="5" t="s">
        <v>1385</v>
      </c>
      <c r="C1716" s="5" t="s">
        <v>1332</v>
      </c>
      <c r="D1716" s="5" t="s">
        <v>1359</v>
      </c>
      <c r="E1716" s="5" t="s">
        <v>1360</v>
      </c>
      <c r="F1716" s="5" t="str">
        <f t="shared" si="234"/>
        <v>Fundraising-Fund Administrator</v>
      </c>
      <c r="G1716" s="5" t="s">
        <v>147</v>
      </c>
      <c r="H1716" s="9">
        <v>44646.861122685186</v>
      </c>
      <c r="I1716" s="9">
        <v>44649.861122685186</v>
      </c>
      <c r="J1716" s="9" t="e">
        <f>I1716+#REF!</f>
        <v>#REF!</v>
      </c>
      <c r="K1716" s="9" t="e">
        <f>J1716+#REF!</f>
        <v>#REF!</v>
      </c>
      <c r="L1716" s="10" t="s">
        <v>41</v>
      </c>
      <c r="M1716" s="11">
        <v>44657.861122685186</v>
      </c>
      <c r="N1716" s="5" t="s">
        <v>42</v>
      </c>
      <c r="O1716" s="5" t="s">
        <v>43</v>
      </c>
      <c r="P1716" s="9"/>
      <c r="Q1716" s="5"/>
      <c r="R1716" s="5"/>
      <c r="S1716" s="5"/>
      <c r="T1716" s="9"/>
      <c r="U1716" s="5"/>
      <c r="V1716" s="5">
        <v>0</v>
      </c>
      <c r="W1716" s="5"/>
      <c r="X1716" s="5"/>
      <c r="Y1716" s="5"/>
      <c r="Z1716" s="5"/>
      <c r="AA1716" s="5" t="s">
        <v>44</v>
      </c>
      <c r="AC1716">
        <f t="shared" si="235"/>
        <v>8</v>
      </c>
      <c r="AD1716" t="str">
        <f t="shared" si="236"/>
        <v/>
      </c>
      <c r="AE1716" t="str">
        <f t="shared" si="237"/>
        <v/>
      </c>
      <c r="AF1716" t="str">
        <f t="shared" si="238"/>
        <v/>
      </c>
      <c r="AG1716" t="str">
        <f t="shared" si="239"/>
        <v/>
      </c>
      <c r="AH1716">
        <f t="shared" si="240"/>
        <v>3</v>
      </c>
      <c r="AI1716" t="str">
        <f t="shared" si="241"/>
        <v/>
      </c>
      <c r="AJ1716" t="str">
        <f t="shared" si="242"/>
        <v/>
      </c>
    </row>
    <row r="1717" spans="1:36">
      <c r="A1717" s="5">
        <v>2037</v>
      </c>
      <c r="B1717" s="5" t="s">
        <v>1480</v>
      </c>
      <c r="C1717" s="5" t="s">
        <v>1332</v>
      </c>
      <c r="D1717" s="5" t="s">
        <v>1448</v>
      </c>
      <c r="E1717" s="5" t="s">
        <v>597</v>
      </c>
      <c r="F1717" s="5" t="str">
        <f t="shared" si="234"/>
        <v>Fundraising-Business Partner</v>
      </c>
      <c r="G1717" s="5" t="s">
        <v>40</v>
      </c>
      <c r="H1717" s="9">
        <v>44646.861122685186</v>
      </c>
      <c r="I1717" s="9">
        <v>44649.861122685186</v>
      </c>
      <c r="J1717" s="9" t="e">
        <f>I1717+#REF!</f>
        <v>#REF!</v>
      </c>
      <c r="K1717" s="9" t="e">
        <f>J1717+#REF!</f>
        <v>#REF!</v>
      </c>
      <c r="L1717" s="10" t="s">
        <v>41</v>
      </c>
      <c r="M1717" s="11">
        <v>44655.861122685186</v>
      </c>
      <c r="N1717" s="5" t="s">
        <v>48</v>
      </c>
      <c r="O1717" s="5"/>
      <c r="P1717" s="9">
        <v>44660.861122685186</v>
      </c>
      <c r="Q1717" s="5" t="s">
        <v>48</v>
      </c>
      <c r="R1717" s="5"/>
      <c r="S1717" s="5"/>
      <c r="T1717" s="9">
        <v>44659.861122685186</v>
      </c>
      <c r="U1717" s="5"/>
      <c r="V1717" s="5">
        <v>0</v>
      </c>
      <c r="W1717" s="5"/>
      <c r="X1717" s="5"/>
      <c r="Y1717" s="5"/>
      <c r="Z1717" s="5"/>
      <c r="AA1717" s="5"/>
      <c r="AC1717">
        <f t="shared" si="235"/>
        <v>6</v>
      </c>
      <c r="AD1717" t="str">
        <f t="shared" si="236"/>
        <v/>
      </c>
      <c r="AE1717">
        <f t="shared" si="237"/>
        <v>4</v>
      </c>
      <c r="AF1717" t="str">
        <f t="shared" si="238"/>
        <v/>
      </c>
      <c r="AG1717" t="str">
        <f t="shared" si="239"/>
        <v/>
      </c>
      <c r="AH1717">
        <f t="shared" si="240"/>
        <v>3</v>
      </c>
      <c r="AI1717" t="str">
        <f t="shared" si="241"/>
        <v/>
      </c>
      <c r="AJ1717" t="str">
        <f t="shared" si="242"/>
        <v/>
      </c>
    </row>
    <row r="1718" spans="1:36">
      <c r="A1718" s="5">
        <v>2038</v>
      </c>
      <c r="B1718" s="5" t="s">
        <v>2365</v>
      </c>
      <c r="C1718" s="5" t="s">
        <v>2229</v>
      </c>
      <c r="D1718" s="5" t="s">
        <v>2350</v>
      </c>
      <c r="E1718" s="5" t="s">
        <v>2351</v>
      </c>
      <c r="F1718" s="5" t="str">
        <f t="shared" si="234"/>
        <v>Capacity Building-Training Associate</v>
      </c>
      <c r="G1718" s="5" t="s">
        <v>40</v>
      </c>
      <c r="H1718" s="9">
        <v>44646.861122685186</v>
      </c>
      <c r="I1718" s="9">
        <v>44647.861122685186</v>
      </c>
      <c r="J1718" s="9" t="e">
        <f>I1718+#REF!</f>
        <v>#REF!</v>
      </c>
      <c r="K1718" s="9" t="e">
        <f>J1718+#REF!</f>
        <v>#REF!</v>
      </c>
      <c r="L1718" s="10" t="s">
        <v>41</v>
      </c>
      <c r="M1718" s="11">
        <v>44670.861122685186</v>
      </c>
      <c r="N1718" s="5" t="s">
        <v>64</v>
      </c>
      <c r="O1718" s="5"/>
      <c r="P1718" s="9">
        <v>44675.861122685186</v>
      </c>
      <c r="Q1718" s="5" t="s">
        <v>64</v>
      </c>
      <c r="R1718" s="9">
        <v>44671.861122685186</v>
      </c>
      <c r="S1718" s="9">
        <v>44673.861122685186</v>
      </c>
      <c r="T1718" s="9">
        <v>44672.861122685186</v>
      </c>
      <c r="U1718" s="9">
        <v>44681.861122685186</v>
      </c>
      <c r="V1718" s="12">
        <v>1</v>
      </c>
      <c r="W1718" s="9">
        <v>44682.861122685186</v>
      </c>
      <c r="X1718" s="9">
        <v>44684.861122685186</v>
      </c>
      <c r="Y1718" s="9">
        <v>44686.861122685186</v>
      </c>
      <c r="Z1718" s="5"/>
      <c r="AA1718" s="5"/>
      <c r="AB1718" s="13">
        <v>44703.861122685186</v>
      </c>
      <c r="AC1718">
        <f t="shared" si="235"/>
        <v>23</v>
      </c>
      <c r="AD1718">
        <f t="shared" si="236"/>
        <v>26</v>
      </c>
      <c r="AE1718">
        <f t="shared" si="237"/>
        <v>2</v>
      </c>
      <c r="AF1718">
        <f t="shared" si="238"/>
        <v>3</v>
      </c>
      <c r="AG1718">
        <f t="shared" si="239"/>
        <v>1</v>
      </c>
      <c r="AH1718">
        <f t="shared" si="240"/>
        <v>1</v>
      </c>
      <c r="AI1718" t="str">
        <f t="shared" si="241"/>
        <v/>
      </c>
      <c r="AJ1718" t="str">
        <f t="shared" si="242"/>
        <v/>
      </c>
    </row>
    <row r="1719" spans="1:36">
      <c r="A1719" s="5">
        <v>2039</v>
      </c>
      <c r="B1719" s="5" t="s">
        <v>2314</v>
      </c>
      <c r="C1719" s="5" t="s">
        <v>2229</v>
      </c>
      <c r="D1719" s="5" t="s">
        <v>2302</v>
      </c>
      <c r="E1719" s="5" t="s">
        <v>269</v>
      </c>
      <c r="F1719" s="5" t="str">
        <f t="shared" si="234"/>
        <v>Capacity Building-Manager</v>
      </c>
      <c r="G1719" s="5" t="s">
        <v>270</v>
      </c>
      <c r="H1719" s="9">
        <v>44645.861122685186</v>
      </c>
      <c r="I1719" s="9">
        <v>44649.861122685186</v>
      </c>
      <c r="J1719" s="9" t="e">
        <f>I1719+#REF!</f>
        <v>#REF!</v>
      </c>
      <c r="K1719" s="9" t="e">
        <f>J1719+#REF!</f>
        <v>#REF!</v>
      </c>
      <c r="L1719" s="10" t="s">
        <v>52</v>
      </c>
      <c r="M1719" s="11"/>
      <c r="N1719" s="5"/>
      <c r="O1719" s="5"/>
      <c r="P1719" s="9"/>
      <c r="Q1719" s="5"/>
      <c r="R1719" s="5"/>
      <c r="S1719" s="5"/>
      <c r="T1719" s="9"/>
      <c r="U1719" s="5"/>
      <c r="V1719" s="5">
        <v>0</v>
      </c>
      <c r="W1719" s="5"/>
      <c r="X1719" s="5"/>
      <c r="Y1719" s="5"/>
      <c r="Z1719" s="5"/>
      <c r="AA1719" s="5"/>
      <c r="AC1719" t="str">
        <f t="shared" si="235"/>
        <v/>
      </c>
      <c r="AD1719" t="str">
        <f t="shared" si="236"/>
        <v/>
      </c>
      <c r="AE1719" t="str">
        <f t="shared" si="237"/>
        <v/>
      </c>
      <c r="AF1719" t="str">
        <f t="shared" si="238"/>
        <v/>
      </c>
      <c r="AG1719" t="str">
        <f t="shared" si="239"/>
        <v/>
      </c>
      <c r="AH1719">
        <f t="shared" si="240"/>
        <v>4</v>
      </c>
      <c r="AI1719" t="str">
        <f t="shared" si="241"/>
        <v/>
      </c>
      <c r="AJ1719" t="str">
        <f t="shared" si="242"/>
        <v/>
      </c>
    </row>
    <row r="1720" spans="1:36">
      <c r="A1720" s="5">
        <v>2040</v>
      </c>
      <c r="B1720" s="5" t="s">
        <v>1384</v>
      </c>
      <c r="C1720" s="5" t="s">
        <v>1332</v>
      </c>
      <c r="D1720" s="5" t="s">
        <v>1359</v>
      </c>
      <c r="E1720" s="5" t="s">
        <v>1360</v>
      </c>
      <c r="F1720" s="5" t="str">
        <f t="shared" si="234"/>
        <v>Fundraising-Fund Administrator</v>
      </c>
      <c r="G1720" s="5" t="s">
        <v>147</v>
      </c>
      <c r="H1720" s="9">
        <v>44647.861122685186</v>
      </c>
      <c r="I1720" s="9">
        <v>44650.861122685186</v>
      </c>
      <c r="J1720" s="9" t="e">
        <f>I1720+#REF!</f>
        <v>#REF!</v>
      </c>
      <c r="K1720" s="9" t="e">
        <f>J1720+#REF!</f>
        <v>#REF!</v>
      </c>
      <c r="L1720" s="10" t="s">
        <v>41</v>
      </c>
      <c r="M1720" s="11">
        <v>44657.861122685186</v>
      </c>
      <c r="N1720" s="5" t="s">
        <v>42</v>
      </c>
      <c r="O1720" s="5" t="s">
        <v>43</v>
      </c>
      <c r="P1720" s="9"/>
      <c r="Q1720" s="5"/>
      <c r="R1720" s="5"/>
      <c r="S1720" s="5"/>
      <c r="T1720" s="9"/>
      <c r="U1720" s="5"/>
      <c r="V1720" s="5">
        <v>0</v>
      </c>
      <c r="W1720" s="5"/>
      <c r="X1720" s="5"/>
      <c r="Y1720" s="5"/>
      <c r="Z1720" s="5"/>
      <c r="AA1720" s="5" t="s">
        <v>62</v>
      </c>
      <c r="AC1720">
        <f t="shared" si="235"/>
        <v>7</v>
      </c>
      <c r="AD1720" t="str">
        <f t="shared" si="236"/>
        <v/>
      </c>
      <c r="AE1720" t="str">
        <f t="shared" si="237"/>
        <v/>
      </c>
      <c r="AF1720" t="str">
        <f t="shared" si="238"/>
        <v/>
      </c>
      <c r="AG1720" t="str">
        <f t="shared" si="239"/>
        <v/>
      </c>
      <c r="AH1720">
        <f t="shared" si="240"/>
        <v>3</v>
      </c>
      <c r="AI1720" t="str">
        <f t="shared" si="241"/>
        <v/>
      </c>
      <c r="AJ1720" t="str">
        <f t="shared" si="242"/>
        <v/>
      </c>
    </row>
    <row r="1721" spans="1:36">
      <c r="A1721" s="5">
        <v>2041</v>
      </c>
      <c r="B1721" s="5" t="s">
        <v>844</v>
      </c>
      <c r="C1721" s="5" t="s">
        <v>796</v>
      </c>
      <c r="D1721" s="5" t="s">
        <v>814</v>
      </c>
      <c r="E1721" s="5" t="s">
        <v>815</v>
      </c>
      <c r="F1721" s="5" t="str">
        <f t="shared" si="234"/>
        <v>M and E-Auditor</v>
      </c>
      <c r="G1721" s="5" t="s">
        <v>147</v>
      </c>
      <c r="H1721" s="9">
        <v>44762.200532407405</v>
      </c>
      <c r="I1721" s="9">
        <v>44763.200532407405</v>
      </c>
      <c r="J1721" s="9" t="e">
        <f>I1721+#REF!</f>
        <v>#REF!</v>
      </c>
      <c r="K1721" s="9" t="e">
        <f>J1721+#REF!</f>
        <v>#REF!</v>
      </c>
      <c r="L1721" s="10" t="s">
        <v>41</v>
      </c>
      <c r="M1721" s="11">
        <v>44777.200532407405</v>
      </c>
      <c r="N1721" s="5" t="s">
        <v>42</v>
      </c>
      <c r="O1721" s="5" t="s">
        <v>98</v>
      </c>
      <c r="P1721" s="9"/>
      <c r="Q1721" s="5"/>
      <c r="R1721" s="5"/>
      <c r="S1721" s="5"/>
      <c r="T1721" s="9"/>
      <c r="U1721" s="5"/>
      <c r="V1721" s="5">
        <v>0</v>
      </c>
      <c r="W1721" s="5"/>
      <c r="X1721" s="5"/>
      <c r="Y1721" s="5"/>
      <c r="Z1721" s="5"/>
      <c r="AA1721" s="5" t="s">
        <v>44</v>
      </c>
      <c r="AC1721">
        <f t="shared" si="235"/>
        <v>14</v>
      </c>
      <c r="AD1721" t="str">
        <f t="shared" si="236"/>
        <v/>
      </c>
      <c r="AE1721" t="str">
        <f t="shared" si="237"/>
        <v/>
      </c>
      <c r="AF1721" t="str">
        <f t="shared" si="238"/>
        <v/>
      </c>
      <c r="AG1721" t="str">
        <f t="shared" si="239"/>
        <v/>
      </c>
      <c r="AH1721">
        <f t="shared" si="240"/>
        <v>1</v>
      </c>
      <c r="AI1721" t="str">
        <f t="shared" si="241"/>
        <v/>
      </c>
      <c r="AJ1721" t="str">
        <f t="shared" si="242"/>
        <v/>
      </c>
    </row>
    <row r="1722" spans="1:36">
      <c r="A1722" s="5">
        <v>2046</v>
      </c>
      <c r="B1722" s="5" t="s">
        <v>843</v>
      </c>
      <c r="C1722" s="5" t="s">
        <v>796</v>
      </c>
      <c r="D1722" s="5" t="s">
        <v>814</v>
      </c>
      <c r="E1722" s="5" t="s">
        <v>815</v>
      </c>
      <c r="F1722" s="5" t="str">
        <f t="shared" si="234"/>
        <v>M and E-Auditor</v>
      </c>
      <c r="G1722" s="5" t="s">
        <v>147</v>
      </c>
      <c r="H1722" s="9">
        <v>44755.200532407405</v>
      </c>
      <c r="I1722" s="9">
        <v>44759.200532407405</v>
      </c>
      <c r="J1722" s="9" t="e">
        <f>I1722+#REF!</f>
        <v>#REF!</v>
      </c>
      <c r="K1722" s="9" t="e">
        <f>J1722+#REF!</f>
        <v>#REF!</v>
      </c>
      <c r="L1722" s="10" t="s">
        <v>52</v>
      </c>
      <c r="M1722" s="11"/>
      <c r="N1722" s="5"/>
      <c r="O1722" s="5"/>
      <c r="P1722" s="9"/>
      <c r="Q1722" s="5"/>
      <c r="R1722" s="5"/>
      <c r="S1722" s="5"/>
      <c r="T1722" s="9"/>
      <c r="U1722" s="5"/>
      <c r="V1722" s="5">
        <v>0</v>
      </c>
      <c r="W1722" s="5"/>
      <c r="X1722" s="5"/>
      <c r="Y1722" s="5"/>
      <c r="Z1722" s="5"/>
      <c r="AA1722" s="5"/>
      <c r="AC1722" t="str">
        <f t="shared" si="235"/>
        <v/>
      </c>
      <c r="AD1722" t="str">
        <f t="shared" si="236"/>
        <v/>
      </c>
      <c r="AE1722" t="str">
        <f t="shared" si="237"/>
        <v/>
      </c>
      <c r="AF1722" t="str">
        <f t="shared" si="238"/>
        <v/>
      </c>
      <c r="AG1722" t="str">
        <f t="shared" si="239"/>
        <v/>
      </c>
      <c r="AH1722">
        <f t="shared" si="240"/>
        <v>4</v>
      </c>
      <c r="AI1722" t="str">
        <f t="shared" si="241"/>
        <v/>
      </c>
      <c r="AJ1722" t="str">
        <f t="shared" si="242"/>
        <v/>
      </c>
    </row>
    <row r="1723" spans="1:36">
      <c r="A1723" s="5">
        <v>2047</v>
      </c>
      <c r="B1723" s="5" t="s">
        <v>1079</v>
      </c>
      <c r="C1723" s="5" t="s">
        <v>796</v>
      </c>
      <c r="D1723" s="5" t="s">
        <v>1046</v>
      </c>
      <c r="E1723" s="5" t="s">
        <v>473</v>
      </c>
      <c r="F1723" s="5" t="str">
        <f t="shared" si="234"/>
        <v>M and E-Officer</v>
      </c>
      <c r="G1723" s="5" t="s">
        <v>47</v>
      </c>
      <c r="H1723" s="9">
        <v>44758.200532407405</v>
      </c>
      <c r="I1723" s="9">
        <v>44761.200532407405</v>
      </c>
      <c r="J1723" s="9" t="e">
        <f>I1723+#REF!</f>
        <v>#REF!</v>
      </c>
      <c r="K1723" s="9" t="e">
        <f>J1723+#REF!</f>
        <v>#REF!</v>
      </c>
      <c r="L1723" s="10" t="s">
        <v>52</v>
      </c>
      <c r="M1723" s="11"/>
      <c r="N1723" s="5"/>
      <c r="O1723" s="5"/>
      <c r="P1723" s="9"/>
      <c r="Q1723" s="5"/>
      <c r="R1723" s="5"/>
      <c r="S1723" s="5"/>
      <c r="T1723" s="9"/>
      <c r="U1723" s="5"/>
      <c r="V1723" s="5">
        <v>0</v>
      </c>
      <c r="W1723" s="5"/>
      <c r="X1723" s="5"/>
      <c r="Y1723" s="5"/>
      <c r="Z1723" s="5"/>
      <c r="AA1723" s="5"/>
      <c r="AC1723" t="str">
        <f t="shared" si="235"/>
        <v/>
      </c>
      <c r="AD1723" t="str">
        <f t="shared" si="236"/>
        <v/>
      </c>
      <c r="AE1723" t="str">
        <f t="shared" si="237"/>
        <v/>
      </c>
      <c r="AF1723" t="str">
        <f t="shared" si="238"/>
        <v/>
      </c>
      <c r="AG1723" t="str">
        <f t="shared" si="239"/>
        <v/>
      </c>
      <c r="AH1723">
        <f t="shared" si="240"/>
        <v>3</v>
      </c>
      <c r="AI1723" t="str">
        <f t="shared" si="241"/>
        <v/>
      </c>
      <c r="AJ1723" t="str">
        <f t="shared" si="242"/>
        <v/>
      </c>
    </row>
    <row r="1724" spans="1:36">
      <c r="A1724" s="5">
        <v>2048</v>
      </c>
      <c r="B1724" s="5" t="s">
        <v>805</v>
      </c>
      <c r="C1724" s="5" t="s">
        <v>796</v>
      </c>
      <c r="D1724" s="5" t="s">
        <v>797</v>
      </c>
      <c r="E1724" s="5" t="s">
        <v>709</v>
      </c>
      <c r="F1724" s="5" t="str">
        <f t="shared" si="234"/>
        <v>M and E-Lead</v>
      </c>
      <c r="G1724" s="5" t="s">
        <v>103</v>
      </c>
      <c r="H1724" s="9">
        <v>44755.200532407405</v>
      </c>
      <c r="I1724" s="9">
        <v>44759.200532407405</v>
      </c>
      <c r="J1724" s="9" t="e">
        <f>I1724+#REF!</f>
        <v>#REF!</v>
      </c>
      <c r="K1724" s="9" t="e">
        <f>J1724+#REF!</f>
        <v>#REF!</v>
      </c>
      <c r="L1724" s="10" t="s">
        <v>41</v>
      </c>
      <c r="M1724" s="11">
        <v>44775.200532407405</v>
      </c>
      <c r="N1724" s="5" t="s">
        <v>42</v>
      </c>
      <c r="O1724" s="5" t="s">
        <v>73</v>
      </c>
      <c r="P1724" s="9"/>
      <c r="Q1724" s="5"/>
      <c r="R1724" s="5"/>
      <c r="S1724" s="5"/>
      <c r="T1724" s="9"/>
      <c r="U1724" s="5"/>
      <c r="V1724" s="5">
        <v>0</v>
      </c>
      <c r="W1724" s="5"/>
      <c r="X1724" s="5"/>
      <c r="Y1724" s="5"/>
      <c r="Z1724" s="5"/>
      <c r="AA1724" s="5" t="s">
        <v>44</v>
      </c>
      <c r="AC1724">
        <f t="shared" si="235"/>
        <v>16</v>
      </c>
      <c r="AD1724" t="str">
        <f t="shared" si="236"/>
        <v/>
      </c>
      <c r="AE1724" t="str">
        <f t="shared" si="237"/>
        <v/>
      </c>
      <c r="AF1724" t="str">
        <f t="shared" si="238"/>
        <v/>
      </c>
      <c r="AG1724" t="str">
        <f t="shared" si="239"/>
        <v/>
      </c>
      <c r="AH1724">
        <f t="shared" si="240"/>
        <v>4</v>
      </c>
      <c r="AI1724" t="str">
        <f t="shared" si="241"/>
        <v/>
      </c>
      <c r="AJ1724" t="str">
        <f t="shared" si="242"/>
        <v/>
      </c>
    </row>
    <row r="1725" spans="1:36">
      <c r="A1725" s="5">
        <v>2049</v>
      </c>
      <c r="B1725" s="5" t="s">
        <v>842</v>
      </c>
      <c r="C1725" s="5" t="s">
        <v>796</v>
      </c>
      <c r="D1725" s="5" t="s">
        <v>814</v>
      </c>
      <c r="E1725" s="5" t="s">
        <v>815</v>
      </c>
      <c r="F1725" s="5" t="str">
        <f t="shared" si="234"/>
        <v>M and E-Auditor</v>
      </c>
      <c r="G1725" s="5" t="s">
        <v>147</v>
      </c>
      <c r="H1725" s="9">
        <v>44762.200532407405</v>
      </c>
      <c r="I1725" s="9">
        <v>44763.200532407405</v>
      </c>
      <c r="J1725" s="9" t="e">
        <f>I1725+#REF!</f>
        <v>#REF!</v>
      </c>
      <c r="K1725" s="9" t="e">
        <f>J1725+#REF!</f>
        <v>#REF!</v>
      </c>
      <c r="L1725" s="10" t="s">
        <v>52</v>
      </c>
      <c r="M1725" s="11"/>
      <c r="N1725" s="5"/>
      <c r="O1725" s="5"/>
      <c r="P1725" s="9"/>
      <c r="Q1725" s="5"/>
      <c r="R1725" s="5"/>
      <c r="S1725" s="5"/>
      <c r="T1725" s="9"/>
      <c r="U1725" s="5"/>
      <c r="V1725" s="5">
        <v>0</v>
      </c>
      <c r="W1725" s="5"/>
      <c r="X1725" s="5"/>
      <c r="Y1725" s="5"/>
      <c r="Z1725" s="5"/>
      <c r="AA1725" s="5"/>
      <c r="AC1725" t="str">
        <f t="shared" si="235"/>
        <v/>
      </c>
      <c r="AD1725" t="str">
        <f t="shared" si="236"/>
        <v/>
      </c>
      <c r="AE1725" t="str">
        <f t="shared" si="237"/>
        <v/>
      </c>
      <c r="AF1725" t="str">
        <f t="shared" si="238"/>
        <v/>
      </c>
      <c r="AG1725" t="str">
        <f t="shared" si="239"/>
        <v/>
      </c>
      <c r="AH1725">
        <f t="shared" si="240"/>
        <v>1</v>
      </c>
      <c r="AI1725" t="str">
        <f t="shared" si="241"/>
        <v/>
      </c>
      <c r="AJ1725" t="str">
        <f t="shared" si="242"/>
        <v/>
      </c>
    </row>
    <row r="1726" spans="1:36">
      <c r="A1726" s="5">
        <v>2050</v>
      </c>
      <c r="B1726" s="5" t="s">
        <v>1033</v>
      </c>
      <c r="C1726" s="5" t="s">
        <v>796</v>
      </c>
      <c r="D1726" s="5" t="s">
        <v>1026</v>
      </c>
      <c r="E1726" s="5" t="s">
        <v>709</v>
      </c>
      <c r="F1726" s="5" t="str">
        <f t="shared" si="234"/>
        <v>M and E-Lead</v>
      </c>
      <c r="G1726" s="5" t="s">
        <v>56</v>
      </c>
      <c r="H1726" s="9">
        <v>44759.200532407405</v>
      </c>
      <c r="I1726" s="9">
        <v>44762.200532407405</v>
      </c>
      <c r="J1726" s="9" t="e">
        <f>I1726+#REF!</f>
        <v>#REF!</v>
      </c>
      <c r="K1726" s="9" t="e">
        <f>J1726+#REF!</f>
        <v>#REF!</v>
      </c>
      <c r="L1726" s="10" t="s">
        <v>52</v>
      </c>
      <c r="M1726" s="11"/>
      <c r="N1726" s="5"/>
      <c r="O1726" s="5"/>
      <c r="P1726" s="9"/>
      <c r="Q1726" s="5"/>
      <c r="R1726" s="5"/>
      <c r="S1726" s="5"/>
      <c r="T1726" s="9"/>
      <c r="U1726" s="5"/>
      <c r="V1726" s="5">
        <v>0</v>
      </c>
      <c r="W1726" s="5"/>
      <c r="X1726" s="5"/>
      <c r="Y1726" s="5"/>
      <c r="Z1726" s="5"/>
      <c r="AA1726" s="5"/>
      <c r="AC1726" t="str">
        <f t="shared" si="235"/>
        <v/>
      </c>
      <c r="AD1726" t="str">
        <f t="shared" si="236"/>
        <v/>
      </c>
      <c r="AE1726" t="str">
        <f t="shared" si="237"/>
        <v/>
      </c>
      <c r="AF1726" t="str">
        <f t="shared" si="238"/>
        <v/>
      </c>
      <c r="AG1726" t="str">
        <f t="shared" si="239"/>
        <v/>
      </c>
      <c r="AH1726">
        <f t="shared" si="240"/>
        <v>3</v>
      </c>
      <c r="AI1726" t="str">
        <f t="shared" si="241"/>
        <v/>
      </c>
      <c r="AJ1726" t="str">
        <f t="shared" si="242"/>
        <v/>
      </c>
    </row>
    <row r="1727" spans="1:36">
      <c r="A1727" s="5">
        <v>2051</v>
      </c>
      <c r="B1727" s="5" t="s">
        <v>1297</v>
      </c>
      <c r="C1727" s="10" t="s">
        <v>1215</v>
      </c>
      <c r="D1727" s="5" t="s">
        <v>1287</v>
      </c>
      <c r="E1727" s="5" t="s">
        <v>1146</v>
      </c>
      <c r="F1727" s="5" t="str">
        <f t="shared" si="234"/>
        <v>HR-Quality Assurance</v>
      </c>
      <c r="G1727" s="5" t="s">
        <v>47</v>
      </c>
      <c r="H1727" s="9">
        <v>44577.831099537034</v>
      </c>
      <c r="I1727" s="9">
        <v>44578.831099537034</v>
      </c>
      <c r="J1727" s="9" t="e">
        <f>I1727+#REF!</f>
        <v>#REF!</v>
      </c>
      <c r="K1727" s="9" t="e">
        <f>J1727+#REF!</f>
        <v>#REF!</v>
      </c>
      <c r="L1727" s="10" t="s">
        <v>41</v>
      </c>
      <c r="M1727" s="11">
        <v>44585.831099537034</v>
      </c>
      <c r="N1727" s="5" t="s">
        <v>48</v>
      </c>
      <c r="O1727" s="5"/>
      <c r="P1727" s="9">
        <v>44591.831099537034</v>
      </c>
      <c r="Q1727" s="5" t="s">
        <v>48</v>
      </c>
      <c r="R1727" s="5"/>
      <c r="S1727" s="5"/>
      <c r="T1727" s="9">
        <v>44588.831099537034</v>
      </c>
      <c r="U1727" s="5"/>
      <c r="V1727" s="5">
        <v>0</v>
      </c>
      <c r="W1727" s="5"/>
      <c r="X1727" s="5"/>
      <c r="Y1727" s="5"/>
      <c r="Z1727" s="5"/>
      <c r="AA1727" s="5"/>
      <c r="AC1727">
        <f t="shared" si="235"/>
        <v>7</v>
      </c>
      <c r="AD1727" t="str">
        <f t="shared" si="236"/>
        <v/>
      </c>
      <c r="AE1727">
        <f t="shared" si="237"/>
        <v>3</v>
      </c>
      <c r="AF1727" t="str">
        <f t="shared" si="238"/>
        <v/>
      </c>
      <c r="AG1727" t="str">
        <f t="shared" si="239"/>
        <v/>
      </c>
      <c r="AH1727">
        <f t="shared" si="240"/>
        <v>1</v>
      </c>
      <c r="AI1727" t="str">
        <f t="shared" si="241"/>
        <v/>
      </c>
      <c r="AJ1727" t="str">
        <f t="shared" si="242"/>
        <v/>
      </c>
    </row>
    <row r="1728" spans="1:36">
      <c r="A1728" s="5">
        <v>2052</v>
      </c>
      <c r="B1728" s="5" t="s">
        <v>752</v>
      </c>
      <c r="C1728" s="10" t="s">
        <v>671</v>
      </c>
      <c r="D1728" s="5" t="s">
        <v>747</v>
      </c>
      <c r="E1728" s="5" t="s">
        <v>55</v>
      </c>
      <c r="F1728" s="5" t="str">
        <f t="shared" si="234"/>
        <v>Operations-Director</v>
      </c>
      <c r="G1728" s="5" t="s">
        <v>47</v>
      </c>
      <c r="H1728" s="9">
        <v>44570.831099537034</v>
      </c>
      <c r="I1728" s="9">
        <v>44574.831099537034</v>
      </c>
      <c r="J1728" s="9" t="e">
        <f>I1728+#REF!</f>
        <v>#REF!</v>
      </c>
      <c r="K1728" s="9" t="e">
        <f>J1728+#REF!</f>
        <v>#REF!</v>
      </c>
      <c r="L1728" s="10" t="s">
        <v>52</v>
      </c>
      <c r="M1728" s="11"/>
      <c r="N1728" s="5"/>
      <c r="O1728" s="5"/>
      <c r="P1728" s="9"/>
      <c r="Q1728" s="5"/>
      <c r="R1728" s="5"/>
      <c r="S1728" s="5"/>
      <c r="T1728" s="9"/>
      <c r="U1728" s="5"/>
      <c r="V1728" s="5">
        <v>0</v>
      </c>
      <c r="W1728" s="5"/>
      <c r="X1728" s="5"/>
      <c r="Y1728" s="5"/>
      <c r="Z1728" s="5"/>
      <c r="AA1728" s="5"/>
      <c r="AC1728" t="str">
        <f t="shared" si="235"/>
        <v/>
      </c>
      <c r="AD1728" t="str">
        <f t="shared" si="236"/>
        <v/>
      </c>
      <c r="AE1728" t="str">
        <f t="shared" si="237"/>
        <v/>
      </c>
      <c r="AF1728" t="str">
        <f t="shared" si="238"/>
        <v/>
      </c>
      <c r="AG1728" t="str">
        <f t="shared" si="239"/>
        <v/>
      </c>
      <c r="AH1728">
        <f t="shared" si="240"/>
        <v>4</v>
      </c>
      <c r="AI1728" t="str">
        <f t="shared" si="241"/>
        <v/>
      </c>
      <c r="AJ1728" t="str">
        <f t="shared" si="242"/>
        <v/>
      </c>
    </row>
    <row r="1729" spans="1:36">
      <c r="A1729" s="5">
        <v>2054</v>
      </c>
      <c r="B1729" s="5" t="s">
        <v>2173</v>
      </c>
      <c r="C1729" s="10" t="s">
        <v>2089</v>
      </c>
      <c r="D1729" s="5" t="s">
        <v>2167</v>
      </c>
      <c r="E1729" s="5" t="s">
        <v>269</v>
      </c>
      <c r="F1729" s="5" t="str">
        <f t="shared" si="234"/>
        <v>Communication and Advocacy-Manager</v>
      </c>
      <c r="G1729" s="5" t="s">
        <v>270</v>
      </c>
      <c r="H1729" s="9">
        <v>44576.831099537034</v>
      </c>
      <c r="I1729" s="9">
        <v>44577.831099537034</v>
      </c>
      <c r="J1729" s="9" t="e">
        <f>I1729+#REF!</f>
        <v>#REF!</v>
      </c>
      <c r="K1729" s="9" t="e">
        <f>J1729+#REF!</f>
        <v>#REF!</v>
      </c>
      <c r="L1729" s="10" t="s">
        <v>41</v>
      </c>
      <c r="M1729" s="11">
        <v>44596.831099537034</v>
      </c>
      <c r="N1729" s="5" t="s">
        <v>64</v>
      </c>
      <c r="O1729" s="5"/>
      <c r="P1729" s="9">
        <v>44601.831099537034</v>
      </c>
      <c r="Q1729" s="5" t="s">
        <v>64</v>
      </c>
      <c r="R1729" s="9">
        <v>44597.831099537034</v>
      </c>
      <c r="S1729" s="9">
        <v>44600.831099537034</v>
      </c>
      <c r="T1729" s="9">
        <v>44600.831099537034</v>
      </c>
      <c r="U1729" s="9">
        <v>44602.831099537034</v>
      </c>
      <c r="V1729" s="12">
        <v>1</v>
      </c>
      <c r="W1729" s="9">
        <v>44606.831099537034</v>
      </c>
      <c r="X1729" s="9">
        <v>44607.831099537034</v>
      </c>
      <c r="Y1729" s="9">
        <v>44610.831099537034</v>
      </c>
      <c r="Z1729" s="5"/>
      <c r="AA1729" s="5"/>
      <c r="AB1729" s="13">
        <v>44618.831099537034</v>
      </c>
      <c r="AC1729">
        <f t="shared" si="235"/>
        <v>19</v>
      </c>
      <c r="AD1729">
        <f t="shared" si="236"/>
        <v>23</v>
      </c>
      <c r="AE1729">
        <f t="shared" si="237"/>
        <v>4</v>
      </c>
      <c r="AF1729">
        <f t="shared" si="238"/>
        <v>5</v>
      </c>
      <c r="AG1729">
        <f t="shared" si="239"/>
        <v>4</v>
      </c>
      <c r="AH1729">
        <f t="shared" si="240"/>
        <v>1</v>
      </c>
      <c r="AI1729" t="str">
        <f t="shared" si="241"/>
        <v/>
      </c>
      <c r="AJ1729" t="str">
        <f t="shared" si="242"/>
        <v/>
      </c>
    </row>
    <row r="1730" spans="1:36">
      <c r="A1730" s="5">
        <v>2055</v>
      </c>
      <c r="B1730" s="5" t="s">
        <v>1131</v>
      </c>
      <c r="C1730" s="10" t="s">
        <v>1122</v>
      </c>
      <c r="D1730" s="5" t="s">
        <v>1123</v>
      </c>
      <c r="E1730" s="5" t="s">
        <v>102</v>
      </c>
      <c r="F1730" s="5" t="str">
        <f t="shared" ref="F1730:F1793" si="243">_xlfn.CONCAT(C1730,"-",E1730)</f>
        <v>IT-Senior Manager</v>
      </c>
      <c r="G1730" s="5" t="s">
        <v>103</v>
      </c>
      <c r="H1730" s="9">
        <v>44574.831099537034</v>
      </c>
      <c r="I1730" s="9">
        <v>44577.831099537034</v>
      </c>
      <c r="J1730" s="9" t="e">
        <f>I1730+#REF!</f>
        <v>#REF!</v>
      </c>
      <c r="K1730" s="9" t="e">
        <f>J1730+#REF!</f>
        <v>#REF!</v>
      </c>
      <c r="L1730" s="10" t="s">
        <v>41</v>
      </c>
      <c r="M1730" s="11">
        <v>44583.831099537034</v>
      </c>
      <c r="N1730" s="5" t="s">
        <v>42</v>
      </c>
      <c r="O1730" s="5" t="s">
        <v>43</v>
      </c>
      <c r="P1730" s="9"/>
      <c r="Q1730" s="5"/>
      <c r="R1730" s="5"/>
      <c r="S1730" s="5"/>
      <c r="T1730" s="9"/>
      <c r="U1730" s="5"/>
      <c r="V1730" s="5">
        <v>0</v>
      </c>
      <c r="W1730" s="5"/>
      <c r="X1730" s="5"/>
      <c r="Y1730" s="5"/>
      <c r="Z1730" s="5"/>
      <c r="AA1730" s="5" t="s">
        <v>44</v>
      </c>
      <c r="AC1730">
        <f t="shared" ref="AC1730:AC1793" si="244">IF(AND(ISNUMBER(M1730), ISNUMBER(I1730)), M1730 - I1730, "")</f>
        <v>6</v>
      </c>
      <c r="AD1730" t="str">
        <f t="shared" si="236"/>
        <v/>
      </c>
      <c r="AE1730" t="str">
        <f t="shared" si="237"/>
        <v/>
      </c>
      <c r="AF1730" t="str">
        <f t="shared" si="238"/>
        <v/>
      </c>
      <c r="AG1730" t="str">
        <f t="shared" si="239"/>
        <v/>
      </c>
      <c r="AH1730">
        <f t="shared" si="240"/>
        <v>3</v>
      </c>
      <c r="AI1730" t="str">
        <f t="shared" si="241"/>
        <v/>
      </c>
      <c r="AJ1730" t="str">
        <f t="shared" si="242"/>
        <v/>
      </c>
    </row>
    <row r="1731" spans="1:36">
      <c r="A1731" s="5">
        <v>2056</v>
      </c>
      <c r="B1731" s="5" t="s">
        <v>2172</v>
      </c>
      <c r="C1731" s="10" t="s">
        <v>2089</v>
      </c>
      <c r="D1731" s="5" t="s">
        <v>2167</v>
      </c>
      <c r="E1731" s="5" t="s">
        <v>269</v>
      </c>
      <c r="F1731" s="5" t="str">
        <f t="shared" si="243"/>
        <v>Communication and Advocacy-Manager</v>
      </c>
      <c r="G1731" s="5" t="s">
        <v>270</v>
      </c>
      <c r="H1731" s="9">
        <v>44573.831099537034</v>
      </c>
      <c r="I1731" s="9">
        <v>44575.831099537034</v>
      </c>
      <c r="J1731" s="9" t="e">
        <f>I1731+#REF!</f>
        <v>#REF!</v>
      </c>
      <c r="K1731" s="9" t="e">
        <f>J1731+#REF!</f>
        <v>#REF!</v>
      </c>
      <c r="L1731" s="10" t="s">
        <v>52</v>
      </c>
      <c r="M1731" s="11"/>
      <c r="N1731" s="5"/>
      <c r="O1731" s="5"/>
      <c r="P1731" s="9"/>
      <c r="Q1731" s="5"/>
      <c r="R1731" s="5"/>
      <c r="S1731" s="5"/>
      <c r="T1731" s="9"/>
      <c r="U1731" s="5"/>
      <c r="V1731" s="5">
        <v>0</v>
      </c>
      <c r="W1731" s="5"/>
      <c r="X1731" s="5"/>
      <c r="Y1731" s="5"/>
      <c r="Z1731" s="5"/>
      <c r="AA1731" s="5"/>
      <c r="AC1731" t="str">
        <f t="shared" si="244"/>
        <v/>
      </c>
      <c r="AD1731" t="str">
        <f t="shared" ref="AD1731:AD1794" si="245">IF(AND(ISNUMBER(S1731), ISNUMBER(I1731)), S1731 - I1731, "")</f>
        <v/>
      </c>
      <c r="AE1731" t="str">
        <f t="shared" ref="AE1731:AE1794" si="246">IF(AND(ISNUMBER(T1731), ISNUMBER(M1731)), T1731-M1731, "")</f>
        <v/>
      </c>
      <c r="AF1731" t="str">
        <f t="shared" ref="AF1731:AF1794" si="247">IF(AND(ISNUMBER(X1731), ISNUMBER(U1731)), X1731-U1731,"")</f>
        <v/>
      </c>
      <c r="AG1731" t="str">
        <f t="shared" ref="AG1731:AG1794" si="248">IF(AND(ISNUMBER(W1731), ISNUMBER(U1731)), W1731-U1731, "")</f>
        <v/>
      </c>
      <c r="AH1731">
        <f t="shared" ref="AH1731:AH1794" si="249">IF(AND(ISNUMBER(I1731), ISNUMBER(H1731)), I1731-H1731,"")</f>
        <v>2</v>
      </c>
      <c r="AI1731" t="str">
        <f t="shared" ref="AI1731:AI1794" si="250">IF(AND(ISNUMBER(J1731),ISNUMBER(K1731)),K1731-J1731,"")</f>
        <v/>
      </c>
      <c r="AJ1731" t="str">
        <f t="shared" ref="AJ1731:AJ1794" si="251">IF(AND(ISNUMBER(J1731),ISNUMBER(I1731)), J1731-I1731,"")</f>
        <v/>
      </c>
    </row>
    <row r="1732" spans="1:36">
      <c r="A1732" s="5">
        <v>2057</v>
      </c>
      <c r="B1732" s="5" t="s">
        <v>2119</v>
      </c>
      <c r="C1732" s="10" t="s">
        <v>2089</v>
      </c>
      <c r="D1732" s="5" t="s">
        <v>2114</v>
      </c>
      <c r="E1732" s="5" t="s">
        <v>388</v>
      </c>
      <c r="F1732" s="5" t="str">
        <f t="shared" si="243"/>
        <v>Communication and Advocacy-Extension Officer</v>
      </c>
      <c r="G1732" s="5" t="s">
        <v>147</v>
      </c>
      <c r="H1732" s="9">
        <v>44576.831099537034</v>
      </c>
      <c r="I1732" s="9">
        <v>44578.831099537034</v>
      </c>
      <c r="J1732" s="9" t="e">
        <f>I1732+#REF!</f>
        <v>#REF!</v>
      </c>
      <c r="K1732" s="9" t="e">
        <f>J1732+#REF!</f>
        <v>#REF!</v>
      </c>
      <c r="L1732" s="10" t="s">
        <v>41</v>
      </c>
      <c r="M1732" s="11">
        <v>44587.831099537034</v>
      </c>
      <c r="N1732" s="5" t="s">
        <v>64</v>
      </c>
      <c r="O1732" s="5"/>
      <c r="P1732" s="9">
        <v>44591.831099537034</v>
      </c>
      <c r="Q1732" s="5" t="s">
        <v>64</v>
      </c>
      <c r="R1732" s="9">
        <v>44589.831099537034</v>
      </c>
      <c r="S1732" s="9">
        <v>44592.831099537034</v>
      </c>
      <c r="T1732" s="9">
        <v>44589.831099537034</v>
      </c>
      <c r="U1732" s="9">
        <v>44594.831099537034</v>
      </c>
      <c r="V1732" s="12">
        <v>1</v>
      </c>
      <c r="W1732" s="9">
        <v>44596.831099537034</v>
      </c>
      <c r="X1732" s="9">
        <v>44598.831099537034</v>
      </c>
      <c r="Y1732" s="9">
        <v>44601.831099537034</v>
      </c>
      <c r="Z1732" s="5"/>
      <c r="AA1732" s="5"/>
      <c r="AB1732" s="13">
        <v>44613.831099537034</v>
      </c>
      <c r="AC1732">
        <f t="shared" si="244"/>
        <v>9</v>
      </c>
      <c r="AD1732">
        <f t="shared" si="245"/>
        <v>14</v>
      </c>
      <c r="AE1732">
        <f t="shared" si="246"/>
        <v>2</v>
      </c>
      <c r="AF1732">
        <f t="shared" si="247"/>
        <v>4</v>
      </c>
      <c r="AG1732">
        <f t="shared" si="248"/>
        <v>2</v>
      </c>
      <c r="AH1732">
        <f t="shared" si="249"/>
        <v>2</v>
      </c>
      <c r="AI1732" t="str">
        <f t="shared" si="250"/>
        <v/>
      </c>
      <c r="AJ1732" t="str">
        <f t="shared" si="251"/>
        <v/>
      </c>
    </row>
    <row r="1733" spans="1:36">
      <c r="A1733" s="5">
        <v>2058</v>
      </c>
      <c r="B1733" s="5" t="s">
        <v>2171</v>
      </c>
      <c r="C1733" s="10" t="s">
        <v>2089</v>
      </c>
      <c r="D1733" s="5" t="s">
        <v>2167</v>
      </c>
      <c r="E1733" s="5" t="s">
        <v>269</v>
      </c>
      <c r="F1733" s="5" t="str">
        <f t="shared" si="243"/>
        <v>Communication and Advocacy-Manager</v>
      </c>
      <c r="G1733" s="5" t="s">
        <v>270</v>
      </c>
      <c r="H1733" s="9">
        <v>44577.831099537034</v>
      </c>
      <c r="I1733" s="9">
        <v>44578.831099537034</v>
      </c>
      <c r="J1733" s="9" t="e">
        <f>I1733+#REF!</f>
        <v>#REF!</v>
      </c>
      <c r="K1733" s="9" t="e">
        <f>J1733+#REF!</f>
        <v>#REF!</v>
      </c>
      <c r="L1733" s="10" t="s">
        <v>52</v>
      </c>
      <c r="M1733" s="11"/>
      <c r="N1733" s="5"/>
      <c r="O1733" s="5"/>
      <c r="P1733" s="9"/>
      <c r="Q1733" s="5"/>
      <c r="R1733" s="5"/>
      <c r="S1733" s="5"/>
      <c r="T1733" s="9"/>
      <c r="U1733" s="5"/>
      <c r="V1733" s="5">
        <v>0</v>
      </c>
      <c r="W1733" s="5"/>
      <c r="X1733" s="5"/>
      <c r="Y1733" s="5"/>
      <c r="Z1733" s="5"/>
      <c r="AA1733" s="5"/>
      <c r="AC1733" t="str">
        <f t="shared" si="244"/>
        <v/>
      </c>
      <c r="AD1733" t="str">
        <f t="shared" si="245"/>
        <v/>
      </c>
      <c r="AE1733" t="str">
        <f t="shared" si="246"/>
        <v/>
      </c>
      <c r="AF1733" t="str">
        <f t="shared" si="247"/>
        <v/>
      </c>
      <c r="AG1733" t="str">
        <f t="shared" si="248"/>
        <v/>
      </c>
      <c r="AH1733">
        <f t="shared" si="249"/>
        <v>1</v>
      </c>
      <c r="AI1733" t="str">
        <f t="shared" si="250"/>
        <v/>
      </c>
      <c r="AJ1733" t="str">
        <f t="shared" si="251"/>
        <v/>
      </c>
    </row>
    <row r="1734" spans="1:36">
      <c r="A1734" s="5">
        <v>2059</v>
      </c>
      <c r="B1734" s="5" t="s">
        <v>1226</v>
      </c>
      <c r="C1734" s="10" t="s">
        <v>1215</v>
      </c>
      <c r="D1734" s="5" t="s">
        <v>1216</v>
      </c>
      <c r="E1734" s="5" t="s">
        <v>1217</v>
      </c>
      <c r="F1734" s="5" t="str">
        <f t="shared" si="243"/>
        <v>HR-Specialist</v>
      </c>
      <c r="G1734" s="5" t="s">
        <v>270</v>
      </c>
      <c r="H1734" s="9">
        <v>44572.831099537034</v>
      </c>
      <c r="I1734" s="9">
        <v>44575.831099537034</v>
      </c>
      <c r="J1734" s="9" t="e">
        <f>I1734+#REF!</f>
        <v>#REF!</v>
      </c>
      <c r="K1734" s="9" t="e">
        <f>J1734+#REF!</f>
        <v>#REF!</v>
      </c>
      <c r="L1734" s="10" t="s">
        <v>41</v>
      </c>
      <c r="M1734" s="11">
        <v>44593.831099537034</v>
      </c>
      <c r="N1734" s="5" t="s">
        <v>42</v>
      </c>
      <c r="O1734" s="5" t="s">
        <v>98</v>
      </c>
      <c r="P1734" s="9"/>
      <c r="Q1734" s="5"/>
      <c r="R1734" s="5"/>
      <c r="S1734" s="5"/>
      <c r="T1734" s="9"/>
      <c r="U1734" s="5"/>
      <c r="V1734" s="5">
        <v>0</v>
      </c>
      <c r="W1734" s="5"/>
      <c r="X1734" s="5"/>
      <c r="Y1734" s="5"/>
      <c r="Z1734" s="5"/>
      <c r="AA1734" s="5" t="s">
        <v>62</v>
      </c>
      <c r="AC1734">
        <f t="shared" si="244"/>
        <v>18</v>
      </c>
      <c r="AD1734" t="str">
        <f t="shared" si="245"/>
        <v/>
      </c>
      <c r="AE1734" t="str">
        <f t="shared" si="246"/>
        <v/>
      </c>
      <c r="AF1734" t="str">
        <f t="shared" si="247"/>
        <v/>
      </c>
      <c r="AG1734" t="str">
        <f t="shared" si="248"/>
        <v/>
      </c>
      <c r="AH1734">
        <f t="shared" si="249"/>
        <v>3</v>
      </c>
      <c r="AI1734" t="str">
        <f t="shared" si="250"/>
        <v/>
      </c>
      <c r="AJ1734" t="str">
        <f t="shared" si="251"/>
        <v/>
      </c>
    </row>
    <row r="1735" spans="1:36">
      <c r="A1735" s="5">
        <v>2061</v>
      </c>
      <c r="B1735" s="5" t="s">
        <v>305</v>
      </c>
      <c r="C1735" s="5" t="s">
        <v>100</v>
      </c>
      <c r="D1735" s="5" t="s">
        <v>268</v>
      </c>
      <c r="E1735" s="5" t="s">
        <v>291</v>
      </c>
      <c r="F1735" s="5" t="str">
        <f t="shared" si="243"/>
        <v>Program Office-Cordination Manager</v>
      </c>
      <c r="G1735" s="5" t="s">
        <v>270</v>
      </c>
      <c r="H1735" s="9">
        <v>44866.782581018517</v>
      </c>
      <c r="I1735" s="9">
        <v>44870.782581018517</v>
      </c>
      <c r="J1735" s="9" t="e">
        <f>I1735+#REF!</f>
        <v>#REF!</v>
      </c>
      <c r="K1735" s="9" t="e">
        <f>J1735+#REF!</f>
        <v>#REF!</v>
      </c>
      <c r="L1735" s="10" t="s">
        <v>41</v>
      </c>
      <c r="M1735" s="11">
        <v>44878.782581018517</v>
      </c>
      <c r="N1735" s="5" t="s">
        <v>42</v>
      </c>
      <c r="O1735" s="5" t="s">
        <v>98</v>
      </c>
      <c r="P1735" s="9"/>
      <c r="Q1735" s="5"/>
      <c r="R1735" s="5"/>
      <c r="S1735" s="5"/>
      <c r="T1735" s="9"/>
      <c r="U1735" s="5"/>
      <c r="V1735" s="5">
        <v>0</v>
      </c>
      <c r="W1735" s="5"/>
      <c r="X1735" s="5"/>
      <c r="Y1735" s="5"/>
      <c r="Z1735" s="5"/>
      <c r="AA1735" s="5" t="s">
        <v>44</v>
      </c>
      <c r="AC1735">
        <f t="shared" si="244"/>
        <v>8</v>
      </c>
      <c r="AD1735" t="str">
        <f t="shared" si="245"/>
        <v/>
      </c>
      <c r="AE1735" t="str">
        <f t="shared" si="246"/>
        <v/>
      </c>
      <c r="AF1735" t="str">
        <f t="shared" si="247"/>
        <v/>
      </c>
      <c r="AG1735" t="str">
        <f t="shared" si="248"/>
        <v/>
      </c>
      <c r="AH1735">
        <f t="shared" si="249"/>
        <v>4</v>
      </c>
      <c r="AI1735" t="str">
        <f t="shared" si="250"/>
        <v/>
      </c>
      <c r="AJ1735" t="str">
        <f t="shared" si="251"/>
        <v/>
      </c>
    </row>
    <row r="1736" spans="1:36">
      <c r="A1736" s="5">
        <v>2062</v>
      </c>
      <c r="B1736" s="5" t="s">
        <v>603</v>
      </c>
      <c r="C1736" s="5" t="s">
        <v>100</v>
      </c>
      <c r="D1736" s="5" t="s">
        <v>554</v>
      </c>
      <c r="E1736" s="5" t="s">
        <v>597</v>
      </c>
      <c r="F1736" s="5" t="str">
        <f t="shared" si="243"/>
        <v>Program Office-Business Partner</v>
      </c>
      <c r="G1736" s="5" t="s">
        <v>47</v>
      </c>
      <c r="H1736" s="9">
        <v>44869.782581018517</v>
      </c>
      <c r="I1736" s="9">
        <v>44872.782581018517</v>
      </c>
      <c r="J1736" s="9" t="e">
        <f>I1736+#REF!</f>
        <v>#REF!</v>
      </c>
      <c r="K1736" s="9" t="e">
        <f>J1736+#REF!</f>
        <v>#REF!</v>
      </c>
      <c r="L1736" s="10" t="s">
        <v>41</v>
      </c>
      <c r="M1736" s="11">
        <v>44888.782581018517</v>
      </c>
      <c r="N1736" s="5" t="s">
        <v>42</v>
      </c>
      <c r="O1736" s="5" t="s">
        <v>113</v>
      </c>
      <c r="P1736" s="9"/>
      <c r="Q1736" s="5"/>
      <c r="R1736" s="5"/>
      <c r="S1736" s="5"/>
      <c r="T1736" s="9"/>
      <c r="U1736" s="5"/>
      <c r="V1736" s="5">
        <v>0</v>
      </c>
      <c r="W1736" s="5"/>
      <c r="X1736" s="5"/>
      <c r="Y1736" s="5"/>
      <c r="Z1736" s="5"/>
      <c r="AA1736" s="5" t="s">
        <v>62</v>
      </c>
      <c r="AC1736">
        <f t="shared" si="244"/>
        <v>16</v>
      </c>
      <c r="AD1736" t="str">
        <f t="shared" si="245"/>
        <v/>
      </c>
      <c r="AE1736" t="str">
        <f t="shared" si="246"/>
        <v/>
      </c>
      <c r="AF1736" t="str">
        <f t="shared" si="247"/>
        <v/>
      </c>
      <c r="AG1736" t="str">
        <f t="shared" si="248"/>
        <v/>
      </c>
      <c r="AH1736">
        <f t="shared" si="249"/>
        <v>3</v>
      </c>
      <c r="AI1736" t="str">
        <f t="shared" si="250"/>
        <v/>
      </c>
      <c r="AJ1736" t="str">
        <f t="shared" si="251"/>
        <v/>
      </c>
    </row>
    <row r="1737" spans="1:36">
      <c r="A1737" s="5">
        <v>2063</v>
      </c>
      <c r="B1737" s="5" t="s">
        <v>188</v>
      </c>
      <c r="C1737" s="5" t="s">
        <v>100</v>
      </c>
      <c r="D1737" s="5" t="s">
        <v>146</v>
      </c>
      <c r="E1737" s="5" t="s">
        <v>39</v>
      </c>
      <c r="F1737" s="5" t="str">
        <f t="shared" si="243"/>
        <v>Program Office-Analyst</v>
      </c>
      <c r="G1737" s="5" t="s">
        <v>147</v>
      </c>
      <c r="H1737" s="9">
        <v>44867.782581018517</v>
      </c>
      <c r="I1737" s="9">
        <v>44869.782581018517</v>
      </c>
      <c r="J1737" s="9" t="e">
        <f>I1737+#REF!</f>
        <v>#REF!</v>
      </c>
      <c r="K1737" s="9" t="e">
        <f>J1737+#REF!</f>
        <v>#REF!</v>
      </c>
      <c r="L1737" s="10" t="s">
        <v>41</v>
      </c>
      <c r="M1737" s="11">
        <v>44884.782581018517</v>
      </c>
      <c r="N1737" s="5" t="s">
        <v>42</v>
      </c>
      <c r="O1737" s="5" t="s">
        <v>73</v>
      </c>
      <c r="P1737" s="9"/>
      <c r="Q1737" s="5"/>
      <c r="R1737" s="5"/>
      <c r="S1737" s="5"/>
      <c r="T1737" s="9"/>
      <c r="U1737" s="5"/>
      <c r="V1737" s="5">
        <v>0</v>
      </c>
      <c r="W1737" s="5"/>
      <c r="X1737" s="5"/>
      <c r="Y1737" s="5"/>
      <c r="Z1737" s="5"/>
      <c r="AA1737" s="5" t="s">
        <v>62</v>
      </c>
      <c r="AC1737">
        <f t="shared" si="244"/>
        <v>15</v>
      </c>
      <c r="AD1737" t="str">
        <f t="shared" si="245"/>
        <v/>
      </c>
      <c r="AE1737" t="str">
        <f t="shared" si="246"/>
        <v/>
      </c>
      <c r="AF1737" t="str">
        <f t="shared" si="247"/>
        <v/>
      </c>
      <c r="AG1737" t="str">
        <f t="shared" si="248"/>
        <v/>
      </c>
      <c r="AH1737">
        <f t="shared" si="249"/>
        <v>2</v>
      </c>
      <c r="AI1737" t="str">
        <f t="shared" si="250"/>
        <v/>
      </c>
      <c r="AJ1737" t="str">
        <f t="shared" si="251"/>
        <v/>
      </c>
    </row>
    <row r="1738" spans="1:36">
      <c r="A1738" s="5">
        <v>2064</v>
      </c>
      <c r="B1738" s="5" t="s">
        <v>602</v>
      </c>
      <c r="C1738" s="5" t="s">
        <v>100</v>
      </c>
      <c r="D1738" s="5" t="s">
        <v>554</v>
      </c>
      <c r="E1738" s="5" t="s">
        <v>597</v>
      </c>
      <c r="F1738" s="5" t="str">
        <f t="shared" si="243"/>
        <v>Program Office-Business Partner</v>
      </c>
      <c r="G1738" s="5" t="s">
        <v>47</v>
      </c>
      <c r="H1738" s="9">
        <v>44867.782581018517</v>
      </c>
      <c r="I1738" s="9">
        <v>44868.782581018517</v>
      </c>
      <c r="J1738" s="9" t="e">
        <f>I1738+#REF!</f>
        <v>#REF!</v>
      </c>
      <c r="K1738" s="9" t="e">
        <f>J1738+#REF!</f>
        <v>#REF!</v>
      </c>
      <c r="L1738" s="10" t="s">
        <v>41</v>
      </c>
      <c r="M1738" s="11">
        <v>44882.782581018517</v>
      </c>
      <c r="N1738" s="5" t="s">
        <v>48</v>
      </c>
      <c r="O1738" s="5"/>
      <c r="P1738" s="9">
        <v>44889.782581018517</v>
      </c>
      <c r="Q1738" s="5" t="s">
        <v>48</v>
      </c>
      <c r="R1738" s="5"/>
      <c r="S1738" s="5"/>
      <c r="T1738" s="9">
        <v>44886.782581018517</v>
      </c>
      <c r="U1738" s="5"/>
      <c r="V1738" s="5">
        <v>0</v>
      </c>
      <c r="W1738" s="5"/>
      <c r="X1738" s="5"/>
      <c r="Y1738" s="5"/>
      <c r="Z1738" s="5"/>
      <c r="AA1738" s="5"/>
      <c r="AC1738">
        <f t="shared" si="244"/>
        <v>14</v>
      </c>
      <c r="AD1738" t="str">
        <f t="shared" si="245"/>
        <v/>
      </c>
      <c r="AE1738">
        <f t="shared" si="246"/>
        <v>4</v>
      </c>
      <c r="AF1738" t="str">
        <f t="shared" si="247"/>
        <v/>
      </c>
      <c r="AG1738" t="str">
        <f t="shared" si="248"/>
        <v/>
      </c>
      <c r="AH1738">
        <f t="shared" si="249"/>
        <v>1</v>
      </c>
      <c r="AI1738" t="str">
        <f t="shared" si="250"/>
        <v/>
      </c>
      <c r="AJ1738" t="str">
        <f t="shared" si="251"/>
        <v/>
      </c>
    </row>
    <row r="1739" spans="1:36">
      <c r="A1739" s="5">
        <v>2068</v>
      </c>
      <c r="B1739" s="5" t="s">
        <v>187</v>
      </c>
      <c r="C1739" s="5" t="s">
        <v>100</v>
      </c>
      <c r="D1739" s="5" t="s">
        <v>146</v>
      </c>
      <c r="E1739" s="5" t="s">
        <v>39</v>
      </c>
      <c r="F1739" s="5" t="str">
        <f t="shared" si="243"/>
        <v>Program Office-Analyst</v>
      </c>
      <c r="G1739" s="5" t="s">
        <v>147</v>
      </c>
      <c r="H1739" s="9">
        <v>44870.782581018517</v>
      </c>
      <c r="I1739" s="9">
        <v>44872.782581018517</v>
      </c>
      <c r="J1739" s="9" t="e">
        <f>I1739+#REF!</f>
        <v>#REF!</v>
      </c>
      <c r="K1739" s="9" t="e">
        <f>J1739+#REF!</f>
        <v>#REF!</v>
      </c>
      <c r="L1739" s="10" t="s">
        <v>41</v>
      </c>
      <c r="M1739" s="11">
        <v>44877.782581018517</v>
      </c>
      <c r="N1739" s="5" t="s">
        <v>64</v>
      </c>
      <c r="O1739" s="5"/>
      <c r="P1739" s="9">
        <v>44882.782581018517</v>
      </c>
      <c r="Q1739" s="5" t="s">
        <v>64</v>
      </c>
      <c r="R1739" s="9">
        <v>44879.782581018517</v>
      </c>
      <c r="S1739" s="9">
        <v>44880.782581018517</v>
      </c>
      <c r="T1739" s="9">
        <v>44880.782581018517</v>
      </c>
      <c r="U1739" s="9">
        <v>44886.782581018517</v>
      </c>
      <c r="V1739" s="12">
        <v>1</v>
      </c>
      <c r="W1739" s="9">
        <v>44889.782581018517</v>
      </c>
      <c r="X1739" s="9">
        <v>44891.782581018517</v>
      </c>
      <c r="Y1739" s="9">
        <v>44894.782581018517</v>
      </c>
      <c r="Z1739" s="5"/>
      <c r="AA1739" s="5"/>
      <c r="AB1739" s="13">
        <v>44904.782581018517</v>
      </c>
      <c r="AC1739">
        <f t="shared" si="244"/>
        <v>5</v>
      </c>
      <c r="AD1739">
        <f t="shared" si="245"/>
        <v>8</v>
      </c>
      <c r="AE1739">
        <f t="shared" si="246"/>
        <v>3</v>
      </c>
      <c r="AF1739">
        <f t="shared" si="247"/>
        <v>5</v>
      </c>
      <c r="AG1739">
        <f t="shared" si="248"/>
        <v>3</v>
      </c>
      <c r="AH1739">
        <f t="shared" si="249"/>
        <v>2</v>
      </c>
      <c r="AI1739" t="str">
        <f t="shared" si="250"/>
        <v/>
      </c>
      <c r="AJ1739" t="str">
        <f t="shared" si="251"/>
        <v/>
      </c>
    </row>
    <row r="1740" spans="1:36">
      <c r="A1740" s="5">
        <v>2069</v>
      </c>
      <c r="B1740" s="5" t="s">
        <v>186</v>
      </c>
      <c r="C1740" s="5" t="s">
        <v>100</v>
      </c>
      <c r="D1740" s="5" t="s">
        <v>146</v>
      </c>
      <c r="E1740" s="5" t="s">
        <v>39</v>
      </c>
      <c r="F1740" s="5" t="str">
        <f t="shared" si="243"/>
        <v>Program Office-Analyst</v>
      </c>
      <c r="G1740" s="5" t="s">
        <v>147</v>
      </c>
      <c r="H1740" s="9">
        <v>44867.782581018517</v>
      </c>
      <c r="I1740" s="9">
        <v>44869.782581018517</v>
      </c>
      <c r="J1740" s="9" t="e">
        <f>I1740+#REF!</f>
        <v>#REF!</v>
      </c>
      <c r="K1740" s="9" t="e">
        <f>J1740+#REF!</f>
        <v>#REF!</v>
      </c>
      <c r="L1740" s="10" t="s">
        <v>41</v>
      </c>
      <c r="M1740" s="11">
        <v>44887.782581018517</v>
      </c>
      <c r="N1740" s="5" t="s">
        <v>64</v>
      </c>
      <c r="O1740" s="5"/>
      <c r="P1740" s="9">
        <v>44892.782581018517</v>
      </c>
      <c r="Q1740" s="5" t="s">
        <v>64</v>
      </c>
      <c r="R1740" s="9">
        <v>44888.782581018517</v>
      </c>
      <c r="S1740" s="9">
        <v>44891.782581018517</v>
      </c>
      <c r="T1740" s="9">
        <v>44890.782581018517</v>
      </c>
      <c r="U1740" s="9">
        <v>44895.782581018517</v>
      </c>
      <c r="V1740" s="12">
        <v>1</v>
      </c>
      <c r="W1740" s="9">
        <v>44899.782581018517</v>
      </c>
      <c r="X1740" s="9">
        <v>44900.782581018517</v>
      </c>
      <c r="Y1740" s="9">
        <v>44902.782581018517</v>
      </c>
      <c r="Z1740" s="5"/>
      <c r="AA1740" s="5"/>
      <c r="AB1740" s="13">
        <v>44917.782581018517</v>
      </c>
      <c r="AC1740">
        <f t="shared" si="244"/>
        <v>18</v>
      </c>
      <c r="AD1740">
        <f t="shared" si="245"/>
        <v>22</v>
      </c>
      <c r="AE1740">
        <f t="shared" si="246"/>
        <v>3</v>
      </c>
      <c r="AF1740">
        <f t="shared" si="247"/>
        <v>5</v>
      </c>
      <c r="AG1740">
        <f t="shared" si="248"/>
        <v>4</v>
      </c>
      <c r="AH1740">
        <f t="shared" si="249"/>
        <v>2</v>
      </c>
      <c r="AI1740" t="str">
        <f t="shared" si="250"/>
        <v/>
      </c>
      <c r="AJ1740" t="str">
        <f t="shared" si="251"/>
        <v/>
      </c>
    </row>
    <row r="1741" spans="1:36">
      <c r="A1741" s="5">
        <v>2070</v>
      </c>
      <c r="B1741" s="5" t="s">
        <v>119</v>
      </c>
      <c r="C1741" s="5" t="s">
        <v>100</v>
      </c>
      <c r="D1741" s="5" t="s">
        <v>101</v>
      </c>
      <c r="E1741" s="5" t="s">
        <v>102</v>
      </c>
      <c r="F1741" s="5" t="str">
        <f t="shared" si="243"/>
        <v>Program Office-Senior Manager</v>
      </c>
      <c r="G1741" s="5" t="s">
        <v>103</v>
      </c>
      <c r="H1741" s="9">
        <v>44867.782581018517</v>
      </c>
      <c r="I1741" s="9">
        <v>44869.782581018517</v>
      </c>
      <c r="J1741" s="9" t="e">
        <f>I1741+#REF!</f>
        <v>#REF!</v>
      </c>
      <c r="K1741" s="9" t="e">
        <f>J1741+#REF!</f>
        <v>#REF!</v>
      </c>
      <c r="L1741" s="10" t="s">
        <v>41</v>
      </c>
      <c r="M1741" s="11">
        <v>44887.782581018517</v>
      </c>
      <c r="N1741" s="5" t="s">
        <v>42</v>
      </c>
      <c r="O1741" s="5" t="s">
        <v>73</v>
      </c>
      <c r="P1741" s="9"/>
      <c r="Q1741" s="5"/>
      <c r="R1741" s="5"/>
      <c r="S1741" s="5"/>
      <c r="T1741" s="9">
        <v>44891.782581018517</v>
      </c>
      <c r="U1741" s="5"/>
      <c r="V1741" s="5">
        <v>0</v>
      </c>
      <c r="W1741" s="5"/>
      <c r="X1741" s="5"/>
      <c r="Y1741" s="5"/>
      <c r="Z1741" s="5"/>
      <c r="AA1741" s="5" t="s">
        <v>62</v>
      </c>
      <c r="AC1741">
        <f t="shared" si="244"/>
        <v>18</v>
      </c>
      <c r="AD1741" t="str">
        <f t="shared" si="245"/>
        <v/>
      </c>
      <c r="AE1741">
        <f t="shared" si="246"/>
        <v>4</v>
      </c>
      <c r="AF1741" t="str">
        <f t="shared" si="247"/>
        <v/>
      </c>
      <c r="AG1741" t="str">
        <f t="shared" si="248"/>
        <v/>
      </c>
      <c r="AH1741">
        <f t="shared" si="249"/>
        <v>2</v>
      </c>
      <c r="AI1741" t="str">
        <f t="shared" si="250"/>
        <v/>
      </c>
      <c r="AJ1741" t="str">
        <f t="shared" si="251"/>
        <v/>
      </c>
    </row>
    <row r="1742" spans="1:36">
      <c r="A1742" s="5">
        <v>2072</v>
      </c>
      <c r="B1742" s="5" t="s">
        <v>1078</v>
      </c>
      <c r="C1742" s="5" t="s">
        <v>796</v>
      </c>
      <c r="D1742" s="5" t="s">
        <v>1046</v>
      </c>
      <c r="E1742" s="5" t="s">
        <v>473</v>
      </c>
      <c r="F1742" s="5" t="str">
        <f t="shared" si="243"/>
        <v>M and E-Officer</v>
      </c>
      <c r="G1742" s="5" t="s">
        <v>47</v>
      </c>
      <c r="H1742" s="9">
        <v>44918.441053240742</v>
      </c>
      <c r="I1742" s="9">
        <v>44920.441053240742</v>
      </c>
      <c r="J1742" s="9" t="e">
        <f>I1742+#REF!</f>
        <v>#REF!</v>
      </c>
      <c r="K1742" s="9" t="e">
        <f>J1742+#REF!</f>
        <v>#REF!</v>
      </c>
      <c r="L1742" s="10" t="s">
        <v>41</v>
      </c>
      <c r="M1742" s="11">
        <v>44927.441053240742</v>
      </c>
      <c r="N1742" s="5" t="s">
        <v>48</v>
      </c>
      <c r="O1742" s="5"/>
      <c r="P1742" s="9">
        <v>44934.441053240742</v>
      </c>
      <c r="Q1742" s="5" t="s">
        <v>48</v>
      </c>
      <c r="R1742" s="5"/>
      <c r="S1742" s="5"/>
      <c r="T1742" s="9">
        <v>44930.441053240742</v>
      </c>
      <c r="U1742" s="5"/>
      <c r="V1742" s="5">
        <v>0</v>
      </c>
      <c r="W1742" s="5"/>
      <c r="X1742" s="5"/>
      <c r="Y1742" s="5"/>
      <c r="Z1742" s="5"/>
      <c r="AA1742" s="5"/>
      <c r="AC1742">
        <f t="shared" si="244"/>
        <v>7</v>
      </c>
      <c r="AD1742" t="str">
        <f t="shared" si="245"/>
        <v/>
      </c>
      <c r="AE1742">
        <f t="shared" si="246"/>
        <v>3</v>
      </c>
      <c r="AF1742" t="str">
        <f t="shared" si="247"/>
        <v/>
      </c>
      <c r="AG1742" t="str">
        <f t="shared" si="248"/>
        <v/>
      </c>
      <c r="AH1742">
        <f t="shared" si="249"/>
        <v>2</v>
      </c>
      <c r="AI1742" t="str">
        <f t="shared" si="250"/>
        <v/>
      </c>
      <c r="AJ1742" t="str">
        <f t="shared" si="251"/>
        <v/>
      </c>
    </row>
    <row r="1743" spans="1:36">
      <c r="A1743" s="5">
        <v>2073</v>
      </c>
      <c r="B1743" s="5" t="s">
        <v>1032</v>
      </c>
      <c r="C1743" s="5" t="s">
        <v>796</v>
      </c>
      <c r="D1743" s="5" t="s">
        <v>1026</v>
      </c>
      <c r="E1743" s="5" t="s">
        <v>709</v>
      </c>
      <c r="F1743" s="5" t="str">
        <f t="shared" si="243"/>
        <v>M and E-Lead</v>
      </c>
      <c r="G1743" s="5" t="s">
        <v>56</v>
      </c>
      <c r="H1743" s="9">
        <v>44921.441053240742</v>
      </c>
      <c r="I1743" s="9">
        <v>44922.441053240742</v>
      </c>
      <c r="J1743" s="9" t="e">
        <f>I1743+#REF!</f>
        <v>#REF!</v>
      </c>
      <c r="K1743" s="9" t="e">
        <f>J1743+#REF!</f>
        <v>#REF!</v>
      </c>
      <c r="L1743" s="10" t="s">
        <v>52</v>
      </c>
      <c r="M1743" s="11"/>
      <c r="N1743" s="5"/>
      <c r="O1743" s="5"/>
      <c r="P1743" s="9"/>
      <c r="Q1743" s="5"/>
      <c r="R1743" s="5"/>
      <c r="S1743" s="5"/>
      <c r="T1743" s="9"/>
      <c r="U1743" s="5"/>
      <c r="V1743" s="5">
        <v>0</v>
      </c>
      <c r="W1743" s="5"/>
      <c r="X1743" s="5"/>
      <c r="Y1743" s="5"/>
      <c r="Z1743" s="5"/>
      <c r="AA1743" s="5"/>
      <c r="AC1743" t="str">
        <f t="shared" si="244"/>
        <v/>
      </c>
      <c r="AD1743" t="str">
        <f t="shared" si="245"/>
        <v/>
      </c>
      <c r="AE1743" t="str">
        <f t="shared" si="246"/>
        <v/>
      </c>
      <c r="AF1743" t="str">
        <f t="shared" si="247"/>
        <v/>
      </c>
      <c r="AG1743" t="str">
        <f t="shared" si="248"/>
        <v/>
      </c>
      <c r="AH1743">
        <f t="shared" si="249"/>
        <v>1</v>
      </c>
      <c r="AI1743" t="str">
        <f t="shared" si="250"/>
        <v/>
      </c>
      <c r="AJ1743" t="str">
        <f t="shared" si="251"/>
        <v/>
      </c>
    </row>
    <row r="1744" spans="1:36">
      <c r="A1744" s="5">
        <v>2074</v>
      </c>
      <c r="B1744" s="5" t="s">
        <v>841</v>
      </c>
      <c r="C1744" s="5" t="s">
        <v>796</v>
      </c>
      <c r="D1744" s="5" t="s">
        <v>814</v>
      </c>
      <c r="E1744" s="5" t="s">
        <v>815</v>
      </c>
      <c r="F1744" s="5" t="str">
        <f t="shared" si="243"/>
        <v>M and E-Auditor</v>
      </c>
      <c r="G1744" s="5" t="s">
        <v>147</v>
      </c>
      <c r="H1744" s="9">
        <v>44916.441053240742</v>
      </c>
      <c r="I1744" s="9">
        <v>44919.441053240742</v>
      </c>
      <c r="J1744" s="9" t="e">
        <f>I1744+#REF!</f>
        <v>#REF!</v>
      </c>
      <c r="K1744" s="9" t="e">
        <f>J1744+#REF!</f>
        <v>#REF!</v>
      </c>
      <c r="L1744" s="10" t="s">
        <v>41</v>
      </c>
      <c r="M1744" s="11">
        <v>44941.441053240742</v>
      </c>
      <c r="N1744" s="5" t="s">
        <v>42</v>
      </c>
      <c r="O1744" s="5" t="s">
        <v>113</v>
      </c>
      <c r="P1744" s="9"/>
      <c r="Q1744" s="5"/>
      <c r="R1744" s="5"/>
      <c r="S1744" s="5"/>
      <c r="T1744" s="9"/>
      <c r="U1744" s="5"/>
      <c r="V1744" s="5">
        <v>0</v>
      </c>
      <c r="W1744" s="5"/>
      <c r="X1744" s="5"/>
      <c r="Y1744" s="5"/>
      <c r="Z1744" s="5"/>
      <c r="AA1744" s="5" t="s">
        <v>62</v>
      </c>
      <c r="AC1744">
        <f t="shared" si="244"/>
        <v>22</v>
      </c>
      <c r="AD1744" t="str">
        <f t="shared" si="245"/>
        <v/>
      </c>
      <c r="AE1744" t="str">
        <f t="shared" si="246"/>
        <v/>
      </c>
      <c r="AF1744" t="str">
        <f t="shared" si="247"/>
        <v/>
      </c>
      <c r="AG1744" t="str">
        <f t="shared" si="248"/>
        <v/>
      </c>
      <c r="AH1744">
        <f t="shared" si="249"/>
        <v>3</v>
      </c>
      <c r="AI1744" t="str">
        <f t="shared" si="250"/>
        <v/>
      </c>
      <c r="AJ1744" t="str">
        <f t="shared" si="251"/>
        <v/>
      </c>
    </row>
    <row r="1745" spans="1:36">
      <c r="A1745" s="5">
        <v>2075</v>
      </c>
      <c r="B1745" s="5" t="s">
        <v>840</v>
      </c>
      <c r="C1745" s="5" t="s">
        <v>796</v>
      </c>
      <c r="D1745" s="5" t="s">
        <v>814</v>
      </c>
      <c r="E1745" s="5" t="s">
        <v>815</v>
      </c>
      <c r="F1745" s="5" t="str">
        <f t="shared" si="243"/>
        <v>M and E-Auditor</v>
      </c>
      <c r="G1745" s="5" t="s">
        <v>147</v>
      </c>
      <c r="H1745" s="9">
        <v>44921.441053240742</v>
      </c>
      <c r="I1745" s="9">
        <v>44922.441053240742</v>
      </c>
      <c r="J1745" s="9" t="e">
        <f>I1745+#REF!</f>
        <v>#REF!</v>
      </c>
      <c r="K1745" s="9" t="e">
        <f>J1745+#REF!</f>
        <v>#REF!</v>
      </c>
      <c r="L1745" s="10" t="s">
        <v>41</v>
      </c>
      <c r="M1745" s="11">
        <v>44931.441053240742</v>
      </c>
      <c r="N1745" s="5" t="s">
        <v>42</v>
      </c>
      <c r="O1745" s="5" t="s">
        <v>73</v>
      </c>
      <c r="P1745" s="9"/>
      <c r="Q1745" s="5"/>
      <c r="R1745" s="5"/>
      <c r="S1745" s="5"/>
      <c r="T1745" s="9"/>
      <c r="U1745" s="5"/>
      <c r="V1745" s="5">
        <v>0</v>
      </c>
      <c r="W1745" s="5"/>
      <c r="X1745" s="5"/>
      <c r="Y1745" s="5"/>
      <c r="Z1745" s="5"/>
      <c r="AA1745" s="5" t="s">
        <v>62</v>
      </c>
      <c r="AC1745">
        <f t="shared" si="244"/>
        <v>9</v>
      </c>
      <c r="AD1745" t="str">
        <f t="shared" si="245"/>
        <v/>
      </c>
      <c r="AE1745" t="str">
        <f t="shared" si="246"/>
        <v/>
      </c>
      <c r="AF1745" t="str">
        <f t="shared" si="247"/>
        <v/>
      </c>
      <c r="AG1745" t="str">
        <f t="shared" si="248"/>
        <v/>
      </c>
      <c r="AH1745">
        <f t="shared" si="249"/>
        <v>1</v>
      </c>
      <c r="AI1745" t="str">
        <f t="shared" si="250"/>
        <v/>
      </c>
      <c r="AJ1745" t="str">
        <f t="shared" si="251"/>
        <v/>
      </c>
    </row>
    <row r="1746" spans="1:36">
      <c r="A1746" s="5">
        <v>2076</v>
      </c>
      <c r="B1746" s="5" t="s">
        <v>912</v>
      </c>
      <c r="C1746" s="5" t="s">
        <v>796</v>
      </c>
      <c r="D1746" s="5" t="s">
        <v>893</v>
      </c>
      <c r="E1746" s="5" t="s">
        <v>269</v>
      </c>
      <c r="F1746" s="5" t="str">
        <f t="shared" si="243"/>
        <v>M and E-Manager</v>
      </c>
      <c r="G1746" s="5" t="s">
        <v>270</v>
      </c>
      <c r="H1746" s="9">
        <v>44920.441053240742</v>
      </c>
      <c r="I1746" s="9">
        <v>44922.441053240742</v>
      </c>
      <c r="J1746" s="9" t="e">
        <f>I1746+#REF!</f>
        <v>#REF!</v>
      </c>
      <c r="K1746" s="9" t="e">
        <f>J1746+#REF!</f>
        <v>#REF!</v>
      </c>
      <c r="L1746" s="10" t="s">
        <v>41</v>
      </c>
      <c r="M1746" s="11">
        <v>44937.441053240742</v>
      </c>
      <c r="N1746" s="5" t="s">
        <v>48</v>
      </c>
      <c r="O1746" s="5"/>
      <c r="P1746" s="9">
        <v>44942.441053240742</v>
      </c>
      <c r="Q1746" s="5" t="s">
        <v>48</v>
      </c>
      <c r="R1746" s="5"/>
      <c r="S1746" s="5"/>
      <c r="T1746" s="9">
        <v>44941.441053240742</v>
      </c>
      <c r="U1746" s="5"/>
      <c r="V1746" s="5">
        <v>0</v>
      </c>
      <c r="W1746" s="5"/>
      <c r="X1746" s="5"/>
      <c r="Y1746" s="5"/>
      <c r="Z1746" s="5"/>
      <c r="AA1746" s="5"/>
      <c r="AC1746">
        <f t="shared" si="244"/>
        <v>15</v>
      </c>
      <c r="AD1746" t="str">
        <f t="shared" si="245"/>
        <v/>
      </c>
      <c r="AE1746">
        <f t="shared" si="246"/>
        <v>4</v>
      </c>
      <c r="AF1746" t="str">
        <f t="shared" si="247"/>
        <v/>
      </c>
      <c r="AG1746" t="str">
        <f t="shared" si="248"/>
        <v/>
      </c>
      <c r="AH1746">
        <f t="shared" si="249"/>
        <v>2</v>
      </c>
      <c r="AI1746" t="str">
        <f t="shared" si="250"/>
        <v/>
      </c>
      <c r="AJ1746" t="str">
        <f t="shared" si="251"/>
        <v/>
      </c>
    </row>
    <row r="1747" spans="1:36">
      <c r="A1747" s="5">
        <v>2077</v>
      </c>
      <c r="B1747" s="5" t="s">
        <v>984</v>
      </c>
      <c r="C1747" s="5" t="s">
        <v>796</v>
      </c>
      <c r="D1747" s="5" t="s">
        <v>957</v>
      </c>
      <c r="E1747" s="5" t="s">
        <v>388</v>
      </c>
      <c r="F1747" s="5" t="str">
        <f t="shared" si="243"/>
        <v>M and E-Extension Officer</v>
      </c>
      <c r="G1747" s="5" t="s">
        <v>40</v>
      </c>
      <c r="H1747" s="9">
        <v>44916.441053240742</v>
      </c>
      <c r="I1747" s="9">
        <v>44918.441053240742</v>
      </c>
      <c r="J1747" s="9" t="e">
        <f>I1747+#REF!</f>
        <v>#REF!</v>
      </c>
      <c r="K1747" s="9" t="e">
        <f>J1747+#REF!</f>
        <v>#REF!</v>
      </c>
      <c r="L1747" s="10" t="s">
        <v>41</v>
      </c>
      <c r="M1747" s="11">
        <v>44930.441053240742</v>
      </c>
      <c r="N1747" s="5" t="s">
        <v>64</v>
      </c>
      <c r="O1747" s="5"/>
      <c r="P1747" s="9">
        <v>44934.441053240742</v>
      </c>
      <c r="Q1747" s="5" t="s">
        <v>64</v>
      </c>
      <c r="R1747" s="9">
        <v>44931.441053240742</v>
      </c>
      <c r="S1747" s="9">
        <v>44934.441053240742</v>
      </c>
      <c r="T1747" s="9">
        <v>44931.441053240742</v>
      </c>
      <c r="U1747" s="9">
        <v>44940.441053240742</v>
      </c>
      <c r="V1747" s="12">
        <v>1</v>
      </c>
      <c r="W1747" s="9">
        <v>44944.441053240742</v>
      </c>
      <c r="X1747" s="9">
        <v>44947.441053240742</v>
      </c>
      <c r="Y1747" s="9">
        <v>44950.441053240742</v>
      </c>
      <c r="Z1747" s="5"/>
      <c r="AA1747" s="5"/>
      <c r="AB1747" s="13">
        <v>44971.441053240742</v>
      </c>
      <c r="AC1747">
        <f t="shared" si="244"/>
        <v>12</v>
      </c>
      <c r="AD1747">
        <f t="shared" si="245"/>
        <v>16</v>
      </c>
      <c r="AE1747">
        <f t="shared" si="246"/>
        <v>1</v>
      </c>
      <c r="AF1747">
        <f t="shared" si="247"/>
        <v>7</v>
      </c>
      <c r="AG1747">
        <f t="shared" si="248"/>
        <v>4</v>
      </c>
      <c r="AH1747">
        <f t="shared" si="249"/>
        <v>2</v>
      </c>
      <c r="AI1747" t="str">
        <f t="shared" si="250"/>
        <v/>
      </c>
      <c r="AJ1747" t="str">
        <f t="shared" si="251"/>
        <v/>
      </c>
    </row>
    <row r="1748" spans="1:36">
      <c r="A1748" s="5">
        <v>2078</v>
      </c>
      <c r="B1748" s="5" t="s">
        <v>1031</v>
      </c>
      <c r="C1748" s="5" t="s">
        <v>796</v>
      </c>
      <c r="D1748" s="5" t="s">
        <v>1026</v>
      </c>
      <c r="E1748" s="5" t="s">
        <v>709</v>
      </c>
      <c r="F1748" s="5" t="str">
        <f t="shared" si="243"/>
        <v>M and E-Lead</v>
      </c>
      <c r="G1748" s="5" t="s">
        <v>56</v>
      </c>
      <c r="H1748" s="9">
        <v>44913.441053240742</v>
      </c>
      <c r="I1748" s="9">
        <v>44917.441053240742</v>
      </c>
      <c r="J1748" s="9" t="e">
        <f>I1748+#REF!</f>
        <v>#REF!</v>
      </c>
      <c r="K1748" s="9" t="e">
        <f>J1748+#REF!</f>
        <v>#REF!</v>
      </c>
      <c r="L1748" s="10" t="s">
        <v>52</v>
      </c>
      <c r="M1748" s="11"/>
      <c r="N1748" s="5"/>
      <c r="O1748" s="5"/>
      <c r="P1748" s="9"/>
      <c r="Q1748" s="5"/>
      <c r="R1748" s="5"/>
      <c r="S1748" s="5"/>
      <c r="T1748" s="9"/>
      <c r="U1748" s="5"/>
      <c r="V1748" s="5">
        <v>0</v>
      </c>
      <c r="W1748" s="5"/>
      <c r="X1748" s="5"/>
      <c r="Y1748" s="5"/>
      <c r="Z1748" s="5"/>
      <c r="AA1748" s="5"/>
      <c r="AC1748" t="str">
        <f t="shared" si="244"/>
        <v/>
      </c>
      <c r="AD1748" t="str">
        <f t="shared" si="245"/>
        <v/>
      </c>
      <c r="AE1748" t="str">
        <f t="shared" si="246"/>
        <v/>
      </c>
      <c r="AF1748" t="str">
        <f t="shared" si="247"/>
        <v/>
      </c>
      <c r="AG1748" t="str">
        <f t="shared" si="248"/>
        <v/>
      </c>
      <c r="AH1748">
        <f t="shared" si="249"/>
        <v>4</v>
      </c>
      <c r="AI1748" t="str">
        <f t="shared" si="250"/>
        <v/>
      </c>
      <c r="AJ1748" t="str">
        <f t="shared" si="251"/>
        <v/>
      </c>
    </row>
    <row r="1749" spans="1:36">
      <c r="A1749" s="5">
        <v>2079</v>
      </c>
      <c r="B1749" s="5" t="s">
        <v>911</v>
      </c>
      <c r="C1749" s="5" t="s">
        <v>796</v>
      </c>
      <c r="D1749" s="5" t="s">
        <v>893</v>
      </c>
      <c r="E1749" s="5" t="s">
        <v>269</v>
      </c>
      <c r="F1749" s="5" t="str">
        <f t="shared" si="243"/>
        <v>M and E-Manager</v>
      </c>
      <c r="G1749" s="5" t="s">
        <v>270</v>
      </c>
      <c r="H1749" s="9">
        <v>44914.441053240742</v>
      </c>
      <c r="I1749" s="9">
        <v>44917.441053240742</v>
      </c>
      <c r="J1749" s="9" t="e">
        <f>I1749+#REF!</f>
        <v>#REF!</v>
      </c>
      <c r="K1749" s="9" t="e">
        <f>J1749+#REF!</f>
        <v>#REF!</v>
      </c>
      <c r="L1749" s="10" t="s">
        <v>41</v>
      </c>
      <c r="M1749" s="11">
        <v>44930.441053240742</v>
      </c>
      <c r="N1749" s="5" t="s">
        <v>64</v>
      </c>
      <c r="O1749" s="5"/>
      <c r="P1749" s="9">
        <v>44935.441053240742</v>
      </c>
      <c r="Q1749" s="5" t="s">
        <v>64</v>
      </c>
      <c r="R1749" s="9">
        <v>44932.441053240742</v>
      </c>
      <c r="S1749" s="9">
        <v>44933.441053240742</v>
      </c>
      <c r="T1749" s="9">
        <v>44931.441053240742</v>
      </c>
      <c r="U1749" s="9">
        <v>44934.441053240742</v>
      </c>
      <c r="V1749" s="12">
        <v>1</v>
      </c>
      <c r="W1749" s="9">
        <v>44937.441053240742</v>
      </c>
      <c r="X1749" s="9">
        <v>44938.441053240742</v>
      </c>
      <c r="Y1749" s="9">
        <v>44939.441053240742</v>
      </c>
      <c r="Z1749" s="5"/>
      <c r="AA1749" s="5"/>
      <c r="AB1749" s="13">
        <v>44961.441053240742</v>
      </c>
      <c r="AC1749">
        <f t="shared" si="244"/>
        <v>13</v>
      </c>
      <c r="AD1749">
        <f t="shared" si="245"/>
        <v>16</v>
      </c>
      <c r="AE1749">
        <f t="shared" si="246"/>
        <v>1</v>
      </c>
      <c r="AF1749">
        <f t="shared" si="247"/>
        <v>4</v>
      </c>
      <c r="AG1749">
        <f t="shared" si="248"/>
        <v>3</v>
      </c>
      <c r="AH1749">
        <f t="shared" si="249"/>
        <v>3</v>
      </c>
      <c r="AI1749" t="str">
        <f t="shared" si="250"/>
        <v/>
      </c>
      <c r="AJ1749" t="str">
        <f t="shared" si="251"/>
        <v/>
      </c>
    </row>
    <row r="1750" spans="1:36">
      <c r="A1750" s="5">
        <v>2080</v>
      </c>
      <c r="B1750" s="5" t="s">
        <v>839</v>
      </c>
      <c r="C1750" s="5" t="s">
        <v>796</v>
      </c>
      <c r="D1750" s="5" t="s">
        <v>814</v>
      </c>
      <c r="E1750" s="5" t="s">
        <v>815</v>
      </c>
      <c r="F1750" s="5" t="str">
        <f t="shared" si="243"/>
        <v>M and E-Auditor</v>
      </c>
      <c r="G1750" s="5" t="s">
        <v>147</v>
      </c>
      <c r="H1750" s="9">
        <v>44916.441053240742</v>
      </c>
      <c r="I1750" s="9">
        <v>44919.441053240742</v>
      </c>
      <c r="J1750" s="9" t="e">
        <f>I1750+#REF!</f>
        <v>#REF!</v>
      </c>
      <c r="K1750" s="9" t="e">
        <f>J1750+#REF!</f>
        <v>#REF!</v>
      </c>
      <c r="L1750" s="10" t="s">
        <v>41</v>
      </c>
      <c r="M1750" s="11">
        <v>44937.441053240742</v>
      </c>
      <c r="N1750" s="5" t="s">
        <v>64</v>
      </c>
      <c r="O1750" s="5"/>
      <c r="P1750" s="9">
        <v>44943.441053240742</v>
      </c>
      <c r="Q1750" s="5" t="s">
        <v>64</v>
      </c>
      <c r="R1750" s="9">
        <v>44938.441053240742</v>
      </c>
      <c r="S1750" s="9">
        <v>44939.441053240742</v>
      </c>
      <c r="T1750" s="9">
        <v>44940.441053240742</v>
      </c>
      <c r="U1750" s="9">
        <v>44944.441053240742</v>
      </c>
      <c r="V1750" s="12">
        <v>1</v>
      </c>
      <c r="W1750" s="9">
        <v>44948.441053240742</v>
      </c>
      <c r="X1750" s="9">
        <v>44949.441053240742</v>
      </c>
      <c r="Y1750" s="9">
        <v>44952.441053240742</v>
      </c>
      <c r="Z1750" s="5"/>
      <c r="AA1750" s="5"/>
      <c r="AB1750" s="13">
        <v>44964.441053240742</v>
      </c>
      <c r="AC1750">
        <f t="shared" si="244"/>
        <v>18</v>
      </c>
      <c r="AD1750">
        <f t="shared" si="245"/>
        <v>20</v>
      </c>
      <c r="AE1750">
        <f t="shared" si="246"/>
        <v>3</v>
      </c>
      <c r="AF1750">
        <f t="shared" si="247"/>
        <v>5</v>
      </c>
      <c r="AG1750">
        <f t="shared" si="248"/>
        <v>4</v>
      </c>
      <c r="AH1750">
        <f t="shared" si="249"/>
        <v>3</v>
      </c>
      <c r="AI1750" t="str">
        <f t="shared" si="250"/>
        <v/>
      </c>
      <c r="AJ1750" t="str">
        <f t="shared" si="251"/>
        <v/>
      </c>
    </row>
    <row r="1751" spans="1:36">
      <c r="A1751" s="5">
        <v>2082</v>
      </c>
      <c r="B1751" s="5" t="s">
        <v>1858</v>
      </c>
      <c r="C1751" s="5" t="s">
        <v>1540</v>
      </c>
      <c r="D1751" s="5" t="s">
        <v>1820</v>
      </c>
      <c r="E1751" s="5" t="s">
        <v>39</v>
      </c>
      <c r="F1751" s="5" t="str">
        <f t="shared" si="243"/>
        <v>Finance-Analyst</v>
      </c>
      <c r="G1751" s="5" t="s">
        <v>40</v>
      </c>
      <c r="H1751" s="9">
        <v>44835.879004629627</v>
      </c>
      <c r="I1751" s="9">
        <v>44839.879004629627</v>
      </c>
      <c r="J1751" s="9" t="e">
        <f>I1751+#REF!</f>
        <v>#REF!</v>
      </c>
      <c r="K1751" s="9" t="e">
        <f>J1751+#REF!</f>
        <v>#REF!</v>
      </c>
      <c r="L1751" s="10" t="s">
        <v>41</v>
      </c>
      <c r="M1751" s="11">
        <v>44844.879004629627</v>
      </c>
      <c r="N1751" s="5" t="s">
        <v>48</v>
      </c>
      <c r="O1751" s="5"/>
      <c r="P1751" s="9">
        <v>44847.879004629627</v>
      </c>
      <c r="Q1751" s="5" t="s">
        <v>48</v>
      </c>
      <c r="R1751" s="5"/>
      <c r="S1751" s="5"/>
      <c r="T1751" s="9">
        <v>44845.879004629627</v>
      </c>
      <c r="U1751" s="5"/>
      <c r="V1751" s="5">
        <v>0</v>
      </c>
      <c r="W1751" s="5"/>
      <c r="X1751" s="5"/>
      <c r="Y1751" s="5"/>
      <c r="Z1751" s="5"/>
      <c r="AA1751" s="5"/>
      <c r="AC1751">
        <f t="shared" si="244"/>
        <v>5</v>
      </c>
      <c r="AD1751" t="str">
        <f t="shared" si="245"/>
        <v/>
      </c>
      <c r="AE1751">
        <f t="shared" si="246"/>
        <v>1</v>
      </c>
      <c r="AF1751" t="str">
        <f t="shared" si="247"/>
        <v/>
      </c>
      <c r="AG1751" t="str">
        <f t="shared" si="248"/>
        <v/>
      </c>
      <c r="AH1751">
        <f t="shared" si="249"/>
        <v>4</v>
      </c>
      <c r="AI1751" t="str">
        <f t="shared" si="250"/>
        <v/>
      </c>
      <c r="AJ1751" t="str">
        <f t="shared" si="251"/>
        <v/>
      </c>
    </row>
    <row r="1752" spans="1:36">
      <c r="A1752" s="5">
        <v>2083</v>
      </c>
      <c r="B1752" s="5" t="s">
        <v>1732</v>
      </c>
      <c r="C1752" s="5" t="s">
        <v>1540</v>
      </c>
      <c r="D1752" s="5" t="s">
        <v>1706</v>
      </c>
      <c r="E1752" s="5" t="s">
        <v>269</v>
      </c>
      <c r="F1752" s="5" t="str">
        <f t="shared" si="243"/>
        <v>Finance-Manager</v>
      </c>
      <c r="G1752" s="5" t="s">
        <v>270</v>
      </c>
      <c r="H1752" s="9">
        <v>44837.879004629627</v>
      </c>
      <c r="I1752" s="9">
        <v>44840.879004629627</v>
      </c>
      <c r="J1752" s="9" t="e">
        <f>I1752+#REF!</f>
        <v>#REF!</v>
      </c>
      <c r="K1752" s="9" t="e">
        <f>J1752+#REF!</f>
        <v>#REF!</v>
      </c>
      <c r="L1752" s="10" t="s">
        <v>41</v>
      </c>
      <c r="M1752" s="11">
        <v>44845.879004629627</v>
      </c>
      <c r="N1752" s="5" t="s">
        <v>42</v>
      </c>
      <c r="O1752" s="5" t="s">
        <v>73</v>
      </c>
      <c r="P1752" s="9"/>
      <c r="Q1752" s="5"/>
      <c r="R1752" s="5"/>
      <c r="S1752" s="5"/>
      <c r="T1752" s="9">
        <v>44848.879004629627</v>
      </c>
      <c r="U1752" s="5"/>
      <c r="V1752" s="5">
        <v>0</v>
      </c>
      <c r="W1752" s="5"/>
      <c r="X1752" s="5"/>
      <c r="Y1752" s="5"/>
      <c r="Z1752" s="5"/>
      <c r="AA1752" s="5" t="s">
        <v>62</v>
      </c>
      <c r="AC1752">
        <f t="shared" si="244"/>
        <v>5</v>
      </c>
      <c r="AD1752" t="str">
        <f t="shared" si="245"/>
        <v/>
      </c>
      <c r="AE1752">
        <f t="shared" si="246"/>
        <v>3</v>
      </c>
      <c r="AF1752" t="str">
        <f t="shared" si="247"/>
        <v/>
      </c>
      <c r="AG1752" t="str">
        <f t="shared" si="248"/>
        <v/>
      </c>
      <c r="AH1752">
        <f t="shared" si="249"/>
        <v>3</v>
      </c>
      <c r="AI1752" t="str">
        <f t="shared" si="250"/>
        <v/>
      </c>
      <c r="AJ1752" t="str">
        <f t="shared" si="251"/>
        <v/>
      </c>
    </row>
    <row r="1753" spans="1:36">
      <c r="A1753" s="5">
        <v>2084</v>
      </c>
      <c r="B1753" s="5" t="s">
        <v>1550</v>
      </c>
      <c r="C1753" s="5" t="s">
        <v>1540</v>
      </c>
      <c r="D1753" s="5" t="s">
        <v>1541</v>
      </c>
      <c r="E1753" s="5" t="s">
        <v>102</v>
      </c>
      <c r="F1753" s="5" t="str">
        <f t="shared" si="243"/>
        <v>Finance-Senior Manager</v>
      </c>
      <c r="G1753" s="5" t="s">
        <v>103</v>
      </c>
      <c r="H1753" s="9">
        <v>44836.879004629627</v>
      </c>
      <c r="I1753" s="9">
        <v>44839.879004629627</v>
      </c>
      <c r="J1753" s="9" t="e">
        <f>I1753+#REF!</f>
        <v>#REF!</v>
      </c>
      <c r="K1753" s="9" t="e">
        <f>J1753+#REF!</f>
        <v>#REF!</v>
      </c>
      <c r="L1753" s="10" t="s">
        <v>41</v>
      </c>
      <c r="M1753" s="11">
        <v>44846.879004629627</v>
      </c>
      <c r="N1753" s="5" t="s">
        <v>42</v>
      </c>
      <c r="O1753" s="5" t="s">
        <v>58</v>
      </c>
      <c r="P1753" s="9"/>
      <c r="Q1753" s="5"/>
      <c r="R1753" s="5"/>
      <c r="S1753" s="5"/>
      <c r="T1753" s="9">
        <v>44850.879004629627</v>
      </c>
      <c r="U1753" s="5"/>
      <c r="V1753" s="5">
        <v>0</v>
      </c>
      <c r="W1753" s="5"/>
      <c r="X1753" s="5"/>
      <c r="Y1753" s="5"/>
      <c r="Z1753" s="5"/>
      <c r="AA1753" s="5" t="s">
        <v>44</v>
      </c>
      <c r="AC1753">
        <f t="shared" si="244"/>
        <v>7</v>
      </c>
      <c r="AD1753" t="str">
        <f t="shared" si="245"/>
        <v/>
      </c>
      <c r="AE1753">
        <f t="shared" si="246"/>
        <v>4</v>
      </c>
      <c r="AF1753" t="str">
        <f t="shared" si="247"/>
        <v/>
      </c>
      <c r="AG1753" t="str">
        <f t="shared" si="248"/>
        <v/>
      </c>
      <c r="AH1753">
        <f t="shared" si="249"/>
        <v>3</v>
      </c>
      <c r="AI1753" t="str">
        <f t="shared" si="250"/>
        <v/>
      </c>
      <c r="AJ1753" t="str">
        <f t="shared" si="251"/>
        <v/>
      </c>
    </row>
    <row r="1754" spans="1:36">
      <c r="A1754" s="5">
        <v>2085</v>
      </c>
      <c r="B1754" s="5" t="s">
        <v>2010</v>
      </c>
      <c r="C1754" s="5" t="s">
        <v>1540</v>
      </c>
      <c r="D1754" s="5" t="s">
        <v>1985</v>
      </c>
      <c r="E1754" s="5" t="s">
        <v>1986</v>
      </c>
      <c r="F1754" s="5" t="str">
        <f t="shared" si="243"/>
        <v>Finance-Revenue Recorgnition</v>
      </c>
      <c r="G1754" s="5" t="s">
        <v>47</v>
      </c>
      <c r="H1754" s="9">
        <v>44838.879004629627</v>
      </c>
      <c r="I1754" s="9">
        <v>44839.879004629627</v>
      </c>
      <c r="J1754" s="9" t="e">
        <f>I1754+#REF!</f>
        <v>#REF!</v>
      </c>
      <c r="K1754" s="9" t="e">
        <f>J1754+#REF!</f>
        <v>#REF!</v>
      </c>
      <c r="L1754" s="10" t="s">
        <v>41</v>
      </c>
      <c r="M1754" s="11">
        <v>44845.879004629627</v>
      </c>
      <c r="N1754" s="5" t="s">
        <v>64</v>
      </c>
      <c r="O1754" s="5"/>
      <c r="P1754" s="9">
        <v>44849.879004629627</v>
      </c>
      <c r="Q1754" s="5" t="s">
        <v>64</v>
      </c>
      <c r="R1754" s="9">
        <v>44846.879004629627</v>
      </c>
      <c r="S1754" s="9">
        <v>44848.879004629627</v>
      </c>
      <c r="T1754" s="9">
        <v>44846.879004629627</v>
      </c>
      <c r="U1754" s="9">
        <v>44848.879004629627</v>
      </c>
      <c r="V1754" s="12">
        <v>1</v>
      </c>
      <c r="W1754" s="9">
        <v>44852.879004629627</v>
      </c>
      <c r="X1754" s="9">
        <v>44854.879004629627</v>
      </c>
      <c r="Y1754" s="9">
        <v>44855.879004629627</v>
      </c>
      <c r="Z1754" s="5"/>
      <c r="AA1754" s="5"/>
      <c r="AB1754" s="13">
        <v>44872.879004629627</v>
      </c>
      <c r="AC1754">
        <f t="shared" si="244"/>
        <v>6</v>
      </c>
      <c r="AD1754">
        <f t="shared" si="245"/>
        <v>9</v>
      </c>
      <c r="AE1754">
        <f t="shared" si="246"/>
        <v>1</v>
      </c>
      <c r="AF1754">
        <f t="shared" si="247"/>
        <v>6</v>
      </c>
      <c r="AG1754">
        <f t="shared" si="248"/>
        <v>4</v>
      </c>
      <c r="AH1754">
        <f t="shared" si="249"/>
        <v>1</v>
      </c>
      <c r="AI1754" t="str">
        <f t="shared" si="250"/>
        <v/>
      </c>
      <c r="AJ1754" t="str">
        <f t="shared" si="251"/>
        <v/>
      </c>
    </row>
    <row r="1755" spans="1:36">
      <c r="A1755" s="5">
        <v>2086</v>
      </c>
      <c r="B1755" s="5" t="s">
        <v>1857</v>
      </c>
      <c r="C1755" s="5" t="s">
        <v>1540</v>
      </c>
      <c r="D1755" s="5" t="s">
        <v>1820</v>
      </c>
      <c r="E1755" s="5" t="s">
        <v>39</v>
      </c>
      <c r="F1755" s="5" t="str">
        <f t="shared" si="243"/>
        <v>Finance-Analyst</v>
      </c>
      <c r="G1755" s="5" t="s">
        <v>40</v>
      </c>
      <c r="H1755" s="9">
        <v>44832.879004629627</v>
      </c>
      <c r="I1755" s="9">
        <v>44835.879004629627</v>
      </c>
      <c r="J1755" s="9" t="e">
        <f>I1755+#REF!</f>
        <v>#REF!</v>
      </c>
      <c r="K1755" s="9" t="e">
        <f>J1755+#REF!</f>
        <v>#REF!</v>
      </c>
      <c r="L1755" s="10" t="s">
        <v>52</v>
      </c>
      <c r="M1755" s="11"/>
      <c r="N1755" s="5"/>
      <c r="O1755" s="5"/>
      <c r="P1755" s="9"/>
      <c r="Q1755" s="5"/>
      <c r="R1755" s="5"/>
      <c r="S1755" s="5"/>
      <c r="T1755" s="9"/>
      <c r="U1755" s="5"/>
      <c r="V1755" s="5">
        <v>0</v>
      </c>
      <c r="W1755" s="5"/>
      <c r="X1755" s="5"/>
      <c r="Y1755" s="5"/>
      <c r="Z1755" s="5"/>
      <c r="AA1755" s="5"/>
      <c r="AC1755" t="str">
        <f t="shared" si="244"/>
        <v/>
      </c>
      <c r="AD1755" t="str">
        <f t="shared" si="245"/>
        <v/>
      </c>
      <c r="AE1755" t="str">
        <f t="shared" si="246"/>
        <v/>
      </c>
      <c r="AF1755" t="str">
        <f t="shared" si="247"/>
        <v/>
      </c>
      <c r="AG1755" t="str">
        <f t="shared" si="248"/>
        <v/>
      </c>
      <c r="AH1755">
        <f t="shared" si="249"/>
        <v>3</v>
      </c>
      <c r="AI1755" t="str">
        <f t="shared" si="250"/>
        <v/>
      </c>
      <c r="AJ1755" t="str">
        <f t="shared" si="251"/>
        <v/>
      </c>
    </row>
    <row r="1756" spans="1:36">
      <c r="A1756" s="5">
        <v>2088</v>
      </c>
      <c r="B1756" s="5" t="s">
        <v>1610</v>
      </c>
      <c r="C1756" s="5" t="s">
        <v>1540</v>
      </c>
      <c r="D1756" s="5" t="s">
        <v>1588</v>
      </c>
      <c r="E1756" s="5" t="s">
        <v>1360</v>
      </c>
      <c r="F1756" s="5" t="str">
        <f t="shared" si="243"/>
        <v>Finance-Fund Administrator</v>
      </c>
      <c r="G1756" s="5" t="s">
        <v>147</v>
      </c>
      <c r="H1756" s="9">
        <v>44834.879004629627</v>
      </c>
      <c r="I1756" s="9">
        <v>44835.879004629627</v>
      </c>
      <c r="J1756" s="9" t="e">
        <f>I1756+#REF!</f>
        <v>#REF!</v>
      </c>
      <c r="K1756" s="9" t="e">
        <f>J1756+#REF!</f>
        <v>#REF!</v>
      </c>
      <c r="L1756" s="10" t="s">
        <v>41</v>
      </c>
      <c r="M1756" s="11">
        <v>44855.879004629627</v>
      </c>
      <c r="N1756" s="5" t="s">
        <v>42</v>
      </c>
      <c r="O1756" s="5" t="s">
        <v>73</v>
      </c>
      <c r="P1756" s="9"/>
      <c r="Q1756" s="5"/>
      <c r="R1756" s="5"/>
      <c r="S1756" s="5"/>
      <c r="T1756" s="9">
        <v>44857.879004629627</v>
      </c>
      <c r="U1756" s="5"/>
      <c r="V1756" s="5">
        <v>0</v>
      </c>
      <c r="W1756" s="5"/>
      <c r="X1756" s="5"/>
      <c r="Y1756" s="5"/>
      <c r="Z1756" s="5"/>
      <c r="AA1756" s="5" t="s">
        <v>44</v>
      </c>
      <c r="AC1756">
        <f t="shared" si="244"/>
        <v>20</v>
      </c>
      <c r="AD1756" t="str">
        <f t="shared" si="245"/>
        <v/>
      </c>
      <c r="AE1756">
        <f t="shared" si="246"/>
        <v>2</v>
      </c>
      <c r="AF1756" t="str">
        <f t="shared" si="247"/>
        <v/>
      </c>
      <c r="AG1756" t="str">
        <f t="shared" si="248"/>
        <v/>
      </c>
      <c r="AH1756">
        <f t="shared" si="249"/>
        <v>1</v>
      </c>
      <c r="AI1756" t="str">
        <f t="shared" si="250"/>
        <v/>
      </c>
      <c r="AJ1756" t="str">
        <f t="shared" si="251"/>
        <v/>
      </c>
    </row>
    <row r="1757" spans="1:36">
      <c r="A1757" s="5">
        <v>2091</v>
      </c>
      <c r="B1757" s="5" t="s">
        <v>1517</v>
      </c>
      <c r="C1757" s="5" t="s">
        <v>1332</v>
      </c>
      <c r="D1757" s="5" t="s">
        <v>1500</v>
      </c>
      <c r="E1757" s="5" t="s">
        <v>39</v>
      </c>
      <c r="F1757" s="5" t="str">
        <f t="shared" si="243"/>
        <v>Fundraising-Analyst</v>
      </c>
      <c r="G1757" s="5" t="s">
        <v>47</v>
      </c>
      <c r="H1757" s="9">
        <v>44860.987488425926</v>
      </c>
      <c r="I1757" s="9">
        <v>44863.987488425926</v>
      </c>
      <c r="J1757" s="9" t="e">
        <f>I1757+#REF!</f>
        <v>#REF!</v>
      </c>
      <c r="K1757" s="9" t="e">
        <f>J1757+#REF!</f>
        <v>#REF!</v>
      </c>
      <c r="L1757" s="10" t="s">
        <v>41</v>
      </c>
      <c r="M1757" s="11">
        <v>44872.987488425926</v>
      </c>
      <c r="N1757" s="5" t="s">
        <v>42</v>
      </c>
      <c r="O1757" s="5" t="s">
        <v>43</v>
      </c>
      <c r="P1757" s="9"/>
      <c r="Q1757" s="5"/>
      <c r="R1757" s="5"/>
      <c r="S1757" s="5"/>
      <c r="T1757" s="9"/>
      <c r="U1757" s="5"/>
      <c r="V1757" s="5">
        <v>0</v>
      </c>
      <c r="W1757" s="5"/>
      <c r="X1757" s="5"/>
      <c r="Y1757" s="5"/>
      <c r="Z1757" s="5"/>
      <c r="AA1757" s="5" t="s">
        <v>62</v>
      </c>
      <c r="AC1757">
        <f t="shared" si="244"/>
        <v>9</v>
      </c>
      <c r="AD1757" t="str">
        <f t="shared" si="245"/>
        <v/>
      </c>
      <c r="AE1757" t="str">
        <f t="shared" si="246"/>
        <v/>
      </c>
      <c r="AF1757" t="str">
        <f t="shared" si="247"/>
        <v/>
      </c>
      <c r="AG1757" t="str">
        <f t="shared" si="248"/>
        <v/>
      </c>
      <c r="AH1757">
        <f t="shared" si="249"/>
        <v>3</v>
      </c>
      <c r="AI1757" t="str">
        <f t="shared" si="250"/>
        <v/>
      </c>
      <c r="AJ1757" t="str">
        <f t="shared" si="251"/>
        <v/>
      </c>
    </row>
    <row r="1758" spans="1:36">
      <c r="A1758" s="5">
        <v>2092</v>
      </c>
      <c r="B1758" s="5" t="s">
        <v>2408</v>
      </c>
      <c r="C1758" s="5" t="s">
        <v>2229</v>
      </c>
      <c r="D1758" s="5" t="s">
        <v>2403</v>
      </c>
      <c r="E1758" s="5" t="s">
        <v>1039</v>
      </c>
      <c r="F1758" s="5" t="str">
        <f t="shared" si="243"/>
        <v>Capacity Building-Associate Director</v>
      </c>
      <c r="G1758" s="5" t="s">
        <v>56</v>
      </c>
      <c r="H1758" s="9">
        <v>44857.987488425926</v>
      </c>
      <c r="I1758" s="9">
        <v>44858.987488425926</v>
      </c>
      <c r="J1758" s="9" t="e">
        <f>I1758+#REF!</f>
        <v>#REF!</v>
      </c>
      <c r="K1758" s="9" t="e">
        <f>J1758+#REF!</f>
        <v>#REF!</v>
      </c>
      <c r="L1758" s="10" t="s">
        <v>52</v>
      </c>
      <c r="M1758" s="11"/>
      <c r="N1758" s="5"/>
      <c r="O1758" s="5"/>
      <c r="P1758" s="9"/>
      <c r="Q1758" s="5"/>
      <c r="R1758" s="5"/>
      <c r="S1758" s="5"/>
      <c r="T1758" s="9"/>
      <c r="U1758" s="5"/>
      <c r="V1758" s="5">
        <v>0</v>
      </c>
      <c r="W1758" s="5"/>
      <c r="X1758" s="5"/>
      <c r="Y1758" s="5"/>
      <c r="Z1758" s="5"/>
      <c r="AA1758" s="5"/>
      <c r="AC1758" t="str">
        <f t="shared" si="244"/>
        <v/>
      </c>
      <c r="AD1758" t="str">
        <f t="shared" si="245"/>
        <v/>
      </c>
      <c r="AE1758" t="str">
        <f t="shared" si="246"/>
        <v/>
      </c>
      <c r="AF1758" t="str">
        <f t="shared" si="247"/>
        <v/>
      </c>
      <c r="AG1758" t="str">
        <f t="shared" si="248"/>
        <v/>
      </c>
      <c r="AH1758">
        <f t="shared" si="249"/>
        <v>1</v>
      </c>
      <c r="AI1758" t="str">
        <f t="shared" si="250"/>
        <v/>
      </c>
      <c r="AJ1758" t="str">
        <f t="shared" si="251"/>
        <v/>
      </c>
    </row>
    <row r="1759" spans="1:36">
      <c r="A1759" s="5">
        <v>2094</v>
      </c>
      <c r="B1759" s="5" t="s">
        <v>1428</v>
      </c>
      <c r="C1759" s="5" t="s">
        <v>1332</v>
      </c>
      <c r="D1759" s="5" t="s">
        <v>1413</v>
      </c>
      <c r="E1759" s="5" t="s">
        <v>269</v>
      </c>
      <c r="F1759" s="5" t="str">
        <f t="shared" si="243"/>
        <v>Fundraising-Manager</v>
      </c>
      <c r="G1759" s="5" t="s">
        <v>270</v>
      </c>
      <c r="H1759" s="9">
        <v>44857.987488425926</v>
      </c>
      <c r="I1759" s="9">
        <v>44861.987488425926</v>
      </c>
      <c r="J1759" s="9" t="e">
        <f>I1759+#REF!</f>
        <v>#REF!</v>
      </c>
      <c r="K1759" s="9" t="e">
        <f>J1759+#REF!</f>
        <v>#REF!</v>
      </c>
      <c r="L1759" s="10" t="s">
        <v>41</v>
      </c>
      <c r="M1759" s="11">
        <v>44869.987488425926</v>
      </c>
      <c r="N1759" s="5" t="s">
        <v>42</v>
      </c>
      <c r="O1759" s="5" t="s">
        <v>43</v>
      </c>
      <c r="P1759" s="9"/>
      <c r="Q1759" s="5"/>
      <c r="R1759" s="5"/>
      <c r="S1759" s="5"/>
      <c r="T1759" s="9"/>
      <c r="U1759" s="5"/>
      <c r="V1759" s="5">
        <v>0</v>
      </c>
      <c r="W1759" s="5"/>
      <c r="X1759" s="5"/>
      <c r="Y1759" s="5"/>
      <c r="Z1759" s="5"/>
      <c r="AA1759" s="5" t="s">
        <v>62</v>
      </c>
      <c r="AC1759">
        <f t="shared" si="244"/>
        <v>8</v>
      </c>
      <c r="AD1759" t="str">
        <f t="shared" si="245"/>
        <v/>
      </c>
      <c r="AE1759" t="str">
        <f t="shared" si="246"/>
        <v/>
      </c>
      <c r="AF1759" t="str">
        <f t="shared" si="247"/>
        <v/>
      </c>
      <c r="AG1759" t="str">
        <f t="shared" si="248"/>
        <v/>
      </c>
      <c r="AH1759">
        <f t="shared" si="249"/>
        <v>4</v>
      </c>
      <c r="AI1759" t="str">
        <f t="shared" si="250"/>
        <v/>
      </c>
      <c r="AJ1759" t="str">
        <f t="shared" si="251"/>
        <v/>
      </c>
    </row>
    <row r="1760" spans="1:36">
      <c r="A1760" s="5">
        <v>2097</v>
      </c>
      <c r="B1760" s="5" t="s">
        <v>2458</v>
      </c>
      <c r="C1760" s="5" t="s">
        <v>2229</v>
      </c>
      <c r="D1760" s="5" t="s">
        <v>2445</v>
      </c>
      <c r="E1760" s="5" t="s">
        <v>388</v>
      </c>
      <c r="F1760" s="5" t="str">
        <f t="shared" si="243"/>
        <v>Capacity Building-Extension Officer</v>
      </c>
      <c r="G1760" s="5" t="s">
        <v>47</v>
      </c>
      <c r="H1760" s="9">
        <v>44861.987488425926</v>
      </c>
      <c r="I1760" s="9">
        <v>44863.987488425926</v>
      </c>
      <c r="J1760" s="9" t="e">
        <f>I1760+#REF!</f>
        <v>#REF!</v>
      </c>
      <c r="K1760" s="9" t="e">
        <f>J1760+#REF!</f>
        <v>#REF!</v>
      </c>
      <c r="L1760" s="10" t="s">
        <v>52</v>
      </c>
      <c r="M1760" s="11"/>
      <c r="N1760" s="5"/>
      <c r="O1760" s="5"/>
      <c r="P1760" s="9"/>
      <c r="Q1760" s="5"/>
      <c r="R1760" s="5"/>
      <c r="S1760" s="5"/>
      <c r="T1760" s="9"/>
      <c r="U1760" s="5"/>
      <c r="V1760" s="5">
        <v>0</v>
      </c>
      <c r="W1760" s="5"/>
      <c r="X1760" s="5"/>
      <c r="Y1760" s="5"/>
      <c r="Z1760" s="5"/>
      <c r="AA1760" s="5"/>
      <c r="AC1760" t="str">
        <f t="shared" si="244"/>
        <v/>
      </c>
      <c r="AD1760" t="str">
        <f t="shared" si="245"/>
        <v/>
      </c>
      <c r="AE1760" t="str">
        <f t="shared" si="246"/>
        <v/>
      </c>
      <c r="AF1760" t="str">
        <f t="shared" si="247"/>
        <v/>
      </c>
      <c r="AG1760" t="str">
        <f t="shared" si="248"/>
        <v/>
      </c>
      <c r="AH1760">
        <f t="shared" si="249"/>
        <v>2</v>
      </c>
      <c r="AI1760" t="str">
        <f t="shared" si="250"/>
        <v/>
      </c>
      <c r="AJ1760" t="str">
        <f t="shared" si="251"/>
        <v/>
      </c>
    </row>
    <row r="1761" spans="1:36">
      <c r="A1761" s="5">
        <v>2098</v>
      </c>
      <c r="B1761" s="5" t="s">
        <v>1516</v>
      </c>
      <c r="C1761" s="5" t="s">
        <v>1332</v>
      </c>
      <c r="D1761" s="5" t="s">
        <v>1500</v>
      </c>
      <c r="E1761" s="5" t="s">
        <v>39</v>
      </c>
      <c r="F1761" s="5" t="str">
        <f t="shared" si="243"/>
        <v>Fundraising-Analyst</v>
      </c>
      <c r="G1761" s="5" t="s">
        <v>47</v>
      </c>
      <c r="H1761" s="9">
        <v>44858.987488425926</v>
      </c>
      <c r="I1761" s="9">
        <v>44862.987488425926</v>
      </c>
      <c r="J1761" s="9" t="e">
        <f>I1761+#REF!</f>
        <v>#REF!</v>
      </c>
      <c r="K1761" s="9" t="e">
        <f>J1761+#REF!</f>
        <v>#REF!</v>
      </c>
      <c r="L1761" s="10" t="s">
        <v>41</v>
      </c>
      <c r="M1761" s="11">
        <v>44878.987488425926</v>
      </c>
      <c r="N1761" s="5" t="s">
        <v>42</v>
      </c>
      <c r="O1761" s="5" t="s">
        <v>98</v>
      </c>
      <c r="P1761" s="9"/>
      <c r="Q1761" s="5"/>
      <c r="R1761" s="5"/>
      <c r="S1761" s="5"/>
      <c r="T1761" s="9"/>
      <c r="U1761" s="5"/>
      <c r="V1761" s="5">
        <v>0</v>
      </c>
      <c r="W1761" s="5"/>
      <c r="X1761" s="5"/>
      <c r="Y1761" s="5"/>
      <c r="Z1761" s="5"/>
      <c r="AA1761" s="5" t="s">
        <v>62</v>
      </c>
      <c r="AC1761">
        <f t="shared" si="244"/>
        <v>16</v>
      </c>
      <c r="AD1761" t="str">
        <f t="shared" si="245"/>
        <v/>
      </c>
      <c r="AE1761" t="str">
        <f t="shared" si="246"/>
        <v/>
      </c>
      <c r="AF1761" t="str">
        <f t="shared" si="247"/>
        <v/>
      </c>
      <c r="AG1761" t="str">
        <f t="shared" si="248"/>
        <v/>
      </c>
      <c r="AH1761">
        <f t="shared" si="249"/>
        <v>4</v>
      </c>
      <c r="AI1761" t="str">
        <f t="shared" si="250"/>
        <v/>
      </c>
      <c r="AJ1761" t="str">
        <f t="shared" si="251"/>
        <v/>
      </c>
    </row>
    <row r="1762" spans="1:36">
      <c r="A1762" s="5">
        <v>2099</v>
      </c>
      <c r="B1762" s="5" t="s">
        <v>2457</v>
      </c>
      <c r="C1762" s="5" t="s">
        <v>2229</v>
      </c>
      <c r="D1762" s="5" t="s">
        <v>2445</v>
      </c>
      <c r="E1762" s="5" t="s">
        <v>388</v>
      </c>
      <c r="F1762" s="5" t="str">
        <f t="shared" si="243"/>
        <v>Capacity Building-Extension Officer</v>
      </c>
      <c r="G1762" s="5" t="s">
        <v>47</v>
      </c>
      <c r="H1762" s="9">
        <v>44857.987488425926</v>
      </c>
      <c r="I1762" s="9">
        <v>44859.987488425926</v>
      </c>
      <c r="J1762" s="9" t="e">
        <f>I1762+#REF!</f>
        <v>#REF!</v>
      </c>
      <c r="K1762" s="9" t="e">
        <f>J1762+#REF!</f>
        <v>#REF!</v>
      </c>
      <c r="L1762" s="10" t="s">
        <v>41</v>
      </c>
      <c r="M1762" s="11">
        <v>44868.987488425926</v>
      </c>
      <c r="N1762" s="5" t="s">
        <v>64</v>
      </c>
      <c r="O1762" s="5"/>
      <c r="P1762" s="9">
        <v>44871.987488425926</v>
      </c>
      <c r="Q1762" s="5" t="s">
        <v>64</v>
      </c>
      <c r="R1762" s="9">
        <v>44869.987488425926</v>
      </c>
      <c r="S1762" s="9">
        <v>44870.987488425926</v>
      </c>
      <c r="T1762" s="9">
        <v>44869.987488425926</v>
      </c>
      <c r="U1762" s="9">
        <v>44872.987488425926</v>
      </c>
      <c r="V1762" s="12">
        <v>1</v>
      </c>
      <c r="W1762" s="9">
        <v>44876.987488425926</v>
      </c>
      <c r="X1762" s="9">
        <v>44879.987488425926</v>
      </c>
      <c r="Y1762" s="9">
        <v>44881.987488425926</v>
      </c>
      <c r="Z1762" s="5"/>
      <c r="AA1762" s="5"/>
      <c r="AB1762" s="13">
        <v>44889.987488425926</v>
      </c>
      <c r="AC1762">
        <f t="shared" si="244"/>
        <v>9</v>
      </c>
      <c r="AD1762">
        <f t="shared" si="245"/>
        <v>11</v>
      </c>
      <c r="AE1762">
        <f t="shared" si="246"/>
        <v>1</v>
      </c>
      <c r="AF1762">
        <f t="shared" si="247"/>
        <v>7</v>
      </c>
      <c r="AG1762">
        <f t="shared" si="248"/>
        <v>4</v>
      </c>
      <c r="AH1762">
        <f t="shared" si="249"/>
        <v>2</v>
      </c>
      <c r="AI1762" t="str">
        <f t="shared" si="250"/>
        <v/>
      </c>
      <c r="AJ1762" t="str">
        <f t="shared" si="251"/>
        <v/>
      </c>
    </row>
    <row r="1763" spans="1:36">
      <c r="A1763" s="5">
        <v>2100</v>
      </c>
      <c r="B1763" s="5" t="s">
        <v>2259</v>
      </c>
      <c r="C1763" s="5" t="s">
        <v>2229</v>
      </c>
      <c r="D1763" s="5" t="s">
        <v>2250</v>
      </c>
      <c r="E1763" s="5" t="s">
        <v>388</v>
      </c>
      <c r="F1763" s="5" t="str">
        <f t="shared" si="243"/>
        <v>Capacity Building-Extension Officer</v>
      </c>
      <c r="G1763" s="5" t="s">
        <v>147</v>
      </c>
      <c r="H1763" s="9">
        <v>44860.987488425926</v>
      </c>
      <c r="I1763" s="9">
        <v>44861.987488425926</v>
      </c>
      <c r="J1763" s="9" t="e">
        <f>I1763+#REF!</f>
        <v>#REF!</v>
      </c>
      <c r="K1763" s="9" t="e">
        <f>J1763+#REF!</f>
        <v>#REF!</v>
      </c>
      <c r="L1763" s="10" t="s">
        <v>52</v>
      </c>
      <c r="M1763" s="11"/>
      <c r="N1763" s="5"/>
      <c r="O1763" s="5"/>
      <c r="P1763" s="9"/>
      <c r="Q1763" s="5"/>
      <c r="R1763" s="5"/>
      <c r="S1763" s="5"/>
      <c r="T1763" s="9"/>
      <c r="U1763" s="5"/>
      <c r="V1763" s="5">
        <v>0</v>
      </c>
      <c r="W1763" s="5"/>
      <c r="X1763" s="5"/>
      <c r="Y1763" s="5"/>
      <c r="Z1763" s="5"/>
      <c r="AA1763" s="5"/>
      <c r="AC1763" t="str">
        <f t="shared" si="244"/>
        <v/>
      </c>
      <c r="AD1763" t="str">
        <f t="shared" si="245"/>
        <v/>
      </c>
      <c r="AE1763" t="str">
        <f t="shared" si="246"/>
        <v/>
      </c>
      <c r="AF1763" t="str">
        <f t="shared" si="247"/>
        <v/>
      </c>
      <c r="AG1763" t="str">
        <f t="shared" si="248"/>
        <v/>
      </c>
      <c r="AH1763">
        <f t="shared" si="249"/>
        <v>1</v>
      </c>
      <c r="AI1763" t="str">
        <f t="shared" si="250"/>
        <v/>
      </c>
      <c r="AJ1763" t="str">
        <f t="shared" si="251"/>
        <v/>
      </c>
    </row>
    <row r="1764" spans="1:36">
      <c r="A1764" s="5">
        <v>2102</v>
      </c>
      <c r="B1764" s="5" t="s">
        <v>2313</v>
      </c>
      <c r="C1764" s="5" t="s">
        <v>2229</v>
      </c>
      <c r="D1764" s="5" t="s">
        <v>2302</v>
      </c>
      <c r="E1764" s="5" t="s">
        <v>269</v>
      </c>
      <c r="F1764" s="5" t="str">
        <f t="shared" si="243"/>
        <v>Capacity Building-Manager</v>
      </c>
      <c r="G1764" s="5" t="s">
        <v>270</v>
      </c>
      <c r="H1764" s="9">
        <v>44686.022326388891</v>
      </c>
      <c r="I1764" s="9">
        <v>44690.022326388891</v>
      </c>
      <c r="J1764" s="9" t="e">
        <f>I1764+#REF!</f>
        <v>#REF!</v>
      </c>
      <c r="K1764" s="9" t="e">
        <f>J1764+#REF!</f>
        <v>#REF!</v>
      </c>
      <c r="L1764" s="10" t="s">
        <v>52</v>
      </c>
      <c r="M1764" s="11"/>
      <c r="N1764" s="5"/>
      <c r="O1764" s="5"/>
      <c r="P1764" s="9"/>
      <c r="Q1764" s="5"/>
      <c r="R1764" s="5"/>
      <c r="S1764" s="5"/>
      <c r="T1764" s="9"/>
      <c r="U1764" s="5"/>
      <c r="V1764" s="5">
        <v>0</v>
      </c>
      <c r="W1764" s="5"/>
      <c r="X1764" s="5"/>
      <c r="Y1764" s="5"/>
      <c r="Z1764" s="5"/>
      <c r="AA1764" s="5"/>
      <c r="AC1764" t="str">
        <f t="shared" si="244"/>
        <v/>
      </c>
      <c r="AD1764" t="str">
        <f t="shared" si="245"/>
        <v/>
      </c>
      <c r="AE1764" t="str">
        <f t="shared" si="246"/>
        <v/>
      </c>
      <c r="AF1764" t="str">
        <f t="shared" si="247"/>
        <v/>
      </c>
      <c r="AG1764" t="str">
        <f t="shared" si="248"/>
        <v/>
      </c>
      <c r="AH1764">
        <f t="shared" si="249"/>
        <v>4</v>
      </c>
      <c r="AI1764" t="str">
        <f t="shared" si="250"/>
        <v/>
      </c>
      <c r="AJ1764" t="str">
        <f t="shared" si="251"/>
        <v/>
      </c>
    </row>
    <row r="1765" spans="1:36">
      <c r="A1765" s="5">
        <v>2103</v>
      </c>
      <c r="B1765" s="5" t="s">
        <v>2456</v>
      </c>
      <c r="C1765" s="5" t="s">
        <v>2229</v>
      </c>
      <c r="D1765" s="5" t="s">
        <v>2445</v>
      </c>
      <c r="E1765" s="5" t="s">
        <v>55</v>
      </c>
      <c r="F1765" s="5" t="str">
        <f t="shared" si="243"/>
        <v>Capacity Building-Director</v>
      </c>
      <c r="G1765" s="5" t="s">
        <v>47</v>
      </c>
      <c r="H1765" s="9">
        <v>44684.022326388891</v>
      </c>
      <c r="I1765" s="9">
        <v>44687.022326388891</v>
      </c>
      <c r="J1765" s="9" t="e">
        <f>I1765+#REF!</f>
        <v>#REF!</v>
      </c>
      <c r="K1765" s="9" t="e">
        <f>J1765+#REF!</f>
        <v>#REF!</v>
      </c>
      <c r="L1765" s="10" t="s">
        <v>52</v>
      </c>
      <c r="M1765" s="11"/>
      <c r="N1765" s="5"/>
      <c r="O1765" s="5"/>
      <c r="P1765" s="9"/>
      <c r="Q1765" s="5"/>
      <c r="R1765" s="5"/>
      <c r="S1765" s="5"/>
      <c r="T1765" s="9"/>
      <c r="U1765" s="5"/>
      <c r="V1765" s="5">
        <v>0</v>
      </c>
      <c r="W1765" s="5"/>
      <c r="X1765" s="5"/>
      <c r="Y1765" s="5"/>
      <c r="Z1765" s="5"/>
      <c r="AA1765" s="5"/>
      <c r="AC1765" t="str">
        <f t="shared" si="244"/>
        <v/>
      </c>
      <c r="AD1765" t="str">
        <f t="shared" si="245"/>
        <v/>
      </c>
      <c r="AE1765" t="str">
        <f t="shared" si="246"/>
        <v/>
      </c>
      <c r="AF1765" t="str">
        <f t="shared" si="247"/>
        <v/>
      </c>
      <c r="AG1765" t="str">
        <f t="shared" si="248"/>
        <v/>
      </c>
      <c r="AH1765">
        <f t="shared" si="249"/>
        <v>3</v>
      </c>
      <c r="AI1765" t="str">
        <f t="shared" si="250"/>
        <v/>
      </c>
      <c r="AJ1765" t="str">
        <f t="shared" si="251"/>
        <v/>
      </c>
    </row>
    <row r="1766" spans="1:36">
      <c r="A1766" s="5">
        <v>2104</v>
      </c>
      <c r="B1766" s="5" t="s">
        <v>1515</v>
      </c>
      <c r="C1766" s="5" t="s">
        <v>1332</v>
      </c>
      <c r="D1766" s="5" t="s">
        <v>1500</v>
      </c>
      <c r="E1766" s="5" t="s">
        <v>39</v>
      </c>
      <c r="F1766" s="5" t="str">
        <f t="shared" si="243"/>
        <v>Fundraising-Analyst</v>
      </c>
      <c r="G1766" s="5" t="s">
        <v>47</v>
      </c>
      <c r="H1766" s="9">
        <v>44684.022326388891</v>
      </c>
      <c r="I1766" s="9">
        <v>44686.022326388891</v>
      </c>
      <c r="J1766" s="9" t="e">
        <f>I1766+#REF!</f>
        <v>#REF!</v>
      </c>
      <c r="K1766" s="9" t="e">
        <f>J1766+#REF!</f>
        <v>#REF!</v>
      </c>
      <c r="L1766" s="10" t="s">
        <v>41</v>
      </c>
      <c r="M1766" s="11">
        <v>44703.022326388891</v>
      </c>
      <c r="N1766" s="5" t="s">
        <v>48</v>
      </c>
      <c r="O1766" s="5"/>
      <c r="P1766" s="9">
        <v>44711.022326388891</v>
      </c>
      <c r="Q1766" s="5" t="s">
        <v>48</v>
      </c>
      <c r="R1766" s="5"/>
      <c r="S1766" s="5"/>
      <c r="T1766" s="9">
        <v>44707.022326388891</v>
      </c>
      <c r="U1766" s="5"/>
      <c r="V1766" s="5">
        <v>0</v>
      </c>
      <c r="W1766" s="5"/>
      <c r="X1766" s="5"/>
      <c r="Y1766" s="5"/>
      <c r="Z1766" s="5"/>
      <c r="AA1766" s="5"/>
      <c r="AC1766">
        <f t="shared" si="244"/>
        <v>17</v>
      </c>
      <c r="AD1766" t="str">
        <f t="shared" si="245"/>
        <v/>
      </c>
      <c r="AE1766">
        <f t="shared" si="246"/>
        <v>4</v>
      </c>
      <c r="AF1766" t="str">
        <f t="shared" si="247"/>
        <v/>
      </c>
      <c r="AG1766" t="str">
        <f t="shared" si="248"/>
        <v/>
      </c>
      <c r="AH1766">
        <f t="shared" si="249"/>
        <v>2</v>
      </c>
      <c r="AI1766" t="str">
        <f t="shared" si="250"/>
        <v/>
      </c>
      <c r="AJ1766" t="str">
        <f t="shared" si="251"/>
        <v/>
      </c>
    </row>
    <row r="1767" spans="1:36">
      <c r="A1767" s="5">
        <v>2106</v>
      </c>
      <c r="B1767" s="5" t="s">
        <v>1479</v>
      </c>
      <c r="C1767" s="5" t="s">
        <v>1332</v>
      </c>
      <c r="D1767" s="5" t="s">
        <v>1448</v>
      </c>
      <c r="E1767" s="5" t="s">
        <v>597</v>
      </c>
      <c r="F1767" s="5" t="str">
        <f t="shared" si="243"/>
        <v>Fundraising-Business Partner</v>
      </c>
      <c r="G1767" s="5" t="s">
        <v>40</v>
      </c>
      <c r="H1767" s="9">
        <v>44685.022326388891</v>
      </c>
      <c r="I1767" s="9">
        <v>44686.022326388891</v>
      </c>
      <c r="J1767" s="9" t="e">
        <f>I1767+#REF!</f>
        <v>#REF!</v>
      </c>
      <c r="K1767" s="9" t="e">
        <f>J1767+#REF!</f>
        <v>#REF!</v>
      </c>
      <c r="L1767" s="10" t="s">
        <v>41</v>
      </c>
      <c r="M1767" s="11">
        <v>44702.022326388891</v>
      </c>
      <c r="N1767" s="5" t="s">
        <v>42</v>
      </c>
      <c r="O1767" s="5" t="s">
        <v>73</v>
      </c>
      <c r="P1767" s="9"/>
      <c r="Q1767" s="5"/>
      <c r="R1767" s="5"/>
      <c r="S1767" s="5"/>
      <c r="T1767" s="9">
        <v>44704.022326388891</v>
      </c>
      <c r="U1767" s="5"/>
      <c r="V1767" s="5">
        <v>0</v>
      </c>
      <c r="W1767" s="5"/>
      <c r="X1767" s="5"/>
      <c r="Y1767" s="5"/>
      <c r="Z1767" s="5"/>
      <c r="AA1767" s="5" t="s">
        <v>44</v>
      </c>
      <c r="AC1767">
        <f t="shared" si="244"/>
        <v>16</v>
      </c>
      <c r="AD1767" t="str">
        <f t="shared" si="245"/>
        <v/>
      </c>
      <c r="AE1767">
        <f t="shared" si="246"/>
        <v>2</v>
      </c>
      <c r="AF1767" t="str">
        <f t="shared" si="247"/>
        <v/>
      </c>
      <c r="AG1767" t="str">
        <f t="shared" si="248"/>
        <v/>
      </c>
      <c r="AH1767">
        <f t="shared" si="249"/>
        <v>1</v>
      </c>
      <c r="AI1767" t="str">
        <f t="shared" si="250"/>
        <v/>
      </c>
      <c r="AJ1767" t="str">
        <f t="shared" si="251"/>
        <v/>
      </c>
    </row>
    <row r="1768" spans="1:36">
      <c r="A1768" s="5">
        <v>2107</v>
      </c>
      <c r="B1768" s="5" t="s">
        <v>2258</v>
      </c>
      <c r="C1768" s="5" t="s">
        <v>2229</v>
      </c>
      <c r="D1768" s="5" t="s">
        <v>2250</v>
      </c>
      <c r="E1768" s="5" t="s">
        <v>388</v>
      </c>
      <c r="F1768" s="5" t="str">
        <f t="shared" si="243"/>
        <v>Capacity Building-Extension Officer</v>
      </c>
      <c r="G1768" s="5" t="s">
        <v>147</v>
      </c>
      <c r="H1768" s="9">
        <v>44684.022326388891</v>
      </c>
      <c r="I1768" s="9">
        <v>44688.022326388891</v>
      </c>
      <c r="J1768" s="9" t="e">
        <f>I1768+#REF!</f>
        <v>#REF!</v>
      </c>
      <c r="K1768" s="9" t="e">
        <f>J1768+#REF!</f>
        <v>#REF!</v>
      </c>
      <c r="L1768" s="10" t="s">
        <v>41</v>
      </c>
      <c r="M1768" s="11">
        <v>44702.022326388891</v>
      </c>
      <c r="N1768" s="5" t="s">
        <v>64</v>
      </c>
      <c r="O1768" s="5"/>
      <c r="P1768" s="9">
        <v>44709.022326388891</v>
      </c>
      <c r="Q1768" s="5" t="s">
        <v>64</v>
      </c>
      <c r="R1768" s="9">
        <v>44703.022326388891</v>
      </c>
      <c r="S1768" s="9">
        <v>44707.022326388891</v>
      </c>
      <c r="T1768" s="9">
        <v>44705.022326388891</v>
      </c>
      <c r="U1768" s="9">
        <v>44714.022326388891</v>
      </c>
      <c r="V1768" s="12">
        <v>1</v>
      </c>
      <c r="W1768" s="9">
        <v>44718.022326388891</v>
      </c>
      <c r="X1768" s="9">
        <v>44719.022326388891</v>
      </c>
      <c r="Y1768" s="9">
        <v>44721.022326388891</v>
      </c>
      <c r="Z1768" s="5"/>
      <c r="AA1768" s="5"/>
      <c r="AB1768" s="13">
        <v>44737.022326388891</v>
      </c>
      <c r="AC1768">
        <f t="shared" si="244"/>
        <v>14</v>
      </c>
      <c r="AD1768">
        <f t="shared" si="245"/>
        <v>19</v>
      </c>
      <c r="AE1768">
        <f t="shared" si="246"/>
        <v>3</v>
      </c>
      <c r="AF1768">
        <f t="shared" si="247"/>
        <v>5</v>
      </c>
      <c r="AG1768">
        <f t="shared" si="248"/>
        <v>4</v>
      </c>
      <c r="AH1768">
        <f t="shared" si="249"/>
        <v>4</v>
      </c>
      <c r="AI1768" t="str">
        <f t="shared" si="250"/>
        <v/>
      </c>
      <c r="AJ1768" t="str">
        <f t="shared" si="251"/>
        <v/>
      </c>
    </row>
    <row r="1769" spans="1:36">
      <c r="A1769" s="5">
        <v>2108</v>
      </c>
      <c r="B1769" s="5" t="s">
        <v>1427</v>
      </c>
      <c r="C1769" s="5" t="s">
        <v>1332</v>
      </c>
      <c r="D1769" s="5" t="s">
        <v>1413</v>
      </c>
      <c r="E1769" s="5" t="s">
        <v>269</v>
      </c>
      <c r="F1769" s="5" t="str">
        <f t="shared" si="243"/>
        <v>Fundraising-Manager</v>
      </c>
      <c r="G1769" s="5" t="s">
        <v>270</v>
      </c>
      <c r="H1769" s="9">
        <v>44684.022326388891</v>
      </c>
      <c r="I1769" s="9">
        <v>44688.022326388891</v>
      </c>
      <c r="J1769" s="9" t="e">
        <f>I1769+#REF!</f>
        <v>#REF!</v>
      </c>
      <c r="K1769" s="9" t="e">
        <f>J1769+#REF!</f>
        <v>#REF!</v>
      </c>
      <c r="L1769" s="10" t="s">
        <v>41</v>
      </c>
      <c r="M1769" s="11">
        <v>44705.022326388891</v>
      </c>
      <c r="N1769" s="5" t="s">
        <v>42</v>
      </c>
      <c r="O1769" s="5" t="s">
        <v>98</v>
      </c>
      <c r="P1769" s="9"/>
      <c r="Q1769" s="5"/>
      <c r="R1769" s="5"/>
      <c r="S1769" s="5"/>
      <c r="T1769" s="9">
        <v>44707.022326388891</v>
      </c>
      <c r="U1769" s="5"/>
      <c r="V1769" s="5">
        <v>0</v>
      </c>
      <c r="W1769" s="5"/>
      <c r="X1769" s="5"/>
      <c r="Y1769" s="5"/>
      <c r="Z1769" s="5"/>
      <c r="AA1769" s="5" t="s">
        <v>62</v>
      </c>
      <c r="AC1769">
        <f t="shared" si="244"/>
        <v>17</v>
      </c>
      <c r="AD1769" t="str">
        <f t="shared" si="245"/>
        <v/>
      </c>
      <c r="AE1769">
        <f t="shared" si="246"/>
        <v>2</v>
      </c>
      <c r="AF1769" t="str">
        <f t="shared" si="247"/>
        <v/>
      </c>
      <c r="AG1769" t="str">
        <f t="shared" si="248"/>
        <v/>
      </c>
      <c r="AH1769">
        <f t="shared" si="249"/>
        <v>4</v>
      </c>
      <c r="AI1769" t="str">
        <f t="shared" si="250"/>
        <v/>
      </c>
      <c r="AJ1769" t="str">
        <f t="shared" si="251"/>
        <v/>
      </c>
    </row>
    <row r="1770" spans="1:36">
      <c r="A1770" s="5">
        <v>2112</v>
      </c>
      <c r="B1770" s="5" t="s">
        <v>304</v>
      </c>
      <c r="C1770" s="5" t="s">
        <v>100</v>
      </c>
      <c r="D1770" s="5" t="s">
        <v>268</v>
      </c>
      <c r="E1770" s="5" t="s">
        <v>291</v>
      </c>
      <c r="F1770" s="5" t="str">
        <f t="shared" si="243"/>
        <v>Program Office-Cordination Manager</v>
      </c>
      <c r="G1770" s="5" t="s">
        <v>270</v>
      </c>
      <c r="H1770" s="9">
        <v>45033.055439814816</v>
      </c>
      <c r="I1770" s="9">
        <v>45036.055439814816</v>
      </c>
      <c r="J1770" s="9" t="e">
        <f>I1770+#REF!</f>
        <v>#REF!</v>
      </c>
      <c r="K1770" s="9" t="e">
        <f>J1770+#REF!</f>
        <v>#REF!</v>
      </c>
      <c r="L1770" s="10" t="s">
        <v>41</v>
      </c>
      <c r="M1770" s="11">
        <v>45047.055439814816</v>
      </c>
      <c r="N1770" s="5" t="s">
        <v>42</v>
      </c>
      <c r="O1770" s="5" t="s">
        <v>58</v>
      </c>
      <c r="P1770" s="9"/>
      <c r="Q1770" s="5"/>
      <c r="R1770" s="5"/>
      <c r="S1770" s="5"/>
      <c r="T1770" s="9"/>
      <c r="U1770" s="5"/>
      <c r="V1770" s="5">
        <v>0</v>
      </c>
      <c r="W1770" s="5"/>
      <c r="X1770" s="5"/>
      <c r="Y1770" s="5"/>
      <c r="Z1770" s="5"/>
      <c r="AA1770" s="5" t="s">
        <v>44</v>
      </c>
      <c r="AC1770">
        <f t="shared" si="244"/>
        <v>11</v>
      </c>
      <c r="AD1770" t="str">
        <f t="shared" si="245"/>
        <v/>
      </c>
      <c r="AE1770" t="str">
        <f t="shared" si="246"/>
        <v/>
      </c>
      <c r="AF1770" t="str">
        <f t="shared" si="247"/>
        <v/>
      </c>
      <c r="AG1770" t="str">
        <f t="shared" si="248"/>
        <v/>
      </c>
      <c r="AH1770">
        <f t="shared" si="249"/>
        <v>3</v>
      </c>
      <c r="AI1770" t="str">
        <f t="shared" si="250"/>
        <v/>
      </c>
      <c r="AJ1770" t="str">
        <f t="shared" si="251"/>
        <v/>
      </c>
    </row>
    <row r="1771" spans="1:36">
      <c r="A1771" s="5">
        <v>2114</v>
      </c>
      <c r="B1771" s="5" t="s">
        <v>185</v>
      </c>
      <c r="C1771" s="5" t="s">
        <v>100</v>
      </c>
      <c r="D1771" s="5" t="s">
        <v>146</v>
      </c>
      <c r="E1771" s="5" t="s">
        <v>39</v>
      </c>
      <c r="F1771" s="5" t="str">
        <f t="shared" si="243"/>
        <v>Program Office-Analyst</v>
      </c>
      <c r="G1771" s="5" t="s">
        <v>147</v>
      </c>
      <c r="H1771" s="9">
        <v>45034.055439814816</v>
      </c>
      <c r="I1771" s="9">
        <v>45035.055439814816</v>
      </c>
      <c r="J1771" s="9" t="e">
        <f>I1771+#REF!</f>
        <v>#REF!</v>
      </c>
      <c r="K1771" s="9" t="e">
        <f>J1771+#REF!</f>
        <v>#REF!</v>
      </c>
      <c r="L1771" s="10" t="s">
        <v>52</v>
      </c>
      <c r="M1771" s="11"/>
      <c r="N1771" s="5"/>
      <c r="O1771" s="5"/>
      <c r="P1771" s="9"/>
      <c r="Q1771" s="5"/>
      <c r="R1771" s="5"/>
      <c r="S1771" s="5"/>
      <c r="T1771" s="9"/>
      <c r="U1771" s="5"/>
      <c r="V1771" s="5">
        <v>0</v>
      </c>
      <c r="W1771" s="5"/>
      <c r="X1771" s="5"/>
      <c r="Y1771" s="5"/>
      <c r="Z1771" s="5"/>
      <c r="AA1771" s="5"/>
      <c r="AC1771" t="str">
        <f t="shared" si="244"/>
        <v/>
      </c>
      <c r="AD1771" t="str">
        <f t="shared" si="245"/>
        <v/>
      </c>
      <c r="AE1771" t="str">
        <f t="shared" si="246"/>
        <v/>
      </c>
      <c r="AF1771" t="str">
        <f t="shared" si="247"/>
        <v/>
      </c>
      <c r="AG1771" t="str">
        <f t="shared" si="248"/>
        <v/>
      </c>
      <c r="AH1771">
        <f t="shared" si="249"/>
        <v>1</v>
      </c>
      <c r="AI1771" t="str">
        <f t="shared" si="250"/>
        <v/>
      </c>
      <c r="AJ1771" t="str">
        <f t="shared" si="251"/>
        <v/>
      </c>
    </row>
    <row r="1772" spans="1:36">
      <c r="A1772" s="5">
        <v>2115</v>
      </c>
      <c r="B1772" s="5" t="s">
        <v>511</v>
      </c>
      <c r="C1772" s="5" t="s">
        <v>100</v>
      </c>
      <c r="D1772" s="5" t="s">
        <v>506</v>
      </c>
      <c r="E1772" s="5" t="s">
        <v>55</v>
      </c>
      <c r="F1772" s="5" t="str">
        <f t="shared" si="243"/>
        <v>Program Office-Director</v>
      </c>
      <c r="G1772" s="5" t="s">
        <v>56</v>
      </c>
      <c r="H1772" s="9">
        <v>45030.055439814816</v>
      </c>
      <c r="I1772" s="9">
        <v>45032.055439814816</v>
      </c>
      <c r="J1772" s="9" t="e">
        <f>I1772+#REF!</f>
        <v>#REF!</v>
      </c>
      <c r="K1772" s="9" t="e">
        <f>J1772+#REF!</f>
        <v>#REF!</v>
      </c>
      <c r="L1772" s="10" t="s">
        <v>52</v>
      </c>
      <c r="M1772" s="11"/>
      <c r="N1772" s="5"/>
      <c r="O1772" s="5"/>
      <c r="P1772" s="9"/>
      <c r="Q1772" s="5"/>
      <c r="R1772" s="5"/>
      <c r="S1772" s="5"/>
      <c r="T1772" s="9"/>
      <c r="U1772" s="5"/>
      <c r="V1772" s="5">
        <v>0</v>
      </c>
      <c r="W1772" s="5"/>
      <c r="X1772" s="5"/>
      <c r="Y1772" s="5"/>
      <c r="Z1772" s="5"/>
      <c r="AA1772" s="5"/>
      <c r="AC1772" t="str">
        <f t="shared" si="244"/>
        <v/>
      </c>
      <c r="AD1772" t="str">
        <f t="shared" si="245"/>
        <v/>
      </c>
      <c r="AE1772" t="str">
        <f t="shared" si="246"/>
        <v/>
      </c>
      <c r="AF1772" t="str">
        <f t="shared" si="247"/>
        <v/>
      </c>
      <c r="AG1772" t="str">
        <f t="shared" si="248"/>
        <v/>
      </c>
      <c r="AH1772">
        <f t="shared" si="249"/>
        <v>2</v>
      </c>
      <c r="AI1772" t="str">
        <f t="shared" si="250"/>
        <v/>
      </c>
      <c r="AJ1772" t="str">
        <f t="shared" si="251"/>
        <v/>
      </c>
    </row>
    <row r="1773" spans="1:36">
      <c r="A1773" s="5">
        <v>2117</v>
      </c>
      <c r="B1773" s="5" t="s">
        <v>429</v>
      </c>
      <c r="C1773" s="5" t="s">
        <v>100</v>
      </c>
      <c r="D1773" s="5" t="s">
        <v>387</v>
      </c>
      <c r="E1773" s="5" t="s">
        <v>388</v>
      </c>
      <c r="F1773" s="5" t="str">
        <f t="shared" si="243"/>
        <v>Program Office-Extension Officer</v>
      </c>
      <c r="G1773" s="5" t="s">
        <v>40</v>
      </c>
      <c r="H1773" s="9">
        <v>45031.055439814816</v>
      </c>
      <c r="I1773" s="9">
        <v>45032.055439814816</v>
      </c>
      <c r="J1773" s="9" t="e">
        <f>I1773+#REF!</f>
        <v>#REF!</v>
      </c>
      <c r="K1773" s="9" t="e">
        <f>J1773+#REF!</f>
        <v>#REF!</v>
      </c>
      <c r="L1773" s="10" t="s">
        <v>41</v>
      </c>
      <c r="M1773" s="11">
        <v>45045.055439814816</v>
      </c>
      <c r="N1773" s="5" t="s">
        <v>42</v>
      </c>
      <c r="O1773" s="5" t="s">
        <v>43</v>
      </c>
      <c r="P1773" s="9"/>
      <c r="Q1773" s="5"/>
      <c r="R1773" s="5"/>
      <c r="S1773" s="5"/>
      <c r="T1773" s="9"/>
      <c r="U1773" s="5"/>
      <c r="V1773" s="5">
        <v>0</v>
      </c>
      <c r="W1773" s="5"/>
      <c r="X1773" s="5"/>
      <c r="Y1773" s="5"/>
      <c r="Z1773" s="5"/>
      <c r="AA1773" s="5" t="s">
        <v>62</v>
      </c>
      <c r="AC1773">
        <f t="shared" si="244"/>
        <v>13</v>
      </c>
      <c r="AD1773" t="str">
        <f t="shared" si="245"/>
        <v/>
      </c>
      <c r="AE1773" t="str">
        <f t="shared" si="246"/>
        <v/>
      </c>
      <c r="AF1773" t="str">
        <f t="shared" si="247"/>
        <v/>
      </c>
      <c r="AG1773" t="str">
        <f t="shared" si="248"/>
        <v/>
      </c>
      <c r="AH1773">
        <f t="shared" si="249"/>
        <v>1</v>
      </c>
      <c r="AI1773" t="str">
        <f t="shared" si="250"/>
        <v/>
      </c>
      <c r="AJ1773" t="str">
        <f t="shared" si="251"/>
        <v/>
      </c>
    </row>
    <row r="1774" spans="1:36">
      <c r="A1774" s="5">
        <v>2118</v>
      </c>
      <c r="B1774" s="5" t="s">
        <v>303</v>
      </c>
      <c r="C1774" s="5" t="s">
        <v>100</v>
      </c>
      <c r="D1774" s="5" t="s">
        <v>268</v>
      </c>
      <c r="E1774" s="5" t="s">
        <v>291</v>
      </c>
      <c r="F1774" s="5" t="str">
        <f t="shared" si="243"/>
        <v>Program Office-Cordination Manager</v>
      </c>
      <c r="G1774" s="5" t="s">
        <v>270</v>
      </c>
      <c r="H1774" s="9">
        <v>45029.055439814816</v>
      </c>
      <c r="I1774" s="9">
        <v>45033.055439814816</v>
      </c>
      <c r="J1774" s="9" t="e">
        <f>I1774+#REF!</f>
        <v>#REF!</v>
      </c>
      <c r="K1774" s="9" t="e">
        <f>J1774+#REF!</f>
        <v>#REF!</v>
      </c>
      <c r="L1774" s="10" t="s">
        <v>41</v>
      </c>
      <c r="M1774" s="11">
        <v>45042.055439814816</v>
      </c>
      <c r="N1774" s="5" t="s">
        <v>42</v>
      </c>
      <c r="O1774" s="5" t="s">
        <v>73</v>
      </c>
      <c r="P1774" s="9"/>
      <c r="Q1774" s="5"/>
      <c r="R1774" s="5"/>
      <c r="S1774" s="5"/>
      <c r="T1774" s="9">
        <v>45043.055439814816</v>
      </c>
      <c r="U1774" s="5"/>
      <c r="V1774" s="5">
        <v>0</v>
      </c>
      <c r="W1774" s="5"/>
      <c r="X1774" s="5"/>
      <c r="Y1774" s="5"/>
      <c r="Z1774" s="5"/>
      <c r="AA1774" s="5" t="s">
        <v>44</v>
      </c>
      <c r="AC1774">
        <f t="shared" si="244"/>
        <v>9</v>
      </c>
      <c r="AD1774" t="str">
        <f t="shared" si="245"/>
        <v/>
      </c>
      <c r="AE1774">
        <f t="shared" si="246"/>
        <v>1</v>
      </c>
      <c r="AF1774" t="str">
        <f t="shared" si="247"/>
        <v/>
      </c>
      <c r="AG1774" t="str">
        <f t="shared" si="248"/>
        <v/>
      </c>
      <c r="AH1774">
        <f t="shared" si="249"/>
        <v>4</v>
      </c>
      <c r="AI1774" t="str">
        <f t="shared" si="250"/>
        <v/>
      </c>
      <c r="AJ1774" t="str">
        <f t="shared" si="251"/>
        <v/>
      </c>
    </row>
    <row r="1775" spans="1:36">
      <c r="A1775" s="5">
        <v>2119</v>
      </c>
      <c r="B1775" s="5" t="s">
        <v>601</v>
      </c>
      <c r="C1775" s="5" t="s">
        <v>100</v>
      </c>
      <c r="D1775" s="5" t="s">
        <v>554</v>
      </c>
      <c r="E1775" s="5" t="s">
        <v>597</v>
      </c>
      <c r="F1775" s="5" t="str">
        <f t="shared" si="243"/>
        <v>Program Office-Business Partner</v>
      </c>
      <c r="G1775" s="5" t="s">
        <v>47</v>
      </c>
      <c r="H1775" s="9">
        <v>45029.055439814816</v>
      </c>
      <c r="I1775" s="9">
        <v>45033.055439814816</v>
      </c>
      <c r="J1775" s="9" t="e">
        <f>I1775+#REF!</f>
        <v>#REF!</v>
      </c>
      <c r="K1775" s="9" t="e">
        <f>J1775+#REF!</f>
        <v>#REF!</v>
      </c>
      <c r="L1775" s="10" t="s">
        <v>41</v>
      </c>
      <c r="M1775" s="11">
        <v>45054.055439814816</v>
      </c>
      <c r="N1775" s="5" t="s">
        <v>64</v>
      </c>
      <c r="O1775" s="5"/>
      <c r="P1775" s="9">
        <v>45060.055439814816</v>
      </c>
      <c r="Q1775" s="5" t="s">
        <v>64</v>
      </c>
      <c r="R1775" s="9">
        <v>45056.055439814816</v>
      </c>
      <c r="S1775" s="9">
        <v>45057.055439814816</v>
      </c>
      <c r="T1775" s="9">
        <v>45058.055439814816</v>
      </c>
      <c r="U1775" s="9">
        <v>45061.055439814816</v>
      </c>
      <c r="V1775" s="12">
        <v>1</v>
      </c>
      <c r="W1775" s="9">
        <v>45065.055439814816</v>
      </c>
      <c r="X1775" s="9">
        <v>45067.055439814816</v>
      </c>
      <c r="Y1775" s="9">
        <v>45068.055439814816</v>
      </c>
      <c r="Z1775" s="5"/>
      <c r="AA1775" s="5"/>
      <c r="AB1775" s="13">
        <v>45091.055439814816</v>
      </c>
      <c r="AC1775">
        <f t="shared" si="244"/>
        <v>21</v>
      </c>
      <c r="AD1775">
        <f t="shared" si="245"/>
        <v>24</v>
      </c>
      <c r="AE1775">
        <f t="shared" si="246"/>
        <v>4</v>
      </c>
      <c r="AF1775">
        <f t="shared" si="247"/>
        <v>6</v>
      </c>
      <c r="AG1775">
        <f t="shared" si="248"/>
        <v>4</v>
      </c>
      <c r="AH1775">
        <f t="shared" si="249"/>
        <v>4</v>
      </c>
      <c r="AI1775" t="str">
        <f t="shared" si="250"/>
        <v/>
      </c>
      <c r="AJ1775" t="str">
        <f t="shared" si="251"/>
        <v/>
      </c>
    </row>
    <row r="1776" spans="1:36">
      <c r="A1776" s="5">
        <v>2120</v>
      </c>
      <c r="B1776" s="5" t="s">
        <v>510</v>
      </c>
      <c r="C1776" s="5" t="s">
        <v>100</v>
      </c>
      <c r="D1776" s="5" t="s">
        <v>506</v>
      </c>
      <c r="E1776" s="5" t="s">
        <v>55</v>
      </c>
      <c r="F1776" s="5" t="str">
        <f t="shared" si="243"/>
        <v>Program Office-Director</v>
      </c>
      <c r="G1776" s="5" t="s">
        <v>56</v>
      </c>
      <c r="H1776" s="9">
        <v>45030.055439814816</v>
      </c>
      <c r="I1776" s="9">
        <v>45033.055439814816</v>
      </c>
      <c r="J1776" s="9" t="e">
        <f>I1776+#REF!</f>
        <v>#REF!</v>
      </c>
      <c r="K1776" s="9" t="e">
        <f>J1776+#REF!</f>
        <v>#REF!</v>
      </c>
      <c r="L1776" s="10" t="s">
        <v>52</v>
      </c>
      <c r="M1776" s="11"/>
      <c r="N1776" s="5"/>
      <c r="O1776" s="5"/>
      <c r="P1776" s="9"/>
      <c r="Q1776" s="5"/>
      <c r="R1776" s="5"/>
      <c r="S1776" s="5"/>
      <c r="T1776" s="9"/>
      <c r="U1776" s="5"/>
      <c r="V1776" s="5">
        <v>0</v>
      </c>
      <c r="W1776" s="5"/>
      <c r="X1776" s="5"/>
      <c r="Y1776" s="5"/>
      <c r="Z1776" s="5"/>
      <c r="AA1776" s="5"/>
      <c r="AC1776" t="str">
        <f t="shared" si="244"/>
        <v/>
      </c>
      <c r="AD1776" t="str">
        <f t="shared" si="245"/>
        <v/>
      </c>
      <c r="AE1776" t="str">
        <f t="shared" si="246"/>
        <v/>
      </c>
      <c r="AF1776" t="str">
        <f t="shared" si="247"/>
        <v/>
      </c>
      <c r="AG1776" t="str">
        <f t="shared" si="248"/>
        <v/>
      </c>
      <c r="AH1776">
        <f t="shared" si="249"/>
        <v>3</v>
      </c>
      <c r="AI1776" t="str">
        <f t="shared" si="250"/>
        <v/>
      </c>
      <c r="AJ1776" t="str">
        <f t="shared" si="251"/>
        <v/>
      </c>
    </row>
    <row r="1777" spans="1:36">
      <c r="A1777" s="5">
        <v>2121</v>
      </c>
      <c r="B1777" s="5" t="s">
        <v>302</v>
      </c>
      <c r="C1777" s="5" t="s">
        <v>100</v>
      </c>
      <c r="D1777" s="5" t="s">
        <v>268</v>
      </c>
      <c r="E1777" s="5" t="s">
        <v>291</v>
      </c>
      <c r="F1777" s="5" t="str">
        <f t="shared" si="243"/>
        <v>Program Office-Cordination Manager</v>
      </c>
      <c r="G1777" s="5" t="s">
        <v>270</v>
      </c>
      <c r="H1777" s="9">
        <v>44926.473356481481</v>
      </c>
      <c r="I1777" s="9">
        <v>44930.473356481481</v>
      </c>
      <c r="J1777" s="9" t="e">
        <f>I1777+#REF!</f>
        <v>#REF!</v>
      </c>
      <c r="K1777" s="9" t="e">
        <f>J1777+#REF!</f>
        <v>#REF!</v>
      </c>
      <c r="L1777" s="10" t="s">
        <v>52</v>
      </c>
      <c r="M1777" s="11"/>
      <c r="N1777" s="5"/>
      <c r="O1777" s="5"/>
      <c r="P1777" s="9"/>
      <c r="Q1777" s="5"/>
      <c r="R1777" s="5"/>
      <c r="S1777" s="5"/>
      <c r="T1777" s="9"/>
      <c r="U1777" s="5"/>
      <c r="V1777" s="5">
        <v>0</v>
      </c>
      <c r="W1777" s="5"/>
      <c r="X1777" s="5"/>
      <c r="Y1777" s="5"/>
      <c r="Z1777" s="5"/>
      <c r="AA1777" s="5"/>
      <c r="AC1777" t="str">
        <f t="shared" si="244"/>
        <v/>
      </c>
      <c r="AD1777" t="str">
        <f t="shared" si="245"/>
        <v/>
      </c>
      <c r="AE1777" t="str">
        <f t="shared" si="246"/>
        <v/>
      </c>
      <c r="AF1777" t="str">
        <f t="shared" si="247"/>
        <v/>
      </c>
      <c r="AG1777" t="str">
        <f t="shared" si="248"/>
        <v/>
      </c>
      <c r="AH1777">
        <f t="shared" si="249"/>
        <v>4</v>
      </c>
      <c r="AI1777" t="str">
        <f t="shared" si="250"/>
        <v/>
      </c>
      <c r="AJ1777" t="str">
        <f t="shared" si="251"/>
        <v/>
      </c>
    </row>
    <row r="1778" spans="1:36">
      <c r="A1778" s="5">
        <v>2122</v>
      </c>
      <c r="B1778" s="5" t="s">
        <v>118</v>
      </c>
      <c r="C1778" s="5" t="s">
        <v>100</v>
      </c>
      <c r="D1778" s="5" t="s">
        <v>101</v>
      </c>
      <c r="E1778" s="5" t="s">
        <v>102</v>
      </c>
      <c r="F1778" s="5" t="str">
        <f t="shared" si="243"/>
        <v>Program Office-Senior Manager</v>
      </c>
      <c r="G1778" s="5" t="s">
        <v>103</v>
      </c>
      <c r="H1778" s="9">
        <v>44929.473356481481</v>
      </c>
      <c r="I1778" s="9">
        <v>44933.473356481481</v>
      </c>
      <c r="J1778" s="9" t="e">
        <f>I1778+#REF!</f>
        <v>#REF!</v>
      </c>
      <c r="K1778" s="9" t="e">
        <f>J1778+#REF!</f>
        <v>#REF!</v>
      </c>
      <c r="L1778" s="10" t="s">
        <v>41</v>
      </c>
      <c r="M1778" s="11">
        <v>44941.473356481481</v>
      </c>
      <c r="N1778" s="5" t="s">
        <v>42</v>
      </c>
      <c r="O1778" s="5" t="s">
        <v>73</v>
      </c>
      <c r="P1778" s="9"/>
      <c r="Q1778" s="5"/>
      <c r="R1778" s="5"/>
      <c r="S1778" s="5"/>
      <c r="T1778" s="9"/>
      <c r="U1778" s="5"/>
      <c r="V1778" s="5">
        <v>0</v>
      </c>
      <c r="W1778" s="5"/>
      <c r="X1778" s="5"/>
      <c r="Y1778" s="5"/>
      <c r="Z1778" s="5"/>
      <c r="AA1778" s="5" t="s">
        <v>44</v>
      </c>
      <c r="AC1778">
        <f t="shared" si="244"/>
        <v>8</v>
      </c>
      <c r="AD1778" t="str">
        <f t="shared" si="245"/>
        <v/>
      </c>
      <c r="AE1778" t="str">
        <f t="shared" si="246"/>
        <v/>
      </c>
      <c r="AF1778" t="str">
        <f t="shared" si="247"/>
        <v/>
      </c>
      <c r="AG1778" t="str">
        <f t="shared" si="248"/>
        <v/>
      </c>
      <c r="AH1778">
        <f t="shared" si="249"/>
        <v>4</v>
      </c>
      <c r="AI1778" t="str">
        <f t="shared" si="250"/>
        <v/>
      </c>
      <c r="AJ1778" t="str">
        <f t="shared" si="251"/>
        <v/>
      </c>
    </row>
    <row r="1779" spans="1:36">
      <c r="A1779" s="5">
        <v>2123</v>
      </c>
      <c r="B1779" s="5" t="s">
        <v>301</v>
      </c>
      <c r="C1779" s="5" t="s">
        <v>100</v>
      </c>
      <c r="D1779" s="5" t="s">
        <v>268</v>
      </c>
      <c r="E1779" s="5" t="s">
        <v>291</v>
      </c>
      <c r="F1779" s="5" t="str">
        <f t="shared" si="243"/>
        <v>Program Office-Cordination Manager</v>
      </c>
      <c r="G1779" s="5" t="s">
        <v>270</v>
      </c>
      <c r="H1779" s="9">
        <v>44929.473356481481</v>
      </c>
      <c r="I1779" s="9">
        <v>44931.473356481481</v>
      </c>
      <c r="J1779" s="9" t="e">
        <f>I1779+#REF!</f>
        <v>#REF!</v>
      </c>
      <c r="K1779" s="9" t="e">
        <f>J1779+#REF!</f>
        <v>#REF!</v>
      </c>
      <c r="L1779" s="10" t="s">
        <v>41</v>
      </c>
      <c r="M1779" s="11">
        <v>44938.473356481481</v>
      </c>
      <c r="N1779" s="5" t="s">
        <v>48</v>
      </c>
      <c r="O1779" s="5"/>
      <c r="P1779" s="9">
        <v>44945.473356481481</v>
      </c>
      <c r="Q1779" s="5" t="s">
        <v>48</v>
      </c>
      <c r="R1779" s="5"/>
      <c r="S1779" s="5"/>
      <c r="T1779" s="9">
        <v>44941.473356481481</v>
      </c>
      <c r="U1779" s="5"/>
      <c r="V1779" s="5">
        <v>0</v>
      </c>
      <c r="W1779" s="5"/>
      <c r="X1779" s="5"/>
      <c r="Y1779" s="5"/>
      <c r="Z1779" s="5"/>
      <c r="AA1779" s="5"/>
      <c r="AC1779">
        <f t="shared" si="244"/>
        <v>7</v>
      </c>
      <c r="AD1779" t="str">
        <f t="shared" si="245"/>
        <v/>
      </c>
      <c r="AE1779">
        <f t="shared" si="246"/>
        <v>3</v>
      </c>
      <c r="AF1779" t="str">
        <f t="shared" si="247"/>
        <v/>
      </c>
      <c r="AG1779" t="str">
        <f t="shared" si="248"/>
        <v/>
      </c>
      <c r="AH1779">
        <f t="shared" si="249"/>
        <v>2</v>
      </c>
      <c r="AI1779" t="str">
        <f t="shared" si="250"/>
        <v/>
      </c>
      <c r="AJ1779" t="str">
        <f t="shared" si="251"/>
        <v/>
      </c>
    </row>
    <row r="1780" spans="1:36">
      <c r="A1780" s="5">
        <v>2124</v>
      </c>
      <c r="B1780" s="5" t="s">
        <v>300</v>
      </c>
      <c r="C1780" s="5" t="s">
        <v>100</v>
      </c>
      <c r="D1780" s="5" t="s">
        <v>268</v>
      </c>
      <c r="E1780" s="5" t="s">
        <v>291</v>
      </c>
      <c r="F1780" s="5" t="str">
        <f t="shared" si="243"/>
        <v>Program Office-Cordination Manager</v>
      </c>
      <c r="G1780" s="5" t="s">
        <v>270</v>
      </c>
      <c r="H1780" s="9">
        <v>44927.473356481481</v>
      </c>
      <c r="I1780" s="9">
        <v>44929.473356481481</v>
      </c>
      <c r="J1780" s="9" t="e">
        <f>I1780+#REF!</f>
        <v>#REF!</v>
      </c>
      <c r="K1780" s="9" t="e">
        <f>J1780+#REF!</f>
        <v>#REF!</v>
      </c>
      <c r="L1780" s="10" t="s">
        <v>52</v>
      </c>
      <c r="M1780" s="11"/>
      <c r="N1780" s="5"/>
      <c r="O1780" s="5"/>
      <c r="P1780" s="9"/>
      <c r="Q1780" s="5"/>
      <c r="R1780" s="5"/>
      <c r="S1780" s="5"/>
      <c r="T1780" s="9"/>
      <c r="U1780" s="5"/>
      <c r="V1780" s="5">
        <v>0</v>
      </c>
      <c r="W1780" s="5"/>
      <c r="X1780" s="5"/>
      <c r="Y1780" s="5"/>
      <c r="Z1780" s="5"/>
      <c r="AA1780" s="5"/>
      <c r="AC1780" t="str">
        <f t="shared" si="244"/>
        <v/>
      </c>
      <c r="AD1780" t="str">
        <f t="shared" si="245"/>
        <v/>
      </c>
      <c r="AE1780" t="str">
        <f t="shared" si="246"/>
        <v/>
      </c>
      <c r="AF1780" t="str">
        <f t="shared" si="247"/>
        <v/>
      </c>
      <c r="AG1780" t="str">
        <f t="shared" si="248"/>
        <v/>
      </c>
      <c r="AH1780">
        <f t="shared" si="249"/>
        <v>2</v>
      </c>
      <c r="AI1780" t="str">
        <f t="shared" si="250"/>
        <v/>
      </c>
      <c r="AJ1780" t="str">
        <f t="shared" si="251"/>
        <v/>
      </c>
    </row>
    <row r="1781" spans="1:36">
      <c r="A1781" s="5">
        <v>2125</v>
      </c>
      <c r="B1781" s="5" t="s">
        <v>117</v>
      </c>
      <c r="C1781" s="5" t="s">
        <v>100</v>
      </c>
      <c r="D1781" s="5" t="s">
        <v>101</v>
      </c>
      <c r="E1781" s="5" t="s">
        <v>102</v>
      </c>
      <c r="F1781" s="5" t="str">
        <f t="shared" si="243"/>
        <v>Program Office-Senior Manager</v>
      </c>
      <c r="G1781" s="5" t="s">
        <v>103</v>
      </c>
      <c r="H1781" s="9">
        <v>44927.473356481481</v>
      </c>
      <c r="I1781" s="9">
        <v>44930.473356481481</v>
      </c>
      <c r="J1781" s="9" t="e">
        <f>I1781+#REF!</f>
        <v>#REF!</v>
      </c>
      <c r="K1781" s="9" t="e">
        <f>J1781+#REF!</f>
        <v>#REF!</v>
      </c>
      <c r="L1781" s="10" t="s">
        <v>41</v>
      </c>
      <c r="M1781" s="11">
        <v>44946.473356481481</v>
      </c>
      <c r="N1781" s="5" t="s">
        <v>42</v>
      </c>
      <c r="O1781" s="5" t="s">
        <v>98</v>
      </c>
      <c r="P1781" s="9"/>
      <c r="Q1781" s="5"/>
      <c r="R1781" s="5"/>
      <c r="S1781" s="5"/>
      <c r="T1781" s="9"/>
      <c r="U1781" s="5"/>
      <c r="V1781" s="5">
        <v>0</v>
      </c>
      <c r="W1781" s="5"/>
      <c r="X1781" s="5"/>
      <c r="Y1781" s="5"/>
      <c r="Z1781" s="5"/>
      <c r="AA1781" s="5" t="s">
        <v>44</v>
      </c>
      <c r="AC1781">
        <f t="shared" si="244"/>
        <v>16</v>
      </c>
      <c r="AD1781" t="str">
        <f t="shared" si="245"/>
        <v/>
      </c>
      <c r="AE1781" t="str">
        <f t="shared" si="246"/>
        <v/>
      </c>
      <c r="AF1781" t="str">
        <f t="shared" si="247"/>
        <v/>
      </c>
      <c r="AG1781" t="str">
        <f t="shared" si="248"/>
        <v/>
      </c>
      <c r="AH1781">
        <f t="shared" si="249"/>
        <v>3</v>
      </c>
      <c r="AI1781" t="str">
        <f t="shared" si="250"/>
        <v/>
      </c>
      <c r="AJ1781" t="str">
        <f t="shared" si="251"/>
        <v/>
      </c>
    </row>
    <row r="1782" spans="1:36">
      <c r="A1782" s="5">
        <v>2126</v>
      </c>
      <c r="B1782" s="5" t="s">
        <v>600</v>
      </c>
      <c r="C1782" s="5" t="s">
        <v>100</v>
      </c>
      <c r="D1782" s="5" t="s">
        <v>554</v>
      </c>
      <c r="E1782" s="5" t="s">
        <v>597</v>
      </c>
      <c r="F1782" s="5" t="str">
        <f t="shared" si="243"/>
        <v>Program Office-Business Partner</v>
      </c>
      <c r="G1782" s="5" t="s">
        <v>47</v>
      </c>
      <c r="H1782" s="9">
        <v>44931.473356481481</v>
      </c>
      <c r="I1782" s="9">
        <v>44933.473356481481</v>
      </c>
      <c r="J1782" s="9" t="e">
        <f>I1782+#REF!</f>
        <v>#REF!</v>
      </c>
      <c r="K1782" s="9" t="e">
        <f>J1782+#REF!</f>
        <v>#REF!</v>
      </c>
      <c r="L1782" s="10" t="s">
        <v>41</v>
      </c>
      <c r="M1782" s="11">
        <v>44945.473356481481</v>
      </c>
      <c r="N1782" s="5" t="s">
        <v>48</v>
      </c>
      <c r="O1782" s="5"/>
      <c r="P1782" s="9">
        <v>44953.473356481481</v>
      </c>
      <c r="Q1782" s="5" t="s">
        <v>48</v>
      </c>
      <c r="R1782" s="5"/>
      <c r="S1782" s="5"/>
      <c r="T1782" s="9">
        <v>44949.473356481481</v>
      </c>
      <c r="U1782" s="5"/>
      <c r="V1782" s="5">
        <v>0</v>
      </c>
      <c r="W1782" s="5"/>
      <c r="X1782" s="5"/>
      <c r="Y1782" s="5"/>
      <c r="Z1782" s="5"/>
      <c r="AA1782" s="5"/>
      <c r="AC1782">
        <f t="shared" si="244"/>
        <v>12</v>
      </c>
      <c r="AD1782" t="str">
        <f t="shared" si="245"/>
        <v/>
      </c>
      <c r="AE1782">
        <f t="shared" si="246"/>
        <v>4</v>
      </c>
      <c r="AF1782" t="str">
        <f t="shared" si="247"/>
        <v/>
      </c>
      <c r="AG1782" t="str">
        <f t="shared" si="248"/>
        <v/>
      </c>
      <c r="AH1782">
        <f t="shared" si="249"/>
        <v>2</v>
      </c>
      <c r="AI1782" t="str">
        <f t="shared" si="250"/>
        <v/>
      </c>
      <c r="AJ1782" t="str">
        <f t="shared" si="251"/>
        <v/>
      </c>
    </row>
    <row r="1783" spans="1:36">
      <c r="A1783" s="5">
        <v>2127</v>
      </c>
      <c r="B1783" s="5" t="s">
        <v>509</v>
      </c>
      <c r="C1783" s="5" t="s">
        <v>100</v>
      </c>
      <c r="D1783" s="5" t="s">
        <v>506</v>
      </c>
      <c r="E1783" s="5" t="s">
        <v>55</v>
      </c>
      <c r="F1783" s="5" t="str">
        <f t="shared" si="243"/>
        <v>Program Office-Director</v>
      </c>
      <c r="G1783" s="5" t="s">
        <v>56</v>
      </c>
      <c r="H1783" s="9">
        <v>44927.473356481481</v>
      </c>
      <c r="I1783" s="9">
        <v>44929.473356481481</v>
      </c>
      <c r="J1783" s="9" t="e">
        <f>I1783+#REF!</f>
        <v>#REF!</v>
      </c>
      <c r="K1783" s="9" t="e">
        <f>J1783+#REF!</f>
        <v>#REF!</v>
      </c>
      <c r="L1783" s="10" t="s">
        <v>52</v>
      </c>
      <c r="M1783" s="11"/>
      <c r="N1783" s="5"/>
      <c r="O1783" s="5"/>
      <c r="P1783" s="9"/>
      <c r="Q1783" s="5"/>
      <c r="R1783" s="5"/>
      <c r="S1783" s="5"/>
      <c r="T1783" s="9"/>
      <c r="U1783" s="5"/>
      <c r="V1783" s="5">
        <v>0</v>
      </c>
      <c r="W1783" s="5"/>
      <c r="X1783" s="5"/>
      <c r="Y1783" s="5"/>
      <c r="Z1783" s="5"/>
      <c r="AA1783" s="5"/>
      <c r="AC1783" t="str">
        <f t="shared" si="244"/>
        <v/>
      </c>
      <c r="AD1783" t="str">
        <f t="shared" si="245"/>
        <v/>
      </c>
      <c r="AE1783" t="str">
        <f t="shared" si="246"/>
        <v/>
      </c>
      <c r="AF1783" t="str">
        <f t="shared" si="247"/>
        <v/>
      </c>
      <c r="AG1783" t="str">
        <f t="shared" si="248"/>
        <v/>
      </c>
      <c r="AH1783">
        <f t="shared" si="249"/>
        <v>2</v>
      </c>
      <c r="AI1783" t="str">
        <f t="shared" si="250"/>
        <v/>
      </c>
      <c r="AJ1783" t="str">
        <f t="shared" si="251"/>
        <v/>
      </c>
    </row>
    <row r="1784" spans="1:36">
      <c r="A1784" s="5">
        <v>2128</v>
      </c>
      <c r="B1784" s="5" t="s">
        <v>599</v>
      </c>
      <c r="C1784" s="5" t="s">
        <v>100</v>
      </c>
      <c r="D1784" s="5" t="s">
        <v>554</v>
      </c>
      <c r="E1784" s="5" t="s">
        <v>597</v>
      </c>
      <c r="F1784" s="5" t="str">
        <f t="shared" si="243"/>
        <v>Program Office-Business Partner</v>
      </c>
      <c r="G1784" s="5" t="s">
        <v>47</v>
      </c>
      <c r="H1784" s="9">
        <v>44930.473356481481</v>
      </c>
      <c r="I1784" s="9">
        <v>44934.473356481481</v>
      </c>
      <c r="J1784" s="9" t="e">
        <f>I1784+#REF!</f>
        <v>#REF!</v>
      </c>
      <c r="K1784" s="9" t="e">
        <f>J1784+#REF!</f>
        <v>#REF!</v>
      </c>
      <c r="L1784" s="10" t="s">
        <v>41</v>
      </c>
      <c r="M1784" s="11">
        <v>44949.473356481481</v>
      </c>
      <c r="N1784" s="5" t="s">
        <v>42</v>
      </c>
      <c r="O1784" s="5" t="s">
        <v>73</v>
      </c>
      <c r="P1784" s="9"/>
      <c r="Q1784" s="5"/>
      <c r="R1784" s="5"/>
      <c r="S1784" s="5"/>
      <c r="T1784" s="9"/>
      <c r="U1784" s="5"/>
      <c r="V1784" s="5">
        <v>0</v>
      </c>
      <c r="W1784" s="5"/>
      <c r="X1784" s="5"/>
      <c r="Y1784" s="5"/>
      <c r="Z1784" s="5"/>
      <c r="AA1784" s="5" t="s">
        <v>44</v>
      </c>
      <c r="AC1784">
        <f t="shared" si="244"/>
        <v>15</v>
      </c>
      <c r="AD1784" t="str">
        <f t="shared" si="245"/>
        <v/>
      </c>
      <c r="AE1784" t="str">
        <f t="shared" si="246"/>
        <v/>
      </c>
      <c r="AF1784" t="str">
        <f t="shared" si="247"/>
        <v/>
      </c>
      <c r="AG1784" t="str">
        <f t="shared" si="248"/>
        <v/>
      </c>
      <c r="AH1784">
        <f t="shared" si="249"/>
        <v>4</v>
      </c>
      <c r="AI1784" t="str">
        <f t="shared" si="250"/>
        <v/>
      </c>
      <c r="AJ1784" t="str">
        <f t="shared" si="251"/>
        <v/>
      </c>
    </row>
    <row r="1785" spans="1:36">
      <c r="A1785" s="5">
        <v>2129</v>
      </c>
      <c r="B1785" s="5" t="s">
        <v>184</v>
      </c>
      <c r="C1785" s="5" t="s">
        <v>100</v>
      </c>
      <c r="D1785" s="5" t="s">
        <v>146</v>
      </c>
      <c r="E1785" s="5" t="s">
        <v>39</v>
      </c>
      <c r="F1785" s="5" t="str">
        <f t="shared" si="243"/>
        <v>Program Office-Analyst</v>
      </c>
      <c r="G1785" s="5" t="s">
        <v>147</v>
      </c>
      <c r="H1785" s="9">
        <v>44930.473356481481</v>
      </c>
      <c r="I1785" s="9">
        <v>44933.473356481481</v>
      </c>
      <c r="J1785" s="9" t="e">
        <f>I1785+#REF!</f>
        <v>#REF!</v>
      </c>
      <c r="K1785" s="9" t="e">
        <f>J1785+#REF!</f>
        <v>#REF!</v>
      </c>
      <c r="L1785" s="10" t="s">
        <v>41</v>
      </c>
      <c r="M1785" s="11">
        <v>44940.473356481481</v>
      </c>
      <c r="N1785" s="5" t="s">
        <v>42</v>
      </c>
      <c r="O1785" s="5" t="s">
        <v>73</v>
      </c>
      <c r="P1785" s="9"/>
      <c r="Q1785" s="5"/>
      <c r="R1785" s="5"/>
      <c r="S1785" s="5"/>
      <c r="T1785" s="9">
        <v>44944.473356481481</v>
      </c>
      <c r="U1785" s="5"/>
      <c r="V1785" s="5">
        <v>0</v>
      </c>
      <c r="W1785" s="5"/>
      <c r="X1785" s="5"/>
      <c r="Y1785" s="5"/>
      <c r="Z1785" s="5"/>
      <c r="AA1785" s="5" t="s">
        <v>44</v>
      </c>
      <c r="AC1785">
        <f t="shared" si="244"/>
        <v>7</v>
      </c>
      <c r="AD1785" t="str">
        <f t="shared" si="245"/>
        <v/>
      </c>
      <c r="AE1785">
        <f t="shared" si="246"/>
        <v>4</v>
      </c>
      <c r="AF1785" t="str">
        <f t="shared" si="247"/>
        <v/>
      </c>
      <c r="AG1785" t="str">
        <f t="shared" si="248"/>
        <v/>
      </c>
      <c r="AH1785">
        <f t="shared" si="249"/>
        <v>3</v>
      </c>
      <c r="AI1785" t="str">
        <f t="shared" si="250"/>
        <v/>
      </c>
      <c r="AJ1785" t="str">
        <f t="shared" si="251"/>
        <v/>
      </c>
    </row>
    <row r="1786" spans="1:36">
      <c r="A1786" s="5">
        <v>2130</v>
      </c>
      <c r="B1786" s="5" t="s">
        <v>598</v>
      </c>
      <c r="C1786" s="5" t="s">
        <v>100</v>
      </c>
      <c r="D1786" s="5" t="s">
        <v>554</v>
      </c>
      <c r="E1786" s="5" t="s">
        <v>597</v>
      </c>
      <c r="F1786" s="5" t="str">
        <f t="shared" si="243"/>
        <v>Program Office-Business Partner</v>
      </c>
      <c r="G1786" s="5" t="s">
        <v>47</v>
      </c>
      <c r="H1786" s="9">
        <v>44930.473356481481</v>
      </c>
      <c r="I1786" s="9">
        <v>44933.473356481481</v>
      </c>
      <c r="J1786" s="9" t="e">
        <f>I1786+#REF!</f>
        <v>#REF!</v>
      </c>
      <c r="K1786" s="9" t="e">
        <f>J1786+#REF!</f>
        <v>#REF!</v>
      </c>
      <c r="L1786" s="10" t="s">
        <v>41</v>
      </c>
      <c r="M1786" s="11">
        <v>44941.473356481481</v>
      </c>
      <c r="N1786" s="5" t="s">
        <v>42</v>
      </c>
      <c r="O1786" s="5" t="s">
        <v>73</v>
      </c>
      <c r="P1786" s="9"/>
      <c r="Q1786" s="5"/>
      <c r="R1786" s="5"/>
      <c r="S1786" s="5"/>
      <c r="T1786" s="9">
        <v>44945.473356481481</v>
      </c>
      <c r="U1786" s="5"/>
      <c r="V1786" s="5">
        <v>0</v>
      </c>
      <c r="W1786" s="5"/>
      <c r="X1786" s="5"/>
      <c r="Y1786" s="5"/>
      <c r="Z1786" s="5"/>
      <c r="AA1786" s="5" t="s">
        <v>62</v>
      </c>
      <c r="AC1786">
        <f t="shared" si="244"/>
        <v>8</v>
      </c>
      <c r="AD1786" t="str">
        <f t="shared" si="245"/>
        <v/>
      </c>
      <c r="AE1786">
        <f t="shared" si="246"/>
        <v>4</v>
      </c>
      <c r="AF1786" t="str">
        <f t="shared" si="247"/>
        <v/>
      </c>
      <c r="AG1786" t="str">
        <f t="shared" si="248"/>
        <v/>
      </c>
      <c r="AH1786">
        <f t="shared" si="249"/>
        <v>3</v>
      </c>
      <c r="AI1786" t="str">
        <f t="shared" si="250"/>
        <v/>
      </c>
      <c r="AJ1786" t="str">
        <f t="shared" si="251"/>
        <v/>
      </c>
    </row>
    <row r="1787" spans="1:36">
      <c r="A1787" s="5">
        <v>2131</v>
      </c>
      <c r="B1787" s="5" t="s">
        <v>1426</v>
      </c>
      <c r="C1787" s="5" t="s">
        <v>1332</v>
      </c>
      <c r="D1787" s="5" t="s">
        <v>1413</v>
      </c>
      <c r="E1787" s="5" t="s">
        <v>269</v>
      </c>
      <c r="F1787" s="5" t="str">
        <f t="shared" si="243"/>
        <v>Fundraising-Manager</v>
      </c>
      <c r="G1787" s="5" t="s">
        <v>270</v>
      </c>
      <c r="H1787" s="9">
        <v>44773.516493055555</v>
      </c>
      <c r="I1787" s="9">
        <v>44776.516493055555</v>
      </c>
      <c r="J1787" s="9" t="e">
        <f>I1787+#REF!</f>
        <v>#REF!</v>
      </c>
      <c r="K1787" s="9" t="e">
        <f>J1787+#REF!</f>
        <v>#REF!</v>
      </c>
      <c r="L1787" s="10" t="s">
        <v>41</v>
      </c>
      <c r="M1787" s="11">
        <v>44788.516493055555</v>
      </c>
      <c r="N1787" s="5" t="s">
        <v>48</v>
      </c>
      <c r="O1787" s="5"/>
      <c r="P1787" s="9">
        <v>44792.516493055555</v>
      </c>
      <c r="Q1787" s="5" t="s">
        <v>48</v>
      </c>
      <c r="R1787" s="5"/>
      <c r="S1787" s="5"/>
      <c r="T1787" s="9">
        <v>44790.516493055555</v>
      </c>
      <c r="U1787" s="5"/>
      <c r="V1787" s="5">
        <v>0</v>
      </c>
      <c r="W1787" s="5"/>
      <c r="X1787" s="5"/>
      <c r="Y1787" s="5"/>
      <c r="Z1787" s="5"/>
      <c r="AA1787" s="5"/>
      <c r="AC1787">
        <f t="shared" si="244"/>
        <v>12</v>
      </c>
      <c r="AD1787" t="str">
        <f t="shared" si="245"/>
        <v/>
      </c>
      <c r="AE1787">
        <f t="shared" si="246"/>
        <v>2</v>
      </c>
      <c r="AF1787" t="str">
        <f t="shared" si="247"/>
        <v/>
      </c>
      <c r="AG1787" t="str">
        <f t="shared" si="248"/>
        <v/>
      </c>
      <c r="AH1787">
        <f t="shared" si="249"/>
        <v>3</v>
      </c>
      <c r="AI1787" t="str">
        <f t="shared" si="250"/>
        <v/>
      </c>
      <c r="AJ1787" t="str">
        <f t="shared" si="251"/>
        <v/>
      </c>
    </row>
    <row r="1788" spans="1:36">
      <c r="A1788" s="5">
        <v>2133</v>
      </c>
      <c r="B1788" s="5" t="s">
        <v>1478</v>
      </c>
      <c r="C1788" s="5" t="s">
        <v>1332</v>
      </c>
      <c r="D1788" s="5" t="s">
        <v>1448</v>
      </c>
      <c r="E1788" s="5" t="s">
        <v>597</v>
      </c>
      <c r="F1788" s="5" t="str">
        <f t="shared" si="243"/>
        <v>Fundraising-Business Partner</v>
      </c>
      <c r="G1788" s="5" t="s">
        <v>40</v>
      </c>
      <c r="H1788" s="9">
        <v>44777.516493055555</v>
      </c>
      <c r="I1788" s="9">
        <v>44780.516493055555</v>
      </c>
      <c r="J1788" s="9" t="e">
        <f>I1788+#REF!</f>
        <v>#REF!</v>
      </c>
      <c r="K1788" s="9" t="e">
        <f>J1788+#REF!</f>
        <v>#REF!</v>
      </c>
      <c r="L1788" s="10" t="s">
        <v>41</v>
      </c>
      <c r="M1788" s="11">
        <v>44794.516493055555</v>
      </c>
      <c r="N1788" s="5" t="s">
        <v>167</v>
      </c>
      <c r="O1788" s="5"/>
      <c r="P1788" s="9">
        <v>44796.516493055555</v>
      </c>
      <c r="Q1788" s="5" t="s">
        <v>167</v>
      </c>
      <c r="R1788" s="5"/>
      <c r="S1788" s="5"/>
      <c r="T1788" s="9">
        <v>44795.516493055555</v>
      </c>
      <c r="U1788" s="5"/>
      <c r="V1788" s="5">
        <v>0</v>
      </c>
      <c r="W1788" s="5"/>
      <c r="X1788" s="5"/>
      <c r="Y1788" s="5"/>
      <c r="Z1788" s="5"/>
      <c r="AA1788" s="5"/>
      <c r="AC1788">
        <f t="shared" si="244"/>
        <v>14</v>
      </c>
      <c r="AD1788" t="str">
        <f t="shared" si="245"/>
        <v/>
      </c>
      <c r="AE1788">
        <f t="shared" si="246"/>
        <v>1</v>
      </c>
      <c r="AF1788" t="str">
        <f t="shared" si="247"/>
        <v/>
      </c>
      <c r="AG1788" t="str">
        <f t="shared" si="248"/>
        <v/>
      </c>
      <c r="AH1788">
        <f t="shared" si="249"/>
        <v>3</v>
      </c>
      <c r="AI1788" t="str">
        <f t="shared" si="250"/>
        <v/>
      </c>
      <c r="AJ1788" t="str">
        <f t="shared" si="251"/>
        <v/>
      </c>
    </row>
    <row r="1789" spans="1:36">
      <c r="A1789" s="5">
        <v>2134</v>
      </c>
      <c r="B1789" s="5" t="s">
        <v>2312</v>
      </c>
      <c r="C1789" s="5" t="s">
        <v>2229</v>
      </c>
      <c r="D1789" s="5" t="s">
        <v>2302</v>
      </c>
      <c r="E1789" s="5" t="s">
        <v>269</v>
      </c>
      <c r="F1789" s="5" t="str">
        <f t="shared" si="243"/>
        <v>Capacity Building-Manager</v>
      </c>
      <c r="G1789" s="5" t="s">
        <v>270</v>
      </c>
      <c r="H1789" s="9">
        <v>44776.516493055555</v>
      </c>
      <c r="I1789" s="9">
        <v>44780.516493055555</v>
      </c>
      <c r="J1789" s="9" t="e">
        <f>I1789+#REF!</f>
        <v>#REF!</v>
      </c>
      <c r="K1789" s="9" t="e">
        <f>J1789+#REF!</f>
        <v>#REF!</v>
      </c>
      <c r="L1789" s="10" t="s">
        <v>52</v>
      </c>
      <c r="M1789" s="11"/>
      <c r="N1789" s="5"/>
      <c r="O1789" s="5"/>
      <c r="P1789" s="9"/>
      <c r="Q1789" s="5"/>
      <c r="R1789" s="5"/>
      <c r="S1789" s="5"/>
      <c r="T1789" s="9"/>
      <c r="U1789" s="5"/>
      <c r="V1789" s="5">
        <v>0</v>
      </c>
      <c r="W1789" s="5"/>
      <c r="X1789" s="5"/>
      <c r="Y1789" s="5"/>
      <c r="Z1789" s="5"/>
      <c r="AA1789" s="5"/>
      <c r="AC1789" t="str">
        <f t="shared" si="244"/>
        <v/>
      </c>
      <c r="AD1789" t="str">
        <f t="shared" si="245"/>
        <v/>
      </c>
      <c r="AE1789" t="str">
        <f t="shared" si="246"/>
        <v/>
      </c>
      <c r="AF1789" t="str">
        <f t="shared" si="247"/>
        <v/>
      </c>
      <c r="AG1789" t="str">
        <f t="shared" si="248"/>
        <v/>
      </c>
      <c r="AH1789">
        <f t="shared" si="249"/>
        <v>4</v>
      </c>
      <c r="AI1789" t="str">
        <f t="shared" si="250"/>
        <v/>
      </c>
      <c r="AJ1789" t="str">
        <f t="shared" si="251"/>
        <v/>
      </c>
    </row>
    <row r="1790" spans="1:36">
      <c r="A1790" s="5">
        <v>2137</v>
      </c>
      <c r="B1790" s="5" t="s">
        <v>2455</v>
      </c>
      <c r="C1790" s="5" t="s">
        <v>2229</v>
      </c>
      <c r="D1790" s="5" t="s">
        <v>2445</v>
      </c>
      <c r="E1790" s="5" t="s">
        <v>55</v>
      </c>
      <c r="F1790" s="5" t="str">
        <f t="shared" si="243"/>
        <v>Capacity Building-Director</v>
      </c>
      <c r="G1790" s="5" t="s">
        <v>47</v>
      </c>
      <c r="H1790" s="9">
        <v>44774.516493055555</v>
      </c>
      <c r="I1790" s="9">
        <v>44775.516493055555</v>
      </c>
      <c r="J1790" s="9" t="e">
        <f>I1790+#REF!</f>
        <v>#REF!</v>
      </c>
      <c r="K1790" s="9" t="e">
        <f>J1790+#REF!</f>
        <v>#REF!</v>
      </c>
      <c r="L1790" s="10" t="s">
        <v>52</v>
      </c>
      <c r="M1790" s="11"/>
      <c r="N1790" s="5"/>
      <c r="O1790" s="5"/>
      <c r="P1790" s="9"/>
      <c r="Q1790" s="5"/>
      <c r="R1790" s="5"/>
      <c r="S1790" s="5"/>
      <c r="T1790" s="9"/>
      <c r="U1790" s="5"/>
      <c r="V1790" s="5">
        <v>0</v>
      </c>
      <c r="W1790" s="5"/>
      <c r="X1790" s="5"/>
      <c r="Y1790" s="5"/>
      <c r="Z1790" s="5"/>
      <c r="AA1790" s="5"/>
      <c r="AC1790" t="str">
        <f t="shared" si="244"/>
        <v/>
      </c>
      <c r="AD1790" t="str">
        <f t="shared" si="245"/>
        <v/>
      </c>
      <c r="AE1790" t="str">
        <f t="shared" si="246"/>
        <v/>
      </c>
      <c r="AF1790" t="str">
        <f t="shared" si="247"/>
        <v/>
      </c>
      <c r="AG1790" t="str">
        <f t="shared" si="248"/>
        <v/>
      </c>
      <c r="AH1790">
        <f t="shared" si="249"/>
        <v>1</v>
      </c>
      <c r="AI1790" t="str">
        <f t="shared" si="250"/>
        <v/>
      </c>
      <c r="AJ1790" t="str">
        <f t="shared" si="251"/>
        <v/>
      </c>
    </row>
    <row r="1791" spans="1:36">
      <c r="A1791" s="5">
        <v>2139</v>
      </c>
      <c r="B1791" s="5" t="s">
        <v>1425</v>
      </c>
      <c r="C1791" s="5" t="s">
        <v>1332</v>
      </c>
      <c r="D1791" s="5" t="s">
        <v>1413</v>
      </c>
      <c r="E1791" s="5" t="s">
        <v>269</v>
      </c>
      <c r="F1791" s="5" t="str">
        <f t="shared" si="243"/>
        <v>Fundraising-Manager</v>
      </c>
      <c r="G1791" s="5" t="s">
        <v>270</v>
      </c>
      <c r="H1791" s="9">
        <v>44771.516493055555</v>
      </c>
      <c r="I1791" s="9">
        <v>44775.516493055555</v>
      </c>
      <c r="J1791" s="9" t="e">
        <f>I1791+#REF!</f>
        <v>#REF!</v>
      </c>
      <c r="K1791" s="9" t="e">
        <f>J1791+#REF!</f>
        <v>#REF!</v>
      </c>
      <c r="L1791" s="10" t="s">
        <v>41</v>
      </c>
      <c r="M1791" s="11">
        <v>44793.516493055555</v>
      </c>
      <c r="N1791" s="5" t="s">
        <v>42</v>
      </c>
      <c r="O1791" s="5" t="s">
        <v>43</v>
      </c>
      <c r="P1791" s="9"/>
      <c r="Q1791" s="5"/>
      <c r="R1791" s="5"/>
      <c r="S1791" s="5"/>
      <c r="T1791" s="9"/>
      <c r="U1791" s="5"/>
      <c r="V1791" s="5">
        <v>0</v>
      </c>
      <c r="W1791" s="5"/>
      <c r="X1791" s="5"/>
      <c r="Y1791" s="5"/>
      <c r="Z1791" s="5"/>
      <c r="AA1791" s="5" t="s">
        <v>44</v>
      </c>
      <c r="AC1791">
        <f t="shared" si="244"/>
        <v>18</v>
      </c>
      <c r="AD1791" t="str">
        <f t="shared" si="245"/>
        <v/>
      </c>
      <c r="AE1791" t="str">
        <f t="shared" si="246"/>
        <v/>
      </c>
      <c r="AF1791" t="str">
        <f t="shared" si="247"/>
        <v/>
      </c>
      <c r="AG1791" t="str">
        <f t="shared" si="248"/>
        <v/>
      </c>
      <c r="AH1791">
        <f t="shared" si="249"/>
        <v>4</v>
      </c>
      <c r="AI1791" t="str">
        <f t="shared" si="250"/>
        <v/>
      </c>
      <c r="AJ1791" t="str">
        <f t="shared" si="251"/>
        <v/>
      </c>
    </row>
    <row r="1792" spans="1:36">
      <c r="A1792" s="5">
        <v>2140</v>
      </c>
      <c r="B1792" s="5" t="s">
        <v>2257</v>
      </c>
      <c r="C1792" s="5" t="s">
        <v>2229</v>
      </c>
      <c r="D1792" s="5" t="s">
        <v>2250</v>
      </c>
      <c r="E1792" s="5" t="s">
        <v>388</v>
      </c>
      <c r="F1792" s="5" t="str">
        <f t="shared" si="243"/>
        <v>Capacity Building-Extension Officer</v>
      </c>
      <c r="G1792" s="5" t="s">
        <v>147</v>
      </c>
      <c r="H1792" s="9">
        <v>44774.516493055555</v>
      </c>
      <c r="I1792" s="9">
        <v>44776.516493055555</v>
      </c>
      <c r="J1792" s="9" t="e">
        <f>I1792+#REF!</f>
        <v>#REF!</v>
      </c>
      <c r="K1792" s="9" t="e">
        <f>J1792+#REF!</f>
        <v>#REF!</v>
      </c>
      <c r="L1792" s="10" t="s">
        <v>52</v>
      </c>
      <c r="M1792" s="11"/>
      <c r="N1792" s="5"/>
      <c r="O1792" s="5"/>
      <c r="P1792" s="9"/>
      <c r="Q1792" s="5"/>
      <c r="R1792" s="5"/>
      <c r="S1792" s="5"/>
      <c r="T1792" s="9"/>
      <c r="U1792" s="5"/>
      <c r="V1792" s="5">
        <v>0</v>
      </c>
      <c r="W1792" s="5"/>
      <c r="X1792" s="5"/>
      <c r="Y1792" s="5"/>
      <c r="Z1792" s="5"/>
      <c r="AA1792" s="5"/>
      <c r="AC1792" t="str">
        <f t="shared" si="244"/>
        <v/>
      </c>
      <c r="AD1792" t="str">
        <f t="shared" si="245"/>
        <v/>
      </c>
      <c r="AE1792" t="str">
        <f t="shared" si="246"/>
        <v/>
      </c>
      <c r="AF1792" t="str">
        <f t="shared" si="247"/>
        <v/>
      </c>
      <c r="AG1792" t="str">
        <f t="shared" si="248"/>
        <v/>
      </c>
      <c r="AH1792">
        <f t="shared" si="249"/>
        <v>2</v>
      </c>
      <c r="AI1792" t="str">
        <f t="shared" si="250"/>
        <v/>
      </c>
      <c r="AJ1792" t="str">
        <f t="shared" si="251"/>
        <v/>
      </c>
    </row>
    <row r="1793" spans="1:36">
      <c r="A1793" s="5">
        <v>2141</v>
      </c>
      <c r="B1793" s="5" t="s">
        <v>2118</v>
      </c>
      <c r="C1793" s="10" t="s">
        <v>2089</v>
      </c>
      <c r="D1793" s="5" t="s">
        <v>2114</v>
      </c>
      <c r="E1793" s="5" t="s">
        <v>388</v>
      </c>
      <c r="F1793" s="5" t="str">
        <f t="shared" si="243"/>
        <v>Communication and Advocacy-Extension Officer</v>
      </c>
      <c r="G1793" s="5" t="s">
        <v>147</v>
      </c>
      <c r="H1793" s="9">
        <v>44749.830833333333</v>
      </c>
      <c r="I1793" s="9">
        <v>44752.830833333333</v>
      </c>
      <c r="J1793" s="9" t="e">
        <f>I1793+#REF!</f>
        <v>#REF!</v>
      </c>
      <c r="K1793" s="9" t="e">
        <f>J1793+#REF!</f>
        <v>#REF!</v>
      </c>
      <c r="L1793" s="10" t="s">
        <v>41</v>
      </c>
      <c r="M1793" s="11">
        <v>44760.830833333333</v>
      </c>
      <c r="N1793" s="5" t="s">
        <v>64</v>
      </c>
      <c r="O1793" s="5"/>
      <c r="P1793" s="9">
        <v>44765.830833333333</v>
      </c>
      <c r="Q1793" s="5" t="s">
        <v>64</v>
      </c>
      <c r="R1793" s="9">
        <v>44762.830833333333</v>
      </c>
      <c r="S1793" s="9">
        <v>44764.830833333333</v>
      </c>
      <c r="T1793" s="9">
        <v>44761.830833333333</v>
      </c>
      <c r="U1793" s="9">
        <v>44765.830833333333</v>
      </c>
      <c r="V1793" s="12">
        <v>1</v>
      </c>
      <c r="W1793" s="9">
        <v>44767.830833333333</v>
      </c>
      <c r="X1793" s="9">
        <v>44769.830833333333</v>
      </c>
      <c r="Y1793" s="9">
        <v>44771.830833333333</v>
      </c>
      <c r="Z1793" s="5"/>
      <c r="AA1793" s="5"/>
      <c r="AB1793" s="13">
        <v>44787.830833333333</v>
      </c>
      <c r="AC1793">
        <f t="shared" si="244"/>
        <v>8</v>
      </c>
      <c r="AD1793">
        <f t="shared" si="245"/>
        <v>12</v>
      </c>
      <c r="AE1793">
        <f t="shared" si="246"/>
        <v>1</v>
      </c>
      <c r="AF1793">
        <f t="shared" si="247"/>
        <v>4</v>
      </c>
      <c r="AG1793">
        <f t="shared" si="248"/>
        <v>2</v>
      </c>
      <c r="AH1793">
        <f t="shared" si="249"/>
        <v>3</v>
      </c>
      <c r="AI1793" t="str">
        <f t="shared" si="250"/>
        <v/>
      </c>
      <c r="AJ1793" t="str">
        <f t="shared" si="251"/>
        <v/>
      </c>
    </row>
    <row r="1794" spans="1:36">
      <c r="A1794" s="5">
        <v>2145</v>
      </c>
      <c r="B1794" s="5" t="s">
        <v>1260</v>
      </c>
      <c r="C1794" s="10" t="s">
        <v>1215</v>
      </c>
      <c r="D1794" s="5" t="s">
        <v>1249</v>
      </c>
      <c r="E1794" s="5" t="s">
        <v>1250</v>
      </c>
      <c r="F1794" s="5" t="str">
        <f t="shared" ref="F1794:F1857" si="252">_xlfn.CONCAT(C1794,"-",E1794)</f>
        <v>HR-Screening Associate</v>
      </c>
      <c r="G1794" s="5" t="s">
        <v>40</v>
      </c>
      <c r="H1794" s="9">
        <v>44747.830833333333</v>
      </c>
      <c r="I1794" s="9">
        <v>44749.830833333333</v>
      </c>
      <c r="J1794" s="9" t="e">
        <f>I1794+#REF!</f>
        <v>#REF!</v>
      </c>
      <c r="K1794" s="9" t="e">
        <f>J1794+#REF!</f>
        <v>#REF!</v>
      </c>
      <c r="L1794" s="10" t="s">
        <v>41</v>
      </c>
      <c r="M1794" s="11">
        <v>44767.830833333333</v>
      </c>
      <c r="N1794" s="5" t="s">
        <v>42</v>
      </c>
      <c r="O1794" s="5" t="s">
        <v>98</v>
      </c>
      <c r="P1794" s="9"/>
      <c r="Q1794" s="5"/>
      <c r="R1794" s="5"/>
      <c r="S1794" s="5"/>
      <c r="T1794" s="9">
        <v>44768.830833333333</v>
      </c>
      <c r="U1794" s="5"/>
      <c r="V1794" s="5">
        <v>0</v>
      </c>
      <c r="W1794" s="5"/>
      <c r="X1794" s="5"/>
      <c r="Y1794" s="5"/>
      <c r="Z1794" s="5"/>
      <c r="AA1794" s="5" t="s">
        <v>44</v>
      </c>
      <c r="AC1794">
        <f t="shared" ref="AC1794:AC1857" si="253">IF(AND(ISNUMBER(M1794), ISNUMBER(I1794)), M1794 - I1794, "")</f>
        <v>18</v>
      </c>
      <c r="AD1794" t="str">
        <f t="shared" si="245"/>
        <v/>
      </c>
      <c r="AE1794">
        <f t="shared" si="246"/>
        <v>1</v>
      </c>
      <c r="AF1794" t="str">
        <f t="shared" si="247"/>
        <v/>
      </c>
      <c r="AG1794" t="str">
        <f t="shared" si="248"/>
        <v/>
      </c>
      <c r="AH1794">
        <f t="shared" si="249"/>
        <v>2</v>
      </c>
      <c r="AI1794" t="str">
        <f t="shared" si="250"/>
        <v/>
      </c>
      <c r="AJ1794" t="str">
        <f t="shared" si="251"/>
        <v/>
      </c>
    </row>
    <row r="1795" spans="1:36">
      <c r="A1795" s="5">
        <v>2146</v>
      </c>
      <c r="B1795" s="5" t="s">
        <v>677</v>
      </c>
      <c r="C1795" s="10" t="s">
        <v>671</v>
      </c>
      <c r="D1795" s="5" t="s">
        <v>672</v>
      </c>
      <c r="E1795" s="5" t="s">
        <v>673</v>
      </c>
      <c r="F1795" s="5" t="str">
        <f t="shared" si="252"/>
        <v>Operations-Controller</v>
      </c>
      <c r="G1795" s="5" t="s">
        <v>40</v>
      </c>
      <c r="H1795" s="9">
        <v>44747.830833333333</v>
      </c>
      <c r="I1795" s="9">
        <v>44750.830833333333</v>
      </c>
      <c r="J1795" s="9" t="e">
        <f>I1795+#REF!</f>
        <v>#REF!</v>
      </c>
      <c r="K1795" s="9" t="e">
        <f>J1795+#REF!</f>
        <v>#REF!</v>
      </c>
      <c r="L1795" s="10" t="s">
        <v>52</v>
      </c>
      <c r="M1795" s="11"/>
      <c r="N1795" s="5"/>
      <c r="O1795" s="5"/>
      <c r="P1795" s="9"/>
      <c r="Q1795" s="5"/>
      <c r="R1795" s="5"/>
      <c r="S1795" s="5"/>
      <c r="T1795" s="9"/>
      <c r="U1795" s="5"/>
      <c r="V1795" s="5">
        <v>0</v>
      </c>
      <c r="W1795" s="5"/>
      <c r="X1795" s="5"/>
      <c r="Y1795" s="5"/>
      <c r="Z1795" s="5"/>
      <c r="AA1795" s="5"/>
      <c r="AC1795" t="str">
        <f t="shared" si="253"/>
        <v/>
      </c>
      <c r="AD1795" t="str">
        <f t="shared" ref="AD1795:AD1858" si="254">IF(AND(ISNUMBER(S1795), ISNUMBER(I1795)), S1795 - I1795, "")</f>
        <v/>
      </c>
      <c r="AE1795" t="str">
        <f t="shared" ref="AE1795:AE1858" si="255">IF(AND(ISNUMBER(T1795), ISNUMBER(M1795)), T1795-M1795, "")</f>
        <v/>
      </c>
      <c r="AF1795" t="str">
        <f t="shared" ref="AF1795:AF1858" si="256">IF(AND(ISNUMBER(X1795), ISNUMBER(U1795)), X1795-U1795,"")</f>
        <v/>
      </c>
      <c r="AG1795" t="str">
        <f t="shared" ref="AG1795:AG1858" si="257">IF(AND(ISNUMBER(W1795), ISNUMBER(U1795)), W1795-U1795, "")</f>
        <v/>
      </c>
      <c r="AH1795">
        <f t="shared" ref="AH1795:AH1858" si="258">IF(AND(ISNUMBER(I1795), ISNUMBER(H1795)), I1795-H1795,"")</f>
        <v>3</v>
      </c>
      <c r="AI1795" t="str">
        <f t="shared" ref="AI1795:AI1858" si="259">IF(AND(ISNUMBER(J1795),ISNUMBER(K1795)),K1795-J1795,"")</f>
        <v/>
      </c>
      <c r="AJ1795" t="str">
        <f t="shared" ref="AJ1795:AJ1858" si="260">IF(AND(ISNUMBER(J1795),ISNUMBER(I1795)), J1795-I1795,"")</f>
        <v/>
      </c>
    </row>
    <row r="1796" spans="1:36">
      <c r="A1796" s="5">
        <v>2148</v>
      </c>
      <c r="B1796" s="5" t="s">
        <v>1225</v>
      </c>
      <c r="C1796" s="10" t="s">
        <v>1215</v>
      </c>
      <c r="D1796" s="5" t="s">
        <v>1216</v>
      </c>
      <c r="E1796" s="5" t="s">
        <v>1217</v>
      </c>
      <c r="F1796" s="5" t="str">
        <f t="shared" si="252"/>
        <v>HR-Specialist</v>
      </c>
      <c r="G1796" s="5" t="s">
        <v>270</v>
      </c>
      <c r="H1796" s="9">
        <v>44747.830833333333</v>
      </c>
      <c r="I1796" s="9">
        <v>44748.830833333333</v>
      </c>
      <c r="J1796" s="9" t="e">
        <f>I1796+#REF!</f>
        <v>#REF!</v>
      </c>
      <c r="K1796" s="9" t="e">
        <f>J1796+#REF!</f>
        <v>#REF!</v>
      </c>
      <c r="L1796" s="10" t="s">
        <v>41</v>
      </c>
      <c r="M1796" s="11">
        <v>44769.830833333333</v>
      </c>
      <c r="N1796" s="5" t="s">
        <v>42</v>
      </c>
      <c r="O1796" s="5" t="s">
        <v>43</v>
      </c>
      <c r="P1796" s="9"/>
      <c r="Q1796" s="5"/>
      <c r="R1796" s="5"/>
      <c r="S1796" s="5"/>
      <c r="T1796" s="9">
        <v>44772.830833333333</v>
      </c>
      <c r="U1796" s="5"/>
      <c r="V1796" s="5">
        <v>0</v>
      </c>
      <c r="W1796" s="5"/>
      <c r="X1796" s="5"/>
      <c r="Y1796" s="5"/>
      <c r="Z1796" s="5"/>
      <c r="AA1796" s="5" t="s">
        <v>62</v>
      </c>
      <c r="AC1796">
        <f t="shared" si="253"/>
        <v>21</v>
      </c>
      <c r="AD1796" t="str">
        <f t="shared" si="254"/>
        <v/>
      </c>
      <c r="AE1796">
        <f t="shared" si="255"/>
        <v>3</v>
      </c>
      <c r="AF1796" t="str">
        <f t="shared" si="256"/>
        <v/>
      </c>
      <c r="AG1796" t="str">
        <f t="shared" si="257"/>
        <v/>
      </c>
      <c r="AH1796">
        <f t="shared" si="258"/>
        <v>1</v>
      </c>
      <c r="AI1796" t="str">
        <f t="shared" si="259"/>
        <v/>
      </c>
      <c r="AJ1796" t="str">
        <f t="shared" si="260"/>
        <v/>
      </c>
    </row>
    <row r="1797" spans="1:36">
      <c r="A1797" s="5">
        <v>2150</v>
      </c>
      <c r="B1797" s="5" t="s">
        <v>751</v>
      </c>
      <c r="C1797" s="10" t="s">
        <v>671</v>
      </c>
      <c r="D1797" s="5" t="s">
        <v>747</v>
      </c>
      <c r="E1797" s="5" t="s">
        <v>55</v>
      </c>
      <c r="F1797" s="5" t="str">
        <f t="shared" si="252"/>
        <v>Operations-Director</v>
      </c>
      <c r="G1797" s="5" t="s">
        <v>47</v>
      </c>
      <c r="H1797" s="9">
        <v>44746.830833333333</v>
      </c>
      <c r="I1797" s="9">
        <v>44748.830833333333</v>
      </c>
      <c r="J1797" s="9" t="e">
        <f>I1797+#REF!</f>
        <v>#REF!</v>
      </c>
      <c r="K1797" s="9" t="e">
        <f>J1797+#REF!</f>
        <v>#REF!</v>
      </c>
      <c r="L1797" s="10" t="s">
        <v>52</v>
      </c>
      <c r="M1797" s="11"/>
      <c r="N1797" s="5"/>
      <c r="O1797" s="5"/>
      <c r="P1797" s="9"/>
      <c r="Q1797" s="5"/>
      <c r="R1797" s="5"/>
      <c r="S1797" s="5"/>
      <c r="T1797" s="9"/>
      <c r="U1797" s="5"/>
      <c r="V1797" s="5">
        <v>0</v>
      </c>
      <c r="W1797" s="5"/>
      <c r="X1797" s="5"/>
      <c r="Y1797" s="5"/>
      <c r="Z1797" s="5"/>
      <c r="AA1797" s="5"/>
      <c r="AC1797" t="str">
        <f t="shared" si="253"/>
        <v/>
      </c>
      <c r="AD1797" t="str">
        <f t="shared" si="254"/>
        <v/>
      </c>
      <c r="AE1797" t="str">
        <f t="shared" si="255"/>
        <v/>
      </c>
      <c r="AF1797" t="str">
        <f t="shared" si="256"/>
        <v/>
      </c>
      <c r="AG1797" t="str">
        <f t="shared" si="257"/>
        <v/>
      </c>
      <c r="AH1797">
        <f t="shared" si="258"/>
        <v>2</v>
      </c>
      <c r="AI1797" t="str">
        <f t="shared" si="259"/>
        <v/>
      </c>
      <c r="AJ1797" t="str">
        <f t="shared" si="260"/>
        <v/>
      </c>
    </row>
    <row r="1798" spans="1:36">
      <c r="A1798" s="5">
        <v>2154</v>
      </c>
      <c r="B1798" s="5" t="s">
        <v>1731</v>
      </c>
      <c r="C1798" s="5" t="s">
        <v>1540</v>
      </c>
      <c r="D1798" s="5" t="s">
        <v>1706</v>
      </c>
      <c r="E1798" s="5" t="s">
        <v>269</v>
      </c>
      <c r="F1798" s="5" t="str">
        <f t="shared" si="252"/>
        <v>Finance-Manager</v>
      </c>
      <c r="G1798" s="5" t="s">
        <v>270</v>
      </c>
      <c r="H1798" s="9">
        <v>45143.393807870372</v>
      </c>
      <c r="I1798" s="9">
        <v>45146.393807870372</v>
      </c>
      <c r="J1798" s="9" t="e">
        <f>I1798+#REF!</f>
        <v>#REF!</v>
      </c>
      <c r="K1798" s="9" t="e">
        <f>J1798+#REF!</f>
        <v>#REF!</v>
      </c>
      <c r="L1798" s="10" t="s">
        <v>41</v>
      </c>
      <c r="M1798" s="11">
        <v>45151.393807870372</v>
      </c>
      <c r="N1798" s="5" t="s">
        <v>64</v>
      </c>
      <c r="O1798" s="5"/>
      <c r="P1798" s="9">
        <v>45155.393807870372</v>
      </c>
      <c r="Q1798" s="5" t="s">
        <v>64</v>
      </c>
      <c r="R1798" s="9">
        <v>45153.393807870372</v>
      </c>
      <c r="S1798" s="9">
        <v>45155.393807870372</v>
      </c>
      <c r="T1798" s="9">
        <v>45154.393807870372</v>
      </c>
      <c r="U1798" s="9">
        <v>45163.393807870372</v>
      </c>
      <c r="V1798" s="12">
        <v>1</v>
      </c>
      <c r="W1798" s="9">
        <v>45165.393807870372</v>
      </c>
      <c r="X1798" s="9">
        <v>45168.393807870372</v>
      </c>
      <c r="Y1798" s="9">
        <v>45169.393807870372</v>
      </c>
      <c r="Z1798" s="5"/>
      <c r="AA1798" s="5"/>
      <c r="AB1798" s="13">
        <v>45180.393807870372</v>
      </c>
      <c r="AC1798">
        <f t="shared" si="253"/>
        <v>5</v>
      </c>
      <c r="AD1798">
        <f t="shared" si="254"/>
        <v>9</v>
      </c>
      <c r="AE1798">
        <f t="shared" si="255"/>
        <v>3</v>
      </c>
      <c r="AF1798">
        <f t="shared" si="256"/>
        <v>5</v>
      </c>
      <c r="AG1798">
        <f t="shared" si="257"/>
        <v>2</v>
      </c>
      <c r="AH1798">
        <f t="shared" si="258"/>
        <v>3</v>
      </c>
      <c r="AI1798" t="str">
        <f t="shared" si="259"/>
        <v/>
      </c>
      <c r="AJ1798" t="str">
        <f t="shared" si="260"/>
        <v/>
      </c>
    </row>
    <row r="1799" spans="1:36">
      <c r="A1799" s="5">
        <v>2155</v>
      </c>
      <c r="B1799" s="5" t="s">
        <v>1856</v>
      </c>
      <c r="C1799" s="5" t="s">
        <v>1540</v>
      </c>
      <c r="D1799" s="5" t="s">
        <v>1820</v>
      </c>
      <c r="E1799" s="5" t="s">
        <v>39</v>
      </c>
      <c r="F1799" s="5" t="str">
        <f t="shared" si="252"/>
        <v>Finance-Analyst</v>
      </c>
      <c r="G1799" s="5" t="s">
        <v>40</v>
      </c>
      <c r="H1799" s="9">
        <v>45140.393807870372</v>
      </c>
      <c r="I1799" s="9">
        <v>45142.393807870372</v>
      </c>
      <c r="J1799" s="9" t="e">
        <f>I1799+#REF!</f>
        <v>#REF!</v>
      </c>
      <c r="K1799" s="9" t="e">
        <f>J1799+#REF!</f>
        <v>#REF!</v>
      </c>
      <c r="L1799" s="10" t="s">
        <v>41</v>
      </c>
      <c r="M1799" s="11">
        <v>45156.393807870372</v>
      </c>
      <c r="N1799" s="5" t="s">
        <v>167</v>
      </c>
      <c r="O1799" s="5"/>
      <c r="P1799" s="9">
        <v>45160.393807870372</v>
      </c>
      <c r="Q1799" s="5" t="s">
        <v>167</v>
      </c>
      <c r="R1799" s="5"/>
      <c r="S1799" s="5"/>
      <c r="T1799" s="9">
        <v>45159.393807870372</v>
      </c>
      <c r="U1799" s="5"/>
      <c r="V1799" s="5">
        <v>0</v>
      </c>
      <c r="W1799" s="5"/>
      <c r="X1799" s="5"/>
      <c r="Y1799" s="5"/>
      <c r="Z1799" s="5"/>
      <c r="AA1799" s="5"/>
      <c r="AC1799">
        <f t="shared" si="253"/>
        <v>14</v>
      </c>
      <c r="AD1799" t="str">
        <f t="shared" si="254"/>
        <v/>
      </c>
      <c r="AE1799">
        <f t="shared" si="255"/>
        <v>3</v>
      </c>
      <c r="AF1799" t="str">
        <f t="shared" si="256"/>
        <v/>
      </c>
      <c r="AG1799" t="str">
        <f t="shared" si="257"/>
        <v/>
      </c>
      <c r="AH1799">
        <f t="shared" si="258"/>
        <v>2</v>
      </c>
      <c r="AI1799" t="str">
        <f t="shared" si="259"/>
        <v/>
      </c>
      <c r="AJ1799" t="str">
        <f t="shared" si="260"/>
        <v/>
      </c>
    </row>
    <row r="1800" spans="1:36">
      <c r="A1800" s="5">
        <v>2156</v>
      </c>
      <c r="B1800" s="5" t="s">
        <v>1730</v>
      </c>
      <c r="C1800" s="5" t="s">
        <v>1540</v>
      </c>
      <c r="D1800" s="5" t="s">
        <v>1706</v>
      </c>
      <c r="E1800" s="5" t="s">
        <v>269</v>
      </c>
      <c r="F1800" s="5" t="str">
        <f t="shared" si="252"/>
        <v>Finance-Manager</v>
      </c>
      <c r="G1800" s="5" t="s">
        <v>270</v>
      </c>
      <c r="H1800" s="9">
        <v>45142.393807870372</v>
      </c>
      <c r="I1800" s="9">
        <v>45143.393807870372</v>
      </c>
      <c r="J1800" s="9" t="e">
        <f>I1800+#REF!</f>
        <v>#REF!</v>
      </c>
      <c r="K1800" s="9" t="e">
        <f>J1800+#REF!</f>
        <v>#REF!</v>
      </c>
      <c r="L1800" s="10" t="s">
        <v>41</v>
      </c>
      <c r="M1800" s="11">
        <v>45160.393807870372</v>
      </c>
      <c r="N1800" s="5" t="s">
        <v>42</v>
      </c>
      <c r="O1800" s="5" t="s">
        <v>73</v>
      </c>
      <c r="P1800" s="9"/>
      <c r="Q1800" s="5"/>
      <c r="R1800" s="5"/>
      <c r="S1800" s="5"/>
      <c r="T1800" s="9"/>
      <c r="U1800" s="5"/>
      <c r="V1800" s="5">
        <v>0</v>
      </c>
      <c r="W1800" s="5"/>
      <c r="X1800" s="5"/>
      <c r="Y1800" s="5"/>
      <c r="Z1800" s="5"/>
      <c r="AA1800" s="5" t="s">
        <v>62</v>
      </c>
      <c r="AC1800">
        <f t="shared" si="253"/>
        <v>17</v>
      </c>
      <c r="AD1800" t="str">
        <f t="shared" si="254"/>
        <v/>
      </c>
      <c r="AE1800" t="str">
        <f t="shared" si="255"/>
        <v/>
      </c>
      <c r="AF1800" t="str">
        <f t="shared" si="256"/>
        <v/>
      </c>
      <c r="AG1800" t="str">
        <f t="shared" si="257"/>
        <v/>
      </c>
      <c r="AH1800">
        <f t="shared" si="258"/>
        <v>1</v>
      </c>
      <c r="AI1800" t="str">
        <f t="shared" si="259"/>
        <v/>
      </c>
      <c r="AJ1800" t="str">
        <f t="shared" si="260"/>
        <v/>
      </c>
    </row>
    <row r="1801" spans="1:36">
      <c r="A1801" s="5">
        <v>2157</v>
      </c>
      <c r="B1801" s="5" t="s">
        <v>2009</v>
      </c>
      <c r="C1801" s="5" t="s">
        <v>1540</v>
      </c>
      <c r="D1801" s="5" t="s">
        <v>1985</v>
      </c>
      <c r="E1801" s="5" t="s">
        <v>1986</v>
      </c>
      <c r="F1801" s="5" t="str">
        <f t="shared" si="252"/>
        <v>Finance-Revenue Recorgnition</v>
      </c>
      <c r="G1801" s="5" t="s">
        <v>47</v>
      </c>
      <c r="H1801" s="9">
        <v>45140.393807870372</v>
      </c>
      <c r="I1801" s="9">
        <v>45141.393807870372</v>
      </c>
      <c r="J1801" s="9" t="e">
        <f>I1801+#REF!</f>
        <v>#REF!</v>
      </c>
      <c r="K1801" s="9" t="e">
        <f>J1801+#REF!</f>
        <v>#REF!</v>
      </c>
      <c r="L1801" s="10" t="s">
        <v>41</v>
      </c>
      <c r="M1801" s="11">
        <v>45153.393807870372</v>
      </c>
      <c r="N1801" s="5" t="s">
        <v>48</v>
      </c>
      <c r="O1801" s="5"/>
      <c r="P1801" s="9">
        <v>45159.393807870372</v>
      </c>
      <c r="Q1801" s="5" t="s">
        <v>48</v>
      </c>
      <c r="R1801" s="5"/>
      <c r="S1801" s="5"/>
      <c r="T1801" s="9">
        <v>45156.393807870372</v>
      </c>
      <c r="U1801" s="5"/>
      <c r="V1801" s="5">
        <v>0</v>
      </c>
      <c r="W1801" s="5"/>
      <c r="X1801" s="5"/>
      <c r="Y1801" s="5"/>
      <c r="Z1801" s="5"/>
      <c r="AA1801" s="5"/>
      <c r="AC1801">
        <f t="shared" si="253"/>
        <v>12</v>
      </c>
      <c r="AD1801" t="str">
        <f t="shared" si="254"/>
        <v/>
      </c>
      <c r="AE1801">
        <f t="shared" si="255"/>
        <v>3</v>
      </c>
      <c r="AF1801" t="str">
        <f t="shared" si="256"/>
        <v/>
      </c>
      <c r="AG1801" t="str">
        <f t="shared" si="257"/>
        <v/>
      </c>
      <c r="AH1801">
        <f t="shared" si="258"/>
        <v>1</v>
      </c>
      <c r="AI1801" t="str">
        <f t="shared" si="259"/>
        <v/>
      </c>
      <c r="AJ1801" t="str">
        <f t="shared" si="260"/>
        <v/>
      </c>
    </row>
    <row r="1802" spans="1:36">
      <c r="A1802" s="5">
        <v>2158</v>
      </c>
      <c r="B1802" s="5" t="s">
        <v>1855</v>
      </c>
      <c r="C1802" s="5" t="s">
        <v>1540</v>
      </c>
      <c r="D1802" s="5" t="s">
        <v>1820</v>
      </c>
      <c r="E1802" s="5" t="s">
        <v>39</v>
      </c>
      <c r="F1802" s="5" t="str">
        <f t="shared" si="252"/>
        <v>Finance-Analyst</v>
      </c>
      <c r="G1802" s="5" t="s">
        <v>40</v>
      </c>
      <c r="H1802" s="9">
        <v>45141.393807870372</v>
      </c>
      <c r="I1802" s="9">
        <v>45142.393807870372</v>
      </c>
      <c r="J1802" s="9" t="e">
        <f>I1802+#REF!</f>
        <v>#REF!</v>
      </c>
      <c r="K1802" s="9" t="e">
        <f>J1802+#REF!</f>
        <v>#REF!</v>
      </c>
      <c r="L1802" s="10" t="s">
        <v>41</v>
      </c>
      <c r="M1802" s="11">
        <v>45150.393807870372</v>
      </c>
      <c r="N1802" s="5" t="s">
        <v>42</v>
      </c>
      <c r="O1802" s="5" t="s">
        <v>73</v>
      </c>
      <c r="P1802" s="9"/>
      <c r="Q1802" s="5"/>
      <c r="R1802" s="5"/>
      <c r="S1802" s="5"/>
      <c r="T1802" s="9">
        <v>45153.393807870372</v>
      </c>
      <c r="U1802" s="5"/>
      <c r="V1802" s="5">
        <v>0</v>
      </c>
      <c r="W1802" s="5"/>
      <c r="X1802" s="5"/>
      <c r="Y1802" s="5"/>
      <c r="Z1802" s="5"/>
      <c r="AA1802" s="5" t="s">
        <v>44</v>
      </c>
      <c r="AC1802">
        <f t="shared" si="253"/>
        <v>8</v>
      </c>
      <c r="AD1802" t="str">
        <f t="shared" si="254"/>
        <v/>
      </c>
      <c r="AE1802">
        <f t="shared" si="255"/>
        <v>3</v>
      </c>
      <c r="AF1802" t="str">
        <f t="shared" si="256"/>
        <v/>
      </c>
      <c r="AG1802" t="str">
        <f t="shared" si="257"/>
        <v/>
      </c>
      <c r="AH1802">
        <f t="shared" si="258"/>
        <v>1</v>
      </c>
      <c r="AI1802" t="str">
        <f t="shared" si="259"/>
        <v/>
      </c>
      <c r="AJ1802" t="str">
        <f t="shared" si="260"/>
        <v/>
      </c>
    </row>
    <row r="1803" spans="1:36">
      <c r="A1803" s="5">
        <v>2159</v>
      </c>
      <c r="B1803" s="5" t="s">
        <v>2008</v>
      </c>
      <c r="C1803" s="5" t="s">
        <v>1540</v>
      </c>
      <c r="D1803" s="5" t="s">
        <v>1985</v>
      </c>
      <c r="E1803" s="5" t="s">
        <v>1986</v>
      </c>
      <c r="F1803" s="5" t="str">
        <f t="shared" si="252"/>
        <v>Finance-Revenue Recorgnition</v>
      </c>
      <c r="G1803" s="5" t="s">
        <v>47</v>
      </c>
      <c r="H1803" s="9">
        <v>45141.393807870372</v>
      </c>
      <c r="I1803" s="9">
        <v>45142.393807870372</v>
      </c>
      <c r="J1803" s="9" t="e">
        <f>I1803+#REF!</f>
        <v>#REF!</v>
      </c>
      <c r="K1803" s="9" t="e">
        <f>J1803+#REF!</f>
        <v>#REF!</v>
      </c>
      <c r="L1803" s="10" t="s">
        <v>41</v>
      </c>
      <c r="M1803" s="11">
        <v>45152.393807870372</v>
      </c>
      <c r="N1803" s="5" t="s">
        <v>42</v>
      </c>
      <c r="O1803" s="5" t="s">
        <v>113</v>
      </c>
      <c r="P1803" s="9"/>
      <c r="Q1803" s="5"/>
      <c r="R1803" s="5"/>
      <c r="S1803" s="5"/>
      <c r="T1803" s="9">
        <v>45156.393807870372</v>
      </c>
      <c r="U1803" s="5"/>
      <c r="V1803" s="5">
        <v>0</v>
      </c>
      <c r="W1803" s="5"/>
      <c r="X1803" s="5"/>
      <c r="Y1803" s="5"/>
      <c r="Z1803" s="5"/>
      <c r="AA1803" s="5" t="s">
        <v>62</v>
      </c>
      <c r="AC1803">
        <f t="shared" si="253"/>
        <v>10</v>
      </c>
      <c r="AD1803" t="str">
        <f t="shared" si="254"/>
        <v/>
      </c>
      <c r="AE1803">
        <f t="shared" si="255"/>
        <v>4</v>
      </c>
      <c r="AF1803" t="str">
        <f t="shared" si="256"/>
        <v/>
      </c>
      <c r="AG1803" t="str">
        <f t="shared" si="257"/>
        <v/>
      </c>
      <c r="AH1803">
        <f t="shared" si="258"/>
        <v>1</v>
      </c>
      <c r="AI1803" t="str">
        <f t="shared" si="259"/>
        <v/>
      </c>
      <c r="AJ1803" t="str">
        <f t="shared" si="260"/>
        <v/>
      </c>
    </row>
    <row r="1804" spans="1:36">
      <c r="A1804" s="5">
        <v>2162</v>
      </c>
      <c r="B1804" s="5" t="s">
        <v>299</v>
      </c>
      <c r="C1804" s="5" t="s">
        <v>100</v>
      </c>
      <c r="D1804" s="5" t="s">
        <v>268</v>
      </c>
      <c r="E1804" s="5" t="s">
        <v>291</v>
      </c>
      <c r="F1804" s="5" t="str">
        <f t="shared" si="252"/>
        <v>Program Office-Cordination Manager</v>
      </c>
      <c r="G1804" s="5" t="s">
        <v>270</v>
      </c>
      <c r="H1804" s="9">
        <v>44796.082037037035</v>
      </c>
      <c r="I1804" s="9">
        <v>44798.082037037035</v>
      </c>
      <c r="J1804" s="9" t="e">
        <f>I1804+#REF!</f>
        <v>#REF!</v>
      </c>
      <c r="K1804" s="9" t="e">
        <f>J1804+#REF!</f>
        <v>#REF!</v>
      </c>
      <c r="L1804" s="10" t="s">
        <v>41</v>
      </c>
      <c r="M1804" s="11">
        <v>44805.082037037035</v>
      </c>
      <c r="N1804" s="5" t="s">
        <v>48</v>
      </c>
      <c r="O1804" s="5"/>
      <c r="P1804" s="9">
        <v>44813.082037037035</v>
      </c>
      <c r="Q1804" s="5" t="s">
        <v>48</v>
      </c>
      <c r="R1804" s="5"/>
      <c r="S1804" s="5"/>
      <c r="T1804" s="9">
        <v>44809.082037037035</v>
      </c>
      <c r="U1804" s="5"/>
      <c r="V1804" s="5">
        <v>0</v>
      </c>
      <c r="W1804" s="5"/>
      <c r="X1804" s="5"/>
      <c r="Y1804" s="5"/>
      <c r="Z1804" s="5"/>
      <c r="AA1804" s="5"/>
      <c r="AC1804">
        <f t="shared" si="253"/>
        <v>7</v>
      </c>
      <c r="AD1804" t="str">
        <f t="shared" si="254"/>
        <v/>
      </c>
      <c r="AE1804">
        <f t="shared" si="255"/>
        <v>4</v>
      </c>
      <c r="AF1804" t="str">
        <f t="shared" si="256"/>
        <v/>
      </c>
      <c r="AG1804" t="str">
        <f t="shared" si="257"/>
        <v/>
      </c>
      <c r="AH1804">
        <f t="shared" si="258"/>
        <v>2</v>
      </c>
      <c r="AI1804" t="str">
        <f t="shared" si="259"/>
        <v/>
      </c>
      <c r="AJ1804" t="str">
        <f t="shared" si="260"/>
        <v/>
      </c>
    </row>
    <row r="1805" spans="1:36">
      <c r="A1805" s="5">
        <v>2165</v>
      </c>
      <c r="B1805" s="5" t="s">
        <v>596</v>
      </c>
      <c r="C1805" s="5" t="s">
        <v>100</v>
      </c>
      <c r="D1805" s="5" t="s">
        <v>554</v>
      </c>
      <c r="E1805" s="5" t="s">
        <v>597</v>
      </c>
      <c r="F1805" s="5" t="str">
        <f t="shared" si="252"/>
        <v>Program Office-Business Partner</v>
      </c>
      <c r="G1805" s="5" t="s">
        <v>47</v>
      </c>
      <c r="H1805" s="9">
        <v>44796.082037037035</v>
      </c>
      <c r="I1805" s="9">
        <v>44797.082037037035</v>
      </c>
      <c r="J1805" s="9" t="e">
        <f>I1805+#REF!</f>
        <v>#REF!</v>
      </c>
      <c r="K1805" s="9" t="e">
        <f>J1805+#REF!</f>
        <v>#REF!</v>
      </c>
      <c r="L1805" s="10" t="s">
        <v>52</v>
      </c>
      <c r="M1805" s="11"/>
      <c r="N1805" s="5"/>
      <c r="O1805" s="5"/>
      <c r="P1805" s="9"/>
      <c r="Q1805" s="5"/>
      <c r="R1805" s="5"/>
      <c r="S1805" s="5"/>
      <c r="T1805" s="9"/>
      <c r="U1805" s="5"/>
      <c r="V1805" s="5">
        <v>0</v>
      </c>
      <c r="W1805" s="5"/>
      <c r="X1805" s="5"/>
      <c r="Y1805" s="5"/>
      <c r="Z1805" s="5"/>
      <c r="AA1805" s="5"/>
      <c r="AC1805" t="str">
        <f t="shared" si="253"/>
        <v/>
      </c>
      <c r="AD1805" t="str">
        <f t="shared" si="254"/>
        <v/>
      </c>
      <c r="AE1805" t="str">
        <f t="shared" si="255"/>
        <v/>
      </c>
      <c r="AF1805" t="str">
        <f t="shared" si="256"/>
        <v/>
      </c>
      <c r="AG1805" t="str">
        <f t="shared" si="257"/>
        <v/>
      </c>
      <c r="AH1805">
        <f t="shared" si="258"/>
        <v>1</v>
      </c>
      <c r="AI1805" t="str">
        <f t="shared" si="259"/>
        <v/>
      </c>
      <c r="AJ1805" t="str">
        <f t="shared" si="260"/>
        <v/>
      </c>
    </row>
    <row r="1806" spans="1:36">
      <c r="A1806" s="5">
        <v>2167</v>
      </c>
      <c r="B1806" s="5" t="s">
        <v>595</v>
      </c>
      <c r="C1806" s="5" t="s">
        <v>100</v>
      </c>
      <c r="D1806" s="5" t="s">
        <v>554</v>
      </c>
      <c r="E1806" s="5" t="s">
        <v>51</v>
      </c>
      <c r="F1806" s="5" t="str">
        <f t="shared" si="252"/>
        <v>Program Office-Supervisor</v>
      </c>
      <c r="G1806" s="5" t="s">
        <v>47</v>
      </c>
      <c r="H1806" s="9">
        <v>44795.082037037035</v>
      </c>
      <c r="I1806" s="9">
        <v>44799.082037037035</v>
      </c>
      <c r="J1806" s="9" t="e">
        <f>I1806+#REF!</f>
        <v>#REF!</v>
      </c>
      <c r="K1806" s="9" t="e">
        <f>J1806+#REF!</f>
        <v>#REF!</v>
      </c>
      <c r="L1806" s="10" t="s">
        <v>41</v>
      </c>
      <c r="M1806" s="11">
        <v>44817.082037037035</v>
      </c>
      <c r="N1806" s="5" t="s">
        <v>64</v>
      </c>
      <c r="O1806" s="5"/>
      <c r="P1806" s="9">
        <v>44820.082037037035</v>
      </c>
      <c r="Q1806" s="5" t="s">
        <v>64</v>
      </c>
      <c r="R1806" s="9">
        <v>44818.082037037035</v>
      </c>
      <c r="S1806" s="9">
        <v>44822.082037037035</v>
      </c>
      <c r="T1806" s="9">
        <v>44818.082037037035</v>
      </c>
      <c r="U1806" s="9">
        <v>44828.082037037035</v>
      </c>
      <c r="V1806" s="12">
        <v>1</v>
      </c>
      <c r="W1806" s="9">
        <v>44831.082037037035</v>
      </c>
      <c r="X1806" s="9">
        <v>44834.082037037035</v>
      </c>
      <c r="Y1806" s="9">
        <v>44836.082037037035</v>
      </c>
      <c r="Z1806" s="5"/>
      <c r="AA1806" s="5"/>
      <c r="AB1806" s="13">
        <v>44852.082037037035</v>
      </c>
      <c r="AC1806">
        <f t="shared" si="253"/>
        <v>18</v>
      </c>
      <c r="AD1806">
        <f t="shared" si="254"/>
        <v>23</v>
      </c>
      <c r="AE1806">
        <f t="shared" si="255"/>
        <v>1</v>
      </c>
      <c r="AF1806">
        <f t="shared" si="256"/>
        <v>6</v>
      </c>
      <c r="AG1806">
        <f t="shared" si="257"/>
        <v>3</v>
      </c>
      <c r="AH1806">
        <f t="shared" si="258"/>
        <v>4</v>
      </c>
      <c r="AI1806" t="str">
        <f t="shared" si="259"/>
        <v/>
      </c>
      <c r="AJ1806" t="str">
        <f t="shared" si="260"/>
        <v/>
      </c>
    </row>
    <row r="1807" spans="1:36">
      <c r="A1807" s="5">
        <v>2168</v>
      </c>
      <c r="B1807" s="5" t="s">
        <v>298</v>
      </c>
      <c r="C1807" s="5" t="s">
        <v>100</v>
      </c>
      <c r="D1807" s="5" t="s">
        <v>268</v>
      </c>
      <c r="E1807" s="5" t="s">
        <v>291</v>
      </c>
      <c r="F1807" s="5" t="str">
        <f t="shared" si="252"/>
        <v>Program Office-Cordination Manager</v>
      </c>
      <c r="G1807" s="5" t="s">
        <v>270</v>
      </c>
      <c r="H1807" s="9">
        <v>44794.082037037035</v>
      </c>
      <c r="I1807" s="9">
        <v>44798.082037037035</v>
      </c>
      <c r="J1807" s="9" t="e">
        <f>I1807+#REF!</f>
        <v>#REF!</v>
      </c>
      <c r="K1807" s="9" t="e">
        <f>J1807+#REF!</f>
        <v>#REF!</v>
      </c>
      <c r="L1807" s="10" t="s">
        <v>52</v>
      </c>
      <c r="M1807" s="11"/>
      <c r="N1807" s="5"/>
      <c r="O1807" s="5"/>
      <c r="P1807" s="9"/>
      <c r="Q1807" s="5"/>
      <c r="R1807" s="5"/>
      <c r="S1807" s="5"/>
      <c r="T1807" s="9"/>
      <c r="U1807" s="5"/>
      <c r="V1807" s="5">
        <v>0</v>
      </c>
      <c r="W1807" s="5"/>
      <c r="X1807" s="5"/>
      <c r="Y1807" s="5"/>
      <c r="Z1807" s="5"/>
      <c r="AA1807" s="5"/>
      <c r="AC1807" t="str">
        <f t="shared" si="253"/>
        <v/>
      </c>
      <c r="AD1807" t="str">
        <f t="shared" si="254"/>
        <v/>
      </c>
      <c r="AE1807" t="str">
        <f t="shared" si="255"/>
        <v/>
      </c>
      <c r="AF1807" t="str">
        <f t="shared" si="256"/>
        <v/>
      </c>
      <c r="AG1807" t="str">
        <f t="shared" si="257"/>
        <v/>
      </c>
      <c r="AH1807">
        <f t="shared" si="258"/>
        <v>4</v>
      </c>
      <c r="AI1807" t="str">
        <f t="shared" si="259"/>
        <v/>
      </c>
      <c r="AJ1807" t="str">
        <f t="shared" si="260"/>
        <v/>
      </c>
    </row>
    <row r="1808" spans="1:36">
      <c r="A1808" s="5">
        <v>2170</v>
      </c>
      <c r="B1808" s="5" t="s">
        <v>297</v>
      </c>
      <c r="C1808" s="5" t="s">
        <v>100</v>
      </c>
      <c r="D1808" s="5" t="s">
        <v>268</v>
      </c>
      <c r="E1808" s="5" t="s">
        <v>291</v>
      </c>
      <c r="F1808" s="5" t="str">
        <f t="shared" si="252"/>
        <v>Program Office-Cordination Manager</v>
      </c>
      <c r="G1808" s="5" t="s">
        <v>270</v>
      </c>
      <c r="H1808" s="9">
        <v>44796.082037037035</v>
      </c>
      <c r="I1808" s="9">
        <v>44798.082037037035</v>
      </c>
      <c r="J1808" s="9" t="e">
        <f>I1808+#REF!</f>
        <v>#REF!</v>
      </c>
      <c r="K1808" s="9" t="e">
        <f>J1808+#REF!</f>
        <v>#REF!</v>
      </c>
      <c r="L1808" s="10" t="s">
        <v>41</v>
      </c>
      <c r="M1808" s="11">
        <v>44815.082037037035</v>
      </c>
      <c r="N1808" s="5" t="s">
        <v>167</v>
      </c>
      <c r="O1808" s="5"/>
      <c r="P1808" s="9">
        <v>44821.082037037035</v>
      </c>
      <c r="Q1808" s="5" t="s">
        <v>167</v>
      </c>
      <c r="R1808" s="5"/>
      <c r="S1808" s="5"/>
      <c r="T1808" s="9">
        <v>44817.082037037035</v>
      </c>
      <c r="U1808" s="5"/>
      <c r="V1808" s="5">
        <v>0</v>
      </c>
      <c r="W1808" s="5"/>
      <c r="X1808" s="5"/>
      <c r="Y1808" s="5"/>
      <c r="Z1808" s="5"/>
      <c r="AA1808" s="5"/>
      <c r="AC1808">
        <f t="shared" si="253"/>
        <v>17</v>
      </c>
      <c r="AD1808" t="str">
        <f t="shared" si="254"/>
        <v/>
      </c>
      <c r="AE1808">
        <f t="shared" si="255"/>
        <v>2</v>
      </c>
      <c r="AF1808" t="str">
        <f t="shared" si="256"/>
        <v/>
      </c>
      <c r="AG1808" t="str">
        <f t="shared" si="257"/>
        <v/>
      </c>
      <c r="AH1808">
        <f t="shared" si="258"/>
        <v>2</v>
      </c>
      <c r="AI1808" t="str">
        <f t="shared" si="259"/>
        <v/>
      </c>
      <c r="AJ1808" t="str">
        <f t="shared" si="260"/>
        <v/>
      </c>
    </row>
    <row r="1809" spans="1:36">
      <c r="A1809" s="5">
        <v>2171</v>
      </c>
      <c r="B1809" s="5" t="s">
        <v>1609</v>
      </c>
      <c r="C1809" s="5" t="s">
        <v>1540</v>
      </c>
      <c r="D1809" s="5" t="s">
        <v>1588</v>
      </c>
      <c r="E1809" s="5" t="s">
        <v>1360</v>
      </c>
      <c r="F1809" s="5" t="str">
        <f t="shared" si="252"/>
        <v>Finance-Fund Administrator</v>
      </c>
      <c r="G1809" s="5" t="s">
        <v>147</v>
      </c>
      <c r="H1809" s="9">
        <v>44753.601967592593</v>
      </c>
      <c r="I1809" s="9">
        <v>44757.601967592593</v>
      </c>
      <c r="J1809" s="9" t="e">
        <f>I1809+#REF!</f>
        <v>#REF!</v>
      </c>
      <c r="K1809" s="9" t="e">
        <f>J1809+#REF!</f>
        <v>#REF!</v>
      </c>
      <c r="L1809" s="10" t="s">
        <v>41</v>
      </c>
      <c r="M1809" s="11">
        <v>44762.601967592593</v>
      </c>
      <c r="N1809" s="5" t="s">
        <v>42</v>
      </c>
      <c r="O1809" s="5" t="s">
        <v>73</v>
      </c>
      <c r="P1809" s="9"/>
      <c r="Q1809" s="5"/>
      <c r="R1809" s="5"/>
      <c r="S1809" s="5"/>
      <c r="T1809" s="9">
        <v>44763.601967592593</v>
      </c>
      <c r="U1809" s="5"/>
      <c r="V1809" s="5">
        <v>0</v>
      </c>
      <c r="W1809" s="5"/>
      <c r="X1809" s="5"/>
      <c r="Y1809" s="5"/>
      <c r="Z1809" s="5"/>
      <c r="AA1809" s="5" t="s">
        <v>44</v>
      </c>
      <c r="AC1809">
        <f t="shared" si="253"/>
        <v>5</v>
      </c>
      <c r="AD1809" t="str">
        <f t="shared" si="254"/>
        <v/>
      </c>
      <c r="AE1809">
        <f t="shared" si="255"/>
        <v>1</v>
      </c>
      <c r="AF1809" t="str">
        <f t="shared" si="256"/>
        <v/>
      </c>
      <c r="AG1809" t="str">
        <f t="shared" si="257"/>
        <v/>
      </c>
      <c r="AH1809">
        <f t="shared" si="258"/>
        <v>4</v>
      </c>
      <c r="AI1809" t="str">
        <f t="shared" si="259"/>
        <v/>
      </c>
      <c r="AJ1809" t="str">
        <f t="shared" si="260"/>
        <v/>
      </c>
    </row>
    <row r="1810" spans="1:36">
      <c r="A1810" s="5">
        <v>2172</v>
      </c>
      <c r="B1810" s="5" t="s">
        <v>1729</v>
      </c>
      <c r="C1810" s="5" t="s">
        <v>1540</v>
      </c>
      <c r="D1810" s="5" t="s">
        <v>1706</v>
      </c>
      <c r="E1810" s="5" t="s">
        <v>269</v>
      </c>
      <c r="F1810" s="5" t="str">
        <f t="shared" si="252"/>
        <v>Finance-Manager</v>
      </c>
      <c r="G1810" s="5" t="s">
        <v>270</v>
      </c>
      <c r="H1810" s="9">
        <v>44750.601967592593</v>
      </c>
      <c r="I1810" s="9">
        <v>44753.601967592593</v>
      </c>
      <c r="J1810" s="9" t="e">
        <f>I1810+#REF!</f>
        <v>#REF!</v>
      </c>
      <c r="K1810" s="9" t="e">
        <f>J1810+#REF!</f>
        <v>#REF!</v>
      </c>
      <c r="L1810" s="10" t="s">
        <v>41</v>
      </c>
      <c r="M1810" s="11">
        <v>44766.601967592593</v>
      </c>
      <c r="N1810" s="5" t="s">
        <v>42</v>
      </c>
      <c r="O1810" s="5" t="s">
        <v>98</v>
      </c>
      <c r="P1810" s="9"/>
      <c r="Q1810" s="5"/>
      <c r="R1810" s="5"/>
      <c r="S1810" s="5"/>
      <c r="T1810" s="9"/>
      <c r="U1810" s="5"/>
      <c r="V1810" s="5">
        <v>0</v>
      </c>
      <c r="W1810" s="5"/>
      <c r="X1810" s="5"/>
      <c r="Y1810" s="5"/>
      <c r="Z1810" s="5"/>
      <c r="AA1810" s="5" t="s">
        <v>44</v>
      </c>
      <c r="AC1810">
        <f t="shared" si="253"/>
        <v>13</v>
      </c>
      <c r="AD1810" t="str">
        <f t="shared" si="254"/>
        <v/>
      </c>
      <c r="AE1810" t="str">
        <f t="shared" si="255"/>
        <v/>
      </c>
      <c r="AF1810" t="str">
        <f t="shared" si="256"/>
        <v/>
      </c>
      <c r="AG1810" t="str">
        <f t="shared" si="257"/>
        <v/>
      </c>
      <c r="AH1810">
        <f t="shared" si="258"/>
        <v>3</v>
      </c>
      <c r="AI1810" t="str">
        <f t="shared" si="259"/>
        <v/>
      </c>
      <c r="AJ1810" t="str">
        <f t="shared" si="260"/>
        <v/>
      </c>
    </row>
    <row r="1811" spans="1:36">
      <c r="A1811" s="5">
        <v>2175</v>
      </c>
      <c r="B1811" s="5" t="s">
        <v>1549</v>
      </c>
      <c r="C1811" s="5" t="s">
        <v>1540</v>
      </c>
      <c r="D1811" s="5" t="s">
        <v>1541</v>
      </c>
      <c r="E1811" s="5" t="s">
        <v>102</v>
      </c>
      <c r="F1811" s="5" t="str">
        <f t="shared" si="252"/>
        <v>Finance-Senior Manager</v>
      </c>
      <c r="G1811" s="5" t="s">
        <v>103</v>
      </c>
      <c r="H1811" s="9">
        <v>44750.601967592593</v>
      </c>
      <c r="I1811" s="9">
        <v>44754.601967592593</v>
      </c>
      <c r="J1811" s="9" t="e">
        <f>I1811+#REF!</f>
        <v>#REF!</v>
      </c>
      <c r="K1811" s="9" t="e">
        <f>J1811+#REF!</f>
        <v>#REF!</v>
      </c>
      <c r="L1811" s="10" t="s">
        <v>41</v>
      </c>
      <c r="M1811" s="11">
        <v>44762.601967592593</v>
      </c>
      <c r="N1811" s="5" t="s">
        <v>42</v>
      </c>
      <c r="O1811" s="5" t="s">
        <v>58</v>
      </c>
      <c r="P1811" s="9"/>
      <c r="Q1811" s="5"/>
      <c r="R1811" s="5"/>
      <c r="S1811" s="5"/>
      <c r="T1811" s="9">
        <v>44763.601967592593</v>
      </c>
      <c r="U1811" s="5"/>
      <c r="V1811" s="5">
        <v>0</v>
      </c>
      <c r="W1811" s="5"/>
      <c r="X1811" s="5"/>
      <c r="Y1811" s="5"/>
      <c r="Z1811" s="5"/>
      <c r="AA1811" s="5" t="s">
        <v>62</v>
      </c>
      <c r="AC1811">
        <f t="shared" si="253"/>
        <v>8</v>
      </c>
      <c r="AD1811" t="str">
        <f t="shared" si="254"/>
        <v/>
      </c>
      <c r="AE1811">
        <f t="shared" si="255"/>
        <v>1</v>
      </c>
      <c r="AF1811" t="str">
        <f t="shared" si="256"/>
        <v/>
      </c>
      <c r="AG1811" t="str">
        <f t="shared" si="257"/>
        <v/>
      </c>
      <c r="AH1811">
        <f t="shared" si="258"/>
        <v>4</v>
      </c>
      <c r="AI1811" t="str">
        <f t="shared" si="259"/>
        <v/>
      </c>
      <c r="AJ1811" t="str">
        <f t="shared" si="260"/>
        <v/>
      </c>
    </row>
    <row r="1812" spans="1:36">
      <c r="A1812" s="5">
        <v>2176</v>
      </c>
      <c r="B1812" s="5" t="s">
        <v>1854</v>
      </c>
      <c r="C1812" s="5" t="s">
        <v>1540</v>
      </c>
      <c r="D1812" s="5" t="s">
        <v>1820</v>
      </c>
      <c r="E1812" s="5" t="s">
        <v>39</v>
      </c>
      <c r="F1812" s="5" t="str">
        <f t="shared" si="252"/>
        <v>Finance-Analyst</v>
      </c>
      <c r="G1812" s="5" t="s">
        <v>40</v>
      </c>
      <c r="H1812" s="9">
        <v>44754.601967592593</v>
      </c>
      <c r="I1812" s="9">
        <v>44758.601967592593</v>
      </c>
      <c r="J1812" s="9" t="e">
        <f>I1812+#REF!</f>
        <v>#REF!</v>
      </c>
      <c r="K1812" s="9" t="e">
        <f>J1812+#REF!</f>
        <v>#REF!</v>
      </c>
      <c r="L1812" s="10" t="s">
        <v>41</v>
      </c>
      <c r="M1812" s="11">
        <v>44762.601967592593</v>
      </c>
      <c r="N1812" s="5" t="s">
        <v>42</v>
      </c>
      <c r="O1812" s="5" t="s">
        <v>113</v>
      </c>
      <c r="P1812" s="9"/>
      <c r="Q1812" s="5"/>
      <c r="R1812" s="5"/>
      <c r="S1812" s="5"/>
      <c r="T1812" s="9">
        <v>44764.601967592593</v>
      </c>
      <c r="U1812" s="5"/>
      <c r="V1812" s="5">
        <v>0</v>
      </c>
      <c r="W1812" s="5"/>
      <c r="X1812" s="5"/>
      <c r="Y1812" s="5"/>
      <c r="Z1812" s="5"/>
      <c r="AA1812" s="5" t="s">
        <v>44</v>
      </c>
      <c r="AC1812">
        <f t="shared" si="253"/>
        <v>4</v>
      </c>
      <c r="AD1812" t="str">
        <f t="shared" si="254"/>
        <v/>
      </c>
      <c r="AE1812">
        <f t="shared" si="255"/>
        <v>2</v>
      </c>
      <c r="AF1812" t="str">
        <f t="shared" si="256"/>
        <v/>
      </c>
      <c r="AG1812" t="str">
        <f t="shared" si="257"/>
        <v/>
      </c>
      <c r="AH1812">
        <f t="shared" si="258"/>
        <v>4</v>
      </c>
      <c r="AI1812" t="str">
        <f t="shared" si="259"/>
        <v/>
      </c>
      <c r="AJ1812" t="str">
        <f t="shared" si="260"/>
        <v/>
      </c>
    </row>
    <row r="1813" spans="1:36">
      <c r="A1813" s="5">
        <v>2177</v>
      </c>
      <c r="B1813" s="5" t="s">
        <v>2007</v>
      </c>
      <c r="C1813" s="5" t="s">
        <v>1540</v>
      </c>
      <c r="D1813" s="5" t="s">
        <v>1985</v>
      </c>
      <c r="E1813" s="5" t="s">
        <v>1986</v>
      </c>
      <c r="F1813" s="5" t="str">
        <f t="shared" si="252"/>
        <v>Finance-Revenue Recorgnition</v>
      </c>
      <c r="G1813" s="5" t="s">
        <v>47</v>
      </c>
      <c r="H1813" s="9">
        <v>44750.601967592593</v>
      </c>
      <c r="I1813" s="9">
        <v>44753.601967592593</v>
      </c>
      <c r="J1813" s="9" t="e">
        <f>I1813+#REF!</f>
        <v>#REF!</v>
      </c>
      <c r="K1813" s="9" t="e">
        <f>J1813+#REF!</f>
        <v>#REF!</v>
      </c>
      <c r="L1813" s="10" t="s">
        <v>41</v>
      </c>
      <c r="M1813" s="11">
        <v>44764.601967592593</v>
      </c>
      <c r="N1813" s="5" t="s">
        <v>42</v>
      </c>
      <c r="O1813" s="5" t="s">
        <v>58</v>
      </c>
      <c r="P1813" s="9"/>
      <c r="Q1813" s="5"/>
      <c r="R1813" s="5"/>
      <c r="S1813" s="5"/>
      <c r="T1813" s="9">
        <v>44766.601967592593</v>
      </c>
      <c r="U1813" s="5"/>
      <c r="V1813" s="5">
        <v>0</v>
      </c>
      <c r="W1813" s="5"/>
      <c r="X1813" s="5"/>
      <c r="Y1813" s="5"/>
      <c r="Z1813" s="5"/>
      <c r="AA1813" s="5" t="s">
        <v>44</v>
      </c>
      <c r="AC1813">
        <f t="shared" si="253"/>
        <v>11</v>
      </c>
      <c r="AD1813" t="str">
        <f t="shared" si="254"/>
        <v/>
      </c>
      <c r="AE1813">
        <f t="shared" si="255"/>
        <v>2</v>
      </c>
      <c r="AF1813" t="str">
        <f t="shared" si="256"/>
        <v/>
      </c>
      <c r="AG1813" t="str">
        <f t="shared" si="257"/>
        <v/>
      </c>
      <c r="AH1813">
        <f t="shared" si="258"/>
        <v>3</v>
      </c>
      <c r="AI1813" t="str">
        <f t="shared" si="259"/>
        <v/>
      </c>
      <c r="AJ1813" t="str">
        <f t="shared" si="260"/>
        <v/>
      </c>
    </row>
    <row r="1814" spans="1:36">
      <c r="A1814" s="5">
        <v>2178</v>
      </c>
      <c r="B1814" s="5" t="s">
        <v>2006</v>
      </c>
      <c r="C1814" s="5" t="s">
        <v>1540</v>
      </c>
      <c r="D1814" s="5" t="s">
        <v>1985</v>
      </c>
      <c r="E1814" s="5" t="s">
        <v>1986</v>
      </c>
      <c r="F1814" s="5" t="str">
        <f t="shared" si="252"/>
        <v>Finance-Revenue Recorgnition</v>
      </c>
      <c r="G1814" s="5" t="s">
        <v>47</v>
      </c>
      <c r="H1814" s="9">
        <v>44756.601967592593</v>
      </c>
      <c r="I1814" s="9">
        <v>44758.601967592593</v>
      </c>
      <c r="J1814" s="9" t="e">
        <f>I1814+#REF!</f>
        <v>#REF!</v>
      </c>
      <c r="K1814" s="9" t="e">
        <f>J1814+#REF!</f>
        <v>#REF!</v>
      </c>
      <c r="L1814" s="10" t="s">
        <v>41</v>
      </c>
      <c r="M1814" s="11">
        <v>44773.601967592593</v>
      </c>
      <c r="N1814" s="5" t="s">
        <v>64</v>
      </c>
      <c r="O1814" s="5"/>
      <c r="P1814" s="9">
        <v>44777.601967592593</v>
      </c>
      <c r="Q1814" s="5" t="s">
        <v>64</v>
      </c>
      <c r="R1814" s="9">
        <v>44775.601967592593</v>
      </c>
      <c r="S1814" s="9">
        <v>44776.601967592593</v>
      </c>
      <c r="T1814" s="9">
        <v>44776.601967592593</v>
      </c>
      <c r="U1814" s="9">
        <v>44777.601967592593</v>
      </c>
      <c r="V1814" s="12">
        <v>1</v>
      </c>
      <c r="W1814" s="9">
        <v>44780.601967592593</v>
      </c>
      <c r="X1814" s="9">
        <v>44783.601967592593</v>
      </c>
      <c r="Y1814" s="9">
        <v>44784.601967592593</v>
      </c>
      <c r="Z1814" s="5"/>
      <c r="AA1814" s="5"/>
      <c r="AB1814" s="13">
        <v>44797.601967592593</v>
      </c>
      <c r="AC1814">
        <f t="shared" si="253"/>
        <v>15</v>
      </c>
      <c r="AD1814">
        <f t="shared" si="254"/>
        <v>18</v>
      </c>
      <c r="AE1814">
        <f t="shared" si="255"/>
        <v>3</v>
      </c>
      <c r="AF1814">
        <f t="shared" si="256"/>
        <v>6</v>
      </c>
      <c r="AG1814">
        <f t="shared" si="257"/>
        <v>3</v>
      </c>
      <c r="AH1814">
        <f t="shared" si="258"/>
        <v>2</v>
      </c>
      <c r="AI1814" t="str">
        <f t="shared" si="259"/>
        <v/>
      </c>
      <c r="AJ1814" t="str">
        <f t="shared" si="260"/>
        <v/>
      </c>
    </row>
    <row r="1815" spans="1:36">
      <c r="A1815" s="5">
        <v>2179</v>
      </c>
      <c r="B1815" s="5" t="s">
        <v>1853</v>
      </c>
      <c r="C1815" s="5" t="s">
        <v>1540</v>
      </c>
      <c r="D1815" s="5" t="s">
        <v>1820</v>
      </c>
      <c r="E1815" s="5" t="s">
        <v>39</v>
      </c>
      <c r="F1815" s="5" t="str">
        <f t="shared" si="252"/>
        <v>Finance-Analyst</v>
      </c>
      <c r="G1815" s="5" t="s">
        <v>40</v>
      </c>
      <c r="H1815" s="9">
        <v>44753.601967592593</v>
      </c>
      <c r="I1815" s="9">
        <v>44756.601967592593</v>
      </c>
      <c r="J1815" s="9" t="e">
        <f>I1815+#REF!</f>
        <v>#REF!</v>
      </c>
      <c r="K1815" s="9" t="e">
        <f>J1815+#REF!</f>
        <v>#REF!</v>
      </c>
      <c r="L1815" s="10" t="s">
        <v>41</v>
      </c>
      <c r="M1815" s="11">
        <v>44764.601967592593</v>
      </c>
      <c r="N1815" s="5" t="s">
        <v>48</v>
      </c>
      <c r="O1815" s="5"/>
      <c r="P1815" s="9">
        <v>44768.601967592593</v>
      </c>
      <c r="Q1815" s="5" t="s">
        <v>48</v>
      </c>
      <c r="R1815" s="5"/>
      <c r="S1815" s="5"/>
      <c r="T1815" s="9">
        <v>44767.601967592593</v>
      </c>
      <c r="U1815" s="5"/>
      <c r="V1815" s="5">
        <v>0</v>
      </c>
      <c r="W1815" s="5"/>
      <c r="X1815" s="5"/>
      <c r="Y1815" s="5"/>
      <c r="Z1815" s="5"/>
      <c r="AA1815" s="5"/>
      <c r="AC1815">
        <f t="shared" si="253"/>
        <v>8</v>
      </c>
      <c r="AD1815" t="str">
        <f t="shared" si="254"/>
        <v/>
      </c>
      <c r="AE1815">
        <f t="shared" si="255"/>
        <v>3</v>
      </c>
      <c r="AF1815" t="str">
        <f t="shared" si="256"/>
        <v/>
      </c>
      <c r="AG1815" t="str">
        <f t="shared" si="257"/>
        <v/>
      </c>
      <c r="AH1815">
        <f t="shared" si="258"/>
        <v>3</v>
      </c>
      <c r="AI1815" t="str">
        <f t="shared" si="259"/>
        <v/>
      </c>
      <c r="AJ1815" t="str">
        <f t="shared" si="260"/>
        <v/>
      </c>
    </row>
    <row r="1816" spans="1:36">
      <c r="A1816" s="5">
        <v>2180</v>
      </c>
      <c r="B1816" s="5" t="s">
        <v>1548</v>
      </c>
      <c r="C1816" s="5" t="s">
        <v>1540</v>
      </c>
      <c r="D1816" s="5" t="s">
        <v>1541</v>
      </c>
      <c r="E1816" s="5" t="s">
        <v>102</v>
      </c>
      <c r="F1816" s="5" t="str">
        <f t="shared" si="252"/>
        <v>Finance-Senior Manager</v>
      </c>
      <c r="G1816" s="5" t="s">
        <v>103</v>
      </c>
      <c r="H1816" s="9">
        <v>44757.601967592593</v>
      </c>
      <c r="I1816" s="9">
        <v>44758.601967592593</v>
      </c>
      <c r="J1816" s="9" t="e">
        <f>I1816+#REF!</f>
        <v>#REF!</v>
      </c>
      <c r="K1816" s="9" t="e">
        <f>J1816+#REF!</f>
        <v>#REF!</v>
      </c>
      <c r="L1816" s="10" t="s">
        <v>41</v>
      </c>
      <c r="M1816" s="11">
        <v>44770.601967592593</v>
      </c>
      <c r="N1816" s="5" t="s">
        <v>42</v>
      </c>
      <c r="O1816" s="5" t="s">
        <v>43</v>
      </c>
      <c r="P1816" s="9"/>
      <c r="Q1816" s="5"/>
      <c r="R1816" s="5"/>
      <c r="S1816" s="5"/>
      <c r="T1816" s="9">
        <v>44772.601967592593</v>
      </c>
      <c r="U1816" s="5"/>
      <c r="V1816" s="5">
        <v>0</v>
      </c>
      <c r="W1816" s="5"/>
      <c r="X1816" s="5"/>
      <c r="Y1816" s="5"/>
      <c r="Z1816" s="5"/>
      <c r="AA1816" s="5" t="s">
        <v>44</v>
      </c>
      <c r="AC1816">
        <f t="shared" si="253"/>
        <v>12</v>
      </c>
      <c r="AD1816" t="str">
        <f t="shared" si="254"/>
        <v/>
      </c>
      <c r="AE1816">
        <f t="shared" si="255"/>
        <v>2</v>
      </c>
      <c r="AF1816" t="str">
        <f t="shared" si="256"/>
        <v/>
      </c>
      <c r="AG1816" t="str">
        <f t="shared" si="257"/>
        <v/>
      </c>
      <c r="AH1816">
        <f t="shared" si="258"/>
        <v>1</v>
      </c>
      <c r="AI1816" t="str">
        <f t="shared" si="259"/>
        <v/>
      </c>
      <c r="AJ1816" t="str">
        <f t="shared" si="260"/>
        <v/>
      </c>
    </row>
    <row r="1817" spans="1:36">
      <c r="A1817" s="5">
        <v>2181</v>
      </c>
      <c r="B1817" s="5" t="s">
        <v>838</v>
      </c>
      <c r="C1817" s="5" t="s">
        <v>796</v>
      </c>
      <c r="D1817" s="5" t="s">
        <v>814</v>
      </c>
      <c r="E1817" s="5" t="s">
        <v>815</v>
      </c>
      <c r="F1817" s="5" t="str">
        <f t="shared" si="252"/>
        <v>M and E-Auditor</v>
      </c>
      <c r="G1817" s="5" t="s">
        <v>147</v>
      </c>
      <c r="H1817" s="9">
        <v>44996.531736111108</v>
      </c>
      <c r="I1817" s="9">
        <v>44999.531736111108</v>
      </c>
      <c r="J1817" s="9" t="e">
        <f>I1817+#REF!</f>
        <v>#REF!</v>
      </c>
      <c r="K1817" s="9" t="e">
        <f>J1817+#REF!</f>
        <v>#REF!</v>
      </c>
      <c r="L1817" s="10" t="s">
        <v>52</v>
      </c>
      <c r="M1817" s="11"/>
      <c r="N1817" s="5"/>
      <c r="O1817" s="5"/>
      <c r="P1817" s="9"/>
      <c r="Q1817" s="5"/>
      <c r="R1817" s="5"/>
      <c r="S1817" s="5"/>
      <c r="T1817" s="9"/>
      <c r="U1817" s="5"/>
      <c r="V1817" s="5">
        <v>0</v>
      </c>
      <c r="W1817" s="5"/>
      <c r="X1817" s="5"/>
      <c r="Y1817" s="5"/>
      <c r="Z1817" s="5"/>
      <c r="AA1817" s="5"/>
      <c r="AC1817" t="str">
        <f t="shared" si="253"/>
        <v/>
      </c>
      <c r="AD1817" t="str">
        <f t="shared" si="254"/>
        <v/>
      </c>
      <c r="AE1817" t="str">
        <f t="shared" si="255"/>
        <v/>
      </c>
      <c r="AF1817" t="str">
        <f t="shared" si="256"/>
        <v/>
      </c>
      <c r="AG1817" t="str">
        <f t="shared" si="257"/>
        <v/>
      </c>
      <c r="AH1817">
        <f t="shared" si="258"/>
        <v>3</v>
      </c>
      <c r="AI1817" t="str">
        <f t="shared" si="259"/>
        <v/>
      </c>
      <c r="AJ1817" t="str">
        <f t="shared" si="260"/>
        <v/>
      </c>
    </row>
    <row r="1818" spans="1:36">
      <c r="A1818" s="5">
        <v>2182</v>
      </c>
      <c r="B1818" s="5" t="s">
        <v>910</v>
      </c>
      <c r="C1818" s="5" t="s">
        <v>796</v>
      </c>
      <c r="D1818" s="5" t="s">
        <v>893</v>
      </c>
      <c r="E1818" s="5" t="s">
        <v>269</v>
      </c>
      <c r="F1818" s="5" t="str">
        <f t="shared" si="252"/>
        <v>M and E-Manager</v>
      </c>
      <c r="G1818" s="5" t="s">
        <v>270</v>
      </c>
      <c r="H1818" s="9">
        <v>44993.531736111108</v>
      </c>
      <c r="I1818" s="9">
        <v>44996.531736111108</v>
      </c>
      <c r="J1818" s="9" t="e">
        <f>I1818+#REF!</f>
        <v>#REF!</v>
      </c>
      <c r="K1818" s="9" t="e">
        <f>J1818+#REF!</f>
        <v>#REF!</v>
      </c>
      <c r="L1818" s="10" t="s">
        <v>41</v>
      </c>
      <c r="M1818" s="11">
        <v>45004.531736111108</v>
      </c>
      <c r="N1818" s="5" t="s">
        <v>64</v>
      </c>
      <c r="O1818" s="5"/>
      <c r="P1818" s="9">
        <v>45007.531736111108</v>
      </c>
      <c r="Q1818" s="5" t="s">
        <v>64</v>
      </c>
      <c r="R1818" s="9">
        <v>45005.531736111108</v>
      </c>
      <c r="S1818" s="9">
        <v>45009.531736111108</v>
      </c>
      <c r="T1818" s="9">
        <v>45006.531736111108</v>
      </c>
      <c r="U1818" s="9">
        <v>45016.531736111108</v>
      </c>
      <c r="V1818" s="12">
        <v>1</v>
      </c>
      <c r="W1818" s="9">
        <v>45018.531736111108</v>
      </c>
      <c r="X1818" s="9">
        <v>45021.531736111108</v>
      </c>
      <c r="Y1818" s="9">
        <v>45024.531736111108</v>
      </c>
      <c r="Z1818" s="5"/>
      <c r="AA1818" s="5"/>
      <c r="AB1818" s="13">
        <v>45041.531736111108</v>
      </c>
      <c r="AC1818">
        <f t="shared" si="253"/>
        <v>8</v>
      </c>
      <c r="AD1818">
        <f t="shared" si="254"/>
        <v>13</v>
      </c>
      <c r="AE1818">
        <f t="shared" si="255"/>
        <v>2</v>
      </c>
      <c r="AF1818">
        <f t="shared" si="256"/>
        <v>5</v>
      </c>
      <c r="AG1818">
        <f t="shared" si="257"/>
        <v>2</v>
      </c>
      <c r="AH1818">
        <f t="shared" si="258"/>
        <v>3</v>
      </c>
      <c r="AI1818" t="str">
        <f t="shared" si="259"/>
        <v/>
      </c>
      <c r="AJ1818" t="str">
        <f t="shared" si="260"/>
        <v/>
      </c>
    </row>
    <row r="1819" spans="1:36">
      <c r="A1819" s="5">
        <v>2183</v>
      </c>
      <c r="B1819" s="5" t="s">
        <v>837</v>
      </c>
      <c r="C1819" s="5" t="s">
        <v>796</v>
      </c>
      <c r="D1819" s="5" t="s">
        <v>814</v>
      </c>
      <c r="E1819" s="5" t="s">
        <v>815</v>
      </c>
      <c r="F1819" s="5" t="str">
        <f t="shared" si="252"/>
        <v>M and E-Auditor</v>
      </c>
      <c r="G1819" s="5" t="s">
        <v>147</v>
      </c>
      <c r="H1819" s="9">
        <v>44996.531736111108</v>
      </c>
      <c r="I1819" s="9">
        <v>44999.531736111108</v>
      </c>
      <c r="J1819" s="9" t="e">
        <f>I1819+#REF!</f>
        <v>#REF!</v>
      </c>
      <c r="K1819" s="9" t="e">
        <f>J1819+#REF!</f>
        <v>#REF!</v>
      </c>
      <c r="L1819" s="10" t="s">
        <v>41</v>
      </c>
      <c r="M1819" s="11">
        <v>45008.531736111108</v>
      </c>
      <c r="N1819" s="5" t="s">
        <v>42</v>
      </c>
      <c r="O1819" s="5" t="s">
        <v>113</v>
      </c>
      <c r="P1819" s="9"/>
      <c r="Q1819" s="5"/>
      <c r="R1819" s="5"/>
      <c r="S1819" s="5"/>
      <c r="T1819" s="9">
        <v>45009.531736111108</v>
      </c>
      <c r="U1819" s="5"/>
      <c r="V1819" s="5">
        <v>0</v>
      </c>
      <c r="W1819" s="5"/>
      <c r="X1819" s="5"/>
      <c r="Y1819" s="5"/>
      <c r="Z1819" s="5"/>
      <c r="AA1819" s="5" t="s">
        <v>62</v>
      </c>
      <c r="AC1819">
        <f t="shared" si="253"/>
        <v>9</v>
      </c>
      <c r="AD1819" t="str">
        <f t="shared" si="254"/>
        <v/>
      </c>
      <c r="AE1819">
        <f t="shared" si="255"/>
        <v>1</v>
      </c>
      <c r="AF1819" t="str">
        <f t="shared" si="256"/>
        <v/>
      </c>
      <c r="AG1819" t="str">
        <f t="shared" si="257"/>
        <v/>
      </c>
      <c r="AH1819">
        <f t="shared" si="258"/>
        <v>3</v>
      </c>
      <c r="AI1819" t="str">
        <f t="shared" si="259"/>
        <v/>
      </c>
      <c r="AJ1819" t="str">
        <f t="shared" si="260"/>
        <v/>
      </c>
    </row>
    <row r="1820" spans="1:36">
      <c r="A1820" s="5">
        <v>2184</v>
      </c>
      <c r="B1820" s="5" t="s">
        <v>836</v>
      </c>
      <c r="C1820" s="5" t="s">
        <v>796</v>
      </c>
      <c r="D1820" s="5" t="s">
        <v>814</v>
      </c>
      <c r="E1820" s="5" t="s">
        <v>815</v>
      </c>
      <c r="F1820" s="5" t="str">
        <f t="shared" si="252"/>
        <v>M and E-Auditor</v>
      </c>
      <c r="G1820" s="5" t="s">
        <v>147</v>
      </c>
      <c r="H1820" s="9">
        <v>44992.531736111108</v>
      </c>
      <c r="I1820" s="9">
        <v>44994.531736111108</v>
      </c>
      <c r="J1820" s="9" t="e">
        <f>I1820+#REF!</f>
        <v>#REF!</v>
      </c>
      <c r="K1820" s="9" t="e">
        <f>J1820+#REF!</f>
        <v>#REF!</v>
      </c>
      <c r="L1820" s="10" t="s">
        <v>41</v>
      </c>
      <c r="M1820" s="11">
        <v>45015.531736111108</v>
      </c>
      <c r="N1820" s="5" t="s">
        <v>48</v>
      </c>
      <c r="O1820" s="5"/>
      <c r="P1820" s="9">
        <v>45020.531736111108</v>
      </c>
      <c r="Q1820" s="5" t="s">
        <v>48</v>
      </c>
      <c r="R1820" s="5"/>
      <c r="S1820" s="5"/>
      <c r="T1820" s="9">
        <v>45018.531736111108</v>
      </c>
      <c r="U1820" s="5"/>
      <c r="V1820" s="5">
        <v>0</v>
      </c>
      <c r="W1820" s="5"/>
      <c r="X1820" s="5"/>
      <c r="Y1820" s="5"/>
      <c r="Z1820" s="5"/>
      <c r="AA1820" s="5"/>
      <c r="AC1820">
        <f t="shared" si="253"/>
        <v>21</v>
      </c>
      <c r="AD1820" t="str">
        <f t="shared" si="254"/>
        <v/>
      </c>
      <c r="AE1820">
        <f t="shared" si="255"/>
        <v>3</v>
      </c>
      <c r="AF1820" t="str">
        <f t="shared" si="256"/>
        <v/>
      </c>
      <c r="AG1820" t="str">
        <f t="shared" si="257"/>
        <v/>
      </c>
      <c r="AH1820">
        <f t="shared" si="258"/>
        <v>2</v>
      </c>
      <c r="AI1820" t="str">
        <f t="shared" si="259"/>
        <v/>
      </c>
      <c r="AJ1820" t="str">
        <f t="shared" si="260"/>
        <v/>
      </c>
    </row>
    <row r="1821" spans="1:36">
      <c r="A1821" s="5">
        <v>2185</v>
      </c>
      <c r="B1821" s="5" t="s">
        <v>983</v>
      </c>
      <c r="C1821" s="5" t="s">
        <v>796</v>
      </c>
      <c r="D1821" s="5" t="s">
        <v>957</v>
      </c>
      <c r="E1821" s="5" t="s">
        <v>388</v>
      </c>
      <c r="F1821" s="5" t="str">
        <f t="shared" si="252"/>
        <v>M and E-Extension Officer</v>
      </c>
      <c r="G1821" s="5" t="s">
        <v>40</v>
      </c>
      <c r="H1821" s="9">
        <v>44997.531736111108</v>
      </c>
      <c r="I1821" s="9">
        <v>44999.531736111108</v>
      </c>
      <c r="J1821" s="9" t="e">
        <f>I1821+#REF!</f>
        <v>#REF!</v>
      </c>
      <c r="K1821" s="9" t="e">
        <f>J1821+#REF!</f>
        <v>#REF!</v>
      </c>
      <c r="L1821" s="10" t="s">
        <v>41</v>
      </c>
      <c r="M1821" s="11">
        <v>45006.531736111108</v>
      </c>
      <c r="N1821" s="5" t="s">
        <v>48</v>
      </c>
      <c r="O1821" s="5"/>
      <c r="P1821" s="9">
        <v>45011.531736111108</v>
      </c>
      <c r="Q1821" s="5" t="s">
        <v>48</v>
      </c>
      <c r="R1821" s="5"/>
      <c r="S1821" s="5"/>
      <c r="T1821" s="9">
        <v>45008.531736111108</v>
      </c>
      <c r="U1821" s="5"/>
      <c r="V1821" s="5">
        <v>0</v>
      </c>
      <c r="W1821" s="5"/>
      <c r="X1821" s="5"/>
      <c r="Y1821" s="5"/>
      <c r="Z1821" s="5"/>
      <c r="AA1821" s="5"/>
      <c r="AC1821">
        <f t="shared" si="253"/>
        <v>7</v>
      </c>
      <c r="AD1821" t="str">
        <f t="shared" si="254"/>
        <v/>
      </c>
      <c r="AE1821">
        <f t="shared" si="255"/>
        <v>2</v>
      </c>
      <c r="AF1821" t="str">
        <f t="shared" si="256"/>
        <v/>
      </c>
      <c r="AG1821" t="str">
        <f t="shared" si="257"/>
        <v/>
      </c>
      <c r="AH1821">
        <f t="shared" si="258"/>
        <v>2</v>
      </c>
      <c r="AI1821" t="str">
        <f t="shared" si="259"/>
        <v/>
      </c>
      <c r="AJ1821" t="str">
        <f t="shared" si="260"/>
        <v/>
      </c>
    </row>
    <row r="1822" spans="1:36">
      <c r="A1822" s="5">
        <v>2186</v>
      </c>
      <c r="B1822" s="5" t="s">
        <v>982</v>
      </c>
      <c r="C1822" s="5" t="s">
        <v>796</v>
      </c>
      <c r="D1822" s="5" t="s">
        <v>957</v>
      </c>
      <c r="E1822" s="5" t="s">
        <v>388</v>
      </c>
      <c r="F1822" s="5" t="str">
        <f t="shared" si="252"/>
        <v>M and E-Extension Officer</v>
      </c>
      <c r="G1822" s="5" t="s">
        <v>40</v>
      </c>
      <c r="H1822" s="9">
        <v>44996.531736111108</v>
      </c>
      <c r="I1822" s="9">
        <v>44997.531736111108</v>
      </c>
      <c r="J1822" s="9" t="e">
        <f>I1822+#REF!</f>
        <v>#REF!</v>
      </c>
      <c r="K1822" s="9" t="e">
        <f>J1822+#REF!</f>
        <v>#REF!</v>
      </c>
      <c r="L1822" s="10" t="s">
        <v>41</v>
      </c>
      <c r="M1822" s="11">
        <v>45012.531736111108</v>
      </c>
      <c r="N1822" s="5" t="s">
        <v>42</v>
      </c>
      <c r="O1822" s="5" t="s">
        <v>98</v>
      </c>
      <c r="P1822" s="9"/>
      <c r="Q1822" s="5"/>
      <c r="R1822" s="5"/>
      <c r="S1822" s="5"/>
      <c r="T1822" s="9"/>
      <c r="U1822" s="5"/>
      <c r="V1822" s="5">
        <v>0</v>
      </c>
      <c r="W1822" s="5"/>
      <c r="X1822" s="5"/>
      <c r="Y1822" s="5"/>
      <c r="Z1822" s="5"/>
      <c r="AA1822" s="5" t="s">
        <v>44</v>
      </c>
      <c r="AC1822">
        <f t="shared" si="253"/>
        <v>15</v>
      </c>
      <c r="AD1822" t="str">
        <f t="shared" si="254"/>
        <v/>
      </c>
      <c r="AE1822" t="str">
        <f t="shared" si="255"/>
        <v/>
      </c>
      <c r="AF1822" t="str">
        <f t="shared" si="256"/>
        <v/>
      </c>
      <c r="AG1822" t="str">
        <f t="shared" si="257"/>
        <v/>
      </c>
      <c r="AH1822">
        <f t="shared" si="258"/>
        <v>1</v>
      </c>
      <c r="AI1822" t="str">
        <f t="shared" si="259"/>
        <v/>
      </c>
      <c r="AJ1822" t="str">
        <f t="shared" si="260"/>
        <v/>
      </c>
    </row>
    <row r="1823" spans="1:36">
      <c r="A1823" s="5">
        <v>2187</v>
      </c>
      <c r="B1823" s="5" t="s">
        <v>1077</v>
      </c>
      <c r="C1823" s="5" t="s">
        <v>796</v>
      </c>
      <c r="D1823" s="5" t="s">
        <v>1046</v>
      </c>
      <c r="E1823" s="5" t="s">
        <v>473</v>
      </c>
      <c r="F1823" s="5" t="str">
        <f t="shared" si="252"/>
        <v>M and E-Officer</v>
      </c>
      <c r="G1823" s="5" t="s">
        <v>47</v>
      </c>
      <c r="H1823" s="9">
        <v>44995.531736111108</v>
      </c>
      <c r="I1823" s="9">
        <v>44996.531736111108</v>
      </c>
      <c r="J1823" s="9" t="e">
        <f>I1823+#REF!</f>
        <v>#REF!</v>
      </c>
      <c r="K1823" s="9" t="e">
        <f>J1823+#REF!</f>
        <v>#REF!</v>
      </c>
      <c r="L1823" s="10" t="s">
        <v>41</v>
      </c>
      <c r="M1823" s="11">
        <v>45016.531736111108</v>
      </c>
      <c r="N1823" s="5" t="s">
        <v>42</v>
      </c>
      <c r="O1823" s="5" t="s">
        <v>73</v>
      </c>
      <c r="P1823" s="9"/>
      <c r="Q1823" s="5"/>
      <c r="R1823" s="5"/>
      <c r="S1823" s="5"/>
      <c r="T1823" s="9">
        <v>45020.531736111108</v>
      </c>
      <c r="U1823" s="5"/>
      <c r="V1823" s="5">
        <v>0</v>
      </c>
      <c r="W1823" s="5"/>
      <c r="X1823" s="5"/>
      <c r="Y1823" s="5"/>
      <c r="Z1823" s="5"/>
      <c r="AA1823" s="5" t="s">
        <v>44</v>
      </c>
      <c r="AC1823">
        <f t="shared" si="253"/>
        <v>20</v>
      </c>
      <c r="AD1823" t="str">
        <f t="shared" si="254"/>
        <v/>
      </c>
      <c r="AE1823">
        <f t="shared" si="255"/>
        <v>4</v>
      </c>
      <c r="AF1823" t="str">
        <f t="shared" si="256"/>
        <v/>
      </c>
      <c r="AG1823" t="str">
        <f t="shared" si="257"/>
        <v/>
      </c>
      <c r="AH1823">
        <f t="shared" si="258"/>
        <v>1</v>
      </c>
      <c r="AI1823" t="str">
        <f t="shared" si="259"/>
        <v/>
      </c>
      <c r="AJ1823" t="str">
        <f t="shared" si="260"/>
        <v/>
      </c>
    </row>
    <row r="1824" spans="1:36">
      <c r="A1824" s="5">
        <v>2188</v>
      </c>
      <c r="B1824" s="5" t="s">
        <v>981</v>
      </c>
      <c r="C1824" s="5" t="s">
        <v>796</v>
      </c>
      <c r="D1824" s="5" t="s">
        <v>957</v>
      </c>
      <c r="E1824" s="5" t="s">
        <v>388</v>
      </c>
      <c r="F1824" s="5" t="str">
        <f t="shared" si="252"/>
        <v>M and E-Extension Officer</v>
      </c>
      <c r="G1824" s="5" t="s">
        <v>40</v>
      </c>
      <c r="H1824" s="9">
        <v>44996.531736111108</v>
      </c>
      <c r="I1824" s="9">
        <v>44997.531736111108</v>
      </c>
      <c r="J1824" s="9" t="e">
        <f>I1824+#REF!</f>
        <v>#REF!</v>
      </c>
      <c r="K1824" s="9" t="e">
        <f>J1824+#REF!</f>
        <v>#REF!</v>
      </c>
      <c r="L1824" s="10" t="s">
        <v>41</v>
      </c>
      <c r="M1824" s="11">
        <v>45015.531736111108</v>
      </c>
      <c r="N1824" s="5" t="s">
        <v>42</v>
      </c>
      <c r="O1824" s="5" t="s">
        <v>98</v>
      </c>
      <c r="P1824" s="9"/>
      <c r="Q1824" s="5"/>
      <c r="R1824" s="5"/>
      <c r="S1824" s="5"/>
      <c r="T1824" s="9">
        <v>45016.531736111108</v>
      </c>
      <c r="U1824" s="5"/>
      <c r="V1824" s="5">
        <v>0</v>
      </c>
      <c r="W1824" s="5"/>
      <c r="X1824" s="5"/>
      <c r="Y1824" s="5"/>
      <c r="Z1824" s="5"/>
      <c r="AA1824" s="5" t="s">
        <v>62</v>
      </c>
      <c r="AC1824">
        <f t="shared" si="253"/>
        <v>18</v>
      </c>
      <c r="AD1824" t="str">
        <f t="shared" si="254"/>
        <v/>
      </c>
      <c r="AE1824">
        <f t="shared" si="255"/>
        <v>1</v>
      </c>
      <c r="AF1824" t="str">
        <f t="shared" si="256"/>
        <v/>
      </c>
      <c r="AG1824" t="str">
        <f t="shared" si="257"/>
        <v/>
      </c>
      <c r="AH1824">
        <f t="shared" si="258"/>
        <v>1</v>
      </c>
      <c r="AI1824" t="str">
        <f t="shared" si="259"/>
        <v/>
      </c>
      <c r="AJ1824" t="str">
        <f t="shared" si="260"/>
        <v/>
      </c>
    </row>
    <row r="1825" spans="1:36">
      <c r="A1825" s="5">
        <v>2191</v>
      </c>
      <c r="B1825" s="5" t="s">
        <v>183</v>
      </c>
      <c r="C1825" s="5" t="s">
        <v>100</v>
      </c>
      <c r="D1825" s="5" t="s">
        <v>146</v>
      </c>
      <c r="E1825" s="5" t="s">
        <v>39</v>
      </c>
      <c r="F1825" s="5" t="str">
        <f t="shared" si="252"/>
        <v>Program Office-Analyst</v>
      </c>
      <c r="G1825" s="5" t="s">
        <v>147</v>
      </c>
      <c r="H1825" s="9">
        <v>44800.166006944448</v>
      </c>
      <c r="I1825" s="9">
        <v>44803.166006944448</v>
      </c>
      <c r="J1825" s="9" t="e">
        <f>I1825+#REF!</f>
        <v>#REF!</v>
      </c>
      <c r="K1825" s="9" t="e">
        <f>J1825+#REF!</f>
        <v>#REF!</v>
      </c>
      <c r="L1825" s="10" t="s">
        <v>41</v>
      </c>
      <c r="M1825" s="11">
        <v>44821.166006944448</v>
      </c>
      <c r="N1825" s="5" t="s">
        <v>167</v>
      </c>
      <c r="O1825" s="5"/>
      <c r="P1825" s="9">
        <v>44825.166006944448</v>
      </c>
      <c r="Q1825" s="5" t="s">
        <v>167</v>
      </c>
      <c r="R1825" s="5"/>
      <c r="S1825" s="5"/>
      <c r="T1825" s="9">
        <v>44824.166006944448</v>
      </c>
      <c r="U1825" s="5"/>
      <c r="V1825" s="5">
        <v>0</v>
      </c>
      <c r="W1825" s="5"/>
      <c r="X1825" s="5"/>
      <c r="Y1825" s="5"/>
      <c r="Z1825" s="5"/>
      <c r="AA1825" s="5"/>
      <c r="AC1825">
        <f t="shared" si="253"/>
        <v>18</v>
      </c>
      <c r="AD1825" t="str">
        <f t="shared" si="254"/>
        <v/>
      </c>
      <c r="AE1825">
        <f t="shared" si="255"/>
        <v>3</v>
      </c>
      <c r="AF1825" t="str">
        <f t="shared" si="256"/>
        <v/>
      </c>
      <c r="AG1825" t="str">
        <f t="shared" si="257"/>
        <v/>
      </c>
      <c r="AH1825">
        <f t="shared" si="258"/>
        <v>3</v>
      </c>
      <c r="AI1825" t="str">
        <f t="shared" si="259"/>
        <v/>
      </c>
      <c r="AJ1825" t="str">
        <f t="shared" si="260"/>
        <v/>
      </c>
    </row>
    <row r="1826" spans="1:36">
      <c r="A1826" s="5">
        <v>2193</v>
      </c>
      <c r="B1826" s="5" t="s">
        <v>428</v>
      </c>
      <c r="C1826" s="5" t="s">
        <v>100</v>
      </c>
      <c r="D1826" s="5" t="s">
        <v>387</v>
      </c>
      <c r="E1826" s="5" t="s">
        <v>388</v>
      </c>
      <c r="F1826" s="5" t="str">
        <f t="shared" si="252"/>
        <v>Program Office-Extension Officer</v>
      </c>
      <c r="G1826" s="5" t="s">
        <v>40</v>
      </c>
      <c r="H1826" s="9">
        <v>44801.166006944448</v>
      </c>
      <c r="I1826" s="9">
        <v>44804.166006944448</v>
      </c>
      <c r="J1826" s="9" t="e">
        <f>I1826+#REF!</f>
        <v>#REF!</v>
      </c>
      <c r="K1826" s="9" t="e">
        <f>J1826+#REF!</f>
        <v>#REF!</v>
      </c>
      <c r="L1826" s="10" t="s">
        <v>41</v>
      </c>
      <c r="M1826" s="11">
        <v>44817.166006944448</v>
      </c>
      <c r="N1826" s="5" t="s">
        <v>42</v>
      </c>
      <c r="O1826" s="5" t="s">
        <v>58</v>
      </c>
      <c r="P1826" s="9"/>
      <c r="Q1826" s="5"/>
      <c r="R1826" s="5"/>
      <c r="S1826" s="5"/>
      <c r="T1826" s="9">
        <v>44820.166006944448</v>
      </c>
      <c r="U1826" s="5"/>
      <c r="V1826" s="5">
        <v>0</v>
      </c>
      <c r="W1826" s="5"/>
      <c r="X1826" s="5"/>
      <c r="Y1826" s="5"/>
      <c r="Z1826" s="5"/>
      <c r="AA1826" s="5" t="s">
        <v>62</v>
      </c>
      <c r="AC1826">
        <f t="shared" si="253"/>
        <v>13</v>
      </c>
      <c r="AD1826" t="str">
        <f t="shared" si="254"/>
        <v/>
      </c>
      <c r="AE1826">
        <f t="shared" si="255"/>
        <v>3</v>
      </c>
      <c r="AF1826" t="str">
        <f t="shared" si="256"/>
        <v/>
      </c>
      <c r="AG1826" t="str">
        <f t="shared" si="257"/>
        <v/>
      </c>
      <c r="AH1826">
        <f t="shared" si="258"/>
        <v>3</v>
      </c>
      <c r="AI1826" t="str">
        <f t="shared" si="259"/>
        <v/>
      </c>
      <c r="AJ1826" t="str">
        <f t="shared" si="260"/>
        <v/>
      </c>
    </row>
    <row r="1827" spans="1:36">
      <c r="A1827" s="5">
        <v>2194</v>
      </c>
      <c r="B1827" s="5" t="s">
        <v>427</v>
      </c>
      <c r="C1827" s="5" t="s">
        <v>100</v>
      </c>
      <c r="D1827" s="5" t="s">
        <v>387</v>
      </c>
      <c r="E1827" s="5" t="s">
        <v>388</v>
      </c>
      <c r="F1827" s="5" t="str">
        <f t="shared" si="252"/>
        <v>Program Office-Extension Officer</v>
      </c>
      <c r="G1827" s="5" t="s">
        <v>40</v>
      </c>
      <c r="H1827" s="9">
        <v>44801.166006944448</v>
      </c>
      <c r="I1827" s="9">
        <v>44805.166006944448</v>
      </c>
      <c r="J1827" s="9" t="e">
        <f>I1827+#REF!</f>
        <v>#REF!</v>
      </c>
      <c r="K1827" s="9" t="e">
        <f>J1827+#REF!</f>
        <v>#REF!</v>
      </c>
      <c r="L1827" s="10" t="s">
        <v>41</v>
      </c>
      <c r="M1827" s="11">
        <v>44818.166006944448</v>
      </c>
      <c r="N1827" s="5" t="s">
        <v>64</v>
      </c>
      <c r="O1827" s="5"/>
      <c r="P1827" s="9">
        <v>44826.166006944448</v>
      </c>
      <c r="Q1827" s="5" t="s">
        <v>64</v>
      </c>
      <c r="R1827" s="9">
        <v>44820.166006944448</v>
      </c>
      <c r="S1827" s="9">
        <v>44824.166006944448</v>
      </c>
      <c r="T1827" s="9">
        <v>44822.166006944448</v>
      </c>
      <c r="U1827" s="9">
        <v>44825.166006944448</v>
      </c>
      <c r="V1827" s="12">
        <v>1</v>
      </c>
      <c r="W1827" s="9">
        <v>44829.166006944448</v>
      </c>
      <c r="X1827" s="9">
        <v>44831.166006944448</v>
      </c>
      <c r="Y1827" s="9">
        <v>44833.166006944448</v>
      </c>
      <c r="Z1827" s="5"/>
      <c r="AA1827" s="5"/>
      <c r="AB1827" s="13">
        <v>44855.166006944448</v>
      </c>
      <c r="AC1827">
        <f t="shared" si="253"/>
        <v>13</v>
      </c>
      <c r="AD1827">
        <f t="shared" si="254"/>
        <v>19</v>
      </c>
      <c r="AE1827">
        <f t="shared" si="255"/>
        <v>4</v>
      </c>
      <c r="AF1827">
        <f t="shared" si="256"/>
        <v>6</v>
      </c>
      <c r="AG1827">
        <f t="shared" si="257"/>
        <v>4</v>
      </c>
      <c r="AH1827">
        <f t="shared" si="258"/>
        <v>4</v>
      </c>
      <c r="AI1827" t="str">
        <f t="shared" si="259"/>
        <v/>
      </c>
      <c r="AJ1827" t="str">
        <f t="shared" si="260"/>
        <v/>
      </c>
    </row>
    <row r="1828" spans="1:36">
      <c r="A1828" s="5">
        <v>2196</v>
      </c>
      <c r="B1828" s="5" t="s">
        <v>426</v>
      </c>
      <c r="C1828" s="5" t="s">
        <v>100</v>
      </c>
      <c r="D1828" s="5" t="s">
        <v>387</v>
      </c>
      <c r="E1828" s="5" t="s">
        <v>388</v>
      </c>
      <c r="F1828" s="5" t="str">
        <f t="shared" si="252"/>
        <v>Program Office-Extension Officer</v>
      </c>
      <c r="G1828" s="5" t="s">
        <v>40</v>
      </c>
      <c r="H1828" s="9">
        <v>44801.166006944448</v>
      </c>
      <c r="I1828" s="9">
        <v>44804.166006944448</v>
      </c>
      <c r="J1828" s="9" t="e">
        <f>I1828+#REF!</f>
        <v>#REF!</v>
      </c>
      <c r="K1828" s="9" t="e">
        <f>J1828+#REF!</f>
        <v>#REF!</v>
      </c>
      <c r="L1828" s="10" t="s">
        <v>41</v>
      </c>
      <c r="M1828" s="11">
        <v>44814.166006944448</v>
      </c>
      <c r="N1828" s="5" t="s">
        <v>64</v>
      </c>
      <c r="O1828" s="5"/>
      <c r="P1828" s="9">
        <v>44820.166006944448</v>
      </c>
      <c r="Q1828" s="5" t="s">
        <v>64</v>
      </c>
      <c r="R1828" s="9">
        <v>44816.166006944448</v>
      </c>
      <c r="S1828" s="9">
        <v>44818.166006944448</v>
      </c>
      <c r="T1828" s="9">
        <v>44816.166006944448</v>
      </c>
      <c r="U1828" s="9">
        <v>44822.166006944448</v>
      </c>
      <c r="V1828" s="12">
        <v>1</v>
      </c>
      <c r="W1828" s="9">
        <v>44825.166006944448</v>
      </c>
      <c r="X1828" s="9">
        <v>44827.166006944448</v>
      </c>
      <c r="Y1828" s="9">
        <v>44830.166006944448</v>
      </c>
      <c r="Z1828" s="5"/>
      <c r="AA1828" s="5"/>
      <c r="AB1828" s="13">
        <v>44837.166006944448</v>
      </c>
      <c r="AC1828">
        <f t="shared" si="253"/>
        <v>10</v>
      </c>
      <c r="AD1828">
        <f t="shared" si="254"/>
        <v>14</v>
      </c>
      <c r="AE1828">
        <f t="shared" si="255"/>
        <v>2</v>
      </c>
      <c r="AF1828">
        <f t="shared" si="256"/>
        <v>5</v>
      </c>
      <c r="AG1828">
        <f t="shared" si="257"/>
        <v>3</v>
      </c>
      <c r="AH1828">
        <f t="shared" si="258"/>
        <v>3</v>
      </c>
      <c r="AI1828" t="str">
        <f t="shared" si="259"/>
        <v/>
      </c>
      <c r="AJ1828" t="str">
        <f t="shared" si="260"/>
        <v/>
      </c>
    </row>
    <row r="1829" spans="1:36">
      <c r="A1829" s="5">
        <v>2197</v>
      </c>
      <c r="B1829" s="5" t="s">
        <v>182</v>
      </c>
      <c r="C1829" s="5" t="s">
        <v>100</v>
      </c>
      <c r="D1829" s="5" t="s">
        <v>146</v>
      </c>
      <c r="E1829" s="5" t="s">
        <v>39</v>
      </c>
      <c r="F1829" s="5" t="str">
        <f t="shared" si="252"/>
        <v>Program Office-Analyst</v>
      </c>
      <c r="G1829" s="5" t="s">
        <v>147</v>
      </c>
      <c r="H1829" s="9">
        <v>44800.166006944448</v>
      </c>
      <c r="I1829" s="9">
        <v>44801.166006944448</v>
      </c>
      <c r="J1829" s="9" t="e">
        <f>I1829+#REF!</f>
        <v>#REF!</v>
      </c>
      <c r="K1829" s="9" t="e">
        <f>J1829+#REF!</f>
        <v>#REF!</v>
      </c>
      <c r="L1829" s="10" t="s">
        <v>41</v>
      </c>
      <c r="M1829" s="11">
        <v>44822.166006944448</v>
      </c>
      <c r="N1829" s="5" t="s">
        <v>64</v>
      </c>
      <c r="O1829" s="5"/>
      <c r="P1829" s="9">
        <v>44827.166006944448</v>
      </c>
      <c r="Q1829" s="5" t="s">
        <v>64</v>
      </c>
      <c r="R1829" s="9">
        <v>44823.166006944448</v>
      </c>
      <c r="S1829" s="9">
        <v>44824.166006944448</v>
      </c>
      <c r="T1829" s="9">
        <v>44826.166006944448</v>
      </c>
      <c r="U1829" s="9">
        <v>44828.166006944448</v>
      </c>
      <c r="V1829" s="12">
        <v>1</v>
      </c>
      <c r="W1829" s="9">
        <v>44829.166006944448</v>
      </c>
      <c r="X1829" s="9">
        <v>44832.166006944448</v>
      </c>
      <c r="Y1829" s="9">
        <v>44835.166006944448</v>
      </c>
      <c r="Z1829" s="5"/>
      <c r="AA1829" s="5"/>
      <c r="AB1829" s="13">
        <v>44854.166006944448</v>
      </c>
      <c r="AC1829">
        <f t="shared" si="253"/>
        <v>21</v>
      </c>
      <c r="AD1829">
        <f t="shared" si="254"/>
        <v>23</v>
      </c>
      <c r="AE1829">
        <f t="shared" si="255"/>
        <v>4</v>
      </c>
      <c r="AF1829">
        <f t="shared" si="256"/>
        <v>4</v>
      </c>
      <c r="AG1829">
        <f t="shared" si="257"/>
        <v>1</v>
      </c>
      <c r="AH1829">
        <f t="shared" si="258"/>
        <v>1</v>
      </c>
      <c r="AI1829" t="str">
        <f t="shared" si="259"/>
        <v/>
      </c>
      <c r="AJ1829" t="str">
        <f t="shared" si="260"/>
        <v/>
      </c>
    </row>
    <row r="1830" spans="1:36">
      <c r="A1830" s="5">
        <v>2198</v>
      </c>
      <c r="B1830" s="5" t="s">
        <v>425</v>
      </c>
      <c r="C1830" s="5" t="s">
        <v>100</v>
      </c>
      <c r="D1830" s="5" t="s">
        <v>387</v>
      </c>
      <c r="E1830" s="5" t="s">
        <v>388</v>
      </c>
      <c r="F1830" s="5" t="str">
        <f t="shared" si="252"/>
        <v>Program Office-Extension Officer</v>
      </c>
      <c r="G1830" s="5" t="s">
        <v>40</v>
      </c>
      <c r="H1830" s="9">
        <v>44798.166006944448</v>
      </c>
      <c r="I1830" s="9">
        <v>44801.166006944448</v>
      </c>
      <c r="J1830" s="9" t="e">
        <f>I1830+#REF!</f>
        <v>#REF!</v>
      </c>
      <c r="K1830" s="9" t="e">
        <f>J1830+#REF!</f>
        <v>#REF!</v>
      </c>
      <c r="L1830" s="10" t="s">
        <v>52</v>
      </c>
      <c r="M1830" s="11"/>
      <c r="N1830" s="5"/>
      <c r="O1830" s="5"/>
      <c r="P1830" s="9"/>
      <c r="Q1830" s="5"/>
      <c r="R1830" s="5"/>
      <c r="S1830" s="5"/>
      <c r="T1830" s="9"/>
      <c r="U1830" s="5"/>
      <c r="V1830" s="5">
        <v>0</v>
      </c>
      <c r="W1830" s="5"/>
      <c r="X1830" s="5"/>
      <c r="Y1830" s="5"/>
      <c r="Z1830" s="5"/>
      <c r="AA1830" s="5"/>
      <c r="AC1830" t="str">
        <f t="shared" si="253"/>
        <v/>
      </c>
      <c r="AD1830" t="str">
        <f t="shared" si="254"/>
        <v/>
      </c>
      <c r="AE1830" t="str">
        <f t="shared" si="255"/>
        <v/>
      </c>
      <c r="AF1830" t="str">
        <f t="shared" si="256"/>
        <v/>
      </c>
      <c r="AG1830" t="str">
        <f t="shared" si="257"/>
        <v/>
      </c>
      <c r="AH1830">
        <f t="shared" si="258"/>
        <v>3</v>
      </c>
      <c r="AI1830" t="str">
        <f t="shared" si="259"/>
        <v/>
      </c>
      <c r="AJ1830" t="str">
        <f t="shared" si="260"/>
        <v/>
      </c>
    </row>
    <row r="1831" spans="1:36">
      <c r="A1831" s="5">
        <v>2199</v>
      </c>
      <c r="B1831" s="5" t="s">
        <v>424</v>
      </c>
      <c r="C1831" s="5" t="s">
        <v>100</v>
      </c>
      <c r="D1831" s="5" t="s">
        <v>387</v>
      </c>
      <c r="E1831" s="5" t="s">
        <v>388</v>
      </c>
      <c r="F1831" s="5" t="str">
        <f t="shared" si="252"/>
        <v>Program Office-Extension Officer</v>
      </c>
      <c r="G1831" s="5" t="s">
        <v>40</v>
      </c>
      <c r="H1831" s="9">
        <v>44801.166006944448</v>
      </c>
      <c r="I1831" s="9">
        <v>44802.166006944448</v>
      </c>
      <c r="J1831" s="9" t="e">
        <f>I1831+#REF!</f>
        <v>#REF!</v>
      </c>
      <c r="K1831" s="9" t="e">
        <f>J1831+#REF!</f>
        <v>#REF!</v>
      </c>
      <c r="L1831" s="10" t="s">
        <v>41</v>
      </c>
      <c r="M1831" s="11">
        <v>44824.166006944448</v>
      </c>
      <c r="N1831" s="5" t="s">
        <v>48</v>
      </c>
      <c r="O1831" s="5"/>
      <c r="P1831" s="9">
        <v>44827.166006944448</v>
      </c>
      <c r="Q1831" s="5" t="s">
        <v>48</v>
      </c>
      <c r="R1831" s="5"/>
      <c r="S1831" s="5"/>
      <c r="T1831" s="9">
        <v>44825.166006944448</v>
      </c>
      <c r="U1831" s="5"/>
      <c r="V1831" s="5">
        <v>0</v>
      </c>
      <c r="W1831" s="5"/>
      <c r="X1831" s="5"/>
      <c r="Y1831" s="5"/>
      <c r="Z1831" s="5"/>
      <c r="AA1831" s="5"/>
      <c r="AC1831">
        <f t="shared" si="253"/>
        <v>22</v>
      </c>
      <c r="AD1831" t="str">
        <f t="shared" si="254"/>
        <v/>
      </c>
      <c r="AE1831">
        <f t="shared" si="255"/>
        <v>1</v>
      </c>
      <c r="AF1831" t="str">
        <f t="shared" si="256"/>
        <v/>
      </c>
      <c r="AG1831" t="str">
        <f t="shared" si="257"/>
        <v/>
      </c>
      <c r="AH1831">
        <f t="shared" si="258"/>
        <v>1</v>
      </c>
      <c r="AI1831" t="str">
        <f t="shared" si="259"/>
        <v/>
      </c>
      <c r="AJ1831" t="str">
        <f t="shared" si="260"/>
        <v/>
      </c>
    </row>
    <row r="1832" spans="1:36">
      <c r="A1832" s="5">
        <v>2200</v>
      </c>
      <c r="B1832" s="5" t="s">
        <v>181</v>
      </c>
      <c r="C1832" s="5" t="s">
        <v>100</v>
      </c>
      <c r="D1832" s="5" t="s">
        <v>146</v>
      </c>
      <c r="E1832" s="5" t="s">
        <v>39</v>
      </c>
      <c r="F1832" s="5" t="str">
        <f t="shared" si="252"/>
        <v>Program Office-Analyst</v>
      </c>
      <c r="G1832" s="5" t="s">
        <v>147</v>
      </c>
      <c r="H1832" s="9">
        <v>44803.166006944448</v>
      </c>
      <c r="I1832" s="9">
        <v>44804.166006944448</v>
      </c>
      <c r="J1832" s="9" t="e">
        <f>I1832+#REF!</f>
        <v>#REF!</v>
      </c>
      <c r="K1832" s="9" t="e">
        <f>J1832+#REF!</f>
        <v>#REF!</v>
      </c>
      <c r="L1832" s="10" t="s">
        <v>41</v>
      </c>
      <c r="M1832" s="11">
        <v>44822.166006944448</v>
      </c>
      <c r="N1832" s="5" t="s">
        <v>167</v>
      </c>
      <c r="O1832" s="5"/>
      <c r="P1832" s="9">
        <v>44830.166006944448</v>
      </c>
      <c r="Q1832" s="5" t="s">
        <v>167</v>
      </c>
      <c r="R1832" s="5"/>
      <c r="S1832" s="5"/>
      <c r="T1832" s="9">
        <v>44826.166006944448</v>
      </c>
      <c r="U1832" s="5"/>
      <c r="V1832" s="5">
        <v>0</v>
      </c>
      <c r="W1832" s="5"/>
      <c r="X1832" s="5"/>
      <c r="Y1832" s="5"/>
      <c r="Z1832" s="5"/>
      <c r="AA1832" s="5"/>
      <c r="AC1832">
        <f t="shared" si="253"/>
        <v>18</v>
      </c>
      <c r="AD1832" t="str">
        <f t="shared" si="254"/>
        <v/>
      </c>
      <c r="AE1832">
        <f t="shared" si="255"/>
        <v>4</v>
      </c>
      <c r="AF1832" t="str">
        <f t="shared" si="256"/>
        <v/>
      </c>
      <c r="AG1832" t="str">
        <f t="shared" si="257"/>
        <v/>
      </c>
      <c r="AH1832">
        <f t="shared" si="258"/>
        <v>1</v>
      </c>
      <c r="AI1832" t="str">
        <f t="shared" si="259"/>
        <v/>
      </c>
      <c r="AJ1832" t="str">
        <f t="shared" si="260"/>
        <v/>
      </c>
    </row>
    <row r="1833" spans="1:36">
      <c r="A1833" s="5">
        <v>2201</v>
      </c>
      <c r="B1833" s="5" t="s">
        <v>1030</v>
      </c>
      <c r="C1833" s="5" t="s">
        <v>796</v>
      </c>
      <c r="D1833" s="5" t="s">
        <v>1026</v>
      </c>
      <c r="E1833" s="5" t="s">
        <v>709</v>
      </c>
      <c r="F1833" s="5" t="str">
        <f t="shared" si="252"/>
        <v>M and E-Lead</v>
      </c>
      <c r="G1833" s="5" t="s">
        <v>56</v>
      </c>
      <c r="H1833" s="9">
        <v>45090.202615740738</v>
      </c>
      <c r="I1833" s="9">
        <v>45092.202615740738</v>
      </c>
      <c r="J1833" s="9" t="e">
        <f>I1833+#REF!</f>
        <v>#REF!</v>
      </c>
      <c r="K1833" s="9" t="e">
        <f>J1833+#REF!</f>
        <v>#REF!</v>
      </c>
      <c r="L1833" s="10" t="s">
        <v>52</v>
      </c>
      <c r="M1833" s="11"/>
      <c r="N1833" s="5"/>
      <c r="O1833" s="5"/>
      <c r="P1833" s="9"/>
      <c r="Q1833" s="5"/>
      <c r="R1833" s="5"/>
      <c r="S1833" s="5"/>
      <c r="T1833" s="9"/>
      <c r="U1833" s="5"/>
      <c r="V1833" s="5">
        <v>0</v>
      </c>
      <c r="W1833" s="5"/>
      <c r="X1833" s="5"/>
      <c r="Y1833" s="5"/>
      <c r="Z1833" s="5"/>
      <c r="AA1833" s="5"/>
      <c r="AC1833" t="str">
        <f t="shared" si="253"/>
        <v/>
      </c>
      <c r="AD1833" t="str">
        <f t="shared" si="254"/>
        <v/>
      </c>
      <c r="AE1833" t="str">
        <f t="shared" si="255"/>
        <v/>
      </c>
      <c r="AF1833" t="str">
        <f t="shared" si="256"/>
        <v/>
      </c>
      <c r="AG1833" t="str">
        <f t="shared" si="257"/>
        <v/>
      </c>
      <c r="AH1833">
        <f t="shared" si="258"/>
        <v>2</v>
      </c>
      <c r="AI1833" t="str">
        <f t="shared" si="259"/>
        <v/>
      </c>
      <c r="AJ1833" t="str">
        <f t="shared" si="260"/>
        <v/>
      </c>
    </row>
    <row r="1834" spans="1:36">
      <c r="A1834" s="5">
        <v>2202</v>
      </c>
      <c r="B1834" s="5" t="s">
        <v>1076</v>
      </c>
      <c r="C1834" s="5" t="s">
        <v>796</v>
      </c>
      <c r="D1834" s="5" t="s">
        <v>1046</v>
      </c>
      <c r="E1834" s="5" t="s">
        <v>473</v>
      </c>
      <c r="F1834" s="5" t="str">
        <f t="shared" si="252"/>
        <v>M and E-Officer</v>
      </c>
      <c r="G1834" s="5" t="s">
        <v>47</v>
      </c>
      <c r="H1834" s="9">
        <v>45092.202615740738</v>
      </c>
      <c r="I1834" s="9">
        <v>45096.202615740738</v>
      </c>
      <c r="J1834" s="9" t="e">
        <f>I1834+#REF!</f>
        <v>#REF!</v>
      </c>
      <c r="K1834" s="9" t="e">
        <f>J1834+#REF!</f>
        <v>#REF!</v>
      </c>
      <c r="L1834" s="10" t="s">
        <v>41</v>
      </c>
      <c r="M1834" s="11">
        <v>45108.202615740738</v>
      </c>
      <c r="N1834" s="5" t="s">
        <v>48</v>
      </c>
      <c r="O1834" s="5"/>
      <c r="P1834" s="9">
        <v>45114.202615740738</v>
      </c>
      <c r="Q1834" s="5" t="s">
        <v>48</v>
      </c>
      <c r="R1834" s="5"/>
      <c r="S1834" s="5"/>
      <c r="T1834" s="9">
        <v>45112.202615740738</v>
      </c>
      <c r="U1834" s="5"/>
      <c r="V1834" s="5">
        <v>0</v>
      </c>
      <c r="W1834" s="5"/>
      <c r="X1834" s="5"/>
      <c r="Y1834" s="5"/>
      <c r="Z1834" s="5"/>
      <c r="AA1834" s="5"/>
      <c r="AC1834">
        <f t="shared" si="253"/>
        <v>12</v>
      </c>
      <c r="AD1834" t="str">
        <f t="shared" si="254"/>
        <v/>
      </c>
      <c r="AE1834">
        <f t="shared" si="255"/>
        <v>4</v>
      </c>
      <c r="AF1834" t="str">
        <f t="shared" si="256"/>
        <v/>
      </c>
      <c r="AG1834" t="str">
        <f t="shared" si="257"/>
        <v/>
      </c>
      <c r="AH1834">
        <f t="shared" si="258"/>
        <v>4</v>
      </c>
      <c r="AI1834" t="str">
        <f t="shared" si="259"/>
        <v/>
      </c>
      <c r="AJ1834" t="str">
        <f t="shared" si="260"/>
        <v/>
      </c>
    </row>
    <row r="1835" spans="1:36">
      <c r="A1835" s="5">
        <v>2204</v>
      </c>
      <c r="B1835" s="5" t="s">
        <v>1075</v>
      </c>
      <c r="C1835" s="5" t="s">
        <v>796</v>
      </c>
      <c r="D1835" s="5" t="s">
        <v>1046</v>
      </c>
      <c r="E1835" s="5" t="s">
        <v>473</v>
      </c>
      <c r="F1835" s="5" t="str">
        <f t="shared" si="252"/>
        <v>M and E-Officer</v>
      </c>
      <c r="G1835" s="5" t="s">
        <v>47</v>
      </c>
      <c r="H1835" s="9">
        <v>45092.202615740738</v>
      </c>
      <c r="I1835" s="9">
        <v>45093.202615740738</v>
      </c>
      <c r="J1835" s="9" t="e">
        <f>I1835+#REF!</f>
        <v>#REF!</v>
      </c>
      <c r="K1835" s="9" t="e">
        <f>J1835+#REF!</f>
        <v>#REF!</v>
      </c>
      <c r="L1835" s="10" t="s">
        <v>41</v>
      </c>
      <c r="M1835" s="11">
        <v>45115.202615740738</v>
      </c>
      <c r="N1835" s="5" t="s">
        <v>42</v>
      </c>
      <c r="O1835" s="5" t="s">
        <v>43</v>
      </c>
      <c r="P1835" s="9"/>
      <c r="Q1835" s="5"/>
      <c r="R1835" s="5"/>
      <c r="S1835" s="5"/>
      <c r="T1835" s="9">
        <v>45118.202615740738</v>
      </c>
      <c r="U1835" s="5"/>
      <c r="V1835" s="5">
        <v>0</v>
      </c>
      <c r="W1835" s="5"/>
      <c r="X1835" s="5"/>
      <c r="Y1835" s="5"/>
      <c r="Z1835" s="5"/>
      <c r="AA1835" s="5" t="s">
        <v>44</v>
      </c>
      <c r="AC1835">
        <f t="shared" si="253"/>
        <v>22</v>
      </c>
      <c r="AD1835" t="str">
        <f t="shared" si="254"/>
        <v/>
      </c>
      <c r="AE1835">
        <f t="shared" si="255"/>
        <v>3</v>
      </c>
      <c r="AF1835" t="str">
        <f t="shared" si="256"/>
        <v/>
      </c>
      <c r="AG1835" t="str">
        <f t="shared" si="257"/>
        <v/>
      </c>
      <c r="AH1835">
        <f t="shared" si="258"/>
        <v>1</v>
      </c>
      <c r="AI1835" t="str">
        <f t="shared" si="259"/>
        <v/>
      </c>
      <c r="AJ1835" t="str">
        <f t="shared" si="260"/>
        <v/>
      </c>
    </row>
    <row r="1836" spans="1:36">
      <c r="A1836" s="5">
        <v>2205</v>
      </c>
      <c r="B1836" s="5" t="s">
        <v>835</v>
      </c>
      <c r="C1836" s="5" t="s">
        <v>796</v>
      </c>
      <c r="D1836" s="5" t="s">
        <v>814</v>
      </c>
      <c r="E1836" s="5" t="s">
        <v>815</v>
      </c>
      <c r="F1836" s="5" t="str">
        <f t="shared" si="252"/>
        <v>M and E-Auditor</v>
      </c>
      <c r="G1836" s="5" t="s">
        <v>147</v>
      </c>
      <c r="H1836" s="9">
        <v>45094.202615740738</v>
      </c>
      <c r="I1836" s="9">
        <v>45095.202615740738</v>
      </c>
      <c r="J1836" s="9" t="e">
        <f>I1836+#REF!</f>
        <v>#REF!</v>
      </c>
      <c r="K1836" s="9" t="e">
        <f>J1836+#REF!</f>
        <v>#REF!</v>
      </c>
      <c r="L1836" s="10" t="s">
        <v>41</v>
      </c>
      <c r="M1836" s="11">
        <v>45105.202615740738</v>
      </c>
      <c r="N1836" s="5" t="s">
        <v>64</v>
      </c>
      <c r="O1836" s="5"/>
      <c r="P1836" s="9">
        <v>45108.202615740738</v>
      </c>
      <c r="Q1836" s="5" t="s">
        <v>64</v>
      </c>
      <c r="R1836" s="9">
        <v>45107.202615740738</v>
      </c>
      <c r="S1836" s="9">
        <v>45111.202615740738</v>
      </c>
      <c r="T1836" s="9">
        <v>45107.202615740738</v>
      </c>
      <c r="U1836" s="9">
        <v>45109.202615740738</v>
      </c>
      <c r="V1836" s="12">
        <v>1</v>
      </c>
      <c r="W1836" s="9">
        <v>45113.202615740738</v>
      </c>
      <c r="X1836" s="9">
        <v>45116.202615740738</v>
      </c>
      <c r="Y1836" s="9">
        <v>45119.202615740738</v>
      </c>
      <c r="Z1836" s="5"/>
      <c r="AA1836" s="5"/>
      <c r="AB1836" s="13">
        <v>45134.202615740738</v>
      </c>
      <c r="AC1836">
        <f t="shared" si="253"/>
        <v>10</v>
      </c>
      <c r="AD1836">
        <f t="shared" si="254"/>
        <v>16</v>
      </c>
      <c r="AE1836">
        <f t="shared" si="255"/>
        <v>2</v>
      </c>
      <c r="AF1836">
        <f t="shared" si="256"/>
        <v>7</v>
      </c>
      <c r="AG1836">
        <f t="shared" si="257"/>
        <v>4</v>
      </c>
      <c r="AH1836">
        <f t="shared" si="258"/>
        <v>1</v>
      </c>
      <c r="AI1836" t="str">
        <f t="shared" si="259"/>
        <v/>
      </c>
      <c r="AJ1836" t="str">
        <f t="shared" si="260"/>
        <v/>
      </c>
    </row>
    <row r="1837" spans="1:36">
      <c r="A1837" s="5">
        <v>2206</v>
      </c>
      <c r="B1837" s="5" t="s">
        <v>980</v>
      </c>
      <c r="C1837" s="5" t="s">
        <v>796</v>
      </c>
      <c r="D1837" s="5" t="s">
        <v>957</v>
      </c>
      <c r="E1837" s="5" t="s">
        <v>388</v>
      </c>
      <c r="F1837" s="5" t="str">
        <f t="shared" si="252"/>
        <v>M and E-Extension Officer</v>
      </c>
      <c r="G1837" s="5" t="s">
        <v>40</v>
      </c>
      <c r="H1837" s="9">
        <v>45091.202615740738</v>
      </c>
      <c r="I1837" s="9">
        <v>45093.202615740738</v>
      </c>
      <c r="J1837" s="9" t="e">
        <f>I1837+#REF!</f>
        <v>#REF!</v>
      </c>
      <c r="K1837" s="9" t="e">
        <f>J1837+#REF!</f>
        <v>#REF!</v>
      </c>
      <c r="L1837" s="10" t="s">
        <v>41</v>
      </c>
      <c r="M1837" s="11">
        <v>45102.202615740738</v>
      </c>
      <c r="N1837" s="5" t="s">
        <v>42</v>
      </c>
      <c r="O1837" s="5" t="s">
        <v>58</v>
      </c>
      <c r="P1837" s="9"/>
      <c r="Q1837" s="5"/>
      <c r="R1837" s="5"/>
      <c r="S1837" s="5"/>
      <c r="T1837" s="9">
        <v>45103.202615740738</v>
      </c>
      <c r="U1837" s="5"/>
      <c r="V1837" s="5">
        <v>0</v>
      </c>
      <c r="W1837" s="5"/>
      <c r="X1837" s="5"/>
      <c r="Y1837" s="5"/>
      <c r="Z1837" s="5"/>
      <c r="AA1837" s="5" t="s">
        <v>44</v>
      </c>
      <c r="AC1837">
        <f t="shared" si="253"/>
        <v>9</v>
      </c>
      <c r="AD1837" t="str">
        <f t="shared" si="254"/>
        <v/>
      </c>
      <c r="AE1837">
        <f t="shared" si="255"/>
        <v>1</v>
      </c>
      <c r="AF1837" t="str">
        <f t="shared" si="256"/>
        <v/>
      </c>
      <c r="AG1837" t="str">
        <f t="shared" si="257"/>
        <v/>
      </c>
      <c r="AH1837">
        <f t="shared" si="258"/>
        <v>2</v>
      </c>
      <c r="AI1837" t="str">
        <f t="shared" si="259"/>
        <v/>
      </c>
      <c r="AJ1837" t="str">
        <f t="shared" si="260"/>
        <v/>
      </c>
    </row>
    <row r="1838" spans="1:36">
      <c r="A1838" s="5">
        <v>2207</v>
      </c>
      <c r="B1838" s="5" t="s">
        <v>834</v>
      </c>
      <c r="C1838" s="5" t="s">
        <v>796</v>
      </c>
      <c r="D1838" s="5" t="s">
        <v>814</v>
      </c>
      <c r="E1838" s="5" t="s">
        <v>815</v>
      </c>
      <c r="F1838" s="5" t="str">
        <f t="shared" si="252"/>
        <v>M and E-Auditor</v>
      </c>
      <c r="G1838" s="5" t="s">
        <v>147</v>
      </c>
      <c r="H1838" s="9">
        <v>45091.202615740738</v>
      </c>
      <c r="I1838" s="9">
        <v>45094.202615740738</v>
      </c>
      <c r="J1838" s="9" t="e">
        <f>I1838+#REF!</f>
        <v>#REF!</v>
      </c>
      <c r="K1838" s="9" t="e">
        <f>J1838+#REF!</f>
        <v>#REF!</v>
      </c>
      <c r="L1838" s="10" t="s">
        <v>41</v>
      </c>
      <c r="M1838" s="11">
        <v>45104.202615740738</v>
      </c>
      <c r="N1838" s="5" t="s">
        <v>42</v>
      </c>
      <c r="O1838" s="5" t="s">
        <v>73</v>
      </c>
      <c r="P1838" s="9"/>
      <c r="Q1838" s="5"/>
      <c r="R1838" s="5"/>
      <c r="S1838" s="5"/>
      <c r="T1838" s="9">
        <v>45106.202615740738</v>
      </c>
      <c r="U1838" s="5"/>
      <c r="V1838" s="5">
        <v>0</v>
      </c>
      <c r="W1838" s="5"/>
      <c r="X1838" s="5"/>
      <c r="Y1838" s="5"/>
      <c r="Z1838" s="5"/>
      <c r="AA1838" s="5" t="s">
        <v>44</v>
      </c>
      <c r="AC1838">
        <f t="shared" si="253"/>
        <v>10</v>
      </c>
      <c r="AD1838" t="str">
        <f t="shared" si="254"/>
        <v/>
      </c>
      <c r="AE1838">
        <f t="shared" si="255"/>
        <v>2</v>
      </c>
      <c r="AF1838" t="str">
        <f t="shared" si="256"/>
        <v/>
      </c>
      <c r="AG1838" t="str">
        <f t="shared" si="257"/>
        <v/>
      </c>
      <c r="AH1838">
        <f t="shared" si="258"/>
        <v>3</v>
      </c>
      <c r="AI1838" t="str">
        <f t="shared" si="259"/>
        <v/>
      </c>
      <c r="AJ1838" t="str">
        <f t="shared" si="260"/>
        <v/>
      </c>
    </row>
    <row r="1839" spans="1:36">
      <c r="A1839" s="5">
        <v>2208</v>
      </c>
      <c r="B1839" s="5" t="s">
        <v>833</v>
      </c>
      <c r="C1839" s="5" t="s">
        <v>796</v>
      </c>
      <c r="D1839" s="5" t="s">
        <v>814</v>
      </c>
      <c r="E1839" s="5" t="s">
        <v>815</v>
      </c>
      <c r="F1839" s="5" t="str">
        <f t="shared" si="252"/>
        <v>M and E-Auditor</v>
      </c>
      <c r="G1839" s="5" t="s">
        <v>147</v>
      </c>
      <c r="H1839" s="9">
        <v>45092.202615740738</v>
      </c>
      <c r="I1839" s="9">
        <v>45094.202615740738</v>
      </c>
      <c r="J1839" s="9" t="e">
        <f>I1839+#REF!</f>
        <v>#REF!</v>
      </c>
      <c r="K1839" s="9" t="e">
        <f>J1839+#REF!</f>
        <v>#REF!</v>
      </c>
      <c r="L1839" s="10" t="s">
        <v>52</v>
      </c>
      <c r="M1839" s="11"/>
      <c r="N1839" s="5"/>
      <c r="O1839" s="5"/>
      <c r="P1839" s="9"/>
      <c r="Q1839" s="5"/>
      <c r="R1839" s="5"/>
      <c r="S1839" s="5"/>
      <c r="T1839" s="9"/>
      <c r="U1839" s="5"/>
      <c r="V1839" s="5">
        <v>0</v>
      </c>
      <c r="W1839" s="5"/>
      <c r="X1839" s="5"/>
      <c r="Y1839" s="5"/>
      <c r="Z1839" s="5"/>
      <c r="AA1839" s="5"/>
      <c r="AC1839" t="str">
        <f t="shared" si="253"/>
        <v/>
      </c>
      <c r="AD1839" t="str">
        <f t="shared" si="254"/>
        <v/>
      </c>
      <c r="AE1839" t="str">
        <f t="shared" si="255"/>
        <v/>
      </c>
      <c r="AF1839" t="str">
        <f t="shared" si="256"/>
        <v/>
      </c>
      <c r="AG1839" t="str">
        <f t="shared" si="257"/>
        <v/>
      </c>
      <c r="AH1839">
        <f t="shared" si="258"/>
        <v>2</v>
      </c>
      <c r="AI1839" t="str">
        <f t="shared" si="259"/>
        <v/>
      </c>
      <c r="AJ1839" t="str">
        <f t="shared" si="260"/>
        <v/>
      </c>
    </row>
    <row r="1840" spans="1:36">
      <c r="A1840" s="5">
        <v>2209</v>
      </c>
      <c r="B1840" s="5" t="s">
        <v>979</v>
      </c>
      <c r="C1840" s="5" t="s">
        <v>796</v>
      </c>
      <c r="D1840" s="5" t="s">
        <v>957</v>
      </c>
      <c r="E1840" s="5" t="s">
        <v>388</v>
      </c>
      <c r="F1840" s="5" t="str">
        <f t="shared" si="252"/>
        <v>M and E-Extension Officer</v>
      </c>
      <c r="G1840" s="5" t="s">
        <v>40</v>
      </c>
      <c r="H1840" s="9">
        <v>45096.202615740738</v>
      </c>
      <c r="I1840" s="9">
        <v>45097.202615740738</v>
      </c>
      <c r="J1840" s="9" t="e">
        <f>I1840+#REF!</f>
        <v>#REF!</v>
      </c>
      <c r="K1840" s="9" t="e">
        <f>J1840+#REF!</f>
        <v>#REF!</v>
      </c>
      <c r="L1840" s="10" t="s">
        <v>41</v>
      </c>
      <c r="M1840" s="11">
        <v>45113.202615740738</v>
      </c>
      <c r="N1840" s="5" t="s">
        <v>64</v>
      </c>
      <c r="O1840" s="5"/>
      <c r="P1840" s="9">
        <v>45119.202615740738</v>
      </c>
      <c r="Q1840" s="5" t="s">
        <v>64</v>
      </c>
      <c r="R1840" s="9">
        <v>45115.202615740738</v>
      </c>
      <c r="S1840" s="9">
        <v>45117.202615740738</v>
      </c>
      <c r="T1840" s="9">
        <v>45116.202615740738</v>
      </c>
      <c r="U1840" s="9">
        <v>45117.202615740738</v>
      </c>
      <c r="V1840" s="12">
        <v>1</v>
      </c>
      <c r="W1840" s="9">
        <v>45119.202615740738</v>
      </c>
      <c r="X1840" s="9">
        <v>45120.202615740738</v>
      </c>
      <c r="Y1840" s="9">
        <v>45123.202615740738</v>
      </c>
      <c r="Z1840" s="5"/>
      <c r="AA1840" s="5"/>
      <c r="AB1840" s="13">
        <v>45138.202615740738</v>
      </c>
      <c r="AC1840">
        <f t="shared" si="253"/>
        <v>16</v>
      </c>
      <c r="AD1840">
        <f t="shared" si="254"/>
        <v>20</v>
      </c>
      <c r="AE1840">
        <f t="shared" si="255"/>
        <v>3</v>
      </c>
      <c r="AF1840">
        <f t="shared" si="256"/>
        <v>3</v>
      </c>
      <c r="AG1840">
        <f t="shared" si="257"/>
        <v>2</v>
      </c>
      <c r="AH1840">
        <f t="shared" si="258"/>
        <v>1</v>
      </c>
      <c r="AI1840" t="str">
        <f t="shared" si="259"/>
        <v/>
      </c>
      <c r="AJ1840" t="str">
        <f t="shared" si="260"/>
        <v/>
      </c>
    </row>
    <row r="1841" spans="1:36">
      <c r="A1841" s="5">
        <v>2212</v>
      </c>
      <c r="B1841" s="5" t="s">
        <v>296</v>
      </c>
      <c r="C1841" s="5" t="s">
        <v>100</v>
      </c>
      <c r="D1841" s="5" t="s">
        <v>268</v>
      </c>
      <c r="E1841" s="5" t="s">
        <v>291</v>
      </c>
      <c r="F1841" s="5" t="str">
        <f t="shared" si="252"/>
        <v>Program Office-Cordination Manager</v>
      </c>
      <c r="G1841" s="5" t="s">
        <v>270</v>
      </c>
      <c r="H1841" s="9">
        <v>44645.873194444444</v>
      </c>
      <c r="I1841" s="9">
        <v>44646.873194444444</v>
      </c>
      <c r="J1841" s="9" t="e">
        <f>I1841+#REF!</f>
        <v>#REF!</v>
      </c>
      <c r="K1841" s="9" t="e">
        <f>J1841+#REF!</f>
        <v>#REF!</v>
      </c>
      <c r="L1841" s="10" t="s">
        <v>52</v>
      </c>
      <c r="M1841" s="11"/>
      <c r="N1841" s="5"/>
      <c r="O1841" s="5"/>
      <c r="P1841" s="9"/>
      <c r="Q1841" s="5"/>
      <c r="R1841" s="5"/>
      <c r="S1841" s="5"/>
      <c r="T1841" s="9"/>
      <c r="U1841" s="5"/>
      <c r="V1841" s="5">
        <v>0</v>
      </c>
      <c r="W1841" s="5"/>
      <c r="X1841" s="5"/>
      <c r="Y1841" s="5"/>
      <c r="Z1841" s="5"/>
      <c r="AA1841" s="5"/>
      <c r="AC1841" t="str">
        <f t="shared" si="253"/>
        <v/>
      </c>
      <c r="AD1841" t="str">
        <f t="shared" si="254"/>
        <v/>
      </c>
      <c r="AE1841" t="str">
        <f t="shared" si="255"/>
        <v/>
      </c>
      <c r="AF1841" t="str">
        <f t="shared" si="256"/>
        <v/>
      </c>
      <c r="AG1841" t="str">
        <f t="shared" si="257"/>
        <v/>
      </c>
      <c r="AH1841">
        <f t="shared" si="258"/>
        <v>1</v>
      </c>
      <c r="AI1841" t="str">
        <f t="shared" si="259"/>
        <v/>
      </c>
      <c r="AJ1841" t="str">
        <f t="shared" si="260"/>
        <v/>
      </c>
    </row>
    <row r="1842" spans="1:36">
      <c r="A1842" s="5">
        <v>2213</v>
      </c>
      <c r="B1842" s="5" t="s">
        <v>180</v>
      </c>
      <c r="C1842" s="5" t="s">
        <v>100</v>
      </c>
      <c r="D1842" s="5" t="s">
        <v>146</v>
      </c>
      <c r="E1842" s="5" t="s">
        <v>39</v>
      </c>
      <c r="F1842" s="5" t="str">
        <f t="shared" si="252"/>
        <v>Program Office-Analyst</v>
      </c>
      <c r="G1842" s="5" t="s">
        <v>147</v>
      </c>
      <c r="H1842" s="9">
        <v>44641.873194444444</v>
      </c>
      <c r="I1842" s="9">
        <v>44643.873194444444</v>
      </c>
      <c r="J1842" s="9" t="e">
        <f>I1842+#REF!</f>
        <v>#REF!</v>
      </c>
      <c r="K1842" s="9" t="e">
        <f>J1842+#REF!</f>
        <v>#REF!</v>
      </c>
      <c r="L1842" s="10" t="s">
        <v>41</v>
      </c>
      <c r="M1842" s="11">
        <v>44662.873194444444</v>
      </c>
      <c r="N1842" s="5" t="s">
        <v>167</v>
      </c>
      <c r="O1842" s="5"/>
      <c r="P1842" s="9">
        <v>44667.873194444444</v>
      </c>
      <c r="Q1842" s="5" t="s">
        <v>167</v>
      </c>
      <c r="R1842" s="5"/>
      <c r="S1842" s="5"/>
      <c r="T1842" s="9">
        <v>44666.873194444444</v>
      </c>
      <c r="U1842" s="5"/>
      <c r="V1842" s="5">
        <v>0</v>
      </c>
      <c r="W1842" s="5"/>
      <c r="X1842" s="5"/>
      <c r="Y1842" s="5"/>
      <c r="Z1842" s="5"/>
      <c r="AA1842" s="5"/>
      <c r="AC1842">
        <f t="shared" si="253"/>
        <v>19</v>
      </c>
      <c r="AD1842" t="str">
        <f t="shared" si="254"/>
        <v/>
      </c>
      <c r="AE1842">
        <f t="shared" si="255"/>
        <v>4</v>
      </c>
      <c r="AF1842" t="str">
        <f t="shared" si="256"/>
        <v/>
      </c>
      <c r="AG1842" t="str">
        <f t="shared" si="257"/>
        <v/>
      </c>
      <c r="AH1842">
        <f t="shared" si="258"/>
        <v>2</v>
      </c>
      <c r="AI1842" t="str">
        <f t="shared" si="259"/>
        <v/>
      </c>
      <c r="AJ1842" t="str">
        <f t="shared" si="260"/>
        <v/>
      </c>
    </row>
    <row r="1843" spans="1:36">
      <c r="A1843" s="5">
        <v>2215</v>
      </c>
      <c r="B1843" s="5" t="s">
        <v>179</v>
      </c>
      <c r="C1843" s="5" t="s">
        <v>100</v>
      </c>
      <c r="D1843" s="5" t="s">
        <v>146</v>
      </c>
      <c r="E1843" s="5" t="s">
        <v>39</v>
      </c>
      <c r="F1843" s="5" t="str">
        <f t="shared" si="252"/>
        <v>Program Office-Analyst</v>
      </c>
      <c r="G1843" s="5" t="s">
        <v>147</v>
      </c>
      <c r="H1843" s="9">
        <v>44642.873194444444</v>
      </c>
      <c r="I1843" s="9">
        <v>44644.873194444444</v>
      </c>
      <c r="J1843" s="9" t="e">
        <f>I1843+#REF!</f>
        <v>#REF!</v>
      </c>
      <c r="K1843" s="9" t="e">
        <f>J1843+#REF!</f>
        <v>#REF!</v>
      </c>
      <c r="L1843" s="10" t="s">
        <v>41</v>
      </c>
      <c r="M1843" s="11">
        <v>44658.873194444444</v>
      </c>
      <c r="N1843" s="5" t="s">
        <v>42</v>
      </c>
      <c r="O1843" s="5" t="s">
        <v>113</v>
      </c>
      <c r="P1843" s="9"/>
      <c r="Q1843" s="5"/>
      <c r="R1843" s="5"/>
      <c r="S1843" s="5"/>
      <c r="T1843" s="9">
        <v>44662.873194444444</v>
      </c>
      <c r="U1843" s="5"/>
      <c r="V1843" s="5">
        <v>0</v>
      </c>
      <c r="W1843" s="5"/>
      <c r="X1843" s="5"/>
      <c r="Y1843" s="5"/>
      <c r="Z1843" s="5"/>
      <c r="AA1843" s="5" t="s">
        <v>44</v>
      </c>
      <c r="AC1843">
        <f t="shared" si="253"/>
        <v>14</v>
      </c>
      <c r="AD1843" t="str">
        <f t="shared" si="254"/>
        <v/>
      </c>
      <c r="AE1843">
        <f t="shared" si="255"/>
        <v>4</v>
      </c>
      <c r="AF1843" t="str">
        <f t="shared" si="256"/>
        <v/>
      </c>
      <c r="AG1843" t="str">
        <f t="shared" si="257"/>
        <v/>
      </c>
      <c r="AH1843">
        <f t="shared" si="258"/>
        <v>2</v>
      </c>
      <c r="AI1843" t="str">
        <f t="shared" si="259"/>
        <v/>
      </c>
      <c r="AJ1843" t="str">
        <f t="shared" si="260"/>
        <v/>
      </c>
    </row>
    <row r="1844" spans="1:36">
      <c r="A1844" s="5">
        <v>2216</v>
      </c>
      <c r="B1844" s="5" t="s">
        <v>178</v>
      </c>
      <c r="C1844" s="5" t="s">
        <v>100</v>
      </c>
      <c r="D1844" s="5" t="s">
        <v>146</v>
      </c>
      <c r="E1844" s="5" t="s">
        <v>39</v>
      </c>
      <c r="F1844" s="5" t="str">
        <f t="shared" si="252"/>
        <v>Program Office-Analyst</v>
      </c>
      <c r="G1844" s="5" t="s">
        <v>147</v>
      </c>
      <c r="H1844" s="9">
        <v>44641.873194444444</v>
      </c>
      <c r="I1844" s="9">
        <v>44643.873194444444</v>
      </c>
      <c r="J1844" s="9" t="e">
        <f>I1844+#REF!</f>
        <v>#REF!</v>
      </c>
      <c r="K1844" s="9" t="e">
        <f>J1844+#REF!</f>
        <v>#REF!</v>
      </c>
      <c r="L1844" s="10" t="s">
        <v>41</v>
      </c>
      <c r="M1844" s="11">
        <v>44657.873194444444</v>
      </c>
      <c r="N1844" s="5" t="s">
        <v>42</v>
      </c>
      <c r="O1844" s="5" t="s">
        <v>58</v>
      </c>
      <c r="P1844" s="9"/>
      <c r="Q1844" s="5"/>
      <c r="R1844" s="5"/>
      <c r="S1844" s="5"/>
      <c r="T1844" s="9"/>
      <c r="U1844" s="5"/>
      <c r="V1844" s="5">
        <v>0</v>
      </c>
      <c r="W1844" s="5"/>
      <c r="X1844" s="5"/>
      <c r="Y1844" s="5"/>
      <c r="Z1844" s="5"/>
      <c r="AA1844" s="5" t="s">
        <v>44</v>
      </c>
      <c r="AC1844">
        <f t="shared" si="253"/>
        <v>14</v>
      </c>
      <c r="AD1844" t="str">
        <f t="shared" si="254"/>
        <v/>
      </c>
      <c r="AE1844" t="str">
        <f t="shared" si="255"/>
        <v/>
      </c>
      <c r="AF1844" t="str">
        <f t="shared" si="256"/>
        <v/>
      </c>
      <c r="AG1844" t="str">
        <f t="shared" si="257"/>
        <v/>
      </c>
      <c r="AH1844">
        <f t="shared" si="258"/>
        <v>2</v>
      </c>
      <c r="AI1844" t="str">
        <f t="shared" si="259"/>
        <v/>
      </c>
      <c r="AJ1844" t="str">
        <f t="shared" si="260"/>
        <v/>
      </c>
    </row>
    <row r="1845" spans="1:36">
      <c r="A1845" s="5">
        <v>2218</v>
      </c>
      <c r="B1845" s="5" t="s">
        <v>295</v>
      </c>
      <c r="C1845" s="5" t="s">
        <v>100</v>
      </c>
      <c r="D1845" s="5" t="s">
        <v>268</v>
      </c>
      <c r="E1845" s="5" t="s">
        <v>291</v>
      </c>
      <c r="F1845" s="5" t="str">
        <f t="shared" si="252"/>
        <v>Program Office-Cordination Manager</v>
      </c>
      <c r="G1845" s="5" t="s">
        <v>270</v>
      </c>
      <c r="H1845" s="9">
        <v>44644.873194444444</v>
      </c>
      <c r="I1845" s="9">
        <v>44646.873194444444</v>
      </c>
      <c r="J1845" s="9" t="e">
        <f>I1845+#REF!</f>
        <v>#REF!</v>
      </c>
      <c r="K1845" s="9" t="e">
        <f>J1845+#REF!</f>
        <v>#REF!</v>
      </c>
      <c r="L1845" s="10" t="s">
        <v>41</v>
      </c>
      <c r="M1845" s="11">
        <v>44651.873194444444</v>
      </c>
      <c r="N1845" s="5" t="s">
        <v>42</v>
      </c>
      <c r="O1845" s="5" t="s">
        <v>43</v>
      </c>
      <c r="P1845" s="9"/>
      <c r="Q1845" s="5"/>
      <c r="R1845" s="5"/>
      <c r="S1845" s="5"/>
      <c r="T1845" s="9">
        <v>44655.873194444444</v>
      </c>
      <c r="U1845" s="5"/>
      <c r="V1845" s="5">
        <v>0</v>
      </c>
      <c r="W1845" s="5"/>
      <c r="X1845" s="5"/>
      <c r="Y1845" s="5"/>
      <c r="Z1845" s="5"/>
      <c r="AA1845" s="5" t="s">
        <v>44</v>
      </c>
      <c r="AC1845">
        <f t="shared" si="253"/>
        <v>5</v>
      </c>
      <c r="AD1845" t="str">
        <f t="shared" si="254"/>
        <v/>
      </c>
      <c r="AE1845">
        <f t="shared" si="255"/>
        <v>4</v>
      </c>
      <c r="AF1845" t="str">
        <f t="shared" si="256"/>
        <v/>
      </c>
      <c r="AG1845" t="str">
        <f t="shared" si="257"/>
        <v/>
      </c>
      <c r="AH1845">
        <f t="shared" si="258"/>
        <v>2</v>
      </c>
      <c r="AI1845" t="str">
        <f t="shared" si="259"/>
        <v/>
      </c>
      <c r="AJ1845" t="str">
        <f t="shared" si="260"/>
        <v/>
      </c>
    </row>
    <row r="1846" spans="1:36">
      <c r="A1846" s="5">
        <v>2219</v>
      </c>
      <c r="B1846" s="5" t="s">
        <v>294</v>
      </c>
      <c r="C1846" s="5" t="s">
        <v>100</v>
      </c>
      <c r="D1846" s="5" t="s">
        <v>268</v>
      </c>
      <c r="E1846" s="5" t="s">
        <v>291</v>
      </c>
      <c r="F1846" s="5" t="str">
        <f t="shared" si="252"/>
        <v>Program Office-Cordination Manager</v>
      </c>
      <c r="G1846" s="5" t="s">
        <v>270</v>
      </c>
      <c r="H1846" s="9">
        <v>44643.873194444444</v>
      </c>
      <c r="I1846" s="9">
        <v>44644.873194444444</v>
      </c>
      <c r="J1846" s="9" t="e">
        <f>I1846+#REF!</f>
        <v>#REF!</v>
      </c>
      <c r="K1846" s="9" t="e">
        <f>J1846+#REF!</f>
        <v>#REF!</v>
      </c>
      <c r="L1846" s="10" t="s">
        <v>41</v>
      </c>
      <c r="M1846" s="11">
        <v>44652.873194444444</v>
      </c>
      <c r="N1846" s="5" t="s">
        <v>64</v>
      </c>
      <c r="O1846" s="5"/>
      <c r="P1846" s="9">
        <v>44659.873194444444</v>
      </c>
      <c r="Q1846" s="5" t="s">
        <v>64</v>
      </c>
      <c r="R1846" s="9">
        <v>44653.873194444444</v>
      </c>
      <c r="S1846" s="9">
        <v>44654.873194444444</v>
      </c>
      <c r="T1846" s="9">
        <v>44656.873194444444</v>
      </c>
      <c r="U1846" s="9">
        <v>44661.873194444444</v>
      </c>
      <c r="V1846" s="12">
        <v>1</v>
      </c>
      <c r="W1846" s="9">
        <v>44663.873194444444</v>
      </c>
      <c r="X1846" s="9">
        <v>44664.873194444444</v>
      </c>
      <c r="Y1846" s="9">
        <v>44667.873194444444</v>
      </c>
      <c r="Z1846" s="5"/>
      <c r="AA1846" s="5"/>
      <c r="AB1846" s="13">
        <v>44676.873194444444</v>
      </c>
      <c r="AC1846">
        <f t="shared" si="253"/>
        <v>8</v>
      </c>
      <c r="AD1846">
        <f t="shared" si="254"/>
        <v>10</v>
      </c>
      <c r="AE1846">
        <f t="shared" si="255"/>
        <v>4</v>
      </c>
      <c r="AF1846">
        <f t="shared" si="256"/>
        <v>3</v>
      </c>
      <c r="AG1846">
        <f t="shared" si="257"/>
        <v>2</v>
      </c>
      <c r="AH1846">
        <f t="shared" si="258"/>
        <v>1</v>
      </c>
      <c r="AI1846" t="str">
        <f t="shared" si="259"/>
        <v/>
      </c>
      <c r="AJ1846" t="str">
        <f t="shared" si="260"/>
        <v/>
      </c>
    </row>
    <row r="1847" spans="1:36">
      <c r="A1847" s="5">
        <v>2221</v>
      </c>
      <c r="B1847" s="5" t="s">
        <v>2005</v>
      </c>
      <c r="C1847" s="5" t="s">
        <v>1540</v>
      </c>
      <c r="D1847" s="5" t="s">
        <v>1985</v>
      </c>
      <c r="E1847" s="5" t="s">
        <v>1986</v>
      </c>
      <c r="F1847" s="5" t="str">
        <f t="shared" si="252"/>
        <v>Finance-Revenue Recorgnition</v>
      </c>
      <c r="G1847" s="5" t="s">
        <v>47</v>
      </c>
      <c r="H1847" s="9">
        <v>45158.534872685188</v>
      </c>
      <c r="I1847" s="9">
        <v>45159.534872685188</v>
      </c>
      <c r="J1847" s="9" t="e">
        <f>I1847+#REF!</f>
        <v>#REF!</v>
      </c>
      <c r="K1847" s="9" t="e">
        <f>J1847+#REF!</f>
        <v>#REF!</v>
      </c>
      <c r="L1847" s="10" t="s">
        <v>41</v>
      </c>
      <c r="M1847" s="11">
        <v>45178.534872685188</v>
      </c>
      <c r="N1847" s="5" t="s">
        <v>48</v>
      </c>
      <c r="O1847" s="5"/>
      <c r="P1847" s="9">
        <v>45181.534872685188</v>
      </c>
      <c r="Q1847" s="5" t="s">
        <v>48</v>
      </c>
      <c r="R1847" s="5"/>
      <c r="S1847" s="5"/>
      <c r="T1847" s="9">
        <v>45179.534872685188</v>
      </c>
      <c r="U1847" s="5"/>
      <c r="V1847" s="5">
        <v>0</v>
      </c>
      <c r="W1847" s="5"/>
      <c r="X1847" s="5"/>
      <c r="Y1847" s="5"/>
      <c r="Z1847" s="5"/>
      <c r="AA1847" s="5"/>
      <c r="AC1847">
        <f t="shared" si="253"/>
        <v>19</v>
      </c>
      <c r="AD1847" t="str">
        <f t="shared" si="254"/>
        <v/>
      </c>
      <c r="AE1847">
        <f t="shared" si="255"/>
        <v>1</v>
      </c>
      <c r="AF1847" t="str">
        <f t="shared" si="256"/>
        <v/>
      </c>
      <c r="AG1847" t="str">
        <f t="shared" si="257"/>
        <v/>
      </c>
      <c r="AH1847">
        <f t="shared" si="258"/>
        <v>1</v>
      </c>
      <c r="AI1847" t="str">
        <f t="shared" si="259"/>
        <v/>
      </c>
      <c r="AJ1847" t="str">
        <f t="shared" si="260"/>
        <v/>
      </c>
    </row>
    <row r="1848" spans="1:36">
      <c r="A1848" s="5">
        <v>2222</v>
      </c>
      <c r="B1848" s="5" t="s">
        <v>1728</v>
      </c>
      <c r="C1848" s="5" t="s">
        <v>1540</v>
      </c>
      <c r="D1848" s="5" t="s">
        <v>1706</v>
      </c>
      <c r="E1848" s="5" t="s">
        <v>269</v>
      </c>
      <c r="F1848" s="5" t="str">
        <f t="shared" si="252"/>
        <v>Finance-Manager</v>
      </c>
      <c r="G1848" s="5" t="s">
        <v>270</v>
      </c>
      <c r="H1848" s="9">
        <v>45157.534872685188</v>
      </c>
      <c r="I1848" s="9">
        <v>45160.534872685188</v>
      </c>
      <c r="J1848" s="9" t="e">
        <f>I1848+#REF!</f>
        <v>#REF!</v>
      </c>
      <c r="K1848" s="9" t="e">
        <f>J1848+#REF!</f>
        <v>#REF!</v>
      </c>
      <c r="L1848" s="10" t="s">
        <v>41</v>
      </c>
      <c r="M1848" s="11">
        <v>45174.534872685188</v>
      </c>
      <c r="N1848" s="5" t="s">
        <v>48</v>
      </c>
      <c r="O1848" s="5"/>
      <c r="P1848" s="9">
        <v>45177.534872685188</v>
      </c>
      <c r="Q1848" s="5" t="s">
        <v>48</v>
      </c>
      <c r="R1848" s="5"/>
      <c r="S1848" s="5"/>
      <c r="T1848" s="9">
        <v>45175.534872685188</v>
      </c>
      <c r="U1848" s="5"/>
      <c r="V1848" s="5">
        <v>0</v>
      </c>
      <c r="W1848" s="5"/>
      <c r="X1848" s="5"/>
      <c r="Y1848" s="5"/>
      <c r="Z1848" s="5"/>
      <c r="AA1848" s="5"/>
      <c r="AC1848">
        <f t="shared" si="253"/>
        <v>14</v>
      </c>
      <c r="AD1848" t="str">
        <f t="shared" si="254"/>
        <v/>
      </c>
      <c r="AE1848">
        <f t="shared" si="255"/>
        <v>1</v>
      </c>
      <c r="AF1848" t="str">
        <f t="shared" si="256"/>
        <v/>
      </c>
      <c r="AG1848" t="str">
        <f t="shared" si="257"/>
        <v/>
      </c>
      <c r="AH1848">
        <f t="shared" si="258"/>
        <v>3</v>
      </c>
      <c r="AI1848" t="str">
        <f t="shared" si="259"/>
        <v/>
      </c>
      <c r="AJ1848" t="str">
        <f t="shared" si="260"/>
        <v/>
      </c>
    </row>
    <row r="1849" spans="1:36">
      <c r="A1849" s="5">
        <v>2223</v>
      </c>
      <c r="B1849" s="5" t="s">
        <v>1547</v>
      </c>
      <c r="C1849" s="5" t="s">
        <v>1540</v>
      </c>
      <c r="D1849" s="5" t="s">
        <v>1541</v>
      </c>
      <c r="E1849" s="5" t="s">
        <v>102</v>
      </c>
      <c r="F1849" s="5" t="str">
        <f t="shared" si="252"/>
        <v>Finance-Senior Manager</v>
      </c>
      <c r="G1849" s="5" t="s">
        <v>103</v>
      </c>
      <c r="H1849" s="9">
        <v>45157.534872685188</v>
      </c>
      <c r="I1849" s="9">
        <v>45159.534872685188</v>
      </c>
      <c r="J1849" s="9" t="e">
        <f>I1849+#REF!</f>
        <v>#REF!</v>
      </c>
      <c r="K1849" s="9" t="e">
        <f>J1849+#REF!</f>
        <v>#REF!</v>
      </c>
      <c r="L1849" s="10" t="s">
        <v>41</v>
      </c>
      <c r="M1849" s="11">
        <v>45164.534872685188</v>
      </c>
      <c r="N1849" s="5" t="s">
        <v>42</v>
      </c>
      <c r="O1849" s="5" t="s">
        <v>58</v>
      </c>
      <c r="P1849" s="9"/>
      <c r="Q1849" s="5"/>
      <c r="R1849" s="5"/>
      <c r="S1849" s="5"/>
      <c r="T1849" s="9">
        <v>45168.534872685188</v>
      </c>
      <c r="U1849" s="5"/>
      <c r="V1849" s="5">
        <v>0</v>
      </c>
      <c r="W1849" s="5"/>
      <c r="X1849" s="5"/>
      <c r="Y1849" s="5"/>
      <c r="Z1849" s="5"/>
      <c r="AA1849" s="5" t="s">
        <v>62</v>
      </c>
      <c r="AC1849">
        <f t="shared" si="253"/>
        <v>5</v>
      </c>
      <c r="AD1849" t="str">
        <f t="shared" si="254"/>
        <v/>
      </c>
      <c r="AE1849">
        <f t="shared" si="255"/>
        <v>4</v>
      </c>
      <c r="AF1849" t="str">
        <f t="shared" si="256"/>
        <v/>
      </c>
      <c r="AG1849" t="str">
        <f t="shared" si="257"/>
        <v/>
      </c>
      <c r="AH1849">
        <f t="shared" si="258"/>
        <v>2</v>
      </c>
      <c r="AI1849" t="str">
        <f t="shared" si="259"/>
        <v/>
      </c>
      <c r="AJ1849" t="str">
        <f t="shared" si="260"/>
        <v/>
      </c>
    </row>
    <row r="1850" spans="1:36">
      <c r="A1850" s="5">
        <v>2224</v>
      </c>
      <c r="B1850" s="5" t="s">
        <v>1608</v>
      </c>
      <c r="C1850" s="5" t="s">
        <v>1540</v>
      </c>
      <c r="D1850" s="5" t="s">
        <v>1588</v>
      </c>
      <c r="E1850" s="5" t="s">
        <v>1360</v>
      </c>
      <c r="F1850" s="5" t="str">
        <f t="shared" si="252"/>
        <v>Finance-Fund Administrator</v>
      </c>
      <c r="G1850" s="5" t="s">
        <v>147</v>
      </c>
      <c r="H1850" s="9">
        <v>45157.534872685188</v>
      </c>
      <c r="I1850" s="9">
        <v>45160.534872685188</v>
      </c>
      <c r="J1850" s="9" t="e">
        <f>I1850+#REF!</f>
        <v>#REF!</v>
      </c>
      <c r="K1850" s="9" t="e">
        <f>J1850+#REF!</f>
        <v>#REF!</v>
      </c>
      <c r="L1850" s="10" t="s">
        <v>41</v>
      </c>
      <c r="M1850" s="11">
        <v>45173.534872685188</v>
      </c>
      <c r="N1850" s="5" t="s">
        <v>42</v>
      </c>
      <c r="O1850" s="5" t="s">
        <v>43</v>
      </c>
      <c r="P1850" s="9"/>
      <c r="Q1850" s="5"/>
      <c r="R1850" s="5"/>
      <c r="S1850" s="5"/>
      <c r="T1850" s="9"/>
      <c r="U1850" s="5"/>
      <c r="V1850" s="5">
        <v>0</v>
      </c>
      <c r="W1850" s="5"/>
      <c r="X1850" s="5"/>
      <c r="Y1850" s="5"/>
      <c r="Z1850" s="5"/>
      <c r="AA1850" s="5" t="s">
        <v>62</v>
      </c>
      <c r="AC1850">
        <f t="shared" si="253"/>
        <v>13</v>
      </c>
      <c r="AD1850" t="str">
        <f t="shared" si="254"/>
        <v/>
      </c>
      <c r="AE1850" t="str">
        <f t="shared" si="255"/>
        <v/>
      </c>
      <c r="AF1850" t="str">
        <f t="shared" si="256"/>
        <v/>
      </c>
      <c r="AG1850" t="str">
        <f t="shared" si="257"/>
        <v/>
      </c>
      <c r="AH1850">
        <f t="shared" si="258"/>
        <v>3</v>
      </c>
      <c r="AI1850" t="str">
        <f t="shared" si="259"/>
        <v/>
      </c>
      <c r="AJ1850" t="str">
        <f t="shared" si="260"/>
        <v/>
      </c>
    </row>
    <row r="1851" spans="1:36">
      <c r="A1851" s="5">
        <v>2226</v>
      </c>
      <c r="B1851" s="5" t="s">
        <v>1727</v>
      </c>
      <c r="C1851" s="5" t="s">
        <v>1540</v>
      </c>
      <c r="D1851" s="5" t="s">
        <v>1706</v>
      </c>
      <c r="E1851" s="5" t="s">
        <v>269</v>
      </c>
      <c r="F1851" s="5" t="str">
        <f t="shared" si="252"/>
        <v>Finance-Manager</v>
      </c>
      <c r="G1851" s="5" t="s">
        <v>270</v>
      </c>
      <c r="H1851" s="9">
        <v>45156.534872685188</v>
      </c>
      <c r="I1851" s="9">
        <v>45158.534872685188</v>
      </c>
      <c r="J1851" s="9" t="e">
        <f>I1851+#REF!</f>
        <v>#REF!</v>
      </c>
      <c r="K1851" s="9" t="e">
        <f>J1851+#REF!</f>
        <v>#REF!</v>
      </c>
      <c r="L1851" s="10" t="s">
        <v>41</v>
      </c>
      <c r="M1851" s="11">
        <v>45171.534872685188</v>
      </c>
      <c r="N1851" s="5" t="s">
        <v>42</v>
      </c>
      <c r="O1851" s="5" t="s">
        <v>73</v>
      </c>
      <c r="P1851" s="9"/>
      <c r="Q1851" s="5"/>
      <c r="R1851" s="5"/>
      <c r="S1851" s="5"/>
      <c r="T1851" s="9"/>
      <c r="U1851" s="5"/>
      <c r="V1851" s="5">
        <v>0</v>
      </c>
      <c r="W1851" s="5"/>
      <c r="X1851" s="5"/>
      <c r="Y1851" s="5"/>
      <c r="Z1851" s="5"/>
      <c r="AA1851" s="5" t="s">
        <v>44</v>
      </c>
      <c r="AC1851">
        <f t="shared" si="253"/>
        <v>13</v>
      </c>
      <c r="AD1851" t="str">
        <f t="shared" si="254"/>
        <v/>
      </c>
      <c r="AE1851" t="str">
        <f t="shared" si="255"/>
        <v/>
      </c>
      <c r="AF1851" t="str">
        <f t="shared" si="256"/>
        <v/>
      </c>
      <c r="AG1851" t="str">
        <f t="shared" si="257"/>
        <v/>
      </c>
      <c r="AH1851">
        <f t="shared" si="258"/>
        <v>2</v>
      </c>
      <c r="AI1851" t="str">
        <f t="shared" si="259"/>
        <v/>
      </c>
      <c r="AJ1851" t="str">
        <f t="shared" si="260"/>
        <v/>
      </c>
    </row>
    <row r="1852" spans="1:36">
      <c r="A1852" s="5">
        <v>2227</v>
      </c>
      <c r="B1852" s="5" t="s">
        <v>2004</v>
      </c>
      <c r="C1852" s="5" t="s">
        <v>1540</v>
      </c>
      <c r="D1852" s="5" t="s">
        <v>1985</v>
      </c>
      <c r="E1852" s="5" t="s">
        <v>1986</v>
      </c>
      <c r="F1852" s="5" t="str">
        <f t="shared" si="252"/>
        <v>Finance-Revenue Recorgnition</v>
      </c>
      <c r="G1852" s="5" t="s">
        <v>47</v>
      </c>
      <c r="H1852" s="9">
        <v>45155.534872685188</v>
      </c>
      <c r="I1852" s="9">
        <v>45158.534872685188</v>
      </c>
      <c r="J1852" s="9" t="e">
        <f>I1852+#REF!</f>
        <v>#REF!</v>
      </c>
      <c r="K1852" s="9" t="e">
        <f>J1852+#REF!</f>
        <v>#REF!</v>
      </c>
      <c r="L1852" s="10" t="s">
        <v>41</v>
      </c>
      <c r="M1852" s="11">
        <v>45165.534872685188</v>
      </c>
      <c r="N1852" s="5" t="s">
        <v>64</v>
      </c>
      <c r="O1852" s="5"/>
      <c r="P1852" s="9">
        <v>45169.534872685188</v>
      </c>
      <c r="Q1852" s="5" t="s">
        <v>64</v>
      </c>
      <c r="R1852" s="9">
        <v>45167.534872685188</v>
      </c>
      <c r="S1852" s="9">
        <v>45169.534872685188</v>
      </c>
      <c r="T1852" s="9">
        <v>45166.534872685188</v>
      </c>
      <c r="U1852" s="9">
        <v>45176.534872685188</v>
      </c>
      <c r="V1852" s="12">
        <v>1</v>
      </c>
      <c r="W1852" s="9">
        <v>45180.534872685188</v>
      </c>
      <c r="X1852" s="9">
        <v>45183.534872685188</v>
      </c>
      <c r="Y1852" s="9">
        <v>45186.534872685188</v>
      </c>
      <c r="Z1852" s="5"/>
      <c r="AA1852" s="5"/>
      <c r="AB1852" s="13">
        <v>45204.534872685188</v>
      </c>
      <c r="AC1852">
        <f t="shared" si="253"/>
        <v>7</v>
      </c>
      <c r="AD1852">
        <f t="shared" si="254"/>
        <v>11</v>
      </c>
      <c r="AE1852">
        <f t="shared" si="255"/>
        <v>1</v>
      </c>
      <c r="AF1852">
        <f t="shared" si="256"/>
        <v>7</v>
      </c>
      <c r="AG1852">
        <f t="shared" si="257"/>
        <v>4</v>
      </c>
      <c r="AH1852">
        <f t="shared" si="258"/>
        <v>3</v>
      </c>
      <c r="AI1852" t="str">
        <f t="shared" si="259"/>
        <v/>
      </c>
      <c r="AJ1852" t="str">
        <f t="shared" si="260"/>
        <v/>
      </c>
    </row>
    <row r="1853" spans="1:36">
      <c r="A1853" s="5">
        <v>2229</v>
      </c>
      <c r="B1853" s="5" t="s">
        <v>2003</v>
      </c>
      <c r="C1853" s="5" t="s">
        <v>1540</v>
      </c>
      <c r="D1853" s="5" t="s">
        <v>1985</v>
      </c>
      <c r="E1853" s="5" t="s">
        <v>1986</v>
      </c>
      <c r="F1853" s="5" t="str">
        <f t="shared" si="252"/>
        <v>Finance-Revenue Recorgnition</v>
      </c>
      <c r="G1853" s="5" t="s">
        <v>47</v>
      </c>
      <c r="H1853" s="9">
        <v>45151.534872685188</v>
      </c>
      <c r="I1853" s="9">
        <v>45155.534872685188</v>
      </c>
      <c r="J1853" s="9" t="e">
        <f>I1853+#REF!</f>
        <v>#REF!</v>
      </c>
      <c r="K1853" s="9" t="e">
        <f>J1853+#REF!</f>
        <v>#REF!</v>
      </c>
      <c r="L1853" s="10" t="s">
        <v>41</v>
      </c>
      <c r="M1853" s="11">
        <v>45176.534872685188</v>
      </c>
      <c r="N1853" s="5" t="s">
        <v>42</v>
      </c>
      <c r="O1853" s="5" t="s">
        <v>113</v>
      </c>
      <c r="P1853" s="9"/>
      <c r="Q1853" s="5"/>
      <c r="R1853" s="5"/>
      <c r="S1853" s="5"/>
      <c r="T1853" s="9">
        <v>45177.534872685188</v>
      </c>
      <c r="U1853" s="5"/>
      <c r="V1853" s="5">
        <v>0</v>
      </c>
      <c r="W1853" s="5"/>
      <c r="X1853" s="5"/>
      <c r="Y1853" s="5"/>
      <c r="Z1853" s="5"/>
      <c r="AA1853" s="5" t="s">
        <v>62</v>
      </c>
      <c r="AC1853">
        <f t="shared" si="253"/>
        <v>21</v>
      </c>
      <c r="AD1853" t="str">
        <f t="shared" si="254"/>
        <v/>
      </c>
      <c r="AE1853">
        <f t="shared" si="255"/>
        <v>1</v>
      </c>
      <c r="AF1853" t="str">
        <f t="shared" si="256"/>
        <v/>
      </c>
      <c r="AG1853" t="str">
        <f t="shared" si="257"/>
        <v/>
      </c>
      <c r="AH1853">
        <f t="shared" si="258"/>
        <v>4</v>
      </c>
      <c r="AI1853" t="str">
        <f t="shared" si="259"/>
        <v/>
      </c>
      <c r="AJ1853" t="str">
        <f t="shared" si="260"/>
        <v/>
      </c>
    </row>
    <row r="1854" spans="1:36">
      <c r="A1854" s="5">
        <v>2230</v>
      </c>
      <c r="B1854" s="5" t="s">
        <v>1726</v>
      </c>
      <c r="C1854" s="5" t="s">
        <v>1540</v>
      </c>
      <c r="D1854" s="5" t="s">
        <v>1706</v>
      </c>
      <c r="E1854" s="5" t="s">
        <v>269</v>
      </c>
      <c r="F1854" s="5" t="str">
        <f t="shared" si="252"/>
        <v>Finance-Manager</v>
      </c>
      <c r="G1854" s="5" t="s">
        <v>270</v>
      </c>
      <c r="H1854" s="9">
        <v>45154.534872685188</v>
      </c>
      <c r="I1854" s="9">
        <v>45156.534872685188</v>
      </c>
      <c r="J1854" s="9" t="e">
        <f>I1854+#REF!</f>
        <v>#REF!</v>
      </c>
      <c r="K1854" s="9" t="e">
        <f>J1854+#REF!</f>
        <v>#REF!</v>
      </c>
      <c r="L1854" s="10" t="s">
        <v>41</v>
      </c>
      <c r="M1854" s="11">
        <v>45169.534872685188</v>
      </c>
      <c r="N1854" s="5" t="s">
        <v>167</v>
      </c>
      <c r="O1854" s="5"/>
      <c r="P1854" s="9">
        <v>45172.534872685188</v>
      </c>
      <c r="Q1854" s="5" t="s">
        <v>167</v>
      </c>
      <c r="R1854" s="5"/>
      <c r="S1854" s="5"/>
      <c r="T1854" s="9">
        <v>45170.534872685188</v>
      </c>
      <c r="U1854" s="5"/>
      <c r="V1854" s="5">
        <v>0</v>
      </c>
      <c r="W1854" s="5"/>
      <c r="X1854" s="5"/>
      <c r="Y1854" s="5"/>
      <c r="Z1854" s="5"/>
      <c r="AA1854" s="5"/>
      <c r="AC1854">
        <f t="shared" si="253"/>
        <v>13</v>
      </c>
      <c r="AD1854" t="str">
        <f t="shared" si="254"/>
        <v/>
      </c>
      <c r="AE1854">
        <f t="shared" si="255"/>
        <v>1</v>
      </c>
      <c r="AF1854" t="str">
        <f t="shared" si="256"/>
        <v/>
      </c>
      <c r="AG1854" t="str">
        <f t="shared" si="257"/>
        <v/>
      </c>
      <c r="AH1854">
        <f t="shared" si="258"/>
        <v>2</v>
      </c>
      <c r="AI1854" t="str">
        <f t="shared" si="259"/>
        <v/>
      </c>
      <c r="AJ1854" t="str">
        <f t="shared" si="260"/>
        <v/>
      </c>
    </row>
    <row r="1855" spans="1:36">
      <c r="A1855" s="5">
        <v>2232</v>
      </c>
      <c r="B1855" s="5" t="s">
        <v>1852</v>
      </c>
      <c r="C1855" s="5" t="s">
        <v>1540</v>
      </c>
      <c r="D1855" s="5" t="s">
        <v>1820</v>
      </c>
      <c r="E1855" s="5" t="s">
        <v>39</v>
      </c>
      <c r="F1855" s="5" t="str">
        <f t="shared" si="252"/>
        <v>Finance-Analyst</v>
      </c>
      <c r="G1855" s="5" t="s">
        <v>40</v>
      </c>
      <c r="H1855" s="9">
        <v>45031.959444444445</v>
      </c>
      <c r="I1855" s="9">
        <v>45033.959444444445</v>
      </c>
      <c r="J1855" s="9" t="e">
        <f>I1855+#REF!</f>
        <v>#REF!</v>
      </c>
      <c r="K1855" s="9" t="e">
        <f>J1855+#REF!</f>
        <v>#REF!</v>
      </c>
      <c r="L1855" s="10" t="s">
        <v>41</v>
      </c>
      <c r="M1855" s="11">
        <v>45041.959444444445</v>
      </c>
      <c r="N1855" s="5" t="s">
        <v>42</v>
      </c>
      <c r="O1855" s="5" t="s">
        <v>58</v>
      </c>
      <c r="P1855" s="9"/>
      <c r="Q1855" s="5"/>
      <c r="R1855" s="5"/>
      <c r="S1855" s="5"/>
      <c r="T1855" s="9"/>
      <c r="U1855" s="5"/>
      <c r="V1855" s="5">
        <v>0</v>
      </c>
      <c r="W1855" s="5"/>
      <c r="X1855" s="5"/>
      <c r="Y1855" s="5"/>
      <c r="Z1855" s="5"/>
      <c r="AA1855" s="5" t="s">
        <v>62</v>
      </c>
      <c r="AC1855">
        <f t="shared" si="253"/>
        <v>8</v>
      </c>
      <c r="AD1855" t="str">
        <f t="shared" si="254"/>
        <v/>
      </c>
      <c r="AE1855" t="str">
        <f t="shared" si="255"/>
        <v/>
      </c>
      <c r="AF1855" t="str">
        <f t="shared" si="256"/>
        <v/>
      </c>
      <c r="AG1855" t="str">
        <f t="shared" si="257"/>
        <v/>
      </c>
      <c r="AH1855">
        <f t="shared" si="258"/>
        <v>2</v>
      </c>
      <c r="AI1855" t="str">
        <f t="shared" si="259"/>
        <v/>
      </c>
      <c r="AJ1855" t="str">
        <f t="shared" si="260"/>
        <v/>
      </c>
    </row>
    <row r="1856" spans="1:36">
      <c r="A1856" s="5">
        <v>2234</v>
      </c>
      <c r="B1856" s="5" t="s">
        <v>1607</v>
      </c>
      <c r="C1856" s="5" t="s">
        <v>1540</v>
      </c>
      <c r="D1856" s="5" t="s">
        <v>1588</v>
      </c>
      <c r="E1856" s="5" t="s">
        <v>1360</v>
      </c>
      <c r="F1856" s="5" t="str">
        <f t="shared" si="252"/>
        <v>Finance-Fund Administrator</v>
      </c>
      <c r="G1856" s="5" t="s">
        <v>147</v>
      </c>
      <c r="H1856" s="9">
        <v>45034.959444444445</v>
      </c>
      <c r="I1856" s="9">
        <v>45035.959444444445</v>
      </c>
      <c r="J1856" s="9" t="e">
        <f>I1856+#REF!</f>
        <v>#REF!</v>
      </c>
      <c r="K1856" s="9" t="e">
        <f>J1856+#REF!</f>
        <v>#REF!</v>
      </c>
      <c r="L1856" s="10" t="s">
        <v>52</v>
      </c>
      <c r="M1856" s="11"/>
      <c r="N1856" s="5"/>
      <c r="O1856" s="5"/>
      <c r="P1856" s="9"/>
      <c r="Q1856" s="5"/>
      <c r="R1856" s="5"/>
      <c r="S1856" s="5"/>
      <c r="T1856" s="9"/>
      <c r="U1856" s="5"/>
      <c r="V1856" s="5">
        <v>0</v>
      </c>
      <c r="W1856" s="5"/>
      <c r="X1856" s="5"/>
      <c r="Y1856" s="5"/>
      <c r="Z1856" s="5"/>
      <c r="AA1856" s="5"/>
      <c r="AC1856" t="str">
        <f t="shared" si="253"/>
        <v/>
      </c>
      <c r="AD1856" t="str">
        <f t="shared" si="254"/>
        <v/>
      </c>
      <c r="AE1856" t="str">
        <f t="shared" si="255"/>
        <v/>
      </c>
      <c r="AF1856" t="str">
        <f t="shared" si="256"/>
        <v/>
      </c>
      <c r="AG1856" t="str">
        <f t="shared" si="257"/>
        <v/>
      </c>
      <c r="AH1856">
        <f t="shared" si="258"/>
        <v>1</v>
      </c>
      <c r="AI1856" t="str">
        <f t="shared" si="259"/>
        <v/>
      </c>
      <c r="AJ1856" t="str">
        <f t="shared" si="260"/>
        <v/>
      </c>
    </row>
    <row r="1857" spans="1:36">
      <c r="A1857" s="5">
        <v>2236</v>
      </c>
      <c r="B1857" s="5" t="s">
        <v>1851</v>
      </c>
      <c r="C1857" s="5" t="s">
        <v>1540</v>
      </c>
      <c r="D1857" s="5" t="s">
        <v>1820</v>
      </c>
      <c r="E1857" s="5" t="s">
        <v>39</v>
      </c>
      <c r="F1857" s="5" t="str">
        <f t="shared" si="252"/>
        <v>Finance-Analyst</v>
      </c>
      <c r="G1857" s="5" t="s">
        <v>40</v>
      </c>
      <c r="H1857" s="9">
        <v>45026.959444444445</v>
      </c>
      <c r="I1857" s="9">
        <v>45030.959444444445</v>
      </c>
      <c r="J1857" s="9" t="e">
        <f>I1857+#REF!</f>
        <v>#REF!</v>
      </c>
      <c r="K1857" s="9" t="e">
        <f>J1857+#REF!</f>
        <v>#REF!</v>
      </c>
      <c r="L1857" s="10" t="s">
        <v>41</v>
      </c>
      <c r="M1857" s="11">
        <v>45050.959444444445</v>
      </c>
      <c r="N1857" s="5" t="s">
        <v>42</v>
      </c>
      <c r="O1857" s="5" t="s">
        <v>58</v>
      </c>
      <c r="P1857" s="9"/>
      <c r="Q1857" s="5"/>
      <c r="R1857" s="5"/>
      <c r="S1857" s="5"/>
      <c r="T1857" s="9"/>
      <c r="U1857" s="5"/>
      <c r="V1857" s="5">
        <v>0</v>
      </c>
      <c r="W1857" s="5"/>
      <c r="X1857" s="5"/>
      <c r="Y1857" s="5"/>
      <c r="Z1857" s="5"/>
      <c r="AA1857" s="5" t="s">
        <v>44</v>
      </c>
      <c r="AC1857">
        <f t="shared" si="253"/>
        <v>20</v>
      </c>
      <c r="AD1857" t="str">
        <f t="shared" si="254"/>
        <v/>
      </c>
      <c r="AE1857" t="str">
        <f t="shared" si="255"/>
        <v/>
      </c>
      <c r="AF1857" t="str">
        <f t="shared" si="256"/>
        <v/>
      </c>
      <c r="AG1857" t="str">
        <f t="shared" si="257"/>
        <v/>
      </c>
      <c r="AH1857">
        <f t="shared" si="258"/>
        <v>4</v>
      </c>
      <c r="AI1857" t="str">
        <f t="shared" si="259"/>
        <v/>
      </c>
      <c r="AJ1857" t="str">
        <f t="shared" si="260"/>
        <v/>
      </c>
    </row>
    <row r="1858" spans="1:36">
      <c r="A1858" s="5">
        <v>2241</v>
      </c>
      <c r="B1858" s="5" t="s">
        <v>116</v>
      </c>
      <c r="C1858" s="5" t="s">
        <v>100</v>
      </c>
      <c r="D1858" s="5" t="s">
        <v>101</v>
      </c>
      <c r="E1858" s="5" t="s">
        <v>102</v>
      </c>
      <c r="F1858" s="5" t="str">
        <f t="shared" ref="F1858:F1921" si="261">_xlfn.CONCAT(C1858,"-",E1858)</f>
        <v>Program Office-Senior Manager</v>
      </c>
      <c r="G1858" s="5" t="s">
        <v>103</v>
      </c>
      <c r="H1858" s="9">
        <v>44924.601747685185</v>
      </c>
      <c r="I1858" s="9">
        <v>44926.601747685185</v>
      </c>
      <c r="J1858" s="9" t="e">
        <f>I1858+#REF!</f>
        <v>#REF!</v>
      </c>
      <c r="K1858" s="9" t="e">
        <f>J1858+#REF!</f>
        <v>#REF!</v>
      </c>
      <c r="L1858" s="10" t="s">
        <v>41</v>
      </c>
      <c r="M1858" s="11">
        <v>44938.601747685185</v>
      </c>
      <c r="N1858" s="5" t="s">
        <v>42</v>
      </c>
      <c r="O1858" s="5" t="s">
        <v>58</v>
      </c>
      <c r="P1858" s="9"/>
      <c r="Q1858" s="5"/>
      <c r="R1858" s="5"/>
      <c r="S1858" s="5"/>
      <c r="T1858" s="9">
        <v>44940.601747685185</v>
      </c>
      <c r="U1858" s="5"/>
      <c r="V1858" s="5">
        <v>0</v>
      </c>
      <c r="W1858" s="5"/>
      <c r="X1858" s="5"/>
      <c r="Y1858" s="5"/>
      <c r="Z1858" s="5"/>
      <c r="AA1858" s="5" t="s">
        <v>62</v>
      </c>
      <c r="AC1858">
        <f t="shared" ref="AC1858:AC1921" si="262">IF(AND(ISNUMBER(M1858), ISNUMBER(I1858)), M1858 - I1858, "")</f>
        <v>12</v>
      </c>
      <c r="AD1858" t="str">
        <f t="shared" si="254"/>
        <v/>
      </c>
      <c r="AE1858">
        <f t="shared" si="255"/>
        <v>2</v>
      </c>
      <c r="AF1858" t="str">
        <f t="shared" si="256"/>
        <v/>
      </c>
      <c r="AG1858" t="str">
        <f t="shared" si="257"/>
        <v/>
      </c>
      <c r="AH1858">
        <f t="shared" si="258"/>
        <v>2</v>
      </c>
      <c r="AI1858" t="str">
        <f t="shared" si="259"/>
        <v/>
      </c>
      <c r="AJ1858" t="str">
        <f t="shared" si="260"/>
        <v/>
      </c>
    </row>
    <row r="1859" spans="1:36">
      <c r="A1859" s="5">
        <v>2242</v>
      </c>
      <c r="B1859" s="5" t="s">
        <v>423</v>
      </c>
      <c r="C1859" s="5" t="s">
        <v>100</v>
      </c>
      <c r="D1859" s="5" t="s">
        <v>387</v>
      </c>
      <c r="E1859" s="5" t="s">
        <v>388</v>
      </c>
      <c r="F1859" s="5" t="str">
        <f t="shared" si="261"/>
        <v>Program Office-Extension Officer</v>
      </c>
      <c r="G1859" s="5" t="s">
        <v>40</v>
      </c>
      <c r="H1859" s="9">
        <v>44926.601747685185</v>
      </c>
      <c r="I1859" s="9">
        <v>44928.601747685185</v>
      </c>
      <c r="J1859" s="9" t="e">
        <f>I1859+#REF!</f>
        <v>#REF!</v>
      </c>
      <c r="K1859" s="9" t="e">
        <f>J1859+#REF!</f>
        <v>#REF!</v>
      </c>
      <c r="L1859" s="10" t="s">
        <v>41</v>
      </c>
      <c r="M1859" s="11">
        <v>44942.601747685185</v>
      </c>
      <c r="N1859" s="5" t="s">
        <v>42</v>
      </c>
      <c r="O1859" s="5" t="s">
        <v>43</v>
      </c>
      <c r="P1859" s="9"/>
      <c r="Q1859" s="5"/>
      <c r="R1859" s="5"/>
      <c r="S1859" s="5"/>
      <c r="T1859" s="9"/>
      <c r="U1859" s="5"/>
      <c r="V1859" s="5">
        <v>0</v>
      </c>
      <c r="W1859" s="5"/>
      <c r="X1859" s="5"/>
      <c r="Y1859" s="5"/>
      <c r="Z1859" s="5"/>
      <c r="AA1859" s="5" t="s">
        <v>44</v>
      </c>
      <c r="AC1859">
        <f t="shared" si="262"/>
        <v>14</v>
      </c>
      <c r="AD1859" t="str">
        <f t="shared" ref="AD1859:AD1922" si="263">IF(AND(ISNUMBER(S1859), ISNUMBER(I1859)), S1859 - I1859, "")</f>
        <v/>
      </c>
      <c r="AE1859" t="str">
        <f t="shared" ref="AE1859:AE1922" si="264">IF(AND(ISNUMBER(T1859), ISNUMBER(M1859)), T1859-M1859, "")</f>
        <v/>
      </c>
      <c r="AF1859" t="str">
        <f t="shared" ref="AF1859:AF1922" si="265">IF(AND(ISNUMBER(X1859), ISNUMBER(U1859)), X1859-U1859,"")</f>
        <v/>
      </c>
      <c r="AG1859" t="str">
        <f t="shared" ref="AG1859:AG1922" si="266">IF(AND(ISNUMBER(W1859), ISNUMBER(U1859)), W1859-U1859, "")</f>
        <v/>
      </c>
      <c r="AH1859">
        <f t="shared" ref="AH1859:AH1922" si="267">IF(AND(ISNUMBER(I1859), ISNUMBER(H1859)), I1859-H1859,"")</f>
        <v>2</v>
      </c>
      <c r="AI1859" t="str">
        <f t="shared" ref="AI1859:AI1922" si="268">IF(AND(ISNUMBER(J1859),ISNUMBER(K1859)),K1859-J1859,"")</f>
        <v/>
      </c>
      <c r="AJ1859" t="str">
        <f t="shared" ref="AJ1859:AJ1922" si="269">IF(AND(ISNUMBER(J1859),ISNUMBER(I1859)), J1859-I1859,"")</f>
        <v/>
      </c>
    </row>
    <row r="1860" spans="1:36">
      <c r="A1860" s="5">
        <v>2244</v>
      </c>
      <c r="B1860" s="5" t="s">
        <v>293</v>
      </c>
      <c r="C1860" s="5" t="s">
        <v>100</v>
      </c>
      <c r="D1860" s="5" t="s">
        <v>268</v>
      </c>
      <c r="E1860" s="5" t="s">
        <v>291</v>
      </c>
      <c r="F1860" s="5" t="str">
        <f t="shared" si="261"/>
        <v>Program Office-Cordination Manager</v>
      </c>
      <c r="G1860" s="5" t="s">
        <v>270</v>
      </c>
      <c r="H1860" s="9">
        <v>44924.601747685185</v>
      </c>
      <c r="I1860" s="9">
        <v>44925.601747685185</v>
      </c>
      <c r="J1860" s="9" t="e">
        <f>I1860+#REF!</f>
        <v>#REF!</v>
      </c>
      <c r="K1860" s="9" t="e">
        <f>J1860+#REF!</f>
        <v>#REF!</v>
      </c>
      <c r="L1860" s="10" t="s">
        <v>41</v>
      </c>
      <c r="M1860" s="11">
        <v>44941.601747685185</v>
      </c>
      <c r="N1860" s="5" t="s">
        <v>64</v>
      </c>
      <c r="O1860" s="5"/>
      <c r="P1860" s="9">
        <v>44949.601747685185</v>
      </c>
      <c r="Q1860" s="5" t="s">
        <v>64</v>
      </c>
      <c r="R1860" s="9">
        <v>44942.601747685185</v>
      </c>
      <c r="S1860" s="9">
        <v>44945.601747685185</v>
      </c>
      <c r="T1860" s="9">
        <v>44945.601747685185</v>
      </c>
      <c r="U1860" s="9">
        <v>44946.601747685185</v>
      </c>
      <c r="V1860" s="12">
        <v>1</v>
      </c>
      <c r="W1860" s="9">
        <v>44950.601747685185</v>
      </c>
      <c r="X1860" s="9">
        <v>44951.601747685185</v>
      </c>
      <c r="Y1860" s="9">
        <v>44954.601747685185</v>
      </c>
      <c r="Z1860" s="5"/>
      <c r="AA1860" s="5"/>
      <c r="AB1860" s="13">
        <v>44962.601747685185</v>
      </c>
      <c r="AC1860">
        <f t="shared" si="262"/>
        <v>16</v>
      </c>
      <c r="AD1860">
        <f t="shared" si="263"/>
        <v>20</v>
      </c>
      <c r="AE1860">
        <f t="shared" si="264"/>
        <v>4</v>
      </c>
      <c r="AF1860">
        <f t="shared" si="265"/>
        <v>5</v>
      </c>
      <c r="AG1860">
        <f t="shared" si="266"/>
        <v>4</v>
      </c>
      <c r="AH1860">
        <f t="shared" si="267"/>
        <v>1</v>
      </c>
      <c r="AI1860" t="str">
        <f t="shared" si="268"/>
        <v/>
      </c>
      <c r="AJ1860" t="str">
        <f t="shared" si="269"/>
        <v/>
      </c>
    </row>
    <row r="1861" spans="1:36">
      <c r="A1861" s="5">
        <v>2246</v>
      </c>
      <c r="B1861" s="5" t="s">
        <v>594</v>
      </c>
      <c r="C1861" s="5" t="s">
        <v>100</v>
      </c>
      <c r="D1861" s="5" t="s">
        <v>554</v>
      </c>
      <c r="E1861" s="5" t="s">
        <v>51</v>
      </c>
      <c r="F1861" s="5" t="str">
        <f t="shared" si="261"/>
        <v>Program Office-Supervisor</v>
      </c>
      <c r="G1861" s="5" t="s">
        <v>47</v>
      </c>
      <c r="H1861" s="9">
        <v>44924.601747685185</v>
      </c>
      <c r="I1861" s="9">
        <v>44925.601747685185</v>
      </c>
      <c r="J1861" s="9" t="e">
        <f>I1861+#REF!</f>
        <v>#REF!</v>
      </c>
      <c r="K1861" s="9" t="e">
        <f>J1861+#REF!</f>
        <v>#REF!</v>
      </c>
      <c r="L1861" s="10" t="s">
        <v>41</v>
      </c>
      <c r="M1861" s="11">
        <v>44943.601747685185</v>
      </c>
      <c r="N1861" s="5" t="s">
        <v>48</v>
      </c>
      <c r="O1861" s="5"/>
      <c r="P1861" s="9">
        <v>44948.601747685185</v>
      </c>
      <c r="Q1861" s="5" t="s">
        <v>48</v>
      </c>
      <c r="R1861" s="5"/>
      <c r="S1861" s="5"/>
      <c r="T1861" s="9">
        <v>44947.601747685185</v>
      </c>
      <c r="U1861" s="5"/>
      <c r="V1861" s="5">
        <v>0</v>
      </c>
      <c r="W1861" s="5"/>
      <c r="X1861" s="5"/>
      <c r="Y1861" s="5"/>
      <c r="Z1861" s="5"/>
      <c r="AA1861" s="5"/>
      <c r="AC1861">
        <f t="shared" si="262"/>
        <v>18</v>
      </c>
      <c r="AD1861" t="str">
        <f t="shared" si="263"/>
        <v/>
      </c>
      <c r="AE1861">
        <f t="shared" si="264"/>
        <v>4</v>
      </c>
      <c r="AF1861" t="str">
        <f t="shared" si="265"/>
        <v/>
      </c>
      <c r="AG1861" t="str">
        <f t="shared" si="266"/>
        <v/>
      </c>
      <c r="AH1861">
        <f t="shared" si="267"/>
        <v>1</v>
      </c>
      <c r="AI1861" t="str">
        <f t="shared" si="268"/>
        <v/>
      </c>
      <c r="AJ1861" t="str">
        <f t="shared" si="269"/>
        <v/>
      </c>
    </row>
    <row r="1862" spans="1:36">
      <c r="A1862" s="5">
        <v>2248</v>
      </c>
      <c r="B1862" s="5" t="s">
        <v>292</v>
      </c>
      <c r="C1862" s="5" t="s">
        <v>100</v>
      </c>
      <c r="D1862" s="5" t="s">
        <v>268</v>
      </c>
      <c r="E1862" s="5" t="s">
        <v>291</v>
      </c>
      <c r="F1862" s="5" t="str">
        <f t="shared" si="261"/>
        <v>Program Office-Cordination Manager</v>
      </c>
      <c r="G1862" s="5" t="s">
        <v>270</v>
      </c>
      <c r="H1862" s="9">
        <v>44921.601747685185</v>
      </c>
      <c r="I1862" s="9">
        <v>44923.601747685185</v>
      </c>
      <c r="J1862" s="9" t="e">
        <f>I1862+#REF!</f>
        <v>#REF!</v>
      </c>
      <c r="K1862" s="9" t="e">
        <f>J1862+#REF!</f>
        <v>#REF!</v>
      </c>
      <c r="L1862" s="10" t="s">
        <v>41</v>
      </c>
      <c r="M1862" s="11">
        <v>44937.601747685185</v>
      </c>
      <c r="N1862" s="5" t="s">
        <v>42</v>
      </c>
      <c r="O1862" s="5" t="s">
        <v>98</v>
      </c>
      <c r="P1862" s="9"/>
      <c r="Q1862" s="5"/>
      <c r="R1862" s="5"/>
      <c r="S1862" s="5"/>
      <c r="T1862" s="9">
        <v>44938.601747685185</v>
      </c>
      <c r="U1862" s="5"/>
      <c r="V1862" s="5">
        <v>0</v>
      </c>
      <c r="W1862" s="5"/>
      <c r="X1862" s="5"/>
      <c r="Y1862" s="5"/>
      <c r="Z1862" s="5"/>
      <c r="AA1862" s="5" t="s">
        <v>62</v>
      </c>
      <c r="AC1862">
        <f t="shared" si="262"/>
        <v>14</v>
      </c>
      <c r="AD1862" t="str">
        <f t="shared" si="263"/>
        <v/>
      </c>
      <c r="AE1862">
        <f t="shared" si="264"/>
        <v>1</v>
      </c>
      <c r="AF1862" t="str">
        <f t="shared" si="265"/>
        <v/>
      </c>
      <c r="AG1862" t="str">
        <f t="shared" si="266"/>
        <v/>
      </c>
      <c r="AH1862">
        <f t="shared" si="267"/>
        <v>2</v>
      </c>
      <c r="AI1862" t="str">
        <f t="shared" si="268"/>
        <v/>
      </c>
      <c r="AJ1862" t="str">
        <f t="shared" si="269"/>
        <v/>
      </c>
    </row>
    <row r="1863" spans="1:36">
      <c r="A1863" s="5">
        <v>2249</v>
      </c>
      <c r="B1863" s="5" t="s">
        <v>290</v>
      </c>
      <c r="C1863" s="5" t="s">
        <v>100</v>
      </c>
      <c r="D1863" s="5" t="s">
        <v>268</v>
      </c>
      <c r="E1863" s="5" t="s">
        <v>291</v>
      </c>
      <c r="F1863" s="5" t="str">
        <f t="shared" si="261"/>
        <v>Program Office-Cordination Manager</v>
      </c>
      <c r="G1863" s="5" t="s">
        <v>270</v>
      </c>
      <c r="H1863" s="9">
        <v>44919.601747685185</v>
      </c>
      <c r="I1863" s="9">
        <v>44923.601747685185</v>
      </c>
      <c r="J1863" s="9" t="e">
        <f>I1863+#REF!</f>
        <v>#REF!</v>
      </c>
      <c r="K1863" s="9" t="e">
        <f>J1863+#REF!</f>
        <v>#REF!</v>
      </c>
      <c r="L1863" s="10" t="s">
        <v>41</v>
      </c>
      <c r="M1863" s="11">
        <v>44939.601747685185</v>
      </c>
      <c r="N1863" s="5" t="s">
        <v>42</v>
      </c>
      <c r="O1863" s="5" t="s">
        <v>98</v>
      </c>
      <c r="P1863" s="9"/>
      <c r="Q1863" s="5"/>
      <c r="R1863" s="5"/>
      <c r="S1863" s="5"/>
      <c r="T1863" s="9">
        <v>44941.601747685185</v>
      </c>
      <c r="U1863" s="5"/>
      <c r="V1863" s="5">
        <v>0</v>
      </c>
      <c r="W1863" s="5"/>
      <c r="X1863" s="5"/>
      <c r="Y1863" s="5"/>
      <c r="Z1863" s="5"/>
      <c r="AA1863" s="5" t="s">
        <v>62</v>
      </c>
      <c r="AC1863">
        <f t="shared" si="262"/>
        <v>16</v>
      </c>
      <c r="AD1863" t="str">
        <f t="shared" si="263"/>
        <v/>
      </c>
      <c r="AE1863">
        <f t="shared" si="264"/>
        <v>2</v>
      </c>
      <c r="AF1863" t="str">
        <f t="shared" si="265"/>
        <v/>
      </c>
      <c r="AG1863" t="str">
        <f t="shared" si="266"/>
        <v/>
      </c>
      <c r="AH1863">
        <f t="shared" si="267"/>
        <v>4</v>
      </c>
      <c r="AI1863" t="str">
        <f t="shared" si="268"/>
        <v/>
      </c>
      <c r="AJ1863" t="str">
        <f t="shared" si="269"/>
        <v/>
      </c>
    </row>
    <row r="1864" spans="1:36">
      <c r="A1864" s="5">
        <v>2250</v>
      </c>
      <c r="B1864" s="5" t="s">
        <v>115</v>
      </c>
      <c r="C1864" s="5" t="s">
        <v>100</v>
      </c>
      <c r="D1864" s="5" t="s">
        <v>101</v>
      </c>
      <c r="E1864" s="5" t="s">
        <v>102</v>
      </c>
      <c r="F1864" s="5" t="str">
        <f t="shared" si="261"/>
        <v>Program Office-Senior Manager</v>
      </c>
      <c r="G1864" s="5" t="s">
        <v>103</v>
      </c>
      <c r="H1864" s="9">
        <v>44920.601747685185</v>
      </c>
      <c r="I1864" s="9">
        <v>44923.601747685185</v>
      </c>
      <c r="J1864" s="9" t="e">
        <f>I1864+#REF!</f>
        <v>#REF!</v>
      </c>
      <c r="K1864" s="9" t="e">
        <f>J1864+#REF!</f>
        <v>#REF!</v>
      </c>
      <c r="L1864" s="10" t="s">
        <v>41</v>
      </c>
      <c r="M1864" s="11">
        <v>44932.601747685185</v>
      </c>
      <c r="N1864" s="5" t="s">
        <v>42</v>
      </c>
      <c r="O1864" s="5" t="s">
        <v>43</v>
      </c>
      <c r="P1864" s="9"/>
      <c r="Q1864" s="5"/>
      <c r="R1864" s="5"/>
      <c r="S1864" s="5"/>
      <c r="T1864" s="9">
        <v>44933.601747685185</v>
      </c>
      <c r="U1864" s="5"/>
      <c r="V1864" s="5">
        <v>0</v>
      </c>
      <c r="W1864" s="5"/>
      <c r="X1864" s="5"/>
      <c r="Y1864" s="5"/>
      <c r="Z1864" s="5"/>
      <c r="AA1864" s="5" t="s">
        <v>44</v>
      </c>
      <c r="AC1864">
        <f t="shared" si="262"/>
        <v>9</v>
      </c>
      <c r="AD1864" t="str">
        <f t="shared" si="263"/>
        <v/>
      </c>
      <c r="AE1864">
        <f t="shared" si="264"/>
        <v>1</v>
      </c>
      <c r="AF1864" t="str">
        <f t="shared" si="265"/>
        <v/>
      </c>
      <c r="AG1864" t="str">
        <f t="shared" si="266"/>
        <v/>
      </c>
      <c r="AH1864">
        <f t="shared" si="267"/>
        <v>3</v>
      </c>
      <c r="AI1864" t="str">
        <f t="shared" si="268"/>
        <v/>
      </c>
      <c r="AJ1864" t="str">
        <f t="shared" si="269"/>
        <v/>
      </c>
    </row>
    <row r="1865" spans="1:36">
      <c r="A1865" s="5">
        <v>2251</v>
      </c>
      <c r="B1865" s="5" t="s">
        <v>1157</v>
      </c>
      <c r="C1865" s="10" t="s">
        <v>1122</v>
      </c>
      <c r="D1865" s="5" t="s">
        <v>1145</v>
      </c>
      <c r="E1865" s="5" t="s">
        <v>1146</v>
      </c>
      <c r="F1865" s="5" t="str">
        <f t="shared" si="261"/>
        <v>IT-Quality Assurance</v>
      </c>
      <c r="G1865" s="5" t="s">
        <v>147</v>
      </c>
      <c r="H1865" s="9">
        <v>44784.68608796296</v>
      </c>
      <c r="I1865" s="9">
        <v>44785.68608796296</v>
      </c>
      <c r="J1865" s="9" t="e">
        <f>I1865+#REF!</f>
        <v>#REF!</v>
      </c>
      <c r="K1865" s="9" t="e">
        <f>J1865+#REF!</f>
        <v>#REF!</v>
      </c>
      <c r="L1865" s="10" t="s">
        <v>41</v>
      </c>
      <c r="M1865" s="11">
        <v>44793.68608796296</v>
      </c>
      <c r="N1865" s="5" t="s">
        <v>42</v>
      </c>
      <c r="O1865" s="5" t="s">
        <v>58</v>
      </c>
      <c r="P1865" s="9"/>
      <c r="Q1865" s="5"/>
      <c r="R1865" s="5"/>
      <c r="S1865" s="5"/>
      <c r="T1865" s="9"/>
      <c r="U1865" s="5"/>
      <c r="V1865" s="5">
        <v>0</v>
      </c>
      <c r="W1865" s="5"/>
      <c r="X1865" s="5"/>
      <c r="Y1865" s="5"/>
      <c r="Z1865" s="5"/>
      <c r="AA1865" s="5" t="s">
        <v>62</v>
      </c>
      <c r="AC1865">
        <f t="shared" si="262"/>
        <v>8</v>
      </c>
      <c r="AD1865" t="str">
        <f t="shared" si="263"/>
        <v/>
      </c>
      <c r="AE1865" t="str">
        <f t="shared" si="264"/>
        <v/>
      </c>
      <c r="AF1865" t="str">
        <f t="shared" si="265"/>
        <v/>
      </c>
      <c r="AG1865" t="str">
        <f t="shared" si="266"/>
        <v/>
      </c>
      <c r="AH1865">
        <f t="shared" si="267"/>
        <v>1</v>
      </c>
      <c r="AI1865" t="str">
        <f t="shared" si="268"/>
        <v/>
      </c>
      <c r="AJ1865" t="str">
        <f t="shared" si="269"/>
        <v/>
      </c>
    </row>
    <row r="1866" spans="1:36">
      <c r="A1866" s="5">
        <v>2252</v>
      </c>
      <c r="B1866" s="5" t="s">
        <v>1156</v>
      </c>
      <c r="C1866" s="10" t="s">
        <v>1122</v>
      </c>
      <c r="D1866" s="5" t="s">
        <v>1145</v>
      </c>
      <c r="E1866" s="5" t="s">
        <v>1146</v>
      </c>
      <c r="F1866" s="5" t="str">
        <f t="shared" si="261"/>
        <v>IT-Quality Assurance</v>
      </c>
      <c r="G1866" s="5" t="s">
        <v>147</v>
      </c>
      <c r="H1866" s="9">
        <v>44781.68608796296</v>
      </c>
      <c r="I1866" s="9">
        <v>44782.68608796296</v>
      </c>
      <c r="J1866" s="9" t="e">
        <f>I1866+#REF!</f>
        <v>#REF!</v>
      </c>
      <c r="K1866" s="9" t="e">
        <f>J1866+#REF!</f>
        <v>#REF!</v>
      </c>
      <c r="L1866" s="10" t="s">
        <v>41</v>
      </c>
      <c r="M1866" s="11">
        <v>44798.68608796296</v>
      </c>
      <c r="N1866" s="5" t="s">
        <v>64</v>
      </c>
      <c r="O1866" s="5"/>
      <c r="P1866" s="9">
        <v>44802.68608796296</v>
      </c>
      <c r="Q1866" s="5" t="s">
        <v>64</v>
      </c>
      <c r="R1866" s="9">
        <v>44799.68608796296</v>
      </c>
      <c r="S1866" s="9">
        <v>44802.68608796296</v>
      </c>
      <c r="T1866" s="9">
        <v>44801.68608796296</v>
      </c>
      <c r="U1866" s="9">
        <v>44809.68608796296</v>
      </c>
      <c r="V1866" s="12">
        <v>1</v>
      </c>
      <c r="W1866" s="9">
        <v>44812.68608796296</v>
      </c>
      <c r="X1866" s="9">
        <v>44813.68608796296</v>
      </c>
      <c r="Y1866" s="9">
        <v>44815.68608796296</v>
      </c>
      <c r="Z1866" s="5"/>
      <c r="AA1866" s="5"/>
      <c r="AB1866" s="13">
        <v>44833.68608796296</v>
      </c>
      <c r="AC1866">
        <f t="shared" si="262"/>
        <v>16</v>
      </c>
      <c r="AD1866">
        <f t="shared" si="263"/>
        <v>20</v>
      </c>
      <c r="AE1866">
        <f t="shared" si="264"/>
        <v>3</v>
      </c>
      <c r="AF1866">
        <f t="shared" si="265"/>
        <v>4</v>
      </c>
      <c r="AG1866">
        <f t="shared" si="266"/>
        <v>3</v>
      </c>
      <c r="AH1866">
        <f t="shared" si="267"/>
        <v>1</v>
      </c>
      <c r="AI1866" t="str">
        <f t="shared" si="268"/>
        <v/>
      </c>
      <c r="AJ1866" t="str">
        <f t="shared" si="269"/>
        <v/>
      </c>
    </row>
    <row r="1867" spans="1:36">
      <c r="A1867" s="5">
        <v>2253</v>
      </c>
      <c r="B1867" s="5" t="s">
        <v>750</v>
      </c>
      <c r="C1867" s="10" t="s">
        <v>671</v>
      </c>
      <c r="D1867" s="5" t="s">
        <v>747</v>
      </c>
      <c r="E1867" s="5" t="s">
        <v>55</v>
      </c>
      <c r="F1867" s="5" t="str">
        <f t="shared" si="261"/>
        <v>Operations-Director</v>
      </c>
      <c r="G1867" s="5" t="s">
        <v>47</v>
      </c>
      <c r="H1867" s="9">
        <v>44781.68608796296</v>
      </c>
      <c r="I1867" s="9">
        <v>44782.68608796296</v>
      </c>
      <c r="J1867" s="9" t="e">
        <f>I1867+#REF!</f>
        <v>#REF!</v>
      </c>
      <c r="K1867" s="9" t="e">
        <f>J1867+#REF!</f>
        <v>#REF!</v>
      </c>
      <c r="L1867" s="10" t="s">
        <v>52</v>
      </c>
      <c r="M1867" s="11"/>
      <c r="N1867" s="5"/>
      <c r="O1867" s="5"/>
      <c r="P1867" s="9"/>
      <c r="Q1867" s="5"/>
      <c r="R1867" s="5"/>
      <c r="S1867" s="5"/>
      <c r="T1867" s="9"/>
      <c r="U1867" s="5"/>
      <c r="V1867" s="5">
        <v>0</v>
      </c>
      <c r="W1867" s="5"/>
      <c r="X1867" s="5"/>
      <c r="Y1867" s="5"/>
      <c r="Z1867" s="5"/>
      <c r="AA1867" s="5"/>
      <c r="AC1867" t="str">
        <f t="shared" si="262"/>
        <v/>
      </c>
      <c r="AD1867" t="str">
        <f t="shared" si="263"/>
        <v/>
      </c>
      <c r="AE1867" t="str">
        <f t="shared" si="264"/>
        <v/>
      </c>
      <c r="AF1867" t="str">
        <f t="shared" si="265"/>
        <v/>
      </c>
      <c r="AG1867" t="str">
        <f t="shared" si="266"/>
        <v/>
      </c>
      <c r="AH1867">
        <f t="shared" si="267"/>
        <v>1</v>
      </c>
      <c r="AI1867" t="str">
        <f t="shared" si="268"/>
        <v/>
      </c>
      <c r="AJ1867" t="str">
        <f t="shared" si="269"/>
        <v/>
      </c>
    </row>
    <row r="1868" spans="1:36">
      <c r="A1868" s="5">
        <v>2254</v>
      </c>
      <c r="B1868" s="5" t="s">
        <v>1130</v>
      </c>
      <c r="C1868" s="10" t="s">
        <v>1122</v>
      </c>
      <c r="D1868" s="5" t="s">
        <v>1123</v>
      </c>
      <c r="E1868" s="5" t="s">
        <v>102</v>
      </c>
      <c r="F1868" s="5" t="str">
        <f t="shared" si="261"/>
        <v>IT-Senior Manager</v>
      </c>
      <c r="G1868" s="5" t="s">
        <v>103</v>
      </c>
      <c r="H1868" s="9">
        <v>44783.68608796296</v>
      </c>
      <c r="I1868" s="9">
        <v>44784.68608796296</v>
      </c>
      <c r="J1868" s="9" t="e">
        <f>I1868+#REF!</f>
        <v>#REF!</v>
      </c>
      <c r="K1868" s="9" t="e">
        <f>J1868+#REF!</f>
        <v>#REF!</v>
      </c>
      <c r="L1868" s="10" t="s">
        <v>41</v>
      </c>
      <c r="M1868" s="11">
        <v>44798.68608796296</v>
      </c>
      <c r="N1868" s="5" t="s">
        <v>42</v>
      </c>
      <c r="O1868" s="5" t="s">
        <v>43</v>
      </c>
      <c r="P1868" s="9"/>
      <c r="Q1868" s="5"/>
      <c r="R1868" s="5"/>
      <c r="S1868" s="5"/>
      <c r="T1868" s="9"/>
      <c r="U1868" s="5"/>
      <c r="V1868" s="5">
        <v>0</v>
      </c>
      <c r="W1868" s="5"/>
      <c r="X1868" s="5"/>
      <c r="Y1868" s="5"/>
      <c r="Z1868" s="5"/>
      <c r="AA1868" s="5" t="s">
        <v>62</v>
      </c>
      <c r="AC1868">
        <f t="shared" si="262"/>
        <v>14</v>
      </c>
      <c r="AD1868" t="str">
        <f t="shared" si="263"/>
        <v/>
      </c>
      <c r="AE1868" t="str">
        <f t="shared" si="264"/>
        <v/>
      </c>
      <c r="AF1868" t="str">
        <f t="shared" si="265"/>
        <v/>
      </c>
      <c r="AG1868" t="str">
        <f t="shared" si="266"/>
        <v/>
      </c>
      <c r="AH1868">
        <f t="shared" si="267"/>
        <v>1</v>
      </c>
      <c r="AI1868" t="str">
        <f t="shared" si="268"/>
        <v/>
      </c>
      <c r="AJ1868" t="str">
        <f t="shared" si="269"/>
        <v/>
      </c>
    </row>
    <row r="1869" spans="1:36">
      <c r="A1869" s="5">
        <v>2255</v>
      </c>
      <c r="B1869" s="5" t="s">
        <v>676</v>
      </c>
      <c r="C1869" s="10" t="s">
        <v>671</v>
      </c>
      <c r="D1869" s="5" t="s">
        <v>672</v>
      </c>
      <c r="E1869" s="5" t="s">
        <v>673</v>
      </c>
      <c r="F1869" s="5" t="str">
        <f t="shared" si="261"/>
        <v>Operations-Controller</v>
      </c>
      <c r="G1869" s="5" t="s">
        <v>40</v>
      </c>
      <c r="H1869" s="9">
        <v>44783.68608796296</v>
      </c>
      <c r="I1869" s="9">
        <v>44786.68608796296</v>
      </c>
      <c r="J1869" s="9" t="e">
        <f>I1869+#REF!</f>
        <v>#REF!</v>
      </c>
      <c r="K1869" s="9" t="e">
        <f>J1869+#REF!</f>
        <v>#REF!</v>
      </c>
      <c r="L1869" s="10" t="s">
        <v>41</v>
      </c>
      <c r="M1869" s="11">
        <v>44800.68608796296</v>
      </c>
      <c r="N1869" s="5" t="s">
        <v>64</v>
      </c>
      <c r="O1869" s="5"/>
      <c r="P1869" s="9">
        <v>44804.68608796296</v>
      </c>
      <c r="Q1869" s="5" t="s">
        <v>64</v>
      </c>
      <c r="R1869" s="9">
        <v>44802.68608796296</v>
      </c>
      <c r="S1869" s="9">
        <v>44804.68608796296</v>
      </c>
      <c r="T1869" s="9">
        <v>44801.68608796296</v>
      </c>
      <c r="U1869" s="9">
        <v>44811.68608796296</v>
      </c>
      <c r="V1869" s="12">
        <v>1</v>
      </c>
      <c r="W1869" s="9">
        <v>44812.68608796296</v>
      </c>
      <c r="X1869" s="9">
        <v>44815.68608796296</v>
      </c>
      <c r="Y1869" s="9">
        <v>44818.68608796296</v>
      </c>
      <c r="Z1869" s="5"/>
      <c r="AA1869" s="5"/>
      <c r="AB1869" s="13">
        <v>44835.68608796296</v>
      </c>
      <c r="AC1869">
        <f t="shared" si="262"/>
        <v>14</v>
      </c>
      <c r="AD1869">
        <f t="shared" si="263"/>
        <v>18</v>
      </c>
      <c r="AE1869">
        <f t="shared" si="264"/>
        <v>1</v>
      </c>
      <c r="AF1869">
        <f t="shared" si="265"/>
        <v>4</v>
      </c>
      <c r="AG1869">
        <f t="shared" si="266"/>
        <v>1</v>
      </c>
      <c r="AH1869">
        <f t="shared" si="267"/>
        <v>3</v>
      </c>
      <c r="AI1869" t="str">
        <f t="shared" si="268"/>
        <v/>
      </c>
      <c r="AJ1869" t="str">
        <f t="shared" si="269"/>
        <v/>
      </c>
    </row>
    <row r="1870" spans="1:36">
      <c r="A1870" s="5">
        <v>2256</v>
      </c>
      <c r="B1870" s="5" t="s">
        <v>1155</v>
      </c>
      <c r="C1870" s="10" t="s">
        <v>1122</v>
      </c>
      <c r="D1870" s="5" t="s">
        <v>1145</v>
      </c>
      <c r="E1870" s="5" t="s">
        <v>1146</v>
      </c>
      <c r="F1870" s="5" t="str">
        <f t="shared" si="261"/>
        <v>IT-Quality Assurance</v>
      </c>
      <c r="G1870" s="5" t="s">
        <v>147</v>
      </c>
      <c r="H1870" s="9">
        <v>44777.68608796296</v>
      </c>
      <c r="I1870" s="9">
        <v>44781.68608796296</v>
      </c>
      <c r="J1870" s="9" t="e">
        <f>I1870+#REF!</f>
        <v>#REF!</v>
      </c>
      <c r="K1870" s="9" t="e">
        <f>J1870+#REF!</f>
        <v>#REF!</v>
      </c>
      <c r="L1870" s="10" t="s">
        <v>41</v>
      </c>
      <c r="M1870" s="11">
        <v>44790.68608796296</v>
      </c>
      <c r="N1870" s="5" t="s">
        <v>48</v>
      </c>
      <c r="O1870" s="5"/>
      <c r="P1870" s="9">
        <v>44795.68608796296</v>
      </c>
      <c r="Q1870" s="5" t="s">
        <v>48</v>
      </c>
      <c r="R1870" s="5"/>
      <c r="S1870" s="5"/>
      <c r="T1870" s="9">
        <v>44793.68608796296</v>
      </c>
      <c r="U1870" s="5"/>
      <c r="V1870" s="5">
        <v>0</v>
      </c>
      <c r="W1870" s="5"/>
      <c r="X1870" s="5"/>
      <c r="Y1870" s="5"/>
      <c r="Z1870" s="5"/>
      <c r="AA1870" s="5"/>
      <c r="AC1870">
        <f t="shared" si="262"/>
        <v>9</v>
      </c>
      <c r="AD1870" t="str">
        <f t="shared" si="263"/>
        <v/>
      </c>
      <c r="AE1870">
        <f t="shared" si="264"/>
        <v>3</v>
      </c>
      <c r="AF1870" t="str">
        <f t="shared" si="265"/>
        <v/>
      </c>
      <c r="AG1870" t="str">
        <f t="shared" si="266"/>
        <v/>
      </c>
      <c r="AH1870">
        <f t="shared" si="267"/>
        <v>4</v>
      </c>
      <c r="AI1870" t="str">
        <f t="shared" si="268"/>
        <v/>
      </c>
      <c r="AJ1870" t="str">
        <f t="shared" si="269"/>
        <v/>
      </c>
    </row>
    <row r="1871" spans="1:36">
      <c r="A1871" s="5">
        <v>2257</v>
      </c>
      <c r="B1871" s="5" t="s">
        <v>1296</v>
      </c>
      <c r="C1871" s="10" t="s">
        <v>1215</v>
      </c>
      <c r="D1871" s="5" t="s">
        <v>1287</v>
      </c>
      <c r="E1871" s="5" t="s">
        <v>1146</v>
      </c>
      <c r="F1871" s="5" t="str">
        <f t="shared" si="261"/>
        <v>HR-Quality Assurance</v>
      </c>
      <c r="G1871" s="5" t="s">
        <v>47</v>
      </c>
      <c r="H1871" s="9">
        <v>44781.68608796296</v>
      </c>
      <c r="I1871" s="9">
        <v>44782.68608796296</v>
      </c>
      <c r="J1871" s="9" t="e">
        <f>I1871+#REF!</f>
        <v>#REF!</v>
      </c>
      <c r="K1871" s="9" t="e">
        <f>J1871+#REF!</f>
        <v>#REF!</v>
      </c>
      <c r="L1871" s="10" t="s">
        <v>41</v>
      </c>
      <c r="M1871" s="11">
        <v>44796.68608796296</v>
      </c>
      <c r="N1871" s="5" t="s">
        <v>64</v>
      </c>
      <c r="O1871" s="5"/>
      <c r="P1871" s="9">
        <v>44801.68608796296</v>
      </c>
      <c r="Q1871" s="5" t="s">
        <v>64</v>
      </c>
      <c r="R1871" s="9">
        <v>44797.68608796296</v>
      </c>
      <c r="S1871" s="9">
        <v>44798.68608796296</v>
      </c>
      <c r="T1871" s="9">
        <v>44799.68608796296</v>
      </c>
      <c r="U1871" s="9">
        <v>44802.68608796296</v>
      </c>
      <c r="V1871" s="12">
        <v>1</v>
      </c>
      <c r="W1871" s="9">
        <v>44806.68608796296</v>
      </c>
      <c r="X1871" s="9">
        <v>44809.68608796296</v>
      </c>
      <c r="Y1871" s="9">
        <v>44810.68608796296</v>
      </c>
      <c r="Z1871" s="5"/>
      <c r="AA1871" s="5"/>
      <c r="AB1871" s="13">
        <v>44822.68608796296</v>
      </c>
      <c r="AC1871">
        <f t="shared" si="262"/>
        <v>14</v>
      </c>
      <c r="AD1871">
        <f t="shared" si="263"/>
        <v>16</v>
      </c>
      <c r="AE1871">
        <f t="shared" si="264"/>
        <v>3</v>
      </c>
      <c r="AF1871">
        <f t="shared" si="265"/>
        <v>7</v>
      </c>
      <c r="AG1871">
        <f t="shared" si="266"/>
        <v>4</v>
      </c>
      <c r="AH1871">
        <f t="shared" si="267"/>
        <v>1</v>
      </c>
      <c r="AI1871" t="str">
        <f t="shared" si="268"/>
        <v/>
      </c>
      <c r="AJ1871" t="str">
        <f t="shared" si="269"/>
        <v/>
      </c>
    </row>
    <row r="1872" spans="1:36">
      <c r="A1872" s="5">
        <v>2258</v>
      </c>
      <c r="B1872" s="5" t="s">
        <v>1295</v>
      </c>
      <c r="C1872" s="10" t="s">
        <v>1215</v>
      </c>
      <c r="D1872" s="5" t="s">
        <v>1287</v>
      </c>
      <c r="E1872" s="5" t="s">
        <v>1146</v>
      </c>
      <c r="F1872" s="5" t="str">
        <f t="shared" si="261"/>
        <v>HR-Quality Assurance</v>
      </c>
      <c r="G1872" s="5" t="s">
        <v>47</v>
      </c>
      <c r="H1872" s="9">
        <v>44780.68608796296</v>
      </c>
      <c r="I1872" s="9">
        <v>44781.68608796296</v>
      </c>
      <c r="J1872" s="9" t="e">
        <f>I1872+#REF!</f>
        <v>#REF!</v>
      </c>
      <c r="K1872" s="9" t="e">
        <f>J1872+#REF!</f>
        <v>#REF!</v>
      </c>
      <c r="L1872" s="10" t="s">
        <v>41</v>
      </c>
      <c r="M1872" s="11">
        <v>44801.68608796296</v>
      </c>
      <c r="N1872" s="5" t="s">
        <v>42</v>
      </c>
      <c r="O1872" s="5" t="s">
        <v>73</v>
      </c>
      <c r="P1872" s="9"/>
      <c r="Q1872" s="5"/>
      <c r="R1872" s="5"/>
      <c r="S1872" s="5"/>
      <c r="T1872" s="9"/>
      <c r="U1872" s="5"/>
      <c r="V1872" s="5">
        <v>0</v>
      </c>
      <c r="W1872" s="5"/>
      <c r="X1872" s="5"/>
      <c r="Y1872" s="5"/>
      <c r="Z1872" s="5"/>
      <c r="AA1872" s="5" t="s">
        <v>62</v>
      </c>
      <c r="AC1872">
        <f t="shared" si="262"/>
        <v>20</v>
      </c>
      <c r="AD1872" t="str">
        <f t="shared" si="263"/>
        <v/>
      </c>
      <c r="AE1872" t="str">
        <f t="shared" si="264"/>
        <v/>
      </c>
      <c r="AF1872" t="str">
        <f t="shared" si="265"/>
        <v/>
      </c>
      <c r="AG1872" t="str">
        <f t="shared" si="266"/>
        <v/>
      </c>
      <c r="AH1872">
        <f t="shared" si="267"/>
        <v>1</v>
      </c>
      <c r="AI1872" t="str">
        <f t="shared" si="268"/>
        <v/>
      </c>
      <c r="AJ1872" t="str">
        <f t="shared" si="269"/>
        <v/>
      </c>
    </row>
    <row r="1873" spans="1:36">
      <c r="A1873" s="5">
        <v>2259</v>
      </c>
      <c r="B1873" s="5" t="s">
        <v>1224</v>
      </c>
      <c r="C1873" s="10" t="s">
        <v>1215</v>
      </c>
      <c r="D1873" s="5" t="s">
        <v>1216</v>
      </c>
      <c r="E1873" s="5" t="s">
        <v>1217</v>
      </c>
      <c r="F1873" s="5" t="str">
        <f t="shared" si="261"/>
        <v>HR-Specialist</v>
      </c>
      <c r="G1873" s="5" t="s">
        <v>270</v>
      </c>
      <c r="H1873" s="9">
        <v>44777.68608796296</v>
      </c>
      <c r="I1873" s="9">
        <v>44781.68608796296</v>
      </c>
      <c r="J1873" s="9" t="e">
        <f>I1873+#REF!</f>
        <v>#REF!</v>
      </c>
      <c r="K1873" s="9" t="e">
        <f>J1873+#REF!</f>
        <v>#REF!</v>
      </c>
      <c r="L1873" s="10" t="s">
        <v>41</v>
      </c>
      <c r="M1873" s="11">
        <v>44795.68608796296</v>
      </c>
      <c r="N1873" s="5" t="s">
        <v>42</v>
      </c>
      <c r="O1873" s="5" t="s">
        <v>58</v>
      </c>
      <c r="P1873" s="9"/>
      <c r="Q1873" s="5"/>
      <c r="R1873" s="5"/>
      <c r="S1873" s="5"/>
      <c r="T1873" s="9">
        <v>44798.68608796296</v>
      </c>
      <c r="U1873" s="5"/>
      <c r="V1873" s="5">
        <v>0</v>
      </c>
      <c r="W1873" s="5"/>
      <c r="X1873" s="5"/>
      <c r="Y1873" s="5"/>
      <c r="Z1873" s="5"/>
      <c r="AA1873" s="5" t="s">
        <v>62</v>
      </c>
      <c r="AC1873">
        <f t="shared" si="262"/>
        <v>14</v>
      </c>
      <c r="AD1873" t="str">
        <f t="shared" si="263"/>
        <v/>
      </c>
      <c r="AE1873">
        <f t="shared" si="264"/>
        <v>3</v>
      </c>
      <c r="AF1873" t="str">
        <f t="shared" si="265"/>
        <v/>
      </c>
      <c r="AG1873" t="str">
        <f t="shared" si="266"/>
        <v/>
      </c>
      <c r="AH1873">
        <f t="shared" si="267"/>
        <v>4</v>
      </c>
      <c r="AI1873" t="str">
        <f t="shared" si="268"/>
        <v/>
      </c>
      <c r="AJ1873" t="str">
        <f t="shared" si="269"/>
        <v/>
      </c>
    </row>
    <row r="1874" spans="1:36">
      <c r="A1874" s="5">
        <v>2261</v>
      </c>
      <c r="B1874" s="5" t="s">
        <v>422</v>
      </c>
      <c r="C1874" s="5" t="s">
        <v>100</v>
      </c>
      <c r="D1874" s="5" t="s">
        <v>387</v>
      </c>
      <c r="E1874" s="5" t="s">
        <v>388</v>
      </c>
      <c r="F1874" s="5" t="str">
        <f t="shared" si="261"/>
        <v>Program Office-Extension Officer</v>
      </c>
      <c r="G1874" s="5" t="s">
        <v>40</v>
      </c>
      <c r="H1874" s="9">
        <v>45027.937696759262</v>
      </c>
      <c r="I1874" s="9">
        <v>45031.937696759262</v>
      </c>
      <c r="J1874" s="9" t="e">
        <f>I1874+#REF!</f>
        <v>#REF!</v>
      </c>
      <c r="K1874" s="9" t="e">
        <f>J1874+#REF!</f>
        <v>#REF!</v>
      </c>
      <c r="L1874" s="10" t="s">
        <v>41</v>
      </c>
      <c r="M1874" s="11">
        <v>45041.937696759262</v>
      </c>
      <c r="N1874" s="5" t="s">
        <v>42</v>
      </c>
      <c r="O1874" s="5" t="s">
        <v>43</v>
      </c>
      <c r="P1874" s="9"/>
      <c r="Q1874" s="5"/>
      <c r="R1874" s="5"/>
      <c r="S1874" s="5"/>
      <c r="T1874" s="9">
        <v>45045.937696759262</v>
      </c>
      <c r="U1874" s="5"/>
      <c r="V1874" s="5">
        <v>0</v>
      </c>
      <c r="W1874" s="5"/>
      <c r="X1874" s="5"/>
      <c r="Y1874" s="5"/>
      <c r="Z1874" s="5"/>
      <c r="AA1874" s="5" t="s">
        <v>44</v>
      </c>
      <c r="AC1874">
        <f t="shared" si="262"/>
        <v>10</v>
      </c>
      <c r="AD1874" t="str">
        <f t="shared" si="263"/>
        <v/>
      </c>
      <c r="AE1874">
        <f t="shared" si="264"/>
        <v>4</v>
      </c>
      <c r="AF1874" t="str">
        <f t="shared" si="265"/>
        <v/>
      </c>
      <c r="AG1874" t="str">
        <f t="shared" si="266"/>
        <v/>
      </c>
      <c r="AH1874">
        <f t="shared" si="267"/>
        <v>4</v>
      </c>
      <c r="AI1874" t="str">
        <f t="shared" si="268"/>
        <v/>
      </c>
      <c r="AJ1874" t="str">
        <f t="shared" si="269"/>
        <v/>
      </c>
    </row>
    <row r="1875" spans="1:36">
      <c r="A1875" s="5">
        <v>2262</v>
      </c>
      <c r="B1875" s="5" t="s">
        <v>289</v>
      </c>
      <c r="C1875" s="5" t="s">
        <v>100</v>
      </c>
      <c r="D1875" s="5" t="s">
        <v>268</v>
      </c>
      <c r="E1875" s="5" t="s">
        <v>269</v>
      </c>
      <c r="F1875" s="5" t="str">
        <f t="shared" si="261"/>
        <v>Program Office-Manager</v>
      </c>
      <c r="G1875" s="5" t="s">
        <v>270</v>
      </c>
      <c r="H1875" s="9">
        <v>45031.937696759262</v>
      </c>
      <c r="I1875" s="9">
        <v>45035.937696759262</v>
      </c>
      <c r="J1875" s="9" t="e">
        <f>I1875+#REF!</f>
        <v>#REF!</v>
      </c>
      <c r="K1875" s="9" t="e">
        <f>J1875+#REF!</f>
        <v>#REF!</v>
      </c>
      <c r="L1875" s="10" t="s">
        <v>52</v>
      </c>
      <c r="M1875" s="11"/>
      <c r="N1875" s="5"/>
      <c r="O1875" s="5"/>
      <c r="P1875" s="9"/>
      <c r="Q1875" s="5"/>
      <c r="R1875" s="5"/>
      <c r="S1875" s="5"/>
      <c r="T1875" s="9"/>
      <c r="U1875" s="5"/>
      <c r="V1875" s="5">
        <v>0</v>
      </c>
      <c r="W1875" s="5"/>
      <c r="X1875" s="5"/>
      <c r="Y1875" s="5"/>
      <c r="Z1875" s="5"/>
      <c r="AA1875" s="5"/>
      <c r="AC1875" t="str">
        <f t="shared" si="262"/>
        <v/>
      </c>
      <c r="AD1875" t="str">
        <f t="shared" si="263"/>
        <v/>
      </c>
      <c r="AE1875" t="str">
        <f t="shared" si="264"/>
        <v/>
      </c>
      <c r="AF1875" t="str">
        <f t="shared" si="265"/>
        <v/>
      </c>
      <c r="AG1875" t="str">
        <f t="shared" si="266"/>
        <v/>
      </c>
      <c r="AH1875">
        <f t="shared" si="267"/>
        <v>4</v>
      </c>
      <c r="AI1875" t="str">
        <f t="shared" si="268"/>
        <v/>
      </c>
      <c r="AJ1875" t="str">
        <f t="shared" si="269"/>
        <v/>
      </c>
    </row>
    <row r="1876" spans="1:36">
      <c r="A1876" s="5">
        <v>2263</v>
      </c>
      <c r="B1876" s="5" t="s">
        <v>177</v>
      </c>
      <c r="C1876" s="5" t="s">
        <v>100</v>
      </c>
      <c r="D1876" s="5" t="s">
        <v>146</v>
      </c>
      <c r="E1876" s="5" t="s">
        <v>39</v>
      </c>
      <c r="F1876" s="5" t="str">
        <f t="shared" si="261"/>
        <v>Program Office-Analyst</v>
      </c>
      <c r="G1876" s="5" t="s">
        <v>147</v>
      </c>
      <c r="H1876" s="9">
        <v>45030.937696759262</v>
      </c>
      <c r="I1876" s="9">
        <v>45034.937696759262</v>
      </c>
      <c r="J1876" s="9" t="e">
        <f>I1876+#REF!</f>
        <v>#REF!</v>
      </c>
      <c r="K1876" s="9" t="e">
        <f>J1876+#REF!</f>
        <v>#REF!</v>
      </c>
      <c r="L1876" s="10" t="s">
        <v>41</v>
      </c>
      <c r="M1876" s="11">
        <v>45053.937696759262</v>
      </c>
      <c r="N1876" s="5" t="s">
        <v>48</v>
      </c>
      <c r="O1876" s="5"/>
      <c r="P1876" s="9">
        <v>45059.937696759262</v>
      </c>
      <c r="Q1876" s="5" t="s">
        <v>48</v>
      </c>
      <c r="R1876" s="5"/>
      <c r="S1876" s="5"/>
      <c r="T1876" s="9">
        <v>45056.937696759262</v>
      </c>
      <c r="U1876" s="5"/>
      <c r="V1876" s="5">
        <v>0</v>
      </c>
      <c r="W1876" s="5"/>
      <c r="X1876" s="5"/>
      <c r="Y1876" s="5"/>
      <c r="Z1876" s="5"/>
      <c r="AA1876" s="5"/>
      <c r="AC1876">
        <f t="shared" si="262"/>
        <v>19</v>
      </c>
      <c r="AD1876" t="str">
        <f t="shared" si="263"/>
        <v/>
      </c>
      <c r="AE1876">
        <f t="shared" si="264"/>
        <v>3</v>
      </c>
      <c r="AF1876" t="str">
        <f t="shared" si="265"/>
        <v/>
      </c>
      <c r="AG1876" t="str">
        <f t="shared" si="266"/>
        <v/>
      </c>
      <c r="AH1876">
        <f t="shared" si="267"/>
        <v>4</v>
      </c>
      <c r="AI1876" t="str">
        <f t="shared" si="268"/>
        <v/>
      </c>
      <c r="AJ1876" t="str">
        <f t="shared" si="269"/>
        <v/>
      </c>
    </row>
    <row r="1877" spans="1:36">
      <c r="A1877" s="5">
        <v>2265</v>
      </c>
      <c r="B1877" s="5" t="s">
        <v>508</v>
      </c>
      <c r="C1877" s="5" t="s">
        <v>100</v>
      </c>
      <c r="D1877" s="5" t="s">
        <v>506</v>
      </c>
      <c r="E1877" s="5" t="s">
        <v>55</v>
      </c>
      <c r="F1877" s="5" t="str">
        <f t="shared" si="261"/>
        <v>Program Office-Director</v>
      </c>
      <c r="G1877" s="5" t="s">
        <v>56</v>
      </c>
      <c r="H1877" s="9">
        <v>45030.937696759262</v>
      </c>
      <c r="I1877" s="9">
        <v>45032.937696759262</v>
      </c>
      <c r="J1877" s="9" t="e">
        <f>I1877+#REF!</f>
        <v>#REF!</v>
      </c>
      <c r="K1877" s="9" t="e">
        <f>J1877+#REF!</f>
        <v>#REF!</v>
      </c>
      <c r="L1877" s="10" t="s">
        <v>52</v>
      </c>
      <c r="M1877" s="11"/>
      <c r="N1877" s="5"/>
      <c r="O1877" s="5"/>
      <c r="P1877" s="9"/>
      <c r="Q1877" s="5"/>
      <c r="R1877" s="5"/>
      <c r="S1877" s="5"/>
      <c r="T1877" s="9"/>
      <c r="U1877" s="5"/>
      <c r="V1877" s="5">
        <v>0</v>
      </c>
      <c r="W1877" s="5"/>
      <c r="X1877" s="5"/>
      <c r="Y1877" s="5"/>
      <c r="Z1877" s="5"/>
      <c r="AA1877" s="5"/>
      <c r="AC1877" t="str">
        <f t="shared" si="262"/>
        <v/>
      </c>
      <c r="AD1877" t="str">
        <f t="shared" si="263"/>
        <v/>
      </c>
      <c r="AE1877" t="str">
        <f t="shared" si="264"/>
        <v/>
      </c>
      <c r="AF1877" t="str">
        <f t="shared" si="265"/>
        <v/>
      </c>
      <c r="AG1877" t="str">
        <f t="shared" si="266"/>
        <v/>
      </c>
      <c r="AH1877">
        <f t="shared" si="267"/>
        <v>2</v>
      </c>
      <c r="AI1877" t="str">
        <f t="shared" si="268"/>
        <v/>
      </c>
      <c r="AJ1877" t="str">
        <f t="shared" si="269"/>
        <v/>
      </c>
    </row>
    <row r="1878" spans="1:36">
      <c r="A1878" s="5">
        <v>2266</v>
      </c>
      <c r="B1878" s="5" t="s">
        <v>421</v>
      </c>
      <c r="C1878" s="5" t="s">
        <v>100</v>
      </c>
      <c r="D1878" s="5" t="s">
        <v>387</v>
      </c>
      <c r="E1878" s="5" t="s">
        <v>388</v>
      </c>
      <c r="F1878" s="5" t="str">
        <f t="shared" si="261"/>
        <v>Program Office-Extension Officer</v>
      </c>
      <c r="G1878" s="5" t="s">
        <v>40</v>
      </c>
      <c r="H1878" s="9">
        <v>45030.937696759262</v>
      </c>
      <c r="I1878" s="9">
        <v>45032.937696759262</v>
      </c>
      <c r="J1878" s="9" t="e">
        <f>I1878+#REF!</f>
        <v>#REF!</v>
      </c>
      <c r="K1878" s="9" t="e">
        <f>J1878+#REF!</f>
        <v>#REF!</v>
      </c>
      <c r="L1878" s="10" t="s">
        <v>52</v>
      </c>
      <c r="M1878" s="11"/>
      <c r="N1878" s="5"/>
      <c r="O1878" s="5"/>
      <c r="P1878" s="9"/>
      <c r="Q1878" s="5"/>
      <c r="R1878" s="5"/>
      <c r="S1878" s="5"/>
      <c r="T1878" s="9"/>
      <c r="U1878" s="5"/>
      <c r="V1878" s="5">
        <v>0</v>
      </c>
      <c r="W1878" s="5"/>
      <c r="X1878" s="5"/>
      <c r="Y1878" s="5"/>
      <c r="Z1878" s="5"/>
      <c r="AA1878" s="5"/>
      <c r="AC1878" t="str">
        <f t="shared" si="262"/>
        <v/>
      </c>
      <c r="AD1878" t="str">
        <f t="shared" si="263"/>
        <v/>
      </c>
      <c r="AE1878" t="str">
        <f t="shared" si="264"/>
        <v/>
      </c>
      <c r="AF1878" t="str">
        <f t="shared" si="265"/>
        <v/>
      </c>
      <c r="AG1878" t="str">
        <f t="shared" si="266"/>
        <v/>
      </c>
      <c r="AH1878">
        <f t="shared" si="267"/>
        <v>2</v>
      </c>
      <c r="AI1878" t="str">
        <f t="shared" si="268"/>
        <v/>
      </c>
      <c r="AJ1878" t="str">
        <f t="shared" si="269"/>
        <v/>
      </c>
    </row>
    <row r="1879" spans="1:36">
      <c r="A1879" s="5">
        <v>2267</v>
      </c>
      <c r="B1879" s="5" t="s">
        <v>176</v>
      </c>
      <c r="C1879" s="5" t="s">
        <v>100</v>
      </c>
      <c r="D1879" s="5" t="s">
        <v>146</v>
      </c>
      <c r="E1879" s="5" t="s">
        <v>39</v>
      </c>
      <c r="F1879" s="5" t="str">
        <f t="shared" si="261"/>
        <v>Program Office-Analyst</v>
      </c>
      <c r="G1879" s="5" t="s">
        <v>147</v>
      </c>
      <c r="H1879" s="9">
        <v>45027.937696759262</v>
      </c>
      <c r="I1879" s="9">
        <v>45030.937696759262</v>
      </c>
      <c r="J1879" s="9" t="e">
        <f>I1879+#REF!</f>
        <v>#REF!</v>
      </c>
      <c r="K1879" s="9" t="e">
        <f>J1879+#REF!</f>
        <v>#REF!</v>
      </c>
      <c r="L1879" s="10" t="s">
        <v>41</v>
      </c>
      <c r="M1879" s="11">
        <v>45038.937696759262</v>
      </c>
      <c r="N1879" s="5" t="s">
        <v>42</v>
      </c>
      <c r="O1879" s="5" t="s">
        <v>73</v>
      </c>
      <c r="P1879" s="9"/>
      <c r="Q1879" s="5"/>
      <c r="R1879" s="5"/>
      <c r="S1879" s="5"/>
      <c r="T1879" s="9"/>
      <c r="U1879" s="5"/>
      <c r="V1879" s="5">
        <v>0</v>
      </c>
      <c r="W1879" s="5"/>
      <c r="X1879" s="5"/>
      <c r="Y1879" s="5"/>
      <c r="Z1879" s="5"/>
      <c r="AA1879" s="5" t="s">
        <v>62</v>
      </c>
      <c r="AC1879">
        <f t="shared" si="262"/>
        <v>8</v>
      </c>
      <c r="AD1879" t="str">
        <f t="shared" si="263"/>
        <v/>
      </c>
      <c r="AE1879" t="str">
        <f t="shared" si="264"/>
        <v/>
      </c>
      <c r="AF1879" t="str">
        <f t="shared" si="265"/>
        <v/>
      </c>
      <c r="AG1879" t="str">
        <f t="shared" si="266"/>
        <v/>
      </c>
      <c r="AH1879">
        <f t="shared" si="267"/>
        <v>3</v>
      </c>
      <c r="AI1879" t="str">
        <f t="shared" si="268"/>
        <v/>
      </c>
      <c r="AJ1879" t="str">
        <f t="shared" si="269"/>
        <v/>
      </c>
    </row>
    <row r="1880" spans="1:36">
      <c r="A1880" s="5">
        <v>2268</v>
      </c>
      <c r="B1880" s="5" t="s">
        <v>420</v>
      </c>
      <c r="C1880" s="5" t="s">
        <v>100</v>
      </c>
      <c r="D1880" s="5" t="s">
        <v>387</v>
      </c>
      <c r="E1880" s="5" t="s">
        <v>388</v>
      </c>
      <c r="F1880" s="5" t="str">
        <f t="shared" si="261"/>
        <v>Program Office-Extension Officer</v>
      </c>
      <c r="G1880" s="5" t="s">
        <v>40</v>
      </c>
      <c r="H1880" s="9">
        <v>45026.937696759262</v>
      </c>
      <c r="I1880" s="9">
        <v>45030.937696759262</v>
      </c>
      <c r="J1880" s="9" t="e">
        <f>I1880+#REF!</f>
        <v>#REF!</v>
      </c>
      <c r="K1880" s="9" t="e">
        <f>J1880+#REF!</f>
        <v>#REF!</v>
      </c>
      <c r="L1880" s="10" t="s">
        <v>41</v>
      </c>
      <c r="M1880" s="11">
        <v>45052.937696759262</v>
      </c>
      <c r="N1880" s="5" t="s">
        <v>42</v>
      </c>
      <c r="O1880" s="5" t="s">
        <v>113</v>
      </c>
      <c r="P1880" s="9"/>
      <c r="Q1880" s="5"/>
      <c r="R1880" s="5"/>
      <c r="S1880" s="5"/>
      <c r="T1880" s="9">
        <v>45056.937696759262</v>
      </c>
      <c r="U1880" s="5"/>
      <c r="V1880" s="5">
        <v>0</v>
      </c>
      <c r="W1880" s="5"/>
      <c r="X1880" s="5"/>
      <c r="Y1880" s="5"/>
      <c r="Z1880" s="5"/>
      <c r="AA1880" s="5" t="s">
        <v>62</v>
      </c>
      <c r="AC1880">
        <f t="shared" si="262"/>
        <v>22</v>
      </c>
      <c r="AD1880" t="str">
        <f t="shared" si="263"/>
        <v/>
      </c>
      <c r="AE1880">
        <f t="shared" si="264"/>
        <v>4</v>
      </c>
      <c r="AF1880" t="str">
        <f t="shared" si="265"/>
        <v/>
      </c>
      <c r="AG1880" t="str">
        <f t="shared" si="266"/>
        <v/>
      </c>
      <c r="AH1880">
        <f t="shared" si="267"/>
        <v>4</v>
      </c>
      <c r="AI1880" t="str">
        <f t="shared" si="268"/>
        <v/>
      </c>
      <c r="AJ1880" t="str">
        <f t="shared" si="269"/>
        <v/>
      </c>
    </row>
    <row r="1881" spans="1:36">
      <c r="A1881" s="5">
        <v>2271</v>
      </c>
      <c r="B1881" s="5" t="s">
        <v>2002</v>
      </c>
      <c r="C1881" s="5" t="s">
        <v>1540</v>
      </c>
      <c r="D1881" s="5" t="s">
        <v>1985</v>
      </c>
      <c r="E1881" s="5" t="s">
        <v>1986</v>
      </c>
      <c r="F1881" s="5" t="str">
        <f t="shared" si="261"/>
        <v>Finance-Revenue Recorgnition</v>
      </c>
      <c r="G1881" s="5" t="s">
        <v>47</v>
      </c>
      <c r="H1881" s="9">
        <v>45167.90388888889</v>
      </c>
      <c r="I1881" s="9">
        <v>45168.90388888889</v>
      </c>
      <c r="J1881" s="9" t="e">
        <f>I1881+#REF!</f>
        <v>#REF!</v>
      </c>
      <c r="K1881" s="9" t="e">
        <f>J1881+#REF!</f>
        <v>#REF!</v>
      </c>
      <c r="L1881" s="10" t="s">
        <v>41</v>
      </c>
      <c r="M1881" s="11">
        <v>45173.90388888889</v>
      </c>
      <c r="N1881" s="5" t="s">
        <v>64</v>
      </c>
      <c r="O1881" s="5"/>
      <c r="P1881" s="9">
        <v>45178.90388888889</v>
      </c>
      <c r="Q1881" s="5" t="s">
        <v>64</v>
      </c>
      <c r="R1881" s="9">
        <v>45174.90388888889</v>
      </c>
      <c r="S1881" s="9">
        <v>45175.90388888889</v>
      </c>
      <c r="T1881" s="9">
        <v>45175.90388888889</v>
      </c>
      <c r="U1881" s="9">
        <v>45182.90388888889</v>
      </c>
      <c r="V1881" s="12">
        <v>1</v>
      </c>
      <c r="W1881" s="9">
        <v>45184.90388888889</v>
      </c>
      <c r="X1881" s="9">
        <v>45185.90388888889</v>
      </c>
      <c r="Y1881" s="9">
        <v>45188.90388888889</v>
      </c>
      <c r="Z1881" s="5"/>
      <c r="AA1881" s="5"/>
      <c r="AB1881" s="13">
        <v>45209.90388888889</v>
      </c>
      <c r="AC1881">
        <f t="shared" si="262"/>
        <v>5</v>
      </c>
      <c r="AD1881">
        <f t="shared" si="263"/>
        <v>7</v>
      </c>
      <c r="AE1881">
        <f t="shared" si="264"/>
        <v>2</v>
      </c>
      <c r="AF1881">
        <f t="shared" si="265"/>
        <v>3</v>
      </c>
      <c r="AG1881">
        <f t="shared" si="266"/>
        <v>2</v>
      </c>
      <c r="AH1881">
        <f t="shared" si="267"/>
        <v>1</v>
      </c>
      <c r="AI1881" t="str">
        <f t="shared" si="268"/>
        <v/>
      </c>
      <c r="AJ1881" t="str">
        <f t="shared" si="269"/>
        <v/>
      </c>
    </row>
    <row r="1882" spans="1:36">
      <c r="A1882" s="5">
        <v>2276</v>
      </c>
      <c r="B1882" s="5" t="s">
        <v>1850</v>
      </c>
      <c r="C1882" s="5" t="s">
        <v>1540</v>
      </c>
      <c r="D1882" s="5" t="s">
        <v>1820</v>
      </c>
      <c r="E1882" s="5" t="s">
        <v>39</v>
      </c>
      <c r="F1882" s="5" t="str">
        <f t="shared" si="261"/>
        <v>Finance-Analyst</v>
      </c>
      <c r="G1882" s="5" t="s">
        <v>40</v>
      </c>
      <c r="H1882" s="9">
        <v>45164.90388888889</v>
      </c>
      <c r="I1882" s="9">
        <v>45167.90388888889</v>
      </c>
      <c r="J1882" s="9" t="e">
        <f>I1882+#REF!</f>
        <v>#REF!</v>
      </c>
      <c r="K1882" s="9" t="e">
        <f>J1882+#REF!</f>
        <v>#REF!</v>
      </c>
      <c r="L1882" s="10" t="s">
        <v>41</v>
      </c>
      <c r="M1882" s="11">
        <v>45174.90388888889</v>
      </c>
      <c r="N1882" s="5" t="s">
        <v>42</v>
      </c>
      <c r="O1882" s="5" t="s">
        <v>113</v>
      </c>
      <c r="P1882" s="9"/>
      <c r="Q1882" s="5"/>
      <c r="R1882" s="5"/>
      <c r="S1882" s="5"/>
      <c r="T1882" s="9">
        <v>45175.90388888889</v>
      </c>
      <c r="U1882" s="5"/>
      <c r="V1882" s="5">
        <v>0</v>
      </c>
      <c r="W1882" s="5"/>
      <c r="X1882" s="5"/>
      <c r="Y1882" s="5"/>
      <c r="Z1882" s="5"/>
      <c r="AA1882" s="5" t="s">
        <v>62</v>
      </c>
      <c r="AC1882">
        <f t="shared" si="262"/>
        <v>7</v>
      </c>
      <c r="AD1882" t="str">
        <f t="shared" si="263"/>
        <v/>
      </c>
      <c r="AE1882">
        <f t="shared" si="264"/>
        <v>1</v>
      </c>
      <c r="AF1882" t="str">
        <f t="shared" si="265"/>
        <v/>
      </c>
      <c r="AG1882" t="str">
        <f t="shared" si="266"/>
        <v/>
      </c>
      <c r="AH1882">
        <f t="shared" si="267"/>
        <v>3</v>
      </c>
      <c r="AI1882" t="str">
        <f t="shared" si="268"/>
        <v/>
      </c>
      <c r="AJ1882" t="str">
        <f t="shared" si="269"/>
        <v/>
      </c>
    </row>
    <row r="1883" spans="1:36">
      <c r="A1883" s="5">
        <v>2277</v>
      </c>
      <c r="B1883" s="5" t="s">
        <v>1849</v>
      </c>
      <c r="C1883" s="5" t="s">
        <v>1540</v>
      </c>
      <c r="D1883" s="5" t="s">
        <v>1820</v>
      </c>
      <c r="E1883" s="5" t="s">
        <v>39</v>
      </c>
      <c r="F1883" s="5" t="str">
        <f t="shared" si="261"/>
        <v>Finance-Analyst</v>
      </c>
      <c r="G1883" s="5" t="s">
        <v>40</v>
      </c>
      <c r="H1883" s="9">
        <v>45166.90388888889</v>
      </c>
      <c r="I1883" s="9">
        <v>45170.90388888889</v>
      </c>
      <c r="J1883" s="9" t="e">
        <f>I1883+#REF!</f>
        <v>#REF!</v>
      </c>
      <c r="K1883" s="9" t="e">
        <f>J1883+#REF!</f>
        <v>#REF!</v>
      </c>
      <c r="L1883" s="10" t="s">
        <v>41</v>
      </c>
      <c r="M1883" s="11">
        <v>45182.90388888889</v>
      </c>
      <c r="N1883" s="5" t="s">
        <v>42</v>
      </c>
      <c r="O1883" s="5" t="s">
        <v>73</v>
      </c>
      <c r="P1883" s="9"/>
      <c r="Q1883" s="5"/>
      <c r="R1883" s="5"/>
      <c r="S1883" s="5"/>
      <c r="T1883" s="9">
        <v>45183.90388888889</v>
      </c>
      <c r="U1883" s="5"/>
      <c r="V1883" s="5">
        <v>0</v>
      </c>
      <c r="W1883" s="5"/>
      <c r="X1883" s="5"/>
      <c r="Y1883" s="5"/>
      <c r="Z1883" s="5"/>
      <c r="AA1883" s="5" t="s">
        <v>62</v>
      </c>
      <c r="AC1883">
        <f t="shared" si="262"/>
        <v>12</v>
      </c>
      <c r="AD1883" t="str">
        <f t="shared" si="263"/>
        <v/>
      </c>
      <c r="AE1883">
        <f t="shared" si="264"/>
        <v>1</v>
      </c>
      <c r="AF1883" t="str">
        <f t="shared" si="265"/>
        <v/>
      </c>
      <c r="AG1883" t="str">
        <f t="shared" si="266"/>
        <v/>
      </c>
      <c r="AH1883">
        <f t="shared" si="267"/>
        <v>4</v>
      </c>
      <c r="AI1883" t="str">
        <f t="shared" si="268"/>
        <v/>
      </c>
      <c r="AJ1883" t="str">
        <f t="shared" si="269"/>
        <v/>
      </c>
    </row>
    <row r="1884" spans="1:36">
      <c r="A1884" s="5">
        <v>2278</v>
      </c>
      <c r="B1884" s="5" t="s">
        <v>1546</v>
      </c>
      <c r="C1884" s="5" t="s">
        <v>1540</v>
      </c>
      <c r="D1884" s="5" t="s">
        <v>1541</v>
      </c>
      <c r="E1884" s="5" t="s">
        <v>102</v>
      </c>
      <c r="F1884" s="5" t="str">
        <f t="shared" si="261"/>
        <v>Finance-Senior Manager</v>
      </c>
      <c r="G1884" s="5" t="s">
        <v>103</v>
      </c>
      <c r="H1884" s="9">
        <v>45165.90388888889</v>
      </c>
      <c r="I1884" s="9">
        <v>45166.90388888889</v>
      </c>
      <c r="J1884" s="9" t="e">
        <f>I1884+#REF!</f>
        <v>#REF!</v>
      </c>
      <c r="K1884" s="9" t="e">
        <f>J1884+#REF!</f>
        <v>#REF!</v>
      </c>
      <c r="L1884" s="10" t="s">
        <v>41</v>
      </c>
      <c r="M1884" s="11">
        <v>45175.90388888889</v>
      </c>
      <c r="N1884" s="5" t="s">
        <v>42</v>
      </c>
      <c r="O1884" s="5" t="s">
        <v>113</v>
      </c>
      <c r="P1884" s="9"/>
      <c r="Q1884" s="5"/>
      <c r="R1884" s="5"/>
      <c r="S1884" s="5"/>
      <c r="T1884" s="9">
        <v>45178.90388888889</v>
      </c>
      <c r="U1884" s="5"/>
      <c r="V1884" s="5">
        <v>0</v>
      </c>
      <c r="W1884" s="5"/>
      <c r="X1884" s="5"/>
      <c r="Y1884" s="5"/>
      <c r="Z1884" s="5"/>
      <c r="AA1884" s="5" t="s">
        <v>44</v>
      </c>
      <c r="AC1884">
        <f t="shared" si="262"/>
        <v>9</v>
      </c>
      <c r="AD1884" t="str">
        <f t="shared" si="263"/>
        <v/>
      </c>
      <c r="AE1884">
        <f t="shared" si="264"/>
        <v>3</v>
      </c>
      <c r="AF1884" t="str">
        <f t="shared" si="265"/>
        <v/>
      </c>
      <c r="AG1884" t="str">
        <f t="shared" si="266"/>
        <v/>
      </c>
      <c r="AH1884">
        <f t="shared" si="267"/>
        <v>1</v>
      </c>
      <c r="AI1884" t="str">
        <f t="shared" si="268"/>
        <v/>
      </c>
      <c r="AJ1884" t="str">
        <f t="shared" si="269"/>
        <v/>
      </c>
    </row>
    <row r="1885" spans="1:36">
      <c r="A1885" s="5">
        <v>2279</v>
      </c>
      <c r="B1885" s="5" t="s">
        <v>1725</v>
      </c>
      <c r="C1885" s="5" t="s">
        <v>1540</v>
      </c>
      <c r="D1885" s="5" t="s">
        <v>1706</v>
      </c>
      <c r="E1885" s="5" t="s">
        <v>269</v>
      </c>
      <c r="F1885" s="5" t="str">
        <f t="shared" si="261"/>
        <v>Finance-Manager</v>
      </c>
      <c r="G1885" s="5" t="s">
        <v>270</v>
      </c>
      <c r="H1885" s="9">
        <v>45164.90388888889</v>
      </c>
      <c r="I1885" s="9">
        <v>45167.90388888889</v>
      </c>
      <c r="J1885" s="9" t="e">
        <f>I1885+#REF!</f>
        <v>#REF!</v>
      </c>
      <c r="K1885" s="9" t="e">
        <f>J1885+#REF!</f>
        <v>#REF!</v>
      </c>
      <c r="L1885" s="10" t="s">
        <v>52</v>
      </c>
      <c r="M1885" s="11"/>
      <c r="N1885" s="5"/>
      <c r="O1885" s="5"/>
      <c r="P1885" s="9"/>
      <c r="Q1885" s="5"/>
      <c r="R1885" s="5"/>
      <c r="S1885" s="5"/>
      <c r="T1885" s="9"/>
      <c r="U1885" s="5"/>
      <c r="V1885" s="5">
        <v>0</v>
      </c>
      <c r="W1885" s="5"/>
      <c r="X1885" s="5"/>
      <c r="Y1885" s="5"/>
      <c r="Z1885" s="5"/>
      <c r="AA1885" s="5"/>
      <c r="AC1885" t="str">
        <f t="shared" si="262"/>
        <v/>
      </c>
      <c r="AD1885" t="str">
        <f t="shared" si="263"/>
        <v/>
      </c>
      <c r="AE1885" t="str">
        <f t="shared" si="264"/>
        <v/>
      </c>
      <c r="AF1885" t="str">
        <f t="shared" si="265"/>
        <v/>
      </c>
      <c r="AG1885" t="str">
        <f t="shared" si="266"/>
        <v/>
      </c>
      <c r="AH1885">
        <f t="shared" si="267"/>
        <v>3</v>
      </c>
      <c r="AI1885" t="str">
        <f t="shared" si="268"/>
        <v/>
      </c>
      <c r="AJ1885" t="str">
        <f t="shared" si="269"/>
        <v/>
      </c>
    </row>
    <row r="1886" spans="1:36">
      <c r="A1886" s="5">
        <v>2280</v>
      </c>
      <c r="B1886" s="5" t="s">
        <v>1848</v>
      </c>
      <c r="C1886" s="5" t="s">
        <v>1540</v>
      </c>
      <c r="D1886" s="5" t="s">
        <v>1820</v>
      </c>
      <c r="E1886" s="5" t="s">
        <v>39</v>
      </c>
      <c r="F1886" s="5" t="str">
        <f t="shared" si="261"/>
        <v>Finance-Analyst</v>
      </c>
      <c r="G1886" s="5" t="s">
        <v>40</v>
      </c>
      <c r="H1886" s="9">
        <v>45165.90388888889</v>
      </c>
      <c r="I1886" s="9">
        <v>45166.90388888889</v>
      </c>
      <c r="J1886" s="9" t="e">
        <f>I1886+#REF!</f>
        <v>#REF!</v>
      </c>
      <c r="K1886" s="9" t="e">
        <f>J1886+#REF!</f>
        <v>#REF!</v>
      </c>
      <c r="L1886" s="10" t="s">
        <v>41</v>
      </c>
      <c r="M1886" s="11">
        <v>45180.90388888889</v>
      </c>
      <c r="N1886" s="5" t="s">
        <v>48</v>
      </c>
      <c r="O1886" s="5"/>
      <c r="P1886" s="9">
        <v>45184.90388888889</v>
      </c>
      <c r="Q1886" s="5" t="s">
        <v>48</v>
      </c>
      <c r="R1886" s="5"/>
      <c r="S1886" s="5"/>
      <c r="T1886" s="9">
        <v>45181.90388888889</v>
      </c>
      <c r="U1886" s="5"/>
      <c r="V1886" s="5">
        <v>0</v>
      </c>
      <c r="W1886" s="5"/>
      <c r="X1886" s="5"/>
      <c r="Y1886" s="5"/>
      <c r="Z1886" s="5"/>
      <c r="AA1886" s="5"/>
      <c r="AC1886">
        <f t="shared" si="262"/>
        <v>14</v>
      </c>
      <c r="AD1886" t="str">
        <f t="shared" si="263"/>
        <v/>
      </c>
      <c r="AE1886">
        <f t="shared" si="264"/>
        <v>1</v>
      </c>
      <c r="AF1886" t="str">
        <f t="shared" si="265"/>
        <v/>
      </c>
      <c r="AG1886" t="str">
        <f t="shared" si="266"/>
        <v/>
      </c>
      <c r="AH1886">
        <f t="shared" si="267"/>
        <v>1</v>
      </c>
      <c r="AI1886" t="str">
        <f t="shared" si="268"/>
        <v/>
      </c>
      <c r="AJ1886" t="str">
        <f t="shared" si="269"/>
        <v/>
      </c>
    </row>
    <row r="1887" spans="1:36">
      <c r="A1887" s="5">
        <v>2283</v>
      </c>
      <c r="B1887" s="5" t="s">
        <v>1606</v>
      </c>
      <c r="C1887" s="5" t="s">
        <v>1540</v>
      </c>
      <c r="D1887" s="5" t="s">
        <v>1588</v>
      </c>
      <c r="E1887" s="5" t="s">
        <v>1360</v>
      </c>
      <c r="F1887" s="5" t="str">
        <f t="shared" si="261"/>
        <v>Finance-Fund Administrator</v>
      </c>
      <c r="G1887" s="5" t="s">
        <v>147</v>
      </c>
      <c r="H1887" s="9">
        <v>44762.489282407405</v>
      </c>
      <c r="I1887" s="9">
        <v>44764.489282407405</v>
      </c>
      <c r="J1887" s="9" t="e">
        <f>I1887+#REF!</f>
        <v>#REF!</v>
      </c>
      <c r="K1887" s="9" t="e">
        <f>J1887+#REF!</f>
        <v>#REF!</v>
      </c>
      <c r="L1887" s="10" t="s">
        <v>41</v>
      </c>
      <c r="M1887" s="11">
        <v>44781.489282407405</v>
      </c>
      <c r="N1887" s="5" t="s">
        <v>64</v>
      </c>
      <c r="O1887" s="5"/>
      <c r="P1887" s="9">
        <v>44785.489282407405</v>
      </c>
      <c r="Q1887" s="5" t="s">
        <v>64</v>
      </c>
      <c r="R1887" s="9">
        <v>44782.489282407405</v>
      </c>
      <c r="S1887" s="9">
        <v>44785.489282407405</v>
      </c>
      <c r="T1887" s="9">
        <v>44783.489282407405</v>
      </c>
      <c r="U1887" s="9">
        <v>44793.489282407405</v>
      </c>
      <c r="V1887" s="12">
        <v>1</v>
      </c>
      <c r="W1887" s="9">
        <v>44795.489282407405</v>
      </c>
      <c r="X1887" s="9">
        <v>44796.489282407405</v>
      </c>
      <c r="Y1887" s="9">
        <v>44799.489282407405</v>
      </c>
      <c r="Z1887" s="5"/>
      <c r="AA1887" s="5"/>
      <c r="AB1887" s="13">
        <v>44818.489282407405</v>
      </c>
      <c r="AC1887">
        <f t="shared" si="262"/>
        <v>17</v>
      </c>
      <c r="AD1887">
        <f t="shared" si="263"/>
        <v>21</v>
      </c>
      <c r="AE1887">
        <f t="shared" si="264"/>
        <v>2</v>
      </c>
      <c r="AF1887">
        <f t="shared" si="265"/>
        <v>3</v>
      </c>
      <c r="AG1887">
        <f t="shared" si="266"/>
        <v>2</v>
      </c>
      <c r="AH1887">
        <f t="shared" si="267"/>
        <v>2</v>
      </c>
      <c r="AI1887" t="str">
        <f t="shared" si="268"/>
        <v/>
      </c>
      <c r="AJ1887" t="str">
        <f t="shared" si="269"/>
        <v/>
      </c>
    </row>
    <row r="1888" spans="1:36">
      <c r="A1888" s="5">
        <v>2284</v>
      </c>
      <c r="B1888" s="5" t="s">
        <v>1847</v>
      </c>
      <c r="C1888" s="5" t="s">
        <v>1540</v>
      </c>
      <c r="D1888" s="5" t="s">
        <v>1820</v>
      </c>
      <c r="E1888" s="5" t="s">
        <v>39</v>
      </c>
      <c r="F1888" s="5" t="str">
        <f t="shared" si="261"/>
        <v>Finance-Analyst</v>
      </c>
      <c r="G1888" s="5" t="s">
        <v>40</v>
      </c>
      <c r="H1888" s="9">
        <v>44759.489282407405</v>
      </c>
      <c r="I1888" s="9">
        <v>44763.489282407405</v>
      </c>
      <c r="J1888" s="9" t="e">
        <f>I1888+#REF!</f>
        <v>#REF!</v>
      </c>
      <c r="K1888" s="9" t="e">
        <f>J1888+#REF!</f>
        <v>#REF!</v>
      </c>
      <c r="L1888" s="10" t="s">
        <v>41</v>
      </c>
      <c r="M1888" s="11">
        <v>44783.489282407405</v>
      </c>
      <c r="N1888" s="5" t="s">
        <v>42</v>
      </c>
      <c r="O1888" s="5" t="s">
        <v>43</v>
      </c>
      <c r="P1888" s="9"/>
      <c r="Q1888" s="5"/>
      <c r="R1888" s="5"/>
      <c r="S1888" s="5"/>
      <c r="T1888" s="9"/>
      <c r="U1888" s="5"/>
      <c r="V1888" s="5">
        <v>0</v>
      </c>
      <c r="W1888" s="5"/>
      <c r="X1888" s="5"/>
      <c r="Y1888" s="5"/>
      <c r="Z1888" s="5"/>
      <c r="AA1888" s="5" t="s">
        <v>44</v>
      </c>
      <c r="AC1888">
        <f t="shared" si="262"/>
        <v>20</v>
      </c>
      <c r="AD1888" t="str">
        <f t="shared" si="263"/>
        <v/>
      </c>
      <c r="AE1888" t="str">
        <f t="shared" si="264"/>
        <v/>
      </c>
      <c r="AF1888" t="str">
        <f t="shared" si="265"/>
        <v/>
      </c>
      <c r="AG1888" t="str">
        <f t="shared" si="266"/>
        <v/>
      </c>
      <c r="AH1888">
        <f t="shared" si="267"/>
        <v>4</v>
      </c>
      <c r="AI1888" t="str">
        <f t="shared" si="268"/>
        <v/>
      </c>
      <c r="AJ1888" t="str">
        <f t="shared" si="269"/>
        <v/>
      </c>
    </row>
    <row r="1889" spans="1:36">
      <c r="A1889" s="5">
        <v>2288</v>
      </c>
      <c r="B1889" s="5" t="s">
        <v>1846</v>
      </c>
      <c r="C1889" s="5" t="s">
        <v>1540</v>
      </c>
      <c r="D1889" s="5" t="s">
        <v>1820</v>
      </c>
      <c r="E1889" s="5" t="s">
        <v>39</v>
      </c>
      <c r="F1889" s="5" t="str">
        <f t="shared" si="261"/>
        <v>Finance-Analyst</v>
      </c>
      <c r="G1889" s="5" t="s">
        <v>40</v>
      </c>
      <c r="H1889" s="9">
        <v>44764.489282407405</v>
      </c>
      <c r="I1889" s="9">
        <v>44765.489282407405</v>
      </c>
      <c r="J1889" s="9" t="e">
        <f>I1889+#REF!</f>
        <v>#REF!</v>
      </c>
      <c r="K1889" s="9" t="e">
        <f>J1889+#REF!</f>
        <v>#REF!</v>
      </c>
      <c r="L1889" s="10" t="s">
        <v>52</v>
      </c>
      <c r="M1889" s="11"/>
      <c r="N1889" s="5"/>
      <c r="O1889" s="5"/>
      <c r="P1889" s="9"/>
      <c r="Q1889" s="5"/>
      <c r="R1889" s="5"/>
      <c r="S1889" s="5"/>
      <c r="T1889" s="9"/>
      <c r="U1889" s="5"/>
      <c r="V1889" s="5">
        <v>0</v>
      </c>
      <c r="W1889" s="5"/>
      <c r="X1889" s="5"/>
      <c r="Y1889" s="5"/>
      <c r="Z1889" s="5"/>
      <c r="AA1889" s="5"/>
      <c r="AC1889" t="str">
        <f t="shared" si="262"/>
        <v/>
      </c>
      <c r="AD1889" t="str">
        <f t="shared" si="263"/>
        <v/>
      </c>
      <c r="AE1889" t="str">
        <f t="shared" si="264"/>
        <v/>
      </c>
      <c r="AF1889" t="str">
        <f t="shared" si="265"/>
        <v/>
      </c>
      <c r="AG1889" t="str">
        <f t="shared" si="266"/>
        <v/>
      </c>
      <c r="AH1889">
        <f t="shared" si="267"/>
        <v>1</v>
      </c>
      <c r="AI1889" t="str">
        <f t="shared" si="268"/>
        <v/>
      </c>
      <c r="AJ1889" t="str">
        <f t="shared" si="269"/>
        <v/>
      </c>
    </row>
    <row r="1890" spans="1:36">
      <c r="A1890" s="5">
        <v>2289</v>
      </c>
      <c r="B1890" s="5" t="s">
        <v>1845</v>
      </c>
      <c r="C1890" s="5" t="s">
        <v>1540</v>
      </c>
      <c r="D1890" s="5" t="s">
        <v>1820</v>
      </c>
      <c r="E1890" s="5" t="s">
        <v>39</v>
      </c>
      <c r="F1890" s="5" t="str">
        <f t="shared" si="261"/>
        <v>Finance-Analyst</v>
      </c>
      <c r="G1890" s="5" t="s">
        <v>40</v>
      </c>
      <c r="H1890" s="9">
        <v>44761.489282407405</v>
      </c>
      <c r="I1890" s="9">
        <v>44765.489282407405</v>
      </c>
      <c r="J1890" s="9" t="e">
        <f>I1890+#REF!</f>
        <v>#REF!</v>
      </c>
      <c r="K1890" s="9" t="e">
        <f>J1890+#REF!</f>
        <v>#REF!</v>
      </c>
      <c r="L1890" s="10" t="s">
        <v>41</v>
      </c>
      <c r="M1890" s="11">
        <v>44786.489282407405</v>
      </c>
      <c r="N1890" s="5" t="s">
        <v>64</v>
      </c>
      <c r="O1890" s="5"/>
      <c r="P1890" s="9">
        <v>44790.489282407405</v>
      </c>
      <c r="Q1890" s="5" t="s">
        <v>64</v>
      </c>
      <c r="R1890" s="9">
        <v>44787.489282407405</v>
      </c>
      <c r="S1890" s="9">
        <v>44791.489282407405</v>
      </c>
      <c r="T1890" s="9">
        <v>44789.489282407405</v>
      </c>
      <c r="U1890" s="9">
        <v>44798.489282407405</v>
      </c>
      <c r="V1890" s="12">
        <v>1</v>
      </c>
      <c r="W1890" s="9">
        <v>44801.489282407405</v>
      </c>
      <c r="X1890" s="9">
        <v>44802.489282407405</v>
      </c>
      <c r="Y1890" s="9">
        <v>44804.489282407405</v>
      </c>
      <c r="Z1890" s="5"/>
      <c r="AA1890" s="5"/>
      <c r="AB1890" s="13">
        <v>44815.489282407405</v>
      </c>
      <c r="AC1890">
        <f t="shared" si="262"/>
        <v>21</v>
      </c>
      <c r="AD1890">
        <f t="shared" si="263"/>
        <v>26</v>
      </c>
      <c r="AE1890">
        <f t="shared" si="264"/>
        <v>3</v>
      </c>
      <c r="AF1890">
        <f t="shared" si="265"/>
        <v>4</v>
      </c>
      <c r="AG1890">
        <f t="shared" si="266"/>
        <v>3</v>
      </c>
      <c r="AH1890">
        <f t="shared" si="267"/>
        <v>4</v>
      </c>
      <c r="AI1890" t="str">
        <f t="shared" si="268"/>
        <v/>
      </c>
      <c r="AJ1890" t="str">
        <f t="shared" si="269"/>
        <v/>
      </c>
    </row>
    <row r="1891" spans="1:36">
      <c r="A1891" s="5">
        <v>2290</v>
      </c>
      <c r="B1891" s="5" t="s">
        <v>1924</v>
      </c>
      <c r="C1891" s="5" t="s">
        <v>1540</v>
      </c>
      <c r="D1891" s="5" t="s">
        <v>1925</v>
      </c>
      <c r="E1891" s="5" t="s">
        <v>1039</v>
      </c>
      <c r="F1891" s="5" t="str">
        <f t="shared" si="261"/>
        <v>Finance-Associate Director</v>
      </c>
      <c r="G1891" s="5" t="s">
        <v>56</v>
      </c>
      <c r="H1891" s="9">
        <v>44762.489282407405</v>
      </c>
      <c r="I1891" s="9">
        <v>44766.489282407405</v>
      </c>
      <c r="J1891" s="9" t="e">
        <f>I1891+#REF!</f>
        <v>#REF!</v>
      </c>
      <c r="K1891" s="9" t="e">
        <f>J1891+#REF!</f>
        <v>#REF!</v>
      </c>
      <c r="L1891" s="10" t="s">
        <v>52</v>
      </c>
      <c r="M1891" s="11"/>
      <c r="N1891" s="5"/>
      <c r="O1891" s="5"/>
      <c r="P1891" s="9"/>
      <c r="Q1891" s="5"/>
      <c r="R1891" s="5"/>
      <c r="S1891" s="5"/>
      <c r="T1891" s="9"/>
      <c r="U1891" s="5"/>
      <c r="V1891" s="5">
        <v>0</v>
      </c>
      <c r="W1891" s="5"/>
      <c r="X1891" s="5"/>
      <c r="Y1891" s="5"/>
      <c r="Z1891" s="5"/>
      <c r="AA1891" s="5"/>
      <c r="AC1891" t="str">
        <f t="shared" si="262"/>
        <v/>
      </c>
      <c r="AD1891" t="str">
        <f t="shared" si="263"/>
        <v/>
      </c>
      <c r="AE1891" t="str">
        <f t="shared" si="264"/>
        <v/>
      </c>
      <c r="AF1891" t="str">
        <f t="shared" si="265"/>
        <v/>
      </c>
      <c r="AG1891" t="str">
        <f t="shared" si="266"/>
        <v/>
      </c>
      <c r="AH1891">
        <f t="shared" si="267"/>
        <v>4</v>
      </c>
      <c r="AI1891" t="str">
        <f t="shared" si="268"/>
        <v/>
      </c>
      <c r="AJ1891" t="str">
        <f t="shared" si="269"/>
        <v/>
      </c>
    </row>
    <row r="1892" spans="1:36">
      <c r="A1892" s="5">
        <v>2291</v>
      </c>
      <c r="B1892" s="5" t="s">
        <v>1029</v>
      </c>
      <c r="C1892" s="5" t="s">
        <v>796</v>
      </c>
      <c r="D1892" s="5" t="s">
        <v>1026</v>
      </c>
      <c r="E1892" s="5" t="s">
        <v>709</v>
      </c>
      <c r="F1892" s="5" t="str">
        <f t="shared" si="261"/>
        <v>M and E-Lead</v>
      </c>
      <c r="G1892" s="5" t="s">
        <v>56</v>
      </c>
      <c r="H1892" s="9">
        <v>45104.656666666669</v>
      </c>
      <c r="I1892" s="9">
        <v>45108.656666666669</v>
      </c>
      <c r="J1892" s="9" t="e">
        <f>I1892+#REF!</f>
        <v>#REF!</v>
      </c>
      <c r="K1892" s="9" t="e">
        <f>J1892+#REF!</f>
        <v>#REF!</v>
      </c>
      <c r="L1892" s="10" t="s">
        <v>52</v>
      </c>
      <c r="M1892" s="11"/>
      <c r="N1892" s="5"/>
      <c r="O1892" s="5"/>
      <c r="P1892" s="9"/>
      <c r="Q1892" s="5"/>
      <c r="R1892" s="5"/>
      <c r="S1892" s="5"/>
      <c r="T1892" s="9"/>
      <c r="U1892" s="5"/>
      <c r="V1892" s="5">
        <v>0</v>
      </c>
      <c r="W1892" s="5"/>
      <c r="X1892" s="5"/>
      <c r="Y1892" s="5"/>
      <c r="Z1892" s="5"/>
      <c r="AA1892" s="5"/>
      <c r="AC1892" t="str">
        <f t="shared" si="262"/>
        <v/>
      </c>
      <c r="AD1892" t="str">
        <f t="shared" si="263"/>
        <v/>
      </c>
      <c r="AE1892" t="str">
        <f t="shared" si="264"/>
        <v/>
      </c>
      <c r="AF1892" t="str">
        <f t="shared" si="265"/>
        <v/>
      </c>
      <c r="AG1892" t="str">
        <f t="shared" si="266"/>
        <v/>
      </c>
      <c r="AH1892">
        <f t="shared" si="267"/>
        <v>4</v>
      </c>
      <c r="AI1892" t="str">
        <f t="shared" si="268"/>
        <v/>
      </c>
      <c r="AJ1892" t="str">
        <f t="shared" si="269"/>
        <v/>
      </c>
    </row>
    <row r="1893" spans="1:36">
      <c r="A1893" s="5">
        <v>2292</v>
      </c>
      <c r="B1893" s="5" t="s">
        <v>1074</v>
      </c>
      <c r="C1893" s="5" t="s">
        <v>796</v>
      </c>
      <c r="D1893" s="5" t="s">
        <v>1046</v>
      </c>
      <c r="E1893" s="5" t="s">
        <v>473</v>
      </c>
      <c r="F1893" s="5" t="str">
        <f t="shared" si="261"/>
        <v>M and E-Officer</v>
      </c>
      <c r="G1893" s="5" t="s">
        <v>47</v>
      </c>
      <c r="H1893" s="9">
        <v>45105.656666666669</v>
      </c>
      <c r="I1893" s="9">
        <v>45109.656666666669</v>
      </c>
      <c r="J1893" s="9" t="e">
        <f>I1893+#REF!</f>
        <v>#REF!</v>
      </c>
      <c r="K1893" s="9" t="e">
        <f>J1893+#REF!</f>
        <v>#REF!</v>
      </c>
      <c r="L1893" s="10" t="s">
        <v>52</v>
      </c>
      <c r="M1893" s="11"/>
      <c r="N1893" s="5"/>
      <c r="O1893" s="5"/>
      <c r="P1893" s="9"/>
      <c r="Q1893" s="5"/>
      <c r="R1893" s="5"/>
      <c r="S1893" s="5"/>
      <c r="T1893" s="9"/>
      <c r="U1893" s="5"/>
      <c r="V1893" s="5">
        <v>0</v>
      </c>
      <c r="W1893" s="5"/>
      <c r="X1893" s="5"/>
      <c r="Y1893" s="5"/>
      <c r="Z1893" s="5"/>
      <c r="AA1893" s="5"/>
      <c r="AC1893" t="str">
        <f t="shared" si="262"/>
        <v/>
      </c>
      <c r="AD1893" t="str">
        <f t="shared" si="263"/>
        <v/>
      </c>
      <c r="AE1893" t="str">
        <f t="shared" si="264"/>
        <v/>
      </c>
      <c r="AF1893" t="str">
        <f t="shared" si="265"/>
        <v/>
      </c>
      <c r="AG1893" t="str">
        <f t="shared" si="266"/>
        <v/>
      </c>
      <c r="AH1893">
        <f t="shared" si="267"/>
        <v>4</v>
      </c>
      <c r="AI1893" t="str">
        <f t="shared" si="268"/>
        <v/>
      </c>
      <c r="AJ1893" t="str">
        <f t="shared" si="269"/>
        <v/>
      </c>
    </row>
    <row r="1894" spans="1:36">
      <c r="A1894" s="5">
        <v>2293</v>
      </c>
      <c r="B1894" s="5" t="s">
        <v>1073</v>
      </c>
      <c r="C1894" s="5" t="s">
        <v>796</v>
      </c>
      <c r="D1894" s="5" t="s">
        <v>1046</v>
      </c>
      <c r="E1894" s="5" t="s">
        <v>473</v>
      </c>
      <c r="F1894" s="5" t="str">
        <f t="shared" si="261"/>
        <v>M and E-Officer</v>
      </c>
      <c r="G1894" s="5" t="s">
        <v>47</v>
      </c>
      <c r="H1894" s="9">
        <v>45109.656666666669</v>
      </c>
      <c r="I1894" s="9">
        <v>45110.656666666669</v>
      </c>
      <c r="J1894" s="9" t="e">
        <f>I1894+#REF!</f>
        <v>#REF!</v>
      </c>
      <c r="K1894" s="9" t="e">
        <f>J1894+#REF!</f>
        <v>#REF!</v>
      </c>
      <c r="L1894" s="10" t="s">
        <v>41</v>
      </c>
      <c r="M1894" s="11">
        <v>45121.656666666669</v>
      </c>
      <c r="N1894" s="5" t="s">
        <v>42</v>
      </c>
      <c r="O1894" s="5" t="s">
        <v>58</v>
      </c>
      <c r="P1894" s="9"/>
      <c r="Q1894" s="5"/>
      <c r="R1894" s="5"/>
      <c r="S1894" s="5"/>
      <c r="T1894" s="9">
        <v>45122.656666666669</v>
      </c>
      <c r="U1894" s="5"/>
      <c r="V1894" s="5">
        <v>0</v>
      </c>
      <c r="W1894" s="5"/>
      <c r="X1894" s="5"/>
      <c r="Y1894" s="5"/>
      <c r="Z1894" s="5"/>
      <c r="AA1894" s="5" t="s">
        <v>44</v>
      </c>
      <c r="AC1894">
        <f t="shared" si="262"/>
        <v>11</v>
      </c>
      <c r="AD1894" t="str">
        <f t="shared" si="263"/>
        <v/>
      </c>
      <c r="AE1894">
        <f t="shared" si="264"/>
        <v>1</v>
      </c>
      <c r="AF1894" t="str">
        <f t="shared" si="265"/>
        <v/>
      </c>
      <c r="AG1894" t="str">
        <f t="shared" si="266"/>
        <v/>
      </c>
      <c r="AH1894">
        <f t="shared" si="267"/>
        <v>1</v>
      </c>
      <c r="AI1894" t="str">
        <f t="shared" si="268"/>
        <v/>
      </c>
      <c r="AJ1894" t="str">
        <f t="shared" si="269"/>
        <v/>
      </c>
    </row>
    <row r="1895" spans="1:36">
      <c r="A1895" s="5">
        <v>2296</v>
      </c>
      <c r="B1895" s="5" t="s">
        <v>1072</v>
      </c>
      <c r="C1895" s="5" t="s">
        <v>796</v>
      </c>
      <c r="D1895" s="5" t="s">
        <v>1046</v>
      </c>
      <c r="E1895" s="5" t="s">
        <v>473</v>
      </c>
      <c r="F1895" s="5" t="str">
        <f t="shared" si="261"/>
        <v>M and E-Officer</v>
      </c>
      <c r="G1895" s="5" t="s">
        <v>47</v>
      </c>
      <c r="H1895" s="9">
        <v>45105.656666666669</v>
      </c>
      <c r="I1895" s="9">
        <v>45108.656666666669</v>
      </c>
      <c r="J1895" s="9" t="e">
        <f>I1895+#REF!</f>
        <v>#REF!</v>
      </c>
      <c r="K1895" s="9" t="e">
        <f>J1895+#REF!</f>
        <v>#REF!</v>
      </c>
      <c r="L1895" s="10" t="s">
        <v>52</v>
      </c>
      <c r="M1895" s="11"/>
      <c r="N1895" s="5"/>
      <c r="O1895" s="5"/>
      <c r="P1895" s="9"/>
      <c r="Q1895" s="5"/>
      <c r="R1895" s="5"/>
      <c r="S1895" s="5"/>
      <c r="T1895" s="9"/>
      <c r="U1895" s="5"/>
      <c r="V1895" s="5">
        <v>0</v>
      </c>
      <c r="W1895" s="5"/>
      <c r="X1895" s="5"/>
      <c r="Y1895" s="5"/>
      <c r="Z1895" s="5"/>
      <c r="AA1895" s="5"/>
      <c r="AC1895" t="str">
        <f t="shared" si="262"/>
        <v/>
      </c>
      <c r="AD1895" t="str">
        <f t="shared" si="263"/>
        <v/>
      </c>
      <c r="AE1895" t="str">
        <f t="shared" si="264"/>
        <v/>
      </c>
      <c r="AF1895" t="str">
        <f t="shared" si="265"/>
        <v/>
      </c>
      <c r="AG1895" t="str">
        <f t="shared" si="266"/>
        <v/>
      </c>
      <c r="AH1895">
        <f t="shared" si="267"/>
        <v>3</v>
      </c>
      <c r="AI1895" t="str">
        <f t="shared" si="268"/>
        <v/>
      </c>
      <c r="AJ1895" t="str">
        <f t="shared" si="269"/>
        <v/>
      </c>
    </row>
    <row r="1896" spans="1:36">
      <c r="A1896" s="5">
        <v>2298</v>
      </c>
      <c r="B1896" s="5" t="s">
        <v>804</v>
      </c>
      <c r="C1896" s="5" t="s">
        <v>796</v>
      </c>
      <c r="D1896" s="5" t="s">
        <v>797</v>
      </c>
      <c r="E1896" s="5" t="s">
        <v>709</v>
      </c>
      <c r="F1896" s="5" t="str">
        <f t="shared" si="261"/>
        <v>M and E-Lead</v>
      </c>
      <c r="G1896" s="5" t="s">
        <v>103</v>
      </c>
      <c r="H1896" s="9">
        <v>45109.656666666669</v>
      </c>
      <c r="I1896" s="9">
        <v>45112.656666666669</v>
      </c>
      <c r="J1896" s="9" t="e">
        <f>I1896+#REF!</f>
        <v>#REF!</v>
      </c>
      <c r="K1896" s="9" t="e">
        <f>J1896+#REF!</f>
        <v>#REF!</v>
      </c>
      <c r="L1896" s="10" t="s">
        <v>41</v>
      </c>
      <c r="M1896" s="11">
        <v>45127.656666666669</v>
      </c>
      <c r="N1896" s="5" t="s">
        <v>42</v>
      </c>
      <c r="O1896" s="5" t="s">
        <v>58</v>
      </c>
      <c r="P1896" s="9"/>
      <c r="Q1896" s="5"/>
      <c r="R1896" s="5"/>
      <c r="S1896" s="5"/>
      <c r="T1896" s="9">
        <v>45129.656666666669</v>
      </c>
      <c r="U1896" s="5"/>
      <c r="V1896" s="5">
        <v>0</v>
      </c>
      <c r="W1896" s="5"/>
      <c r="X1896" s="5"/>
      <c r="Y1896" s="5"/>
      <c r="Z1896" s="5"/>
      <c r="AA1896" s="5" t="s">
        <v>44</v>
      </c>
      <c r="AC1896">
        <f t="shared" si="262"/>
        <v>15</v>
      </c>
      <c r="AD1896" t="str">
        <f t="shared" si="263"/>
        <v/>
      </c>
      <c r="AE1896">
        <f t="shared" si="264"/>
        <v>2</v>
      </c>
      <c r="AF1896" t="str">
        <f t="shared" si="265"/>
        <v/>
      </c>
      <c r="AG1896" t="str">
        <f t="shared" si="266"/>
        <v/>
      </c>
      <c r="AH1896">
        <f t="shared" si="267"/>
        <v>3</v>
      </c>
      <c r="AI1896" t="str">
        <f t="shared" si="268"/>
        <v/>
      </c>
      <c r="AJ1896" t="str">
        <f t="shared" si="269"/>
        <v/>
      </c>
    </row>
    <row r="1897" spans="1:36">
      <c r="A1897" s="5">
        <v>2300</v>
      </c>
      <c r="B1897" s="5" t="s">
        <v>1071</v>
      </c>
      <c r="C1897" s="5" t="s">
        <v>796</v>
      </c>
      <c r="D1897" s="5" t="s">
        <v>1046</v>
      </c>
      <c r="E1897" s="5" t="s">
        <v>473</v>
      </c>
      <c r="F1897" s="5" t="str">
        <f t="shared" si="261"/>
        <v>M and E-Officer</v>
      </c>
      <c r="G1897" s="5" t="s">
        <v>47</v>
      </c>
      <c r="H1897" s="9">
        <v>45108.656666666669</v>
      </c>
      <c r="I1897" s="9">
        <v>45110.656666666669</v>
      </c>
      <c r="J1897" s="9" t="e">
        <f>I1897+#REF!</f>
        <v>#REF!</v>
      </c>
      <c r="K1897" s="9" t="e">
        <f>J1897+#REF!</f>
        <v>#REF!</v>
      </c>
      <c r="L1897" s="10" t="s">
        <v>41</v>
      </c>
      <c r="M1897" s="11">
        <v>45124.656666666669</v>
      </c>
      <c r="N1897" s="5" t="s">
        <v>42</v>
      </c>
      <c r="O1897" s="5" t="s">
        <v>43</v>
      </c>
      <c r="P1897" s="9"/>
      <c r="Q1897" s="5"/>
      <c r="R1897" s="5"/>
      <c r="S1897" s="5"/>
      <c r="T1897" s="9"/>
      <c r="U1897" s="5"/>
      <c r="V1897" s="5">
        <v>0</v>
      </c>
      <c r="W1897" s="5"/>
      <c r="X1897" s="5"/>
      <c r="Y1897" s="5"/>
      <c r="Z1897" s="5"/>
      <c r="AA1897" s="5" t="s">
        <v>62</v>
      </c>
      <c r="AC1897">
        <f t="shared" si="262"/>
        <v>14</v>
      </c>
      <c r="AD1897" t="str">
        <f t="shared" si="263"/>
        <v/>
      </c>
      <c r="AE1897" t="str">
        <f t="shared" si="264"/>
        <v/>
      </c>
      <c r="AF1897" t="str">
        <f t="shared" si="265"/>
        <v/>
      </c>
      <c r="AG1897" t="str">
        <f t="shared" si="266"/>
        <v/>
      </c>
      <c r="AH1897">
        <f t="shared" si="267"/>
        <v>2</v>
      </c>
      <c r="AI1897" t="str">
        <f t="shared" si="268"/>
        <v/>
      </c>
      <c r="AJ1897" t="str">
        <f t="shared" si="269"/>
        <v/>
      </c>
    </row>
    <row r="1898" spans="1:36">
      <c r="A1898" s="5">
        <v>2302</v>
      </c>
      <c r="B1898" s="5" t="s">
        <v>2001</v>
      </c>
      <c r="C1898" s="5" t="s">
        <v>1540</v>
      </c>
      <c r="D1898" s="5" t="s">
        <v>1985</v>
      </c>
      <c r="E1898" s="5" t="s">
        <v>1986</v>
      </c>
      <c r="F1898" s="5" t="str">
        <f t="shared" si="261"/>
        <v>Finance-Revenue Recorgnition</v>
      </c>
      <c r="G1898" s="5" t="s">
        <v>47</v>
      </c>
      <c r="H1898" s="9">
        <v>45097.08085648148</v>
      </c>
      <c r="I1898" s="9">
        <v>45101.08085648148</v>
      </c>
      <c r="J1898" s="9" t="e">
        <f>I1898+#REF!</f>
        <v>#REF!</v>
      </c>
      <c r="K1898" s="9" t="e">
        <f>J1898+#REF!</f>
        <v>#REF!</v>
      </c>
      <c r="L1898" s="10" t="s">
        <v>41</v>
      </c>
      <c r="M1898" s="11">
        <v>45110.08085648148</v>
      </c>
      <c r="N1898" s="5" t="s">
        <v>42</v>
      </c>
      <c r="O1898" s="5" t="s">
        <v>73</v>
      </c>
      <c r="P1898" s="9"/>
      <c r="Q1898" s="5"/>
      <c r="R1898" s="5"/>
      <c r="S1898" s="5"/>
      <c r="T1898" s="9">
        <v>45111.08085648148</v>
      </c>
      <c r="U1898" s="5"/>
      <c r="V1898" s="5">
        <v>0</v>
      </c>
      <c r="W1898" s="5"/>
      <c r="X1898" s="5"/>
      <c r="Y1898" s="5"/>
      <c r="Z1898" s="5"/>
      <c r="AA1898" s="5" t="s">
        <v>44</v>
      </c>
      <c r="AC1898">
        <f t="shared" si="262"/>
        <v>9</v>
      </c>
      <c r="AD1898" t="str">
        <f t="shared" si="263"/>
        <v/>
      </c>
      <c r="AE1898">
        <f t="shared" si="264"/>
        <v>1</v>
      </c>
      <c r="AF1898" t="str">
        <f t="shared" si="265"/>
        <v/>
      </c>
      <c r="AG1898" t="str">
        <f t="shared" si="266"/>
        <v/>
      </c>
      <c r="AH1898">
        <f t="shared" si="267"/>
        <v>4</v>
      </c>
      <c r="AI1898" t="str">
        <f t="shared" si="268"/>
        <v/>
      </c>
      <c r="AJ1898" t="str">
        <f t="shared" si="269"/>
        <v/>
      </c>
    </row>
    <row r="1899" spans="1:36">
      <c r="A1899" s="5">
        <v>2303</v>
      </c>
      <c r="B1899" s="5" t="s">
        <v>1844</v>
      </c>
      <c r="C1899" s="5" t="s">
        <v>1540</v>
      </c>
      <c r="D1899" s="5" t="s">
        <v>1820</v>
      </c>
      <c r="E1899" s="5" t="s">
        <v>39</v>
      </c>
      <c r="F1899" s="5" t="str">
        <f t="shared" si="261"/>
        <v>Finance-Analyst</v>
      </c>
      <c r="G1899" s="5" t="s">
        <v>40</v>
      </c>
      <c r="H1899" s="9">
        <v>45096.08085648148</v>
      </c>
      <c r="I1899" s="9">
        <v>45100.08085648148</v>
      </c>
      <c r="J1899" s="9" t="e">
        <f>I1899+#REF!</f>
        <v>#REF!</v>
      </c>
      <c r="K1899" s="9" t="e">
        <f>J1899+#REF!</f>
        <v>#REF!</v>
      </c>
      <c r="L1899" s="10" t="s">
        <v>41</v>
      </c>
      <c r="M1899" s="11">
        <v>45123.08085648148</v>
      </c>
      <c r="N1899" s="5" t="s">
        <v>42</v>
      </c>
      <c r="O1899" s="5" t="s">
        <v>73</v>
      </c>
      <c r="P1899" s="9"/>
      <c r="Q1899" s="5"/>
      <c r="R1899" s="5"/>
      <c r="S1899" s="5"/>
      <c r="T1899" s="9">
        <v>45125.08085648148</v>
      </c>
      <c r="U1899" s="5"/>
      <c r="V1899" s="5">
        <v>0</v>
      </c>
      <c r="W1899" s="5"/>
      <c r="X1899" s="5"/>
      <c r="Y1899" s="5"/>
      <c r="Z1899" s="5"/>
      <c r="AA1899" s="5" t="s">
        <v>44</v>
      </c>
      <c r="AC1899">
        <f t="shared" si="262"/>
        <v>23</v>
      </c>
      <c r="AD1899" t="str">
        <f t="shared" si="263"/>
        <v/>
      </c>
      <c r="AE1899">
        <f t="shared" si="264"/>
        <v>2</v>
      </c>
      <c r="AF1899" t="str">
        <f t="shared" si="265"/>
        <v/>
      </c>
      <c r="AG1899" t="str">
        <f t="shared" si="266"/>
        <v/>
      </c>
      <c r="AH1899">
        <f t="shared" si="267"/>
        <v>4</v>
      </c>
      <c r="AI1899" t="str">
        <f t="shared" si="268"/>
        <v/>
      </c>
      <c r="AJ1899" t="str">
        <f t="shared" si="269"/>
        <v/>
      </c>
    </row>
    <row r="1900" spans="1:36">
      <c r="A1900" s="5">
        <v>2306</v>
      </c>
      <c r="B1900" s="5" t="s">
        <v>2000</v>
      </c>
      <c r="C1900" s="5" t="s">
        <v>1540</v>
      </c>
      <c r="D1900" s="5" t="s">
        <v>1985</v>
      </c>
      <c r="E1900" s="5" t="s">
        <v>1986</v>
      </c>
      <c r="F1900" s="5" t="str">
        <f t="shared" si="261"/>
        <v>Finance-Revenue Recorgnition</v>
      </c>
      <c r="G1900" s="5" t="s">
        <v>47</v>
      </c>
      <c r="H1900" s="9">
        <v>45101.08085648148</v>
      </c>
      <c r="I1900" s="9">
        <v>45102.08085648148</v>
      </c>
      <c r="J1900" s="9" t="e">
        <f>I1900+#REF!</f>
        <v>#REF!</v>
      </c>
      <c r="K1900" s="9" t="e">
        <f>J1900+#REF!</f>
        <v>#REF!</v>
      </c>
      <c r="L1900" s="10" t="s">
        <v>41</v>
      </c>
      <c r="M1900" s="11">
        <v>45115.08085648148</v>
      </c>
      <c r="N1900" s="5" t="s">
        <v>42</v>
      </c>
      <c r="O1900" s="5" t="s">
        <v>113</v>
      </c>
      <c r="P1900" s="9"/>
      <c r="Q1900" s="5"/>
      <c r="R1900" s="5"/>
      <c r="S1900" s="5"/>
      <c r="T1900" s="9"/>
      <c r="U1900" s="5"/>
      <c r="V1900" s="5">
        <v>0</v>
      </c>
      <c r="W1900" s="5"/>
      <c r="X1900" s="5"/>
      <c r="Y1900" s="5"/>
      <c r="Z1900" s="5"/>
      <c r="AA1900" s="5" t="s">
        <v>62</v>
      </c>
      <c r="AC1900">
        <f t="shared" si="262"/>
        <v>13</v>
      </c>
      <c r="AD1900" t="str">
        <f t="shared" si="263"/>
        <v/>
      </c>
      <c r="AE1900" t="str">
        <f t="shared" si="264"/>
        <v/>
      </c>
      <c r="AF1900" t="str">
        <f t="shared" si="265"/>
        <v/>
      </c>
      <c r="AG1900" t="str">
        <f t="shared" si="266"/>
        <v/>
      </c>
      <c r="AH1900">
        <f t="shared" si="267"/>
        <v>1</v>
      </c>
      <c r="AI1900" t="str">
        <f t="shared" si="268"/>
        <v/>
      </c>
      <c r="AJ1900" t="str">
        <f t="shared" si="269"/>
        <v/>
      </c>
    </row>
    <row r="1901" spans="1:36">
      <c r="A1901" s="5">
        <v>2308</v>
      </c>
      <c r="B1901" s="5" t="s">
        <v>1724</v>
      </c>
      <c r="C1901" s="5" t="s">
        <v>1540</v>
      </c>
      <c r="D1901" s="5" t="s">
        <v>1706</v>
      </c>
      <c r="E1901" s="5" t="s">
        <v>269</v>
      </c>
      <c r="F1901" s="5" t="str">
        <f t="shared" si="261"/>
        <v>Finance-Manager</v>
      </c>
      <c r="G1901" s="5" t="s">
        <v>270</v>
      </c>
      <c r="H1901" s="9">
        <v>45099.08085648148</v>
      </c>
      <c r="I1901" s="9">
        <v>45102.08085648148</v>
      </c>
      <c r="J1901" s="9" t="e">
        <f>I1901+#REF!</f>
        <v>#REF!</v>
      </c>
      <c r="K1901" s="9" t="e">
        <f>J1901+#REF!</f>
        <v>#REF!</v>
      </c>
      <c r="L1901" s="10" t="s">
        <v>41</v>
      </c>
      <c r="M1901" s="11">
        <v>45117.08085648148</v>
      </c>
      <c r="N1901" s="5" t="s">
        <v>42</v>
      </c>
      <c r="O1901" s="5" t="s">
        <v>98</v>
      </c>
      <c r="P1901" s="9"/>
      <c r="Q1901" s="5"/>
      <c r="R1901" s="5"/>
      <c r="S1901" s="5"/>
      <c r="T1901" s="9">
        <v>45119.08085648148</v>
      </c>
      <c r="U1901" s="5"/>
      <c r="V1901" s="5">
        <v>0</v>
      </c>
      <c r="W1901" s="5"/>
      <c r="X1901" s="5"/>
      <c r="Y1901" s="5"/>
      <c r="Z1901" s="5"/>
      <c r="AA1901" s="5" t="s">
        <v>44</v>
      </c>
      <c r="AC1901">
        <f t="shared" si="262"/>
        <v>15</v>
      </c>
      <c r="AD1901" t="str">
        <f t="shared" si="263"/>
        <v/>
      </c>
      <c r="AE1901">
        <f t="shared" si="264"/>
        <v>2</v>
      </c>
      <c r="AF1901" t="str">
        <f t="shared" si="265"/>
        <v/>
      </c>
      <c r="AG1901" t="str">
        <f t="shared" si="266"/>
        <v/>
      </c>
      <c r="AH1901">
        <f t="shared" si="267"/>
        <v>3</v>
      </c>
      <c r="AI1901" t="str">
        <f t="shared" si="268"/>
        <v/>
      </c>
      <c r="AJ1901" t="str">
        <f t="shared" si="269"/>
        <v/>
      </c>
    </row>
    <row r="1902" spans="1:36">
      <c r="A1902" s="5">
        <v>2309</v>
      </c>
      <c r="B1902" s="5" t="s">
        <v>1605</v>
      </c>
      <c r="C1902" s="5" t="s">
        <v>1540</v>
      </c>
      <c r="D1902" s="5" t="s">
        <v>1588</v>
      </c>
      <c r="E1902" s="5" t="s">
        <v>1360</v>
      </c>
      <c r="F1902" s="5" t="str">
        <f t="shared" si="261"/>
        <v>Finance-Fund Administrator</v>
      </c>
      <c r="G1902" s="5" t="s">
        <v>147</v>
      </c>
      <c r="H1902" s="9">
        <v>45099.08085648148</v>
      </c>
      <c r="I1902" s="9">
        <v>45101.08085648148</v>
      </c>
      <c r="J1902" s="9" t="e">
        <f>I1902+#REF!</f>
        <v>#REF!</v>
      </c>
      <c r="K1902" s="9" t="e">
        <f>J1902+#REF!</f>
        <v>#REF!</v>
      </c>
      <c r="L1902" s="10" t="s">
        <v>52</v>
      </c>
      <c r="M1902" s="11"/>
      <c r="N1902" s="5"/>
      <c r="O1902" s="5"/>
      <c r="P1902" s="9"/>
      <c r="Q1902" s="5"/>
      <c r="R1902" s="5"/>
      <c r="S1902" s="5"/>
      <c r="T1902" s="9"/>
      <c r="U1902" s="5"/>
      <c r="V1902" s="5">
        <v>0</v>
      </c>
      <c r="W1902" s="5"/>
      <c r="X1902" s="5"/>
      <c r="Y1902" s="5"/>
      <c r="Z1902" s="5"/>
      <c r="AA1902" s="5"/>
      <c r="AC1902" t="str">
        <f t="shared" si="262"/>
        <v/>
      </c>
      <c r="AD1902" t="str">
        <f t="shared" si="263"/>
        <v/>
      </c>
      <c r="AE1902" t="str">
        <f t="shared" si="264"/>
        <v/>
      </c>
      <c r="AF1902" t="str">
        <f t="shared" si="265"/>
        <v/>
      </c>
      <c r="AG1902" t="str">
        <f t="shared" si="266"/>
        <v/>
      </c>
      <c r="AH1902">
        <f t="shared" si="267"/>
        <v>2</v>
      </c>
      <c r="AI1902" t="str">
        <f t="shared" si="268"/>
        <v/>
      </c>
      <c r="AJ1902" t="str">
        <f t="shared" si="269"/>
        <v/>
      </c>
    </row>
    <row r="1903" spans="1:36">
      <c r="A1903" s="5">
        <v>2310</v>
      </c>
      <c r="B1903" s="5" t="s">
        <v>1843</v>
      </c>
      <c r="C1903" s="5" t="s">
        <v>1540</v>
      </c>
      <c r="D1903" s="5" t="s">
        <v>1820</v>
      </c>
      <c r="E1903" s="5" t="s">
        <v>39</v>
      </c>
      <c r="F1903" s="5" t="str">
        <f t="shared" si="261"/>
        <v>Finance-Analyst</v>
      </c>
      <c r="G1903" s="5" t="s">
        <v>40</v>
      </c>
      <c r="H1903" s="9">
        <v>45098.08085648148</v>
      </c>
      <c r="I1903" s="9">
        <v>45100.08085648148</v>
      </c>
      <c r="J1903" s="9" t="e">
        <f>I1903+#REF!</f>
        <v>#REF!</v>
      </c>
      <c r="K1903" s="9" t="e">
        <f>J1903+#REF!</f>
        <v>#REF!</v>
      </c>
      <c r="L1903" s="10" t="s">
        <v>41</v>
      </c>
      <c r="M1903" s="11">
        <v>45110.08085648148</v>
      </c>
      <c r="N1903" s="5" t="s">
        <v>42</v>
      </c>
      <c r="O1903" s="5" t="s">
        <v>43</v>
      </c>
      <c r="P1903" s="9"/>
      <c r="Q1903" s="5"/>
      <c r="R1903" s="5"/>
      <c r="S1903" s="5"/>
      <c r="T1903" s="9"/>
      <c r="U1903" s="5"/>
      <c r="V1903" s="5">
        <v>0</v>
      </c>
      <c r="W1903" s="5"/>
      <c r="X1903" s="5"/>
      <c r="Y1903" s="5"/>
      <c r="Z1903" s="5"/>
      <c r="AA1903" s="5" t="s">
        <v>44</v>
      </c>
      <c r="AC1903">
        <f t="shared" si="262"/>
        <v>10</v>
      </c>
      <c r="AD1903" t="str">
        <f t="shared" si="263"/>
        <v/>
      </c>
      <c r="AE1903" t="str">
        <f t="shared" si="264"/>
        <v/>
      </c>
      <c r="AF1903" t="str">
        <f t="shared" si="265"/>
        <v/>
      </c>
      <c r="AG1903" t="str">
        <f t="shared" si="266"/>
        <v/>
      </c>
      <c r="AH1903">
        <f t="shared" si="267"/>
        <v>2</v>
      </c>
      <c r="AI1903" t="str">
        <f t="shared" si="268"/>
        <v/>
      </c>
      <c r="AJ1903" t="str">
        <f t="shared" si="269"/>
        <v/>
      </c>
    </row>
    <row r="1904" spans="1:36">
      <c r="A1904" s="5">
        <v>2312</v>
      </c>
      <c r="B1904" s="5" t="s">
        <v>593</v>
      </c>
      <c r="C1904" s="5" t="s">
        <v>100</v>
      </c>
      <c r="D1904" s="5" t="s">
        <v>554</v>
      </c>
      <c r="E1904" s="5" t="s">
        <v>51</v>
      </c>
      <c r="F1904" s="5" t="str">
        <f t="shared" si="261"/>
        <v>Program Office-Supervisor</v>
      </c>
      <c r="G1904" s="5" t="s">
        <v>47</v>
      </c>
      <c r="H1904" s="9">
        <v>44675.037303240744</v>
      </c>
      <c r="I1904" s="9">
        <v>44676.037303240744</v>
      </c>
      <c r="J1904" s="9" t="e">
        <f>I1904+#REF!</f>
        <v>#REF!</v>
      </c>
      <c r="K1904" s="9" t="e">
        <f>J1904+#REF!</f>
        <v>#REF!</v>
      </c>
      <c r="L1904" s="10" t="s">
        <v>52</v>
      </c>
      <c r="M1904" s="11"/>
      <c r="N1904" s="5"/>
      <c r="O1904" s="5"/>
      <c r="P1904" s="9"/>
      <c r="Q1904" s="5"/>
      <c r="R1904" s="5"/>
      <c r="S1904" s="5"/>
      <c r="T1904" s="9"/>
      <c r="U1904" s="5"/>
      <c r="V1904" s="5">
        <v>0</v>
      </c>
      <c r="W1904" s="5"/>
      <c r="X1904" s="5"/>
      <c r="Y1904" s="5"/>
      <c r="Z1904" s="5"/>
      <c r="AA1904" s="5"/>
      <c r="AC1904" t="str">
        <f t="shared" si="262"/>
        <v/>
      </c>
      <c r="AD1904" t="str">
        <f t="shared" si="263"/>
        <v/>
      </c>
      <c r="AE1904" t="str">
        <f t="shared" si="264"/>
        <v/>
      </c>
      <c r="AF1904" t="str">
        <f t="shared" si="265"/>
        <v/>
      </c>
      <c r="AG1904" t="str">
        <f t="shared" si="266"/>
        <v/>
      </c>
      <c r="AH1904">
        <f t="shared" si="267"/>
        <v>1</v>
      </c>
      <c r="AI1904" t="str">
        <f t="shared" si="268"/>
        <v/>
      </c>
      <c r="AJ1904" t="str">
        <f t="shared" si="269"/>
        <v/>
      </c>
    </row>
    <row r="1905" spans="1:36">
      <c r="A1905" s="5">
        <v>2313</v>
      </c>
      <c r="B1905" s="5" t="s">
        <v>175</v>
      </c>
      <c r="C1905" s="5" t="s">
        <v>100</v>
      </c>
      <c r="D1905" s="5" t="s">
        <v>146</v>
      </c>
      <c r="E1905" s="5" t="s">
        <v>39</v>
      </c>
      <c r="F1905" s="5" t="str">
        <f t="shared" si="261"/>
        <v>Program Office-Analyst</v>
      </c>
      <c r="G1905" s="5" t="s">
        <v>147</v>
      </c>
      <c r="H1905" s="9">
        <v>44670.037303240744</v>
      </c>
      <c r="I1905" s="9">
        <v>44673.037303240744</v>
      </c>
      <c r="J1905" s="9" t="e">
        <f>I1905+#REF!</f>
        <v>#REF!</v>
      </c>
      <c r="K1905" s="9" t="e">
        <f>J1905+#REF!</f>
        <v>#REF!</v>
      </c>
      <c r="L1905" s="10" t="s">
        <v>41</v>
      </c>
      <c r="M1905" s="11">
        <v>44688.037303240744</v>
      </c>
      <c r="N1905" s="5" t="s">
        <v>167</v>
      </c>
      <c r="O1905" s="5"/>
      <c r="P1905" s="9">
        <v>44691.037303240744</v>
      </c>
      <c r="Q1905" s="5" t="s">
        <v>167</v>
      </c>
      <c r="R1905" s="5"/>
      <c r="S1905" s="5"/>
      <c r="T1905" s="9">
        <v>44689.037303240744</v>
      </c>
      <c r="U1905" s="5"/>
      <c r="V1905" s="5">
        <v>0</v>
      </c>
      <c r="W1905" s="5"/>
      <c r="X1905" s="5"/>
      <c r="Y1905" s="5"/>
      <c r="Z1905" s="5"/>
      <c r="AA1905" s="5"/>
      <c r="AC1905">
        <f t="shared" si="262"/>
        <v>15</v>
      </c>
      <c r="AD1905" t="str">
        <f t="shared" si="263"/>
        <v/>
      </c>
      <c r="AE1905">
        <f t="shared" si="264"/>
        <v>1</v>
      </c>
      <c r="AF1905" t="str">
        <f t="shared" si="265"/>
        <v/>
      </c>
      <c r="AG1905" t="str">
        <f t="shared" si="266"/>
        <v/>
      </c>
      <c r="AH1905">
        <f t="shared" si="267"/>
        <v>3</v>
      </c>
      <c r="AI1905" t="str">
        <f t="shared" si="268"/>
        <v/>
      </c>
      <c r="AJ1905" t="str">
        <f t="shared" si="269"/>
        <v/>
      </c>
    </row>
    <row r="1906" spans="1:36">
      <c r="A1906" s="5">
        <v>2314</v>
      </c>
      <c r="B1906" s="5" t="s">
        <v>174</v>
      </c>
      <c r="C1906" s="5" t="s">
        <v>100</v>
      </c>
      <c r="D1906" s="5" t="s">
        <v>146</v>
      </c>
      <c r="E1906" s="5" t="s">
        <v>39</v>
      </c>
      <c r="F1906" s="5" t="str">
        <f t="shared" si="261"/>
        <v>Program Office-Analyst</v>
      </c>
      <c r="G1906" s="5" t="s">
        <v>147</v>
      </c>
      <c r="H1906" s="9">
        <v>44670.037303240744</v>
      </c>
      <c r="I1906" s="9">
        <v>44671.037303240744</v>
      </c>
      <c r="J1906" s="9" t="e">
        <f>I1906+#REF!</f>
        <v>#REF!</v>
      </c>
      <c r="K1906" s="9" t="e">
        <f>J1906+#REF!</f>
        <v>#REF!</v>
      </c>
      <c r="L1906" s="10" t="s">
        <v>41</v>
      </c>
      <c r="M1906" s="11">
        <v>44691.037303240744</v>
      </c>
      <c r="N1906" s="5" t="s">
        <v>42</v>
      </c>
      <c r="O1906" s="5" t="s">
        <v>113</v>
      </c>
      <c r="P1906" s="9"/>
      <c r="Q1906" s="5"/>
      <c r="R1906" s="5"/>
      <c r="S1906" s="5"/>
      <c r="T1906" s="9">
        <v>44694.037303240744</v>
      </c>
      <c r="U1906" s="5"/>
      <c r="V1906" s="5">
        <v>0</v>
      </c>
      <c r="W1906" s="5"/>
      <c r="X1906" s="5"/>
      <c r="Y1906" s="5"/>
      <c r="Z1906" s="5"/>
      <c r="AA1906" s="5" t="s">
        <v>44</v>
      </c>
      <c r="AC1906">
        <f t="shared" si="262"/>
        <v>20</v>
      </c>
      <c r="AD1906" t="str">
        <f t="shared" si="263"/>
        <v/>
      </c>
      <c r="AE1906">
        <f t="shared" si="264"/>
        <v>3</v>
      </c>
      <c r="AF1906" t="str">
        <f t="shared" si="265"/>
        <v/>
      </c>
      <c r="AG1906" t="str">
        <f t="shared" si="266"/>
        <v/>
      </c>
      <c r="AH1906">
        <f t="shared" si="267"/>
        <v>1</v>
      </c>
      <c r="AI1906" t="str">
        <f t="shared" si="268"/>
        <v/>
      </c>
      <c r="AJ1906" t="str">
        <f t="shared" si="269"/>
        <v/>
      </c>
    </row>
    <row r="1907" spans="1:36">
      <c r="A1907" s="5">
        <v>2315</v>
      </c>
      <c r="B1907" s="5" t="s">
        <v>114</v>
      </c>
      <c r="C1907" s="5" t="s">
        <v>100</v>
      </c>
      <c r="D1907" s="5" t="s">
        <v>101</v>
      </c>
      <c r="E1907" s="5" t="s">
        <v>102</v>
      </c>
      <c r="F1907" s="5" t="str">
        <f t="shared" si="261"/>
        <v>Program Office-Senior Manager</v>
      </c>
      <c r="G1907" s="5" t="s">
        <v>103</v>
      </c>
      <c r="H1907" s="9">
        <v>44672.037303240744</v>
      </c>
      <c r="I1907" s="9">
        <v>44674.037303240744</v>
      </c>
      <c r="J1907" s="9" t="e">
        <f>I1907+#REF!</f>
        <v>#REF!</v>
      </c>
      <c r="K1907" s="9" t="e">
        <f>J1907+#REF!</f>
        <v>#REF!</v>
      </c>
      <c r="L1907" s="10" t="s">
        <v>41</v>
      </c>
      <c r="M1907" s="11">
        <v>44686.037303240744</v>
      </c>
      <c r="N1907" s="5" t="s">
        <v>42</v>
      </c>
      <c r="O1907" s="5" t="s">
        <v>58</v>
      </c>
      <c r="P1907" s="9"/>
      <c r="Q1907" s="5"/>
      <c r="R1907" s="5"/>
      <c r="S1907" s="5"/>
      <c r="T1907" s="9"/>
      <c r="U1907" s="5"/>
      <c r="V1907" s="5">
        <v>0</v>
      </c>
      <c r="W1907" s="5"/>
      <c r="X1907" s="5"/>
      <c r="Y1907" s="5"/>
      <c r="Z1907" s="5"/>
      <c r="AA1907" s="5" t="s">
        <v>44</v>
      </c>
      <c r="AC1907">
        <f t="shared" si="262"/>
        <v>12</v>
      </c>
      <c r="AD1907" t="str">
        <f t="shared" si="263"/>
        <v/>
      </c>
      <c r="AE1907" t="str">
        <f t="shared" si="264"/>
        <v/>
      </c>
      <c r="AF1907" t="str">
        <f t="shared" si="265"/>
        <v/>
      </c>
      <c r="AG1907" t="str">
        <f t="shared" si="266"/>
        <v/>
      </c>
      <c r="AH1907">
        <f t="shared" si="267"/>
        <v>2</v>
      </c>
      <c r="AI1907" t="str">
        <f t="shared" si="268"/>
        <v/>
      </c>
      <c r="AJ1907" t="str">
        <f t="shared" si="269"/>
        <v/>
      </c>
    </row>
    <row r="1908" spans="1:36">
      <c r="A1908" s="5">
        <v>2316</v>
      </c>
      <c r="B1908" s="5" t="s">
        <v>592</v>
      </c>
      <c r="C1908" s="5" t="s">
        <v>100</v>
      </c>
      <c r="D1908" s="5" t="s">
        <v>554</v>
      </c>
      <c r="E1908" s="5" t="s">
        <v>51</v>
      </c>
      <c r="F1908" s="5" t="str">
        <f t="shared" si="261"/>
        <v>Program Office-Supervisor</v>
      </c>
      <c r="G1908" s="5" t="s">
        <v>47</v>
      </c>
      <c r="H1908" s="9">
        <v>44668.037303240744</v>
      </c>
      <c r="I1908" s="9">
        <v>44672.037303240744</v>
      </c>
      <c r="J1908" s="9" t="e">
        <f>I1908+#REF!</f>
        <v>#REF!</v>
      </c>
      <c r="K1908" s="9" t="e">
        <f>J1908+#REF!</f>
        <v>#REF!</v>
      </c>
      <c r="L1908" s="10" t="s">
        <v>41</v>
      </c>
      <c r="M1908" s="11">
        <v>44690.037303240744</v>
      </c>
      <c r="N1908" s="5" t="s">
        <v>42</v>
      </c>
      <c r="O1908" s="5" t="s">
        <v>43</v>
      </c>
      <c r="P1908" s="9"/>
      <c r="Q1908" s="5"/>
      <c r="R1908" s="5"/>
      <c r="S1908" s="5"/>
      <c r="T1908" s="9">
        <v>44693.037303240744</v>
      </c>
      <c r="U1908" s="5"/>
      <c r="V1908" s="5">
        <v>0</v>
      </c>
      <c r="W1908" s="5"/>
      <c r="X1908" s="5"/>
      <c r="Y1908" s="5"/>
      <c r="Z1908" s="5"/>
      <c r="AA1908" s="5" t="s">
        <v>62</v>
      </c>
      <c r="AC1908">
        <f t="shared" si="262"/>
        <v>18</v>
      </c>
      <c r="AD1908" t="str">
        <f t="shared" si="263"/>
        <v/>
      </c>
      <c r="AE1908">
        <f t="shared" si="264"/>
        <v>3</v>
      </c>
      <c r="AF1908" t="str">
        <f t="shared" si="265"/>
        <v/>
      </c>
      <c r="AG1908" t="str">
        <f t="shared" si="266"/>
        <v/>
      </c>
      <c r="AH1908">
        <f t="shared" si="267"/>
        <v>4</v>
      </c>
      <c r="AI1908" t="str">
        <f t="shared" si="268"/>
        <v/>
      </c>
      <c r="AJ1908" t="str">
        <f t="shared" si="269"/>
        <v/>
      </c>
    </row>
    <row r="1909" spans="1:36">
      <c r="A1909" s="5">
        <v>2319</v>
      </c>
      <c r="B1909" s="5" t="s">
        <v>419</v>
      </c>
      <c r="C1909" s="5" t="s">
        <v>100</v>
      </c>
      <c r="D1909" s="5" t="s">
        <v>387</v>
      </c>
      <c r="E1909" s="5" t="s">
        <v>388</v>
      </c>
      <c r="F1909" s="5" t="str">
        <f t="shared" si="261"/>
        <v>Program Office-Extension Officer</v>
      </c>
      <c r="G1909" s="5" t="s">
        <v>40</v>
      </c>
      <c r="H1909" s="9">
        <v>44674.037303240744</v>
      </c>
      <c r="I1909" s="9">
        <v>44675.037303240744</v>
      </c>
      <c r="J1909" s="9" t="e">
        <f>I1909+#REF!</f>
        <v>#REF!</v>
      </c>
      <c r="K1909" s="9" t="e">
        <f>J1909+#REF!</f>
        <v>#REF!</v>
      </c>
      <c r="L1909" s="10" t="s">
        <v>41</v>
      </c>
      <c r="M1909" s="11">
        <v>44692.037303240744</v>
      </c>
      <c r="N1909" s="5" t="s">
        <v>42</v>
      </c>
      <c r="O1909" s="5" t="s">
        <v>113</v>
      </c>
      <c r="P1909" s="9"/>
      <c r="Q1909" s="5"/>
      <c r="R1909" s="5"/>
      <c r="S1909" s="5"/>
      <c r="T1909" s="9">
        <v>44694.037303240744</v>
      </c>
      <c r="U1909" s="5"/>
      <c r="V1909" s="5">
        <v>0</v>
      </c>
      <c r="W1909" s="5"/>
      <c r="X1909" s="5"/>
      <c r="Y1909" s="5"/>
      <c r="Z1909" s="5"/>
      <c r="AA1909" s="5" t="s">
        <v>62</v>
      </c>
      <c r="AC1909">
        <f t="shared" si="262"/>
        <v>17</v>
      </c>
      <c r="AD1909" t="str">
        <f t="shared" si="263"/>
        <v/>
      </c>
      <c r="AE1909">
        <f t="shared" si="264"/>
        <v>2</v>
      </c>
      <c r="AF1909" t="str">
        <f t="shared" si="265"/>
        <v/>
      </c>
      <c r="AG1909" t="str">
        <f t="shared" si="266"/>
        <v/>
      </c>
      <c r="AH1909">
        <f t="shared" si="267"/>
        <v>1</v>
      </c>
      <c r="AI1909" t="str">
        <f t="shared" si="268"/>
        <v/>
      </c>
      <c r="AJ1909" t="str">
        <f t="shared" si="269"/>
        <v/>
      </c>
    </row>
    <row r="1910" spans="1:36">
      <c r="A1910" s="5">
        <v>2320</v>
      </c>
      <c r="B1910" s="5" t="s">
        <v>288</v>
      </c>
      <c r="C1910" s="5" t="s">
        <v>100</v>
      </c>
      <c r="D1910" s="5" t="s">
        <v>268</v>
      </c>
      <c r="E1910" s="5" t="s">
        <v>269</v>
      </c>
      <c r="F1910" s="5" t="str">
        <f t="shared" si="261"/>
        <v>Program Office-Manager</v>
      </c>
      <c r="G1910" s="5" t="s">
        <v>270</v>
      </c>
      <c r="H1910" s="9">
        <v>44672.037303240744</v>
      </c>
      <c r="I1910" s="9">
        <v>44676.037303240744</v>
      </c>
      <c r="J1910" s="9" t="e">
        <f>I1910+#REF!</f>
        <v>#REF!</v>
      </c>
      <c r="K1910" s="9" t="e">
        <f>J1910+#REF!</f>
        <v>#REF!</v>
      </c>
      <c r="L1910" s="10" t="s">
        <v>41</v>
      </c>
      <c r="M1910" s="11">
        <v>44692.037303240744</v>
      </c>
      <c r="N1910" s="5" t="s">
        <v>42</v>
      </c>
      <c r="O1910" s="5" t="s">
        <v>58</v>
      </c>
      <c r="P1910" s="9"/>
      <c r="Q1910" s="5"/>
      <c r="R1910" s="5"/>
      <c r="S1910" s="5"/>
      <c r="T1910" s="9"/>
      <c r="U1910" s="5"/>
      <c r="V1910" s="5">
        <v>0</v>
      </c>
      <c r="W1910" s="5"/>
      <c r="X1910" s="5"/>
      <c r="Y1910" s="5"/>
      <c r="Z1910" s="5"/>
      <c r="AA1910" s="5" t="s">
        <v>62</v>
      </c>
      <c r="AC1910">
        <f t="shared" si="262"/>
        <v>16</v>
      </c>
      <c r="AD1910" t="str">
        <f t="shared" si="263"/>
        <v/>
      </c>
      <c r="AE1910" t="str">
        <f t="shared" si="264"/>
        <v/>
      </c>
      <c r="AF1910" t="str">
        <f t="shared" si="265"/>
        <v/>
      </c>
      <c r="AG1910" t="str">
        <f t="shared" si="266"/>
        <v/>
      </c>
      <c r="AH1910">
        <f t="shared" si="267"/>
        <v>4</v>
      </c>
      <c r="AI1910" t="str">
        <f t="shared" si="268"/>
        <v/>
      </c>
      <c r="AJ1910" t="str">
        <f t="shared" si="269"/>
        <v/>
      </c>
    </row>
    <row r="1911" spans="1:36">
      <c r="A1911" s="5">
        <v>2321</v>
      </c>
      <c r="B1911" s="5" t="s">
        <v>1999</v>
      </c>
      <c r="C1911" s="5" t="s">
        <v>1540</v>
      </c>
      <c r="D1911" s="5" t="s">
        <v>1985</v>
      </c>
      <c r="E1911" s="5" t="s">
        <v>1986</v>
      </c>
      <c r="F1911" s="5" t="str">
        <f t="shared" si="261"/>
        <v>Finance-Revenue Recorgnition</v>
      </c>
      <c r="G1911" s="5" t="s">
        <v>47</v>
      </c>
      <c r="H1911" s="9">
        <v>44596.265613425923</v>
      </c>
      <c r="I1911" s="9">
        <v>44600.265613425923</v>
      </c>
      <c r="J1911" s="9" t="e">
        <f>I1911+#REF!</f>
        <v>#REF!</v>
      </c>
      <c r="K1911" s="9" t="e">
        <f>J1911+#REF!</f>
        <v>#REF!</v>
      </c>
      <c r="L1911" s="10" t="s">
        <v>41</v>
      </c>
      <c r="M1911" s="11">
        <v>44615.265613425923</v>
      </c>
      <c r="N1911" s="5" t="s">
        <v>42</v>
      </c>
      <c r="O1911" s="5" t="s">
        <v>98</v>
      </c>
      <c r="P1911" s="9"/>
      <c r="Q1911" s="5"/>
      <c r="R1911" s="5"/>
      <c r="S1911" s="5"/>
      <c r="T1911" s="9">
        <v>44617.265613425923</v>
      </c>
      <c r="U1911" s="5"/>
      <c r="V1911" s="5">
        <v>0</v>
      </c>
      <c r="W1911" s="5"/>
      <c r="X1911" s="5"/>
      <c r="Y1911" s="5"/>
      <c r="Z1911" s="5"/>
      <c r="AA1911" s="5" t="s">
        <v>44</v>
      </c>
      <c r="AC1911">
        <f t="shared" si="262"/>
        <v>15</v>
      </c>
      <c r="AD1911" t="str">
        <f t="shared" si="263"/>
        <v/>
      </c>
      <c r="AE1911">
        <f t="shared" si="264"/>
        <v>2</v>
      </c>
      <c r="AF1911" t="str">
        <f t="shared" si="265"/>
        <v/>
      </c>
      <c r="AG1911" t="str">
        <f t="shared" si="266"/>
        <v/>
      </c>
      <c r="AH1911">
        <f t="shared" si="267"/>
        <v>4</v>
      </c>
      <c r="AI1911" t="str">
        <f t="shared" si="268"/>
        <v/>
      </c>
      <c r="AJ1911" t="str">
        <f t="shared" si="269"/>
        <v/>
      </c>
    </row>
    <row r="1912" spans="1:36">
      <c r="A1912" s="5">
        <v>2322</v>
      </c>
      <c r="B1912" s="5" t="s">
        <v>1842</v>
      </c>
      <c r="C1912" s="5" t="s">
        <v>1540</v>
      </c>
      <c r="D1912" s="5" t="s">
        <v>1820</v>
      </c>
      <c r="E1912" s="5" t="s">
        <v>39</v>
      </c>
      <c r="F1912" s="5" t="str">
        <f t="shared" si="261"/>
        <v>Finance-Analyst</v>
      </c>
      <c r="G1912" s="5" t="s">
        <v>40</v>
      </c>
      <c r="H1912" s="9">
        <v>44594.265613425923</v>
      </c>
      <c r="I1912" s="9">
        <v>44598.265613425923</v>
      </c>
      <c r="J1912" s="9" t="e">
        <f>I1912+#REF!</f>
        <v>#REF!</v>
      </c>
      <c r="K1912" s="9" t="e">
        <f>J1912+#REF!</f>
        <v>#REF!</v>
      </c>
      <c r="L1912" s="10" t="s">
        <v>52</v>
      </c>
      <c r="M1912" s="11"/>
      <c r="N1912" s="5"/>
      <c r="O1912" s="5"/>
      <c r="P1912" s="9"/>
      <c r="Q1912" s="5"/>
      <c r="R1912" s="5"/>
      <c r="S1912" s="5"/>
      <c r="T1912" s="9"/>
      <c r="U1912" s="5"/>
      <c r="V1912" s="5">
        <v>0</v>
      </c>
      <c r="W1912" s="5"/>
      <c r="X1912" s="5"/>
      <c r="Y1912" s="5"/>
      <c r="Z1912" s="5"/>
      <c r="AA1912" s="5"/>
      <c r="AC1912" t="str">
        <f t="shared" si="262"/>
        <v/>
      </c>
      <c r="AD1912" t="str">
        <f t="shared" si="263"/>
        <v/>
      </c>
      <c r="AE1912" t="str">
        <f t="shared" si="264"/>
        <v/>
      </c>
      <c r="AF1912" t="str">
        <f t="shared" si="265"/>
        <v/>
      </c>
      <c r="AG1912" t="str">
        <f t="shared" si="266"/>
        <v/>
      </c>
      <c r="AH1912">
        <f t="shared" si="267"/>
        <v>4</v>
      </c>
      <c r="AI1912" t="str">
        <f t="shared" si="268"/>
        <v/>
      </c>
      <c r="AJ1912" t="str">
        <f t="shared" si="269"/>
        <v/>
      </c>
    </row>
    <row r="1913" spans="1:36">
      <c r="A1913" s="5">
        <v>2323</v>
      </c>
      <c r="B1913" s="5" t="s">
        <v>1545</v>
      </c>
      <c r="C1913" s="5" t="s">
        <v>1540</v>
      </c>
      <c r="D1913" s="5" t="s">
        <v>1541</v>
      </c>
      <c r="E1913" s="5" t="s">
        <v>102</v>
      </c>
      <c r="F1913" s="5" t="str">
        <f t="shared" si="261"/>
        <v>Finance-Senior Manager</v>
      </c>
      <c r="G1913" s="5" t="s">
        <v>103</v>
      </c>
      <c r="H1913" s="9">
        <v>44597.265613425923</v>
      </c>
      <c r="I1913" s="9">
        <v>44598.265613425923</v>
      </c>
      <c r="J1913" s="9" t="e">
        <f>I1913+#REF!</f>
        <v>#REF!</v>
      </c>
      <c r="K1913" s="9" t="e">
        <f>J1913+#REF!</f>
        <v>#REF!</v>
      </c>
      <c r="L1913" s="10" t="s">
        <v>41</v>
      </c>
      <c r="M1913" s="11">
        <v>44617.265613425923</v>
      </c>
      <c r="N1913" s="5" t="s">
        <v>42</v>
      </c>
      <c r="O1913" s="5" t="s">
        <v>98</v>
      </c>
      <c r="P1913" s="9"/>
      <c r="Q1913" s="5"/>
      <c r="R1913" s="5"/>
      <c r="S1913" s="5"/>
      <c r="T1913" s="9"/>
      <c r="U1913" s="5"/>
      <c r="V1913" s="5">
        <v>0</v>
      </c>
      <c r="W1913" s="5"/>
      <c r="X1913" s="5"/>
      <c r="Y1913" s="5"/>
      <c r="Z1913" s="5"/>
      <c r="AA1913" s="5" t="s">
        <v>62</v>
      </c>
      <c r="AC1913">
        <f t="shared" si="262"/>
        <v>19</v>
      </c>
      <c r="AD1913" t="str">
        <f t="shared" si="263"/>
        <v/>
      </c>
      <c r="AE1913" t="str">
        <f t="shared" si="264"/>
        <v/>
      </c>
      <c r="AF1913" t="str">
        <f t="shared" si="265"/>
        <v/>
      </c>
      <c r="AG1913" t="str">
        <f t="shared" si="266"/>
        <v/>
      </c>
      <c r="AH1913">
        <f t="shared" si="267"/>
        <v>1</v>
      </c>
      <c r="AI1913" t="str">
        <f t="shared" si="268"/>
        <v/>
      </c>
      <c r="AJ1913" t="str">
        <f t="shared" si="269"/>
        <v/>
      </c>
    </row>
    <row r="1914" spans="1:36">
      <c r="A1914" s="5">
        <v>2324</v>
      </c>
      <c r="B1914" s="5" t="s">
        <v>1841</v>
      </c>
      <c r="C1914" s="5" t="s">
        <v>1540</v>
      </c>
      <c r="D1914" s="5" t="s">
        <v>1820</v>
      </c>
      <c r="E1914" s="5" t="s">
        <v>39</v>
      </c>
      <c r="F1914" s="5" t="str">
        <f t="shared" si="261"/>
        <v>Finance-Analyst</v>
      </c>
      <c r="G1914" s="5" t="s">
        <v>40</v>
      </c>
      <c r="H1914" s="9">
        <v>44594.265613425923</v>
      </c>
      <c r="I1914" s="9">
        <v>44597.265613425923</v>
      </c>
      <c r="J1914" s="9" t="e">
        <f>I1914+#REF!</f>
        <v>#REF!</v>
      </c>
      <c r="K1914" s="9" t="e">
        <f>J1914+#REF!</f>
        <v>#REF!</v>
      </c>
      <c r="L1914" s="10" t="s">
        <v>52</v>
      </c>
      <c r="M1914" s="11"/>
      <c r="N1914" s="5"/>
      <c r="O1914" s="5"/>
      <c r="P1914" s="9"/>
      <c r="Q1914" s="5"/>
      <c r="R1914" s="5"/>
      <c r="S1914" s="5"/>
      <c r="T1914" s="9"/>
      <c r="U1914" s="5"/>
      <c r="V1914" s="5">
        <v>0</v>
      </c>
      <c r="W1914" s="5"/>
      <c r="X1914" s="5"/>
      <c r="Y1914" s="5"/>
      <c r="Z1914" s="5"/>
      <c r="AA1914" s="5"/>
      <c r="AC1914" t="str">
        <f t="shared" si="262"/>
        <v/>
      </c>
      <c r="AD1914" t="str">
        <f t="shared" si="263"/>
        <v/>
      </c>
      <c r="AE1914" t="str">
        <f t="shared" si="264"/>
        <v/>
      </c>
      <c r="AF1914" t="str">
        <f t="shared" si="265"/>
        <v/>
      </c>
      <c r="AG1914" t="str">
        <f t="shared" si="266"/>
        <v/>
      </c>
      <c r="AH1914">
        <f t="shared" si="267"/>
        <v>3</v>
      </c>
      <c r="AI1914" t="str">
        <f t="shared" si="268"/>
        <v/>
      </c>
      <c r="AJ1914" t="str">
        <f t="shared" si="269"/>
        <v/>
      </c>
    </row>
    <row r="1915" spans="1:36">
      <c r="A1915" s="5">
        <v>2326</v>
      </c>
      <c r="B1915" s="5" t="s">
        <v>1998</v>
      </c>
      <c r="C1915" s="5" t="s">
        <v>1540</v>
      </c>
      <c r="D1915" s="5" t="s">
        <v>1985</v>
      </c>
      <c r="E1915" s="5" t="s">
        <v>1986</v>
      </c>
      <c r="F1915" s="5" t="str">
        <f t="shared" si="261"/>
        <v>Finance-Revenue Recorgnition</v>
      </c>
      <c r="G1915" s="5" t="s">
        <v>47</v>
      </c>
      <c r="H1915" s="9">
        <v>44598.265613425923</v>
      </c>
      <c r="I1915" s="9">
        <v>44602.265613425923</v>
      </c>
      <c r="J1915" s="9" t="e">
        <f>I1915+#REF!</f>
        <v>#REF!</v>
      </c>
      <c r="K1915" s="9" t="e">
        <f>J1915+#REF!</f>
        <v>#REF!</v>
      </c>
      <c r="L1915" s="10" t="s">
        <v>41</v>
      </c>
      <c r="M1915" s="11">
        <v>44608.265613425923</v>
      </c>
      <c r="N1915" s="5" t="s">
        <v>64</v>
      </c>
      <c r="O1915" s="5"/>
      <c r="P1915" s="9">
        <v>44613.265613425923</v>
      </c>
      <c r="Q1915" s="5" t="s">
        <v>64</v>
      </c>
      <c r="R1915" s="9">
        <v>44610.265613425923</v>
      </c>
      <c r="S1915" s="9">
        <v>44614.265613425923</v>
      </c>
      <c r="T1915" s="9">
        <v>44610.265613425923</v>
      </c>
      <c r="U1915" s="9">
        <v>44620.265613425923</v>
      </c>
      <c r="V1915" s="12">
        <v>1</v>
      </c>
      <c r="W1915" s="9">
        <v>44624.265613425923</v>
      </c>
      <c r="X1915" s="9">
        <v>44627.265613425923</v>
      </c>
      <c r="Y1915" s="9">
        <v>44628.265613425923</v>
      </c>
      <c r="Z1915" s="5"/>
      <c r="AA1915" s="5"/>
      <c r="AB1915" s="13">
        <v>44649.265613425923</v>
      </c>
      <c r="AC1915">
        <f t="shared" si="262"/>
        <v>6</v>
      </c>
      <c r="AD1915">
        <f t="shared" si="263"/>
        <v>12</v>
      </c>
      <c r="AE1915">
        <f t="shared" si="264"/>
        <v>2</v>
      </c>
      <c r="AF1915">
        <f t="shared" si="265"/>
        <v>7</v>
      </c>
      <c r="AG1915">
        <f t="shared" si="266"/>
        <v>4</v>
      </c>
      <c r="AH1915">
        <f t="shared" si="267"/>
        <v>4</v>
      </c>
      <c r="AI1915" t="str">
        <f t="shared" si="268"/>
        <v/>
      </c>
      <c r="AJ1915" t="str">
        <f t="shared" si="269"/>
        <v/>
      </c>
    </row>
    <row r="1916" spans="1:36">
      <c r="A1916" s="5">
        <v>2327</v>
      </c>
      <c r="B1916" s="5" t="s">
        <v>1840</v>
      </c>
      <c r="C1916" s="5" t="s">
        <v>1540</v>
      </c>
      <c r="D1916" s="5" t="s">
        <v>1820</v>
      </c>
      <c r="E1916" s="5" t="s">
        <v>39</v>
      </c>
      <c r="F1916" s="5" t="str">
        <f t="shared" si="261"/>
        <v>Finance-Analyst</v>
      </c>
      <c r="G1916" s="5" t="s">
        <v>40</v>
      </c>
      <c r="H1916" s="9">
        <v>44598.265613425923</v>
      </c>
      <c r="I1916" s="9">
        <v>44600.265613425923</v>
      </c>
      <c r="J1916" s="9" t="e">
        <f>I1916+#REF!</f>
        <v>#REF!</v>
      </c>
      <c r="K1916" s="9" t="e">
        <f>J1916+#REF!</f>
        <v>#REF!</v>
      </c>
      <c r="L1916" s="10" t="s">
        <v>41</v>
      </c>
      <c r="M1916" s="11">
        <v>44610.265613425923</v>
      </c>
      <c r="N1916" s="5" t="s">
        <v>42</v>
      </c>
      <c r="O1916" s="5" t="s">
        <v>73</v>
      </c>
      <c r="P1916" s="9"/>
      <c r="Q1916" s="5"/>
      <c r="R1916" s="5"/>
      <c r="S1916" s="5"/>
      <c r="T1916" s="9"/>
      <c r="U1916" s="5"/>
      <c r="V1916" s="5">
        <v>0</v>
      </c>
      <c r="W1916" s="5"/>
      <c r="X1916" s="5"/>
      <c r="Y1916" s="5"/>
      <c r="Z1916" s="5"/>
      <c r="AA1916" s="5" t="s">
        <v>62</v>
      </c>
      <c r="AC1916">
        <f t="shared" si="262"/>
        <v>10</v>
      </c>
      <c r="AD1916" t="str">
        <f t="shared" si="263"/>
        <v/>
      </c>
      <c r="AE1916" t="str">
        <f t="shared" si="264"/>
        <v/>
      </c>
      <c r="AF1916" t="str">
        <f t="shared" si="265"/>
        <v/>
      </c>
      <c r="AG1916" t="str">
        <f t="shared" si="266"/>
        <v/>
      </c>
      <c r="AH1916">
        <f t="shared" si="267"/>
        <v>2</v>
      </c>
      <c r="AI1916" t="str">
        <f t="shared" si="268"/>
        <v/>
      </c>
      <c r="AJ1916" t="str">
        <f t="shared" si="269"/>
        <v/>
      </c>
    </row>
    <row r="1917" spans="1:36">
      <c r="A1917" s="5">
        <v>2329</v>
      </c>
      <c r="B1917" s="5" t="s">
        <v>1839</v>
      </c>
      <c r="C1917" s="5" t="s">
        <v>1540</v>
      </c>
      <c r="D1917" s="5" t="s">
        <v>1820</v>
      </c>
      <c r="E1917" s="5" t="s">
        <v>39</v>
      </c>
      <c r="F1917" s="5" t="str">
        <f t="shared" si="261"/>
        <v>Finance-Analyst</v>
      </c>
      <c r="G1917" s="5" t="s">
        <v>40</v>
      </c>
      <c r="H1917" s="9">
        <v>44595.265613425923</v>
      </c>
      <c r="I1917" s="9">
        <v>44599.265613425923</v>
      </c>
      <c r="J1917" s="9" t="e">
        <f>I1917+#REF!</f>
        <v>#REF!</v>
      </c>
      <c r="K1917" s="9" t="e">
        <f>J1917+#REF!</f>
        <v>#REF!</v>
      </c>
      <c r="L1917" s="10" t="s">
        <v>52</v>
      </c>
      <c r="M1917" s="11"/>
      <c r="N1917" s="5"/>
      <c r="O1917" s="5"/>
      <c r="P1917" s="9"/>
      <c r="Q1917" s="5"/>
      <c r="R1917" s="5"/>
      <c r="S1917" s="5"/>
      <c r="T1917" s="9"/>
      <c r="U1917" s="5"/>
      <c r="V1917" s="5">
        <v>0</v>
      </c>
      <c r="W1917" s="5"/>
      <c r="X1917" s="5"/>
      <c r="Y1917" s="5"/>
      <c r="Z1917" s="5"/>
      <c r="AA1917" s="5"/>
      <c r="AC1917" t="str">
        <f t="shared" si="262"/>
        <v/>
      </c>
      <c r="AD1917" t="str">
        <f t="shared" si="263"/>
        <v/>
      </c>
      <c r="AE1917" t="str">
        <f t="shared" si="264"/>
        <v/>
      </c>
      <c r="AF1917" t="str">
        <f t="shared" si="265"/>
        <v/>
      </c>
      <c r="AG1917" t="str">
        <f t="shared" si="266"/>
        <v/>
      </c>
      <c r="AH1917">
        <f t="shared" si="267"/>
        <v>4</v>
      </c>
      <c r="AI1917" t="str">
        <f t="shared" si="268"/>
        <v/>
      </c>
      <c r="AJ1917" t="str">
        <f t="shared" si="269"/>
        <v/>
      </c>
    </row>
    <row r="1918" spans="1:36">
      <c r="A1918" s="5">
        <v>2330</v>
      </c>
      <c r="B1918" s="5" t="s">
        <v>1723</v>
      </c>
      <c r="C1918" s="5" t="s">
        <v>1540</v>
      </c>
      <c r="D1918" s="5" t="s">
        <v>1706</v>
      </c>
      <c r="E1918" s="5" t="s">
        <v>269</v>
      </c>
      <c r="F1918" s="5" t="str">
        <f t="shared" si="261"/>
        <v>Finance-Manager</v>
      </c>
      <c r="G1918" s="5" t="s">
        <v>270</v>
      </c>
      <c r="H1918" s="9">
        <v>44595.265613425923</v>
      </c>
      <c r="I1918" s="9">
        <v>44598.265613425923</v>
      </c>
      <c r="J1918" s="9" t="e">
        <f>I1918+#REF!</f>
        <v>#REF!</v>
      </c>
      <c r="K1918" s="9" t="e">
        <f>J1918+#REF!</f>
        <v>#REF!</v>
      </c>
      <c r="L1918" s="10" t="s">
        <v>41</v>
      </c>
      <c r="M1918" s="11">
        <v>44616.265613425923</v>
      </c>
      <c r="N1918" s="5" t="s">
        <v>48</v>
      </c>
      <c r="O1918" s="5"/>
      <c r="P1918" s="9">
        <v>44620.265613425923</v>
      </c>
      <c r="Q1918" s="5" t="s">
        <v>48</v>
      </c>
      <c r="R1918" s="5"/>
      <c r="S1918" s="5"/>
      <c r="T1918" s="9">
        <v>44617.265613425923</v>
      </c>
      <c r="U1918" s="5"/>
      <c r="V1918" s="5">
        <v>0</v>
      </c>
      <c r="W1918" s="5"/>
      <c r="X1918" s="5"/>
      <c r="Y1918" s="5"/>
      <c r="Z1918" s="5"/>
      <c r="AA1918" s="5"/>
      <c r="AC1918">
        <f t="shared" si="262"/>
        <v>18</v>
      </c>
      <c r="AD1918" t="str">
        <f t="shared" si="263"/>
        <v/>
      </c>
      <c r="AE1918">
        <f t="shared" si="264"/>
        <v>1</v>
      </c>
      <c r="AF1918" t="str">
        <f t="shared" si="265"/>
        <v/>
      </c>
      <c r="AG1918" t="str">
        <f t="shared" si="266"/>
        <v/>
      </c>
      <c r="AH1918">
        <f t="shared" si="267"/>
        <v>3</v>
      </c>
      <c r="AI1918" t="str">
        <f t="shared" si="268"/>
        <v/>
      </c>
      <c r="AJ1918" t="str">
        <f t="shared" si="269"/>
        <v/>
      </c>
    </row>
    <row r="1919" spans="1:36">
      <c r="A1919" s="5">
        <v>2331</v>
      </c>
      <c r="B1919" s="5" t="s">
        <v>2117</v>
      </c>
      <c r="C1919" s="10" t="s">
        <v>2089</v>
      </c>
      <c r="D1919" s="5" t="s">
        <v>2114</v>
      </c>
      <c r="E1919" s="5" t="s">
        <v>388</v>
      </c>
      <c r="F1919" s="5" t="str">
        <f t="shared" si="261"/>
        <v>Communication and Advocacy-Extension Officer</v>
      </c>
      <c r="G1919" s="5" t="s">
        <v>147</v>
      </c>
      <c r="H1919" s="9">
        <v>44692.386030092595</v>
      </c>
      <c r="I1919" s="9">
        <v>44694.386030092595</v>
      </c>
      <c r="J1919" s="9" t="e">
        <f>I1919+#REF!</f>
        <v>#REF!</v>
      </c>
      <c r="K1919" s="9" t="e">
        <f>J1919+#REF!</f>
        <v>#REF!</v>
      </c>
      <c r="L1919" s="10" t="s">
        <v>52</v>
      </c>
      <c r="M1919" s="11"/>
      <c r="N1919" s="5"/>
      <c r="O1919" s="5"/>
      <c r="P1919" s="9"/>
      <c r="Q1919" s="5"/>
      <c r="R1919" s="5"/>
      <c r="S1919" s="5"/>
      <c r="T1919" s="9"/>
      <c r="U1919" s="5"/>
      <c r="V1919" s="5">
        <v>0</v>
      </c>
      <c r="W1919" s="5"/>
      <c r="X1919" s="5"/>
      <c r="Y1919" s="5"/>
      <c r="Z1919" s="5"/>
      <c r="AA1919" s="5"/>
      <c r="AC1919" t="str">
        <f t="shared" si="262"/>
        <v/>
      </c>
      <c r="AD1919" t="str">
        <f t="shared" si="263"/>
        <v/>
      </c>
      <c r="AE1919" t="str">
        <f t="shared" si="264"/>
        <v/>
      </c>
      <c r="AF1919" t="str">
        <f t="shared" si="265"/>
        <v/>
      </c>
      <c r="AG1919" t="str">
        <f t="shared" si="266"/>
        <v/>
      </c>
      <c r="AH1919">
        <f t="shared" si="267"/>
        <v>2</v>
      </c>
      <c r="AI1919" t="str">
        <f t="shared" si="268"/>
        <v/>
      </c>
      <c r="AJ1919" t="str">
        <f t="shared" si="269"/>
        <v/>
      </c>
    </row>
    <row r="1920" spans="1:36">
      <c r="A1920" s="5">
        <v>2332</v>
      </c>
      <c r="B1920" s="5" t="s">
        <v>675</v>
      </c>
      <c r="C1920" s="10" t="s">
        <v>671</v>
      </c>
      <c r="D1920" s="5" t="s">
        <v>672</v>
      </c>
      <c r="E1920" s="5" t="s">
        <v>673</v>
      </c>
      <c r="F1920" s="5" t="str">
        <f t="shared" si="261"/>
        <v>Operations-Controller</v>
      </c>
      <c r="G1920" s="5" t="s">
        <v>40</v>
      </c>
      <c r="H1920" s="9">
        <v>44695.386030092595</v>
      </c>
      <c r="I1920" s="9">
        <v>44698.386030092595</v>
      </c>
      <c r="J1920" s="9" t="e">
        <f>I1920+#REF!</f>
        <v>#REF!</v>
      </c>
      <c r="K1920" s="9" t="e">
        <f>J1920+#REF!</f>
        <v>#REF!</v>
      </c>
      <c r="L1920" s="10" t="s">
        <v>52</v>
      </c>
      <c r="M1920" s="11"/>
      <c r="N1920" s="5"/>
      <c r="O1920" s="5"/>
      <c r="P1920" s="9"/>
      <c r="Q1920" s="5"/>
      <c r="R1920" s="5"/>
      <c r="S1920" s="5"/>
      <c r="T1920" s="9"/>
      <c r="U1920" s="5"/>
      <c r="V1920" s="5">
        <v>0</v>
      </c>
      <c r="W1920" s="5"/>
      <c r="X1920" s="5"/>
      <c r="Y1920" s="5"/>
      <c r="Z1920" s="5"/>
      <c r="AA1920" s="5"/>
      <c r="AC1920" t="str">
        <f t="shared" si="262"/>
        <v/>
      </c>
      <c r="AD1920" t="str">
        <f t="shared" si="263"/>
        <v/>
      </c>
      <c r="AE1920" t="str">
        <f t="shared" si="264"/>
        <v/>
      </c>
      <c r="AF1920" t="str">
        <f t="shared" si="265"/>
        <v/>
      </c>
      <c r="AG1920" t="str">
        <f t="shared" si="266"/>
        <v/>
      </c>
      <c r="AH1920">
        <f t="shared" si="267"/>
        <v>3</v>
      </c>
      <c r="AI1920" t="str">
        <f t="shared" si="268"/>
        <v/>
      </c>
      <c r="AJ1920" t="str">
        <f t="shared" si="269"/>
        <v/>
      </c>
    </row>
    <row r="1921" spans="1:36">
      <c r="A1921" s="5">
        <v>2333</v>
      </c>
      <c r="B1921" s="5" t="s">
        <v>749</v>
      </c>
      <c r="C1921" s="10" t="s">
        <v>671</v>
      </c>
      <c r="D1921" s="5" t="s">
        <v>747</v>
      </c>
      <c r="E1921" s="5" t="s">
        <v>55</v>
      </c>
      <c r="F1921" s="5" t="str">
        <f t="shared" si="261"/>
        <v>Operations-Director</v>
      </c>
      <c r="G1921" s="5" t="s">
        <v>47</v>
      </c>
      <c r="H1921" s="9">
        <v>44694.386030092595</v>
      </c>
      <c r="I1921" s="9">
        <v>44696.386030092595</v>
      </c>
      <c r="J1921" s="9" t="e">
        <f>I1921+#REF!</f>
        <v>#REF!</v>
      </c>
      <c r="K1921" s="9" t="e">
        <f>J1921+#REF!</f>
        <v>#REF!</v>
      </c>
      <c r="L1921" s="10" t="s">
        <v>52</v>
      </c>
      <c r="M1921" s="11"/>
      <c r="N1921" s="5"/>
      <c r="O1921" s="5"/>
      <c r="P1921" s="9"/>
      <c r="Q1921" s="5"/>
      <c r="R1921" s="5"/>
      <c r="S1921" s="5"/>
      <c r="T1921" s="9"/>
      <c r="U1921" s="5"/>
      <c r="V1921" s="5">
        <v>0</v>
      </c>
      <c r="W1921" s="5"/>
      <c r="X1921" s="5"/>
      <c r="Y1921" s="5"/>
      <c r="Z1921" s="5"/>
      <c r="AA1921" s="5"/>
      <c r="AC1921" t="str">
        <f t="shared" si="262"/>
        <v/>
      </c>
      <c r="AD1921" t="str">
        <f t="shared" si="263"/>
        <v/>
      </c>
      <c r="AE1921" t="str">
        <f t="shared" si="264"/>
        <v/>
      </c>
      <c r="AF1921" t="str">
        <f t="shared" si="265"/>
        <v/>
      </c>
      <c r="AG1921" t="str">
        <f t="shared" si="266"/>
        <v/>
      </c>
      <c r="AH1921">
        <f t="shared" si="267"/>
        <v>2</v>
      </c>
      <c r="AI1921" t="str">
        <f t="shared" si="268"/>
        <v/>
      </c>
      <c r="AJ1921" t="str">
        <f t="shared" si="269"/>
        <v/>
      </c>
    </row>
    <row r="1922" spans="1:36">
      <c r="A1922" s="5">
        <v>2335</v>
      </c>
      <c r="B1922" s="5" t="s">
        <v>2170</v>
      </c>
      <c r="C1922" s="10" t="s">
        <v>2089</v>
      </c>
      <c r="D1922" s="5" t="s">
        <v>2167</v>
      </c>
      <c r="E1922" s="5" t="s">
        <v>269</v>
      </c>
      <c r="F1922" s="5" t="str">
        <f t="shared" ref="F1922:F1985" si="270">_xlfn.CONCAT(C1922,"-",E1922)</f>
        <v>Communication and Advocacy-Manager</v>
      </c>
      <c r="G1922" s="5" t="s">
        <v>270</v>
      </c>
      <c r="H1922" s="9">
        <v>44691.386030092595</v>
      </c>
      <c r="I1922" s="9">
        <v>44694.386030092595</v>
      </c>
      <c r="J1922" s="9" t="e">
        <f>I1922+#REF!</f>
        <v>#REF!</v>
      </c>
      <c r="K1922" s="9" t="e">
        <f>J1922+#REF!</f>
        <v>#REF!</v>
      </c>
      <c r="L1922" s="10" t="s">
        <v>52</v>
      </c>
      <c r="M1922" s="11"/>
      <c r="N1922" s="5"/>
      <c r="O1922" s="5"/>
      <c r="P1922" s="9"/>
      <c r="Q1922" s="5"/>
      <c r="R1922" s="5"/>
      <c r="S1922" s="5"/>
      <c r="T1922" s="9"/>
      <c r="U1922" s="5"/>
      <c r="V1922" s="5">
        <v>0</v>
      </c>
      <c r="W1922" s="5"/>
      <c r="X1922" s="5"/>
      <c r="Y1922" s="5"/>
      <c r="Z1922" s="5"/>
      <c r="AA1922" s="5"/>
      <c r="AC1922" t="str">
        <f t="shared" ref="AC1922:AC1985" si="271">IF(AND(ISNUMBER(M1922), ISNUMBER(I1922)), M1922 - I1922, "")</f>
        <v/>
      </c>
      <c r="AD1922" t="str">
        <f t="shared" si="263"/>
        <v/>
      </c>
      <c r="AE1922" t="str">
        <f t="shared" si="264"/>
        <v/>
      </c>
      <c r="AF1922" t="str">
        <f t="shared" si="265"/>
        <v/>
      </c>
      <c r="AG1922" t="str">
        <f t="shared" si="266"/>
        <v/>
      </c>
      <c r="AH1922">
        <f t="shared" si="267"/>
        <v>3</v>
      </c>
      <c r="AI1922" t="str">
        <f t="shared" si="268"/>
        <v/>
      </c>
      <c r="AJ1922" t="str">
        <f t="shared" si="269"/>
        <v/>
      </c>
    </row>
    <row r="1923" spans="1:36">
      <c r="A1923" s="5">
        <v>2336</v>
      </c>
      <c r="B1923" s="5" t="s">
        <v>2169</v>
      </c>
      <c r="C1923" s="10" t="s">
        <v>2089</v>
      </c>
      <c r="D1923" s="5" t="s">
        <v>2167</v>
      </c>
      <c r="E1923" s="5" t="s">
        <v>269</v>
      </c>
      <c r="F1923" s="5" t="str">
        <f t="shared" si="270"/>
        <v>Communication and Advocacy-Manager</v>
      </c>
      <c r="G1923" s="5" t="s">
        <v>270</v>
      </c>
      <c r="H1923" s="9">
        <v>44692.386030092595</v>
      </c>
      <c r="I1923" s="9">
        <v>44696.386030092595</v>
      </c>
      <c r="J1923" s="9" t="e">
        <f>I1923+#REF!</f>
        <v>#REF!</v>
      </c>
      <c r="K1923" s="9" t="e">
        <f>J1923+#REF!</f>
        <v>#REF!</v>
      </c>
      <c r="L1923" s="10" t="s">
        <v>52</v>
      </c>
      <c r="M1923" s="11"/>
      <c r="N1923" s="5"/>
      <c r="O1923" s="5"/>
      <c r="P1923" s="9"/>
      <c r="Q1923" s="5"/>
      <c r="R1923" s="5"/>
      <c r="S1923" s="5"/>
      <c r="T1923" s="9"/>
      <c r="U1923" s="5"/>
      <c r="V1923" s="5">
        <v>0</v>
      </c>
      <c r="W1923" s="5"/>
      <c r="X1923" s="5"/>
      <c r="Y1923" s="5"/>
      <c r="Z1923" s="5"/>
      <c r="AA1923" s="5"/>
      <c r="AC1923" t="str">
        <f t="shared" si="271"/>
        <v/>
      </c>
      <c r="AD1923" t="str">
        <f t="shared" ref="AD1923:AD1986" si="272">IF(AND(ISNUMBER(S1923), ISNUMBER(I1923)), S1923 - I1923, "")</f>
        <v/>
      </c>
      <c r="AE1923" t="str">
        <f t="shared" ref="AE1923:AE1986" si="273">IF(AND(ISNUMBER(T1923), ISNUMBER(M1923)), T1923-M1923, "")</f>
        <v/>
      </c>
      <c r="AF1923" t="str">
        <f t="shared" ref="AF1923:AF1986" si="274">IF(AND(ISNUMBER(X1923), ISNUMBER(U1923)), X1923-U1923,"")</f>
        <v/>
      </c>
      <c r="AG1923" t="str">
        <f t="shared" ref="AG1923:AG1986" si="275">IF(AND(ISNUMBER(W1923), ISNUMBER(U1923)), W1923-U1923, "")</f>
        <v/>
      </c>
      <c r="AH1923">
        <f t="shared" ref="AH1923:AH1986" si="276">IF(AND(ISNUMBER(I1923), ISNUMBER(H1923)), I1923-H1923,"")</f>
        <v>4</v>
      </c>
      <c r="AI1923" t="str">
        <f t="shared" ref="AI1923:AI1986" si="277">IF(AND(ISNUMBER(J1923),ISNUMBER(K1923)),K1923-J1923,"")</f>
        <v/>
      </c>
      <c r="AJ1923" t="str">
        <f t="shared" ref="AJ1923:AJ1986" si="278">IF(AND(ISNUMBER(J1923),ISNUMBER(I1923)), J1923-I1923,"")</f>
        <v/>
      </c>
    </row>
    <row r="1924" spans="1:36">
      <c r="A1924" s="5">
        <v>2337</v>
      </c>
      <c r="B1924" s="5" t="s">
        <v>1154</v>
      </c>
      <c r="C1924" s="10" t="s">
        <v>1122</v>
      </c>
      <c r="D1924" s="5" t="s">
        <v>1145</v>
      </c>
      <c r="E1924" s="5" t="s">
        <v>1146</v>
      </c>
      <c r="F1924" s="5" t="str">
        <f t="shared" si="270"/>
        <v>IT-Quality Assurance</v>
      </c>
      <c r="G1924" s="5" t="s">
        <v>147</v>
      </c>
      <c r="H1924" s="9">
        <v>44696.386030092595</v>
      </c>
      <c r="I1924" s="9">
        <v>44698.386030092595</v>
      </c>
      <c r="J1924" s="9" t="e">
        <f>I1924+#REF!</f>
        <v>#REF!</v>
      </c>
      <c r="K1924" s="9" t="e">
        <f>J1924+#REF!</f>
        <v>#REF!</v>
      </c>
      <c r="L1924" s="10" t="s">
        <v>41</v>
      </c>
      <c r="M1924" s="11">
        <v>44709.386030092595</v>
      </c>
      <c r="N1924" s="5" t="s">
        <v>48</v>
      </c>
      <c r="O1924" s="5"/>
      <c r="P1924" s="9">
        <v>44716.386030092595</v>
      </c>
      <c r="Q1924" s="5" t="s">
        <v>48</v>
      </c>
      <c r="R1924" s="5"/>
      <c r="S1924" s="5"/>
      <c r="T1924" s="9">
        <v>44713.386030092595</v>
      </c>
      <c r="U1924" s="5"/>
      <c r="V1924" s="5">
        <v>0</v>
      </c>
      <c r="W1924" s="5"/>
      <c r="X1924" s="5"/>
      <c r="Y1924" s="5"/>
      <c r="Z1924" s="5"/>
      <c r="AA1924" s="5"/>
      <c r="AC1924">
        <f t="shared" si="271"/>
        <v>11</v>
      </c>
      <c r="AD1924" t="str">
        <f t="shared" si="272"/>
        <v/>
      </c>
      <c r="AE1924">
        <f t="shared" si="273"/>
        <v>4</v>
      </c>
      <c r="AF1924" t="str">
        <f t="shared" si="274"/>
        <v/>
      </c>
      <c r="AG1924" t="str">
        <f t="shared" si="275"/>
        <v/>
      </c>
      <c r="AH1924">
        <f t="shared" si="276"/>
        <v>2</v>
      </c>
      <c r="AI1924" t="str">
        <f t="shared" si="277"/>
        <v/>
      </c>
      <c r="AJ1924" t="str">
        <f t="shared" si="278"/>
        <v/>
      </c>
    </row>
    <row r="1925" spans="1:36">
      <c r="A1925" s="5">
        <v>2338</v>
      </c>
      <c r="B1925" s="5" t="s">
        <v>1223</v>
      </c>
      <c r="C1925" s="10" t="s">
        <v>1215</v>
      </c>
      <c r="D1925" s="5" t="s">
        <v>1216</v>
      </c>
      <c r="E1925" s="5" t="s">
        <v>1217</v>
      </c>
      <c r="F1925" s="5" t="str">
        <f t="shared" si="270"/>
        <v>HR-Specialist</v>
      </c>
      <c r="G1925" s="5" t="s">
        <v>270</v>
      </c>
      <c r="H1925" s="9">
        <v>44693.386030092595</v>
      </c>
      <c r="I1925" s="9">
        <v>44694.386030092595</v>
      </c>
      <c r="J1925" s="9" t="e">
        <f>I1925+#REF!</f>
        <v>#REF!</v>
      </c>
      <c r="K1925" s="9" t="e">
        <f>J1925+#REF!</f>
        <v>#REF!</v>
      </c>
      <c r="L1925" s="10" t="s">
        <v>41</v>
      </c>
      <c r="M1925" s="11">
        <v>44714.386030092595</v>
      </c>
      <c r="N1925" s="5" t="s">
        <v>42</v>
      </c>
      <c r="O1925" s="5" t="s">
        <v>98</v>
      </c>
      <c r="P1925" s="9"/>
      <c r="Q1925" s="5"/>
      <c r="R1925" s="5"/>
      <c r="S1925" s="5"/>
      <c r="T1925" s="9">
        <v>44715.386030092595</v>
      </c>
      <c r="U1925" s="5"/>
      <c r="V1925" s="5">
        <v>0</v>
      </c>
      <c r="W1925" s="5"/>
      <c r="X1925" s="5"/>
      <c r="Y1925" s="5"/>
      <c r="Z1925" s="5"/>
      <c r="AA1925" s="5" t="s">
        <v>44</v>
      </c>
      <c r="AC1925">
        <f t="shared" si="271"/>
        <v>20</v>
      </c>
      <c r="AD1925" t="str">
        <f t="shared" si="272"/>
        <v/>
      </c>
      <c r="AE1925">
        <f t="shared" si="273"/>
        <v>1</v>
      </c>
      <c r="AF1925" t="str">
        <f t="shared" si="274"/>
        <v/>
      </c>
      <c r="AG1925" t="str">
        <f t="shared" si="275"/>
        <v/>
      </c>
      <c r="AH1925">
        <f t="shared" si="276"/>
        <v>1</v>
      </c>
      <c r="AI1925" t="str">
        <f t="shared" si="277"/>
        <v/>
      </c>
      <c r="AJ1925" t="str">
        <f t="shared" si="278"/>
        <v/>
      </c>
    </row>
    <row r="1926" spans="1:36">
      <c r="A1926" s="5">
        <v>2339</v>
      </c>
      <c r="B1926" s="5" t="s">
        <v>1153</v>
      </c>
      <c r="C1926" s="10" t="s">
        <v>1122</v>
      </c>
      <c r="D1926" s="5" t="s">
        <v>1145</v>
      </c>
      <c r="E1926" s="5" t="s">
        <v>1146</v>
      </c>
      <c r="F1926" s="5" t="str">
        <f t="shared" si="270"/>
        <v>IT-Quality Assurance</v>
      </c>
      <c r="G1926" s="5" t="s">
        <v>147</v>
      </c>
      <c r="H1926" s="9">
        <v>44692.386030092595</v>
      </c>
      <c r="I1926" s="9">
        <v>44696.386030092595</v>
      </c>
      <c r="J1926" s="9" t="e">
        <f>I1926+#REF!</f>
        <v>#REF!</v>
      </c>
      <c r="K1926" s="9" t="e">
        <f>J1926+#REF!</f>
        <v>#REF!</v>
      </c>
      <c r="L1926" s="10" t="s">
        <v>41</v>
      </c>
      <c r="M1926" s="11">
        <v>44702.386030092595</v>
      </c>
      <c r="N1926" s="5" t="s">
        <v>42</v>
      </c>
      <c r="O1926" s="5" t="s">
        <v>58</v>
      </c>
      <c r="P1926" s="9"/>
      <c r="Q1926" s="5"/>
      <c r="R1926" s="5"/>
      <c r="S1926" s="5"/>
      <c r="T1926" s="9">
        <v>44703.386030092595</v>
      </c>
      <c r="U1926" s="5"/>
      <c r="V1926" s="5">
        <v>0</v>
      </c>
      <c r="W1926" s="5"/>
      <c r="X1926" s="5"/>
      <c r="Y1926" s="5"/>
      <c r="Z1926" s="5"/>
      <c r="AA1926" s="5" t="s">
        <v>44</v>
      </c>
      <c r="AC1926">
        <f t="shared" si="271"/>
        <v>6</v>
      </c>
      <c r="AD1926" t="str">
        <f t="shared" si="272"/>
        <v/>
      </c>
      <c r="AE1926">
        <f t="shared" si="273"/>
        <v>1</v>
      </c>
      <c r="AF1926" t="str">
        <f t="shared" si="274"/>
        <v/>
      </c>
      <c r="AG1926" t="str">
        <f t="shared" si="275"/>
        <v/>
      </c>
      <c r="AH1926">
        <f t="shared" si="276"/>
        <v>4</v>
      </c>
      <c r="AI1926" t="str">
        <f t="shared" si="277"/>
        <v/>
      </c>
      <c r="AJ1926" t="str">
        <f t="shared" si="278"/>
        <v/>
      </c>
    </row>
    <row r="1927" spans="1:36">
      <c r="A1927" s="5">
        <v>2340</v>
      </c>
      <c r="B1927" s="5" t="s">
        <v>1222</v>
      </c>
      <c r="C1927" s="10" t="s">
        <v>1215</v>
      </c>
      <c r="D1927" s="5" t="s">
        <v>1216</v>
      </c>
      <c r="E1927" s="5" t="s">
        <v>1217</v>
      </c>
      <c r="F1927" s="5" t="str">
        <f t="shared" si="270"/>
        <v>HR-Specialist</v>
      </c>
      <c r="G1927" s="5" t="s">
        <v>270</v>
      </c>
      <c r="H1927" s="9">
        <v>44691.386030092595</v>
      </c>
      <c r="I1927" s="9">
        <v>44694.386030092595</v>
      </c>
      <c r="J1927" s="9" t="e">
        <f>I1927+#REF!</f>
        <v>#REF!</v>
      </c>
      <c r="K1927" s="9" t="e">
        <f>J1927+#REF!</f>
        <v>#REF!</v>
      </c>
      <c r="L1927" s="10" t="s">
        <v>41</v>
      </c>
      <c r="M1927" s="11">
        <v>44710.386030092595</v>
      </c>
      <c r="N1927" s="5" t="s">
        <v>42</v>
      </c>
      <c r="O1927" s="5" t="s">
        <v>98</v>
      </c>
      <c r="P1927" s="9"/>
      <c r="Q1927" s="5"/>
      <c r="R1927" s="5"/>
      <c r="S1927" s="5"/>
      <c r="T1927" s="9">
        <v>44714.386030092595</v>
      </c>
      <c r="U1927" s="5"/>
      <c r="V1927" s="5">
        <v>0</v>
      </c>
      <c r="W1927" s="5"/>
      <c r="X1927" s="5"/>
      <c r="Y1927" s="5"/>
      <c r="Z1927" s="5"/>
      <c r="AA1927" s="5" t="s">
        <v>44</v>
      </c>
      <c r="AC1927">
        <f t="shared" si="271"/>
        <v>16</v>
      </c>
      <c r="AD1927" t="str">
        <f t="shared" si="272"/>
        <v/>
      </c>
      <c r="AE1927">
        <f t="shared" si="273"/>
        <v>4</v>
      </c>
      <c r="AF1927" t="str">
        <f t="shared" si="274"/>
        <v/>
      </c>
      <c r="AG1927" t="str">
        <f t="shared" si="275"/>
        <v/>
      </c>
      <c r="AH1927">
        <f t="shared" si="276"/>
        <v>3</v>
      </c>
      <c r="AI1927" t="str">
        <f t="shared" si="277"/>
        <v/>
      </c>
      <c r="AJ1927" t="str">
        <f t="shared" si="278"/>
        <v/>
      </c>
    </row>
    <row r="1928" spans="1:36">
      <c r="A1928" s="5">
        <v>2341</v>
      </c>
      <c r="B1928" s="5" t="s">
        <v>1028</v>
      </c>
      <c r="C1928" s="5" t="s">
        <v>796</v>
      </c>
      <c r="D1928" s="5" t="s">
        <v>1026</v>
      </c>
      <c r="E1928" s="5" t="s">
        <v>709</v>
      </c>
      <c r="F1928" s="5" t="str">
        <f t="shared" si="270"/>
        <v>M and E-Lead</v>
      </c>
      <c r="G1928" s="5" t="s">
        <v>56</v>
      </c>
      <c r="H1928" s="9">
        <v>45054.364525462966</v>
      </c>
      <c r="I1928" s="9">
        <v>45056.364525462966</v>
      </c>
      <c r="J1928" s="9" t="e">
        <f>I1928+#REF!</f>
        <v>#REF!</v>
      </c>
      <c r="K1928" s="9" t="e">
        <f>J1928+#REF!</f>
        <v>#REF!</v>
      </c>
      <c r="L1928" s="10" t="s">
        <v>52</v>
      </c>
      <c r="M1928" s="11"/>
      <c r="N1928" s="5"/>
      <c r="O1928" s="5"/>
      <c r="P1928" s="9"/>
      <c r="Q1928" s="5"/>
      <c r="R1928" s="5"/>
      <c r="S1928" s="5"/>
      <c r="T1928" s="9"/>
      <c r="U1928" s="5"/>
      <c r="V1928" s="5">
        <v>0</v>
      </c>
      <c r="W1928" s="5"/>
      <c r="X1928" s="5"/>
      <c r="Y1928" s="5"/>
      <c r="Z1928" s="5"/>
      <c r="AA1928" s="5"/>
      <c r="AC1928" t="str">
        <f t="shared" si="271"/>
        <v/>
      </c>
      <c r="AD1928" t="str">
        <f t="shared" si="272"/>
        <v/>
      </c>
      <c r="AE1928" t="str">
        <f t="shared" si="273"/>
        <v/>
      </c>
      <c r="AF1928" t="str">
        <f t="shared" si="274"/>
        <v/>
      </c>
      <c r="AG1928" t="str">
        <f t="shared" si="275"/>
        <v/>
      </c>
      <c r="AH1928">
        <f t="shared" si="276"/>
        <v>2</v>
      </c>
      <c r="AI1928" t="str">
        <f t="shared" si="277"/>
        <v/>
      </c>
      <c r="AJ1928" t="str">
        <f t="shared" si="278"/>
        <v/>
      </c>
    </row>
    <row r="1929" spans="1:36">
      <c r="A1929" s="5">
        <v>2343</v>
      </c>
      <c r="B1929" s="5" t="s">
        <v>909</v>
      </c>
      <c r="C1929" s="5" t="s">
        <v>796</v>
      </c>
      <c r="D1929" s="5" t="s">
        <v>893</v>
      </c>
      <c r="E1929" s="5" t="s">
        <v>269</v>
      </c>
      <c r="F1929" s="5" t="str">
        <f t="shared" si="270"/>
        <v>M and E-Manager</v>
      </c>
      <c r="G1929" s="5" t="s">
        <v>270</v>
      </c>
      <c r="H1929" s="9">
        <v>45055.364525462966</v>
      </c>
      <c r="I1929" s="9">
        <v>45057.364525462966</v>
      </c>
      <c r="J1929" s="9" t="e">
        <f>I1929+#REF!</f>
        <v>#REF!</v>
      </c>
      <c r="K1929" s="9" t="e">
        <f>J1929+#REF!</f>
        <v>#REF!</v>
      </c>
      <c r="L1929" s="10" t="s">
        <v>52</v>
      </c>
      <c r="M1929" s="11"/>
      <c r="N1929" s="5"/>
      <c r="O1929" s="5"/>
      <c r="P1929" s="9"/>
      <c r="Q1929" s="5"/>
      <c r="R1929" s="5"/>
      <c r="S1929" s="5"/>
      <c r="T1929" s="9"/>
      <c r="U1929" s="5"/>
      <c r="V1929" s="5">
        <v>0</v>
      </c>
      <c r="W1929" s="5"/>
      <c r="X1929" s="5"/>
      <c r="Y1929" s="5"/>
      <c r="Z1929" s="5"/>
      <c r="AA1929" s="5"/>
      <c r="AC1929" t="str">
        <f t="shared" si="271"/>
        <v/>
      </c>
      <c r="AD1929" t="str">
        <f t="shared" si="272"/>
        <v/>
      </c>
      <c r="AE1929" t="str">
        <f t="shared" si="273"/>
        <v/>
      </c>
      <c r="AF1929" t="str">
        <f t="shared" si="274"/>
        <v/>
      </c>
      <c r="AG1929" t="str">
        <f t="shared" si="275"/>
        <v/>
      </c>
      <c r="AH1929">
        <f t="shared" si="276"/>
        <v>2</v>
      </c>
      <c r="AI1929" t="str">
        <f t="shared" si="277"/>
        <v/>
      </c>
      <c r="AJ1929" t="str">
        <f t="shared" si="278"/>
        <v/>
      </c>
    </row>
    <row r="1930" spans="1:36">
      <c r="A1930" s="5">
        <v>2344</v>
      </c>
      <c r="B1930" s="5" t="s">
        <v>978</v>
      </c>
      <c r="C1930" s="5" t="s">
        <v>796</v>
      </c>
      <c r="D1930" s="5" t="s">
        <v>957</v>
      </c>
      <c r="E1930" s="5" t="s">
        <v>388</v>
      </c>
      <c r="F1930" s="5" t="str">
        <f t="shared" si="270"/>
        <v>M and E-Extension Officer</v>
      </c>
      <c r="G1930" s="5" t="s">
        <v>40</v>
      </c>
      <c r="H1930" s="9">
        <v>45052.364525462966</v>
      </c>
      <c r="I1930" s="9">
        <v>45054.364525462966</v>
      </c>
      <c r="J1930" s="9" t="e">
        <f>I1930+#REF!</f>
        <v>#REF!</v>
      </c>
      <c r="K1930" s="9" t="e">
        <f>J1930+#REF!</f>
        <v>#REF!</v>
      </c>
      <c r="L1930" s="10" t="s">
        <v>41</v>
      </c>
      <c r="M1930" s="11">
        <v>45068.364525462966</v>
      </c>
      <c r="N1930" s="5" t="s">
        <v>42</v>
      </c>
      <c r="O1930" s="5" t="s">
        <v>43</v>
      </c>
      <c r="P1930" s="9"/>
      <c r="Q1930" s="5"/>
      <c r="R1930" s="5"/>
      <c r="S1930" s="5"/>
      <c r="T1930" s="9">
        <v>45070.364525462966</v>
      </c>
      <c r="U1930" s="5"/>
      <c r="V1930" s="5">
        <v>0</v>
      </c>
      <c r="W1930" s="5"/>
      <c r="X1930" s="5"/>
      <c r="Y1930" s="5"/>
      <c r="Z1930" s="5"/>
      <c r="AA1930" s="5" t="s">
        <v>44</v>
      </c>
      <c r="AC1930">
        <f t="shared" si="271"/>
        <v>14</v>
      </c>
      <c r="AD1930" t="str">
        <f t="shared" si="272"/>
        <v/>
      </c>
      <c r="AE1930">
        <f t="shared" si="273"/>
        <v>2</v>
      </c>
      <c r="AF1930" t="str">
        <f t="shared" si="274"/>
        <v/>
      </c>
      <c r="AG1930" t="str">
        <f t="shared" si="275"/>
        <v/>
      </c>
      <c r="AH1930">
        <f t="shared" si="276"/>
        <v>2</v>
      </c>
      <c r="AI1930" t="str">
        <f t="shared" si="277"/>
        <v/>
      </c>
      <c r="AJ1930" t="str">
        <f t="shared" si="278"/>
        <v/>
      </c>
    </row>
    <row r="1931" spans="1:36">
      <c r="A1931" s="5">
        <v>2346</v>
      </c>
      <c r="B1931" s="5" t="s">
        <v>832</v>
      </c>
      <c r="C1931" s="5" t="s">
        <v>796</v>
      </c>
      <c r="D1931" s="5" t="s">
        <v>814</v>
      </c>
      <c r="E1931" s="5" t="s">
        <v>815</v>
      </c>
      <c r="F1931" s="5" t="str">
        <f t="shared" si="270"/>
        <v>M and E-Auditor</v>
      </c>
      <c r="G1931" s="5" t="s">
        <v>147</v>
      </c>
      <c r="H1931" s="9">
        <v>45058.364525462966</v>
      </c>
      <c r="I1931" s="9">
        <v>45059.364525462966</v>
      </c>
      <c r="J1931" s="9" t="e">
        <f>I1931+#REF!</f>
        <v>#REF!</v>
      </c>
      <c r="K1931" s="9" t="e">
        <f>J1931+#REF!</f>
        <v>#REF!</v>
      </c>
      <c r="L1931" s="10" t="s">
        <v>52</v>
      </c>
      <c r="M1931" s="11"/>
      <c r="N1931" s="5"/>
      <c r="O1931" s="5"/>
      <c r="P1931" s="9"/>
      <c r="Q1931" s="5"/>
      <c r="R1931" s="5"/>
      <c r="S1931" s="5"/>
      <c r="T1931" s="9"/>
      <c r="U1931" s="5"/>
      <c r="V1931" s="5">
        <v>0</v>
      </c>
      <c r="W1931" s="5"/>
      <c r="X1931" s="5"/>
      <c r="Y1931" s="5"/>
      <c r="Z1931" s="5"/>
      <c r="AA1931" s="5"/>
      <c r="AC1931" t="str">
        <f t="shared" si="271"/>
        <v/>
      </c>
      <c r="AD1931" t="str">
        <f t="shared" si="272"/>
        <v/>
      </c>
      <c r="AE1931" t="str">
        <f t="shared" si="273"/>
        <v/>
      </c>
      <c r="AF1931" t="str">
        <f t="shared" si="274"/>
        <v/>
      </c>
      <c r="AG1931" t="str">
        <f t="shared" si="275"/>
        <v/>
      </c>
      <c r="AH1931">
        <f t="shared" si="276"/>
        <v>1</v>
      </c>
      <c r="AI1931" t="str">
        <f t="shared" si="277"/>
        <v/>
      </c>
      <c r="AJ1931" t="str">
        <f t="shared" si="278"/>
        <v/>
      </c>
    </row>
    <row r="1932" spans="1:36">
      <c r="A1932" s="5">
        <v>2347</v>
      </c>
      <c r="B1932" s="5" t="s">
        <v>803</v>
      </c>
      <c r="C1932" s="5" t="s">
        <v>796</v>
      </c>
      <c r="D1932" s="5" t="s">
        <v>797</v>
      </c>
      <c r="E1932" s="5" t="s">
        <v>709</v>
      </c>
      <c r="F1932" s="5" t="str">
        <f t="shared" si="270"/>
        <v>M and E-Lead</v>
      </c>
      <c r="G1932" s="5" t="s">
        <v>103</v>
      </c>
      <c r="H1932" s="9">
        <v>45055.364525462966</v>
      </c>
      <c r="I1932" s="9">
        <v>45057.364525462966</v>
      </c>
      <c r="J1932" s="9" t="e">
        <f>I1932+#REF!</f>
        <v>#REF!</v>
      </c>
      <c r="K1932" s="9" t="e">
        <f>J1932+#REF!</f>
        <v>#REF!</v>
      </c>
      <c r="L1932" s="10" t="s">
        <v>41</v>
      </c>
      <c r="M1932" s="11">
        <v>45068.364525462966</v>
      </c>
      <c r="N1932" s="5" t="s">
        <v>42</v>
      </c>
      <c r="O1932" s="5" t="s">
        <v>113</v>
      </c>
      <c r="P1932" s="9"/>
      <c r="Q1932" s="5"/>
      <c r="R1932" s="5"/>
      <c r="S1932" s="5"/>
      <c r="T1932" s="9"/>
      <c r="U1932" s="5"/>
      <c r="V1932" s="5">
        <v>0</v>
      </c>
      <c r="W1932" s="5"/>
      <c r="X1932" s="5"/>
      <c r="Y1932" s="5"/>
      <c r="Z1932" s="5"/>
      <c r="AA1932" s="5" t="s">
        <v>62</v>
      </c>
      <c r="AC1932">
        <f t="shared" si="271"/>
        <v>11</v>
      </c>
      <c r="AD1932" t="str">
        <f t="shared" si="272"/>
        <v/>
      </c>
      <c r="AE1932" t="str">
        <f t="shared" si="273"/>
        <v/>
      </c>
      <c r="AF1932" t="str">
        <f t="shared" si="274"/>
        <v/>
      </c>
      <c r="AG1932" t="str">
        <f t="shared" si="275"/>
        <v/>
      </c>
      <c r="AH1932">
        <f t="shared" si="276"/>
        <v>2</v>
      </c>
      <c r="AI1932" t="str">
        <f t="shared" si="277"/>
        <v/>
      </c>
      <c r="AJ1932" t="str">
        <f t="shared" si="278"/>
        <v/>
      </c>
    </row>
    <row r="1933" spans="1:36">
      <c r="A1933" s="5">
        <v>2349</v>
      </c>
      <c r="B1933" s="5" t="s">
        <v>1070</v>
      </c>
      <c r="C1933" s="5" t="s">
        <v>796</v>
      </c>
      <c r="D1933" s="5" t="s">
        <v>1046</v>
      </c>
      <c r="E1933" s="5" t="s">
        <v>473</v>
      </c>
      <c r="F1933" s="5" t="str">
        <f t="shared" si="270"/>
        <v>M and E-Officer</v>
      </c>
      <c r="G1933" s="5" t="s">
        <v>47</v>
      </c>
      <c r="H1933" s="9">
        <v>45053.364525462966</v>
      </c>
      <c r="I1933" s="9">
        <v>45056.364525462966</v>
      </c>
      <c r="J1933" s="9" t="e">
        <f>I1933+#REF!</f>
        <v>#REF!</v>
      </c>
      <c r="K1933" s="9" t="e">
        <f>J1933+#REF!</f>
        <v>#REF!</v>
      </c>
      <c r="L1933" s="10" t="s">
        <v>41</v>
      </c>
      <c r="M1933" s="11">
        <v>45068.364525462966</v>
      </c>
      <c r="N1933" s="5" t="s">
        <v>42</v>
      </c>
      <c r="O1933" s="5" t="s">
        <v>113</v>
      </c>
      <c r="P1933" s="9"/>
      <c r="Q1933" s="5"/>
      <c r="R1933" s="5"/>
      <c r="S1933" s="5"/>
      <c r="T1933" s="9"/>
      <c r="U1933" s="5"/>
      <c r="V1933" s="5">
        <v>0</v>
      </c>
      <c r="W1933" s="5"/>
      <c r="X1933" s="5"/>
      <c r="Y1933" s="5"/>
      <c r="Z1933" s="5"/>
      <c r="AA1933" s="5" t="s">
        <v>44</v>
      </c>
      <c r="AC1933">
        <f t="shared" si="271"/>
        <v>12</v>
      </c>
      <c r="AD1933" t="str">
        <f t="shared" si="272"/>
        <v/>
      </c>
      <c r="AE1933" t="str">
        <f t="shared" si="273"/>
        <v/>
      </c>
      <c r="AF1933" t="str">
        <f t="shared" si="274"/>
        <v/>
      </c>
      <c r="AG1933" t="str">
        <f t="shared" si="275"/>
        <v/>
      </c>
      <c r="AH1933">
        <f t="shared" si="276"/>
        <v>3</v>
      </c>
      <c r="AI1933" t="str">
        <f t="shared" si="277"/>
        <v/>
      </c>
      <c r="AJ1933" t="str">
        <f t="shared" si="278"/>
        <v/>
      </c>
    </row>
    <row r="1934" spans="1:36">
      <c r="A1934" s="5">
        <v>2350</v>
      </c>
      <c r="B1934" s="5" t="s">
        <v>908</v>
      </c>
      <c r="C1934" s="5" t="s">
        <v>796</v>
      </c>
      <c r="D1934" s="5" t="s">
        <v>893</v>
      </c>
      <c r="E1934" s="5" t="s">
        <v>269</v>
      </c>
      <c r="F1934" s="5" t="str">
        <f t="shared" si="270"/>
        <v>M and E-Manager</v>
      </c>
      <c r="G1934" s="5" t="s">
        <v>270</v>
      </c>
      <c r="H1934" s="9">
        <v>45054.364525462966</v>
      </c>
      <c r="I1934" s="9">
        <v>45058.364525462966</v>
      </c>
      <c r="J1934" s="9" t="e">
        <f>I1934+#REF!</f>
        <v>#REF!</v>
      </c>
      <c r="K1934" s="9" t="e">
        <f>J1934+#REF!</f>
        <v>#REF!</v>
      </c>
      <c r="L1934" s="10" t="s">
        <v>41</v>
      </c>
      <c r="M1934" s="11">
        <v>45068.364525462966</v>
      </c>
      <c r="N1934" s="5" t="s">
        <v>42</v>
      </c>
      <c r="O1934" s="5" t="s">
        <v>58</v>
      </c>
      <c r="P1934" s="9"/>
      <c r="Q1934" s="5"/>
      <c r="R1934" s="5"/>
      <c r="S1934" s="5"/>
      <c r="T1934" s="9">
        <v>45069.364525462966</v>
      </c>
      <c r="U1934" s="5"/>
      <c r="V1934" s="5">
        <v>0</v>
      </c>
      <c r="W1934" s="5"/>
      <c r="X1934" s="5"/>
      <c r="Y1934" s="5"/>
      <c r="Z1934" s="5"/>
      <c r="AA1934" s="5" t="s">
        <v>44</v>
      </c>
      <c r="AC1934">
        <f t="shared" si="271"/>
        <v>10</v>
      </c>
      <c r="AD1934" t="str">
        <f t="shared" si="272"/>
        <v/>
      </c>
      <c r="AE1934">
        <f t="shared" si="273"/>
        <v>1</v>
      </c>
      <c r="AF1934" t="str">
        <f t="shared" si="274"/>
        <v/>
      </c>
      <c r="AG1934" t="str">
        <f t="shared" si="275"/>
        <v/>
      </c>
      <c r="AH1934">
        <f t="shared" si="276"/>
        <v>4</v>
      </c>
      <c r="AI1934" t="str">
        <f t="shared" si="277"/>
        <v/>
      </c>
      <c r="AJ1934" t="str">
        <f t="shared" si="278"/>
        <v/>
      </c>
    </row>
    <row r="1935" spans="1:36">
      <c r="A1935" s="5">
        <v>2351</v>
      </c>
      <c r="B1935" s="5" t="s">
        <v>1997</v>
      </c>
      <c r="C1935" s="5" t="s">
        <v>1540</v>
      </c>
      <c r="D1935" s="5" t="s">
        <v>1985</v>
      </c>
      <c r="E1935" s="5" t="s">
        <v>1986</v>
      </c>
      <c r="F1935" s="5" t="str">
        <f t="shared" si="270"/>
        <v>Finance-Revenue Recorgnition</v>
      </c>
      <c r="G1935" s="5" t="s">
        <v>47</v>
      </c>
      <c r="H1935" s="9">
        <v>45022.526319444441</v>
      </c>
      <c r="I1935" s="9">
        <v>45026.526319444441</v>
      </c>
      <c r="J1935" s="9" t="e">
        <f>I1935+#REF!</f>
        <v>#REF!</v>
      </c>
      <c r="K1935" s="9" t="e">
        <f>J1935+#REF!</f>
        <v>#REF!</v>
      </c>
      <c r="L1935" s="10" t="s">
        <v>41</v>
      </c>
      <c r="M1935" s="11">
        <v>45044.526319444441</v>
      </c>
      <c r="N1935" s="5" t="s">
        <v>64</v>
      </c>
      <c r="O1935" s="5"/>
      <c r="P1935" s="9">
        <v>45050.526319444441</v>
      </c>
      <c r="Q1935" s="5" t="s">
        <v>64</v>
      </c>
      <c r="R1935" s="9">
        <v>45045.526319444441</v>
      </c>
      <c r="S1935" s="9">
        <v>45049.526319444441</v>
      </c>
      <c r="T1935" s="9">
        <v>45048.526319444441</v>
      </c>
      <c r="U1935" s="9">
        <v>45053.526319444441</v>
      </c>
      <c r="V1935" s="12">
        <v>1</v>
      </c>
      <c r="W1935" s="9">
        <v>45056.526319444441</v>
      </c>
      <c r="X1935" s="9">
        <v>45059.526319444441</v>
      </c>
      <c r="Y1935" s="9">
        <v>45062.526319444441</v>
      </c>
      <c r="Z1935" s="5"/>
      <c r="AA1935" s="5"/>
      <c r="AB1935" s="13">
        <v>45070.526319444441</v>
      </c>
      <c r="AC1935">
        <f t="shared" si="271"/>
        <v>18</v>
      </c>
      <c r="AD1935">
        <f t="shared" si="272"/>
        <v>23</v>
      </c>
      <c r="AE1935">
        <f t="shared" si="273"/>
        <v>4</v>
      </c>
      <c r="AF1935">
        <f t="shared" si="274"/>
        <v>6</v>
      </c>
      <c r="AG1935">
        <f t="shared" si="275"/>
        <v>3</v>
      </c>
      <c r="AH1935">
        <f t="shared" si="276"/>
        <v>4</v>
      </c>
      <c r="AI1935" t="str">
        <f t="shared" si="277"/>
        <v/>
      </c>
      <c r="AJ1935" t="str">
        <f t="shared" si="278"/>
        <v/>
      </c>
    </row>
    <row r="1936" spans="1:36">
      <c r="A1936" s="5">
        <v>2352</v>
      </c>
      <c r="B1936" s="5" t="s">
        <v>1838</v>
      </c>
      <c r="C1936" s="5" t="s">
        <v>1540</v>
      </c>
      <c r="D1936" s="5" t="s">
        <v>1820</v>
      </c>
      <c r="E1936" s="5" t="s">
        <v>39</v>
      </c>
      <c r="F1936" s="5" t="str">
        <f t="shared" si="270"/>
        <v>Finance-Analyst</v>
      </c>
      <c r="G1936" s="5" t="s">
        <v>40</v>
      </c>
      <c r="H1936" s="9">
        <v>45027.526319444441</v>
      </c>
      <c r="I1936" s="9">
        <v>45030.526319444441</v>
      </c>
      <c r="J1936" s="9" t="e">
        <f>I1936+#REF!</f>
        <v>#REF!</v>
      </c>
      <c r="K1936" s="9" t="e">
        <f>J1936+#REF!</f>
        <v>#REF!</v>
      </c>
      <c r="L1936" s="10" t="s">
        <v>41</v>
      </c>
      <c r="M1936" s="11">
        <v>45044.526319444441</v>
      </c>
      <c r="N1936" s="5" t="s">
        <v>48</v>
      </c>
      <c r="O1936" s="5"/>
      <c r="P1936" s="9">
        <v>45049.526319444441</v>
      </c>
      <c r="Q1936" s="5" t="s">
        <v>48</v>
      </c>
      <c r="R1936" s="5"/>
      <c r="S1936" s="5"/>
      <c r="T1936" s="9">
        <v>45046.526319444441</v>
      </c>
      <c r="U1936" s="5"/>
      <c r="V1936" s="5">
        <v>0</v>
      </c>
      <c r="W1936" s="5"/>
      <c r="X1936" s="5"/>
      <c r="Y1936" s="5"/>
      <c r="Z1936" s="5"/>
      <c r="AA1936" s="5"/>
      <c r="AC1936">
        <f t="shared" si="271"/>
        <v>14</v>
      </c>
      <c r="AD1936" t="str">
        <f t="shared" si="272"/>
        <v/>
      </c>
      <c r="AE1936">
        <f t="shared" si="273"/>
        <v>2</v>
      </c>
      <c r="AF1936" t="str">
        <f t="shared" si="274"/>
        <v/>
      </c>
      <c r="AG1936" t="str">
        <f t="shared" si="275"/>
        <v/>
      </c>
      <c r="AH1936">
        <f t="shared" si="276"/>
        <v>3</v>
      </c>
      <c r="AI1936" t="str">
        <f t="shared" si="277"/>
        <v/>
      </c>
      <c r="AJ1936" t="str">
        <f t="shared" si="278"/>
        <v/>
      </c>
    </row>
    <row r="1937" spans="1:36">
      <c r="A1937" s="5">
        <v>2353</v>
      </c>
      <c r="B1937" s="5" t="s">
        <v>1996</v>
      </c>
      <c r="C1937" s="5" t="s">
        <v>1540</v>
      </c>
      <c r="D1937" s="5" t="s">
        <v>1985</v>
      </c>
      <c r="E1937" s="5" t="s">
        <v>1986</v>
      </c>
      <c r="F1937" s="5" t="str">
        <f t="shared" si="270"/>
        <v>Finance-Revenue Recorgnition</v>
      </c>
      <c r="G1937" s="5" t="s">
        <v>47</v>
      </c>
      <c r="H1937" s="9">
        <v>45027.526319444441</v>
      </c>
      <c r="I1937" s="9">
        <v>45028.526319444441</v>
      </c>
      <c r="J1937" s="9" t="e">
        <f>I1937+#REF!</f>
        <v>#REF!</v>
      </c>
      <c r="K1937" s="9" t="e">
        <f>J1937+#REF!</f>
        <v>#REF!</v>
      </c>
      <c r="L1937" s="10" t="s">
        <v>41</v>
      </c>
      <c r="M1937" s="11">
        <v>45040.526319444441</v>
      </c>
      <c r="N1937" s="5" t="s">
        <v>42</v>
      </c>
      <c r="O1937" s="5" t="s">
        <v>73</v>
      </c>
      <c r="P1937" s="9"/>
      <c r="Q1937" s="5"/>
      <c r="R1937" s="5"/>
      <c r="S1937" s="5"/>
      <c r="T1937" s="9"/>
      <c r="U1937" s="5"/>
      <c r="V1937" s="5">
        <v>0</v>
      </c>
      <c r="W1937" s="5"/>
      <c r="X1937" s="5"/>
      <c r="Y1937" s="5"/>
      <c r="Z1937" s="5"/>
      <c r="AA1937" s="5" t="s">
        <v>44</v>
      </c>
      <c r="AC1937">
        <f t="shared" si="271"/>
        <v>12</v>
      </c>
      <c r="AD1937" t="str">
        <f t="shared" si="272"/>
        <v/>
      </c>
      <c r="AE1937" t="str">
        <f t="shared" si="273"/>
        <v/>
      </c>
      <c r="AF1937" t="str">
        <f t="shared" si="274"/>
        <v/>
      </c>
      <c r="AG1937" t="str">
        <f t="shared" si="275"/>
        <v/>
      </c>
      <c r="AH1937">
        <f t="shared" si="276"/>
        <v>1</v>
      </c>
      <c r="AI1937" t="str">
        <f t="shared" si="277"/>
        <v/>
      </c>
      <c r="AJ1937" t="str">
        <f t="shared" si="278"/>
        <v/>
      </c>
    </row>
    <row r="1938" spans="1:36">
      <c r="A1938" s="5">
        <v>2354</v>
      </c>
      <c r="B1938" s="5" t="s">
        <v>1604</v>
      </c>
      <c r="C1938" s="5" t="s">
        <v>1540</v>
      </c>
      <c r="D1938" s="5" t="s">
        <v>1588</v>
      </c>
      <c r="E1938" s="5" t="s">
        <v>1360</v>
      </c>
      <c r="F1938" s="5" t="str">
        <f t="shared" si="270"/>
        <v>Finance-Fund Administrator</v>
      </c>
      <c r="G1938" s="5" t="s">
        <v>147</v>
      </c>
      <c r="H1938" s="9">
        <v>45027.526319444441</v>
      </c>
      <c r="I1938" s="9">
        <v>45031.526319444441</v>
      </c>
      <c r="J1938" s="9" t="e">
        <f>I1938+#REF!</f>
        <v>#REF!</v>
      </c>
      <c r="K1938" s="9" t="e">
        <f>J1938+#REF!</f>
        <v>#REF!</v>
      </c>
      <c r="L1938" s="10" t="s">
        <v>41</v>
      </c>
      <c r="M1938" s="11">
        <v>45043.526319444441</v>
      </c>
      <c r="N1938" s="5" t="s">
        <v>42</v>
      </c>
      <c r="O1938" s="5" t="s">
        <v>98</v>
      </c>
      <c r="P1938" s="9"/>
      <c r="Q1938" s="5"/>
      <c r="R1938" s="5"/>
      <c r="S1938" s="5"/>
      <c r="T1938" s="9">
        <v>45046.526319444441</v>
      </c>
      <c r="U1938" s="5"/>
      <c r="V1938" s="5">
        <v>0</v>
      </c>
      <c r="W1938" s="5"/>
      <c r="X1938" s="5"/>
      <c r="Y1938" s="5"/>
      <c r="Z1938" s="5"/>
      <c r="AA1938" s="5" t="s">
        <v>62</v>
      </c>
      <c r="AC1938">
        <f t="shared" si="271"/>
        <v>12</v>
      </c>
      <c r="AD1938" t="str">
        <f t="shared" si="272"/>
        <v/>
      </c>
      <c r="AE1938">
        <f t="shared" si="273"/>
        <v>3</v>
      </c>
      <c r="AF1938" t="str">
        <f t="shared" si="274"/>
        <v/>
      </c>
      <c r="AG1938" t="str">
        <f t="shared" si="275"/>
        <v/>
      </c>
      <c r="AH1938">
        <f t="shared" si="276"/>
        <v>4</v>
      </c>
      <c r="AI1938" t="str">
        <f t="shared" si="277"/>
        <v/>
      </c>
      <c r="AJ1938" t="str">
        <f t="shared" si="278"/>
        <v/>
      </c>
    </row>
    <row r="1939" spans="1:36">
      <c r="A1939" s="5">
        <v>2355</v>
      </c>
      <c r="B1939" s="5" t="s">
        <v>1603</v>
      </c>
      <c r="C1939" s="5" t="s">
        <v>1540</v>
      </c>
      <c r="D1939" s="5" t="s">
        <v>1588</v>
      </c>
      <c r="E1939" s="5" t="s">
        <v>1360</v>
      </c>
      <c r="F1939" s="5" t="str">
        <f t="shared" si="270"/>
        <v>Finance-Fund Administrator</v>
      </c>
      <c r="G1939" s="5" t="s">
        <v>147</v>
      </c>
      <c r="H1939" s="9">
        <v>45026.526319444441</v>
      </c>
      <c r="I1939" s="9">
        <v>45027.526319444441</v>
      </c>
      <c r="J1939" s="9" t="e">
        <f>I1939+#REF!</f>
        <v>#REF!</v>
      </c>
      <c r="K1939" s="9" t="e">
        <f>J1939+#REF!</f>
        <v>#REF!</v>
      </c>
      <c r="L1939" s="10" t="s">
        <v>52</v>
      </c>
      <c r="M1939" s="11"/>
      <c r="N1939" s="5"/>
      <c r="O1939" s="5"/>
      <c r="P1939" s="9"/>
      <c r="Q1939" s="5"/>
      <c r="R1939" s="5"/>
      <c r="S1939" s="5"/>
      <c r="T1939" s="9"/>
      <c r="U1939" s="5"/>
      <c r="V1939" s="5">
        <v>0</v>
      </c>
      <c r="W1939" s="5"/>
      <c r="X1939" s="5"/>
      <c r="Y1939" s="5"/>
      <c r="Z1939" s="5"/>
      <c r="AA1939" s="5"/>
      <c r="AC1939" t="str">
        <f t="shared" si="271"/>
        <v/>
      </c>
      <c r="AD1939" t="str">
        <f t="shared" si="272"/>
        <v/>
      </c>
      <c r="AE1939" t="str">
        <f t="shared" si="273"/>
        <v/>
      </c>
      <c r="AF1939" t="str">
        <f t="shared" si="274"/>
        <v/>
      </c>
      <c r="AG1939" t="str">
        <f t="shared" si="275"/>
        <v/>
      </c>
      <c r="AH1939">
        <f t="shared" si="276"/>
        <v>1</v>
      </c>
      <c r="AI1939" t="str">
        <f t="shared" si="277"/>
        <v/>
      </c>
      <c r="AJ1939" t="str">
        <f t="shared" si="278"/>
        <v/>
      </c>
    </row>
    <row r="1940" spans="1:36">
      <c r="A1940" s="5">
        <v>2356</v>
      </c>
      <c r="B1940" s="5" t="s">
        <v>1722</v>
      </c>
      <c r="C1940" s="5" t="s">
        <v>1540</v>
      </c>
      <c r="D1940" s="5" t="s">
        <v>1706</v>
      </c>
      <c r="E1940" s="5" t="s">
        <v>269</v>
      </c>
      <c r="F1940" s="5" t="str">
        <f t="shared" si="270"/>
        <v>Finance-Manager</v>
      </c>
      <c r="G1940" s="5" t="s">
        <v>270</v>
      </c>
      <c r="H1940" s="9">
        <v>45028.526319444441</v>
      </c>
      <c r="I1940" s="9">
        <v>45031.526319444441</v>
      </c>
      <c r="J1940" s="9" t="e">
        <f>I1940+#REF!</f>
        <v>#REF!</v>
      </c>
      <c r="K1940" s="9" t="e">
        <f>J1940+#REF!</f>
        <v>#REF!</v>
      </c>
      <c r="L1940" s="10" t="s">
        <v>41</v>
      </c>
      <c r="M1940" s="11">
        <v>45038.526319444441</v>
      </c>
      <c r="N1940" s="5" t="s">
        <v>42</v>
      </c>
      <c r="O1940" s="5" t="s">
        <v>73</v>
      </c>
      <c r="P1940" s="9"/>
      <c r="Q1940" s="5"/>
      <c r="R1940" s="5"/>
      <c r="S1940" s="5"/>
      <c r="T1940" s="9"/>
      <c r="U1940" s="5"/>
      <c r="V1940" s="5">
        <v>0</v>
      </c>
      <c r="W1940" s="5"/>
      <c r="X1940" s="5"/>
      <c r="Y1940" s="5"/>
      <c r="Z1940" s="5"/>
      <c r="AA1940" s="5" t="s">
        <v>62</v>
      </c>
      <c r="AC1940">
        <f t="shared" si="271"/>
        <v>7</v>
      </c>
      <c r="AD1940" t="str">
        <f t="shared" si="272"/>
        <v/>
      </c>
      <c r="AE1940" t="str">
        <f t="shared" si="273"/>
        <v/>
      </c>
      <c r="AF1940" t="str">
        <f t="shared" si="274"/>
        <v/>
      </c>
      <c r="AG1940" t="str">
        <f t="shared" si="275"/>
        <v/>
      </c>
      <c r="AH1940">
        <f t="shared" si="276"/>
        <v>3</v>
      </c>
      <c r="AI1940" t="str">
        <f t="shared" si="277"/>
        <v/>
      </c>
      <c r="AJ1940" t="str">
        <f t="shared" si="278"/>
        <v/>
      </c>
    </row>
    <row r="1941" spans="1:36">
      <c r="A1941" s="5">
        <v>2358</v>
      </c>
      <c r="B1941" s="5" t="s">
        <v>1837</v>
      </c>
      <c r="C1941" s="5" t="s">
        <v>1540</v>
      </c>
      <c r="D1941" s="5" t="s">
        <v>1820</v>
      </c>
      <c r="E1941" s="5" t="s">
        <v>39</v>
      </c>
      <c r="F1941" s="5" t="str">
        <f t="shared" si="270"/>
        <v>Finance-Analyst</v>
      </c>
      <c r="G1941" s="5" t="s">
        <v>40</v>
      </c>
      <c r="H1941" s="9">
        <v>45029.526319444441</v>
      </c>
      <c r="I1941" s="9">
        <v>45031.526319444441</v>
      </c>
      <c r="J1941" s="9" t="e">
        <f>I1941+#REF!</f>
        <v>#REF!</v>
      </c>
      <c r="K1941" s="9" t="e">
        <f>J1941+#REF!</f>
        <v>#REF!</v>
      </c>
      <c r="L1941" s="10" t="s">
        <v>41</v>
      </c>
      <c r="M1941" s="11">
        <v>45037.526319444441</v>
      </c>
      <c r="N1941" s="5" t="s">
        <v>42</v>
      </c>
      <c r="O1941" s="5" t="s">
        <v>98</v>
      </c>
      <c r="P1941" s="9"/>
      <c r="Q1941" s="5"/>
      <c r="R1941" s="5"/>
      <c r="S1941" s="5"/>
      <c r="T1941" s="9"/>
      <c r="U1941" s="5"/>
      <c r="V1941" s="5">
        <v>0</v>
      </c>
      <c r="W1941" s="5"/>
      <c r="X1941" s="5"/>
      <c r="Y1941" s="5"/>
      <c r="Z1941" s="5"/>
      <c r="AA1941" s="5" t="s">
        <v>62</v>
      </c>
      <c r="AC1941">
        <f t="shared" si="271"/>
        <v>6</v>
      </c>
      <c r="AD1941" t="str">
        <f t="shared" si="272"/>
        <v/>
      </c>
      <c r="AE1941" t="str">
        <f t="shared" si="273"/>
        <v/>
      </c>
      <c r="AF1941" t="str">
        <f t="shared" si="274"/>
        <v/>
      </c>
      <c r="AG1941" t="str">
        <f t="shared" si="275"/>
        <v/>
      </c>
      <c r="AH1941">
        <f t="shared" si="276"/>
        <v>2</v>
      </c>
      <c r="AI1941" t="str">
        <f t="shared" si="277"/>
        <v/>
      </c>
      <c r="AJ1941" t="str">
        <f t="shared" si="278"/>
        <v/>
      </c>
    </row>
    <row r="1942" spans="1:36">
      <c r="A1942" s="5">
        <v>2359</v>
      </c>
      <c r="B1942" s="5" t="s">
        <v>1721</v>
      </c>
      <c r="C1942" s="5" t="s">
        <v>1540</v>
      </c>
      <c r="D1942" s="5" t="s">
        <v>1706</v>
      </c>
      <c r="E1942" s="5" t="s">
        <v>269</v>
      </c>
      <c r="F1942" s="5" t="str">
        <f t="shared" si="270"/>
        <v>Finance-Manager</v>
      </c>
      <c r="G1942" s="5" t="s">
        <v>270</v>
      </c>
      <c r="H1942" s="9">
        <v>45023.526319444441</v>
      </c>
      <c r="I1942" s="9">
        <v>45026.526319444441</v>
      </c>
      <c r="J1942" s="9" t="e">
        <f>I1942+#REF!</f>
        <v>#REF!</v>
      </c>
      <c r="K1942" s="9" t="e">
        <f>J1942+#REF!</f>
        <v>#REF!</v>
      </c>
      <c r="L1942" s="10" t="s">
        <v>52</v>
      </c>
      <c r="M1942" s="11"/>
      <c r="N1942" s="5"/>
      <c r="O1942" s="5"/>
      <c r="P1942" s="9"/>
      <c r="Q1942" s="5"/>
      <c r="R1942" s="5"/>
      <c r="S1942" s="5"/>
      <c r="T1942" s="9"/>
      <c r="U1942" s="5"/>
      <c r="V1942" s="5">
        <v>0</v>
      </c>
      <c r="W1942" s="5"/>
      <c r="X1942" s="5"/>
      <c r="Y1942" s="5"/>
      <c r="Z1942" s="5"/>
      <c r="AA1942" s="5"/>
      <c r="AC1942" t="str">
        <f t="shared" si="271"/>
        <v/>
      </c>
      <c r="AD1942" t="str">
        <f t="shared" si="272"/>
        <v/>
      </c>
      <c r="AE1942" t="str">
        <f t="shared" si="273"/>
        <v/>
      </c>
      <c r="AF1942" t="str">
        <f t="shared" si="274"/>
        <v/>
      </c>
      <c r="AG1942" t="str">
        <f t="shared" si="275"/>
        <v/>
      </c>
      <c r="AH1942">
        <f t="shared" si="276"/>
        <v>3</v>
      </c>
      <c r="AI1942" t="str">
        <f t="shared" si="277"/>
        <v/>
      </c>
      <c r="AJ1942" t="str">
        <f t="shared" si="278"/>
        <v/>
      </c>
    </row>
    <row r="1943" spans="1:36">
      <c r="A1943" s="5">
        <v>2361</v>
      </c>
      <c r="B1943" s="5" t="s">
        <v>591</v>
      </c>
      <c r="C1943" s="5" t="s">
        <v>100</v>
      </c>
      <c r="D1943" s="5" t="s">
        <v>554</v>
      </c>
      <c r="E1943" s="5" t="s">
        <v>51</v>
      </c>
      <c r="F1943" s="5" t="str">
        <f t="shared" si="270"/>
        <v>Program Office-Supervisor</v>
      </c>
      <c r="G1943" s="5" t="s">
        <v>47</v>
      </c>
      <c r="H1943" s="9">
        <v>44975.268252314818</v>
      </c>
      <c r="I1943" s="9">
        <v>44976.268252314818</v>
      </c>
      <c r="J1943" s="9" t="e">
        <f>I1943+#REF!</f>
        <v>#REF!</v>
      </c>
      <c r="K1943" s="9" t="e">
        <f>J1943+#REF!</f>
        <v>#REF!</v>
      </c>
      <c r="L1943" s="10" t="s">
        <v>52</v>
      </c>
      <c r="M1943" s="11"/>
      <c r="N1943" s="5"/>
      <c r="O1943" s="5"/>
      <c r="P1943" s="9"/>
      <c r="Q1943" s="5"/>
      <c r="R1943" s="5"/>
      <c r="S1943" s="5"/>
      <c r="T1943" s="9"/>
      <c r="U1943" s="5"/>
      <c r="V1943" s="5">
        <v>0</v>
      </c>
      <c r="W1943" s="5"/>
      <c r="X1943" s="5"/>
      <c r="Y1943" s="5"/>
      <c r="Z1943" s="5"/>
      <c r="AA1943" s="5"/>
      <c r="AC1943" t="str">
        <f t="shared" si="271"/>
        <v/>
      </c>
      <c r="AD1943" t="str">
        <f t="shared" si="272"/>
        <v/>
      </c>
      <c r="AE1943" t="str">
        <f t="shared" si="273"/>
        <v/>
      </c>
      <c r="AF1943" t="str">
        <f t="shared" si="274"/>
        <v/>
      </c>
      <c r="AG1943" t="str">
        <f t="shared" si="275"/>
        <v/>
      </c>
      <c r="AH1943">
        <f t="shared" si="276"/>
        <v>1</v>
      </c>
      <c r="AI1943" t="str">
        <f t="shared" si="277"/>
        <v/>
      </c>
      <c r="AJ1943" t="str">
        <f t="shared" si="278"/>
        <v/>
      </c>
    </row>
    <row r="1944" spans="1:36">
      <c r="A1944" s="5">
        <v>2362</v>
      </c>
      <c r="B1944" s="5" t="s">
        <v>418</v>
      </c>
      <c r="C1944" s="5" t="s">
        <v>100</v>
      </c>
      <c r="D1944" s="5" t="s">
        <v>387</v>
      </c>
      <c r="E1944" s="5" t="s">
        <v>388</v>
      </c>
      <c r="F1944" s="5" t="str">
        <f t="shared" si="270"/>
        <v>Program Office-Extension Officer</v>
      </c>
      <c r="G1944" s="5" t="s">
        <v>40</v>
      </c>
      <c r="H1944" s="9">
        <v>44973.268252314818</v>
      </c>
      <c r="I1944" s="9">
        <v>44974.268252314818</v>
      </c>
      <c r="J1944" s="9" t="e">
        <f>I1944+#REF!</f>
        <v>#REF!</v>
      </c>
      <c r="K1944" s="9" t="e">
        <f>J1944+#REF!</f>
        <v>#REF!</v>
      </c>
      <c r="L1944" s="10" t="s">
        <v>41</v>
      </c>
      <c r="M1944" s="11">
        <v>44992.268252314818</v>
      </c>
      <c r="N1944" s="5" t="s">
        <v>42</v>
      </c>
      <c r="O1944" s="5" t="s">
        <v>58</v>
      </c>
      <c r="P1944" s="9"/>
      <c r="Q1944" s="5"/>
      <c r="R1944" s="5"/>
      <c r="S1944" s="5"/>
      <c r="T1944" s="9">
        <v>44995.268252314818</v>
      </c>
      <c r="U1944" s="5"/>
      <c r="V1944" s="5">
        <v>0</v>
      </c>
      <c r="W1944" s="5"/>
      <c r="X1944" s="5"/>
      <c r="Y1944" s="5"/>
      <c r="Z1944" s="5"/>
      <c r="AA1944" s="5" t="s">
        <v>44</v>
      </c>
      <c r="AC1944">
        <f t="shared" si="271"/>
        <v>18</v>
      </c>
      <c r="AD1944" t="str">
        <f t="shared" si="272"/>
        <v/>
      </c>
      <c r="AE1944">
        <f t="shared" si="273"/>
        <v>3</v>
      </c>
      <c r="AF1944" t="str">
        <f t="shared" si="274"/>
        <v/>
      </c>
      <c r="AG1944" t="str">
        <f t="shared" si="275"/>
        <v/>
      </c>
      <c r="AH1944">
        <f t="shared" si="276"/>
        <v>1</v>
      </c>
      <c r="AI1944" t="str">
        <f t="shared" si="277"/>
        <v/>
      </c>
      <c r="AJ1944" t="str">
        <f t="shared" si="278"/>
        <v/>
      </c>
    </row>
    <row r="1945" spans="1:36">
      <c r="A1945" s="5">
        <v>2363</v>
      </c>
      <c r="B1945" s="5" t="s">
        <v>590</v>
      </c>
      <c r="C1945" s="5" t="s">
        <v>100</v>
      </c>
      <c r="D1945" s="5" t="s">
        <v>554</v>
      </c>
      <c r="E1945" s="5" t="s">
        <v>51</v>
      </c>
      <c r="F1945" s="5" t="str">
        <f t="shared" si="270"/>
        <v>Program Office-Supervisor</v>
      </c>
      <c r="G1945" s="5" t="s">
        <v>47</v>
      </c>
      <c r="H1945" s="9">
        <v>44971.268252314818</v>
      </c>
      <c r="I1945" s="9">
        <v>44975.268252314818</v>
      </c>
      <c r="J1945" s="9" t="e">
        <f>I1945+#REF!</f>
        <v>#REF!</v>
      </c>
      <c r="K1945" s="9" t="e">
        <f>J1945+#REF!</f>
        <v>#REF!</v>
      </c>
      <c r="L1945" s="10" t="s">
        <v>41</v>
      </c>
      <c r="M1945" s="11">
        <v>44996.268252314818</v>
      </c>
      <c r="N1945" s="5" t="s">
        <v>167</v>
      </c>
      <c r="O1945" s="5"/>
      <c r="P1945" s="9">
        <v>45001.268252314818</v>
      </c>
      <c r="Q1945" s="5" t="s">
        <v>167</v>
      </c>
      <c r="R1945" s="5"/>
      <c r="S1945" s="5"/>
      <c r="T1945" s="9">
        <v>45000.268252314818</v>
      </c>
      <c r="U1945" s="5"/>
      <c r="V1945" s="5">
        <v>0</v>
      </c>
      <c r="W1945" s="5"/>
      <c r="X1945" s="5"/>
      <c r="Y1945" s="5"/>
      <c r="Z1945" s="5"/>
      <c r="AA1945" s="5"/>
      <c r="AC1945">
        <f t="shared" si="271"/>
        <v>21</v>
      </c>
      <c r="AD1945" t="str">
        <f t="shared" si="272"/>
        <v/>
      </c>
      <c r="AE1945">
        <f t="shared" si="273"/>
        <v>4</v>
      </c>
      <c r="AF1945" t="str">
        <f t="shared" si="274"/>
        <v/>
      </c>
      <c r="AG1945" t="str">
        <f t="shared" si="275"/>
        <v/>
      </c>
      <c r="AH1945">
        <f t="shared" si="276"/>
        <v>4</v>
      </c>
      <c r="AI1945" t="str">
        <f t="shared" si="277"/>
        <v/>
      </c>
      <c r="AJ1945" t="str">
        <f t="shared" si="278"/>
        <v/>
      </c>
    </row>
    <row r="1946" spans="1:36">
      <c r="A1946" s="5">
        <v>2364</v>
      </c>
      <c r="B1946" s="5" t="s">
        <v>589</v>
      </c>
      <c r="C1946" s="5" t="s">
        <v>100</v>
      </c>
      <c r="D1946" s="5" t="s">
        <v>554</v>
      </c>
      <c r="E1946" s="5" t="s">
        <v>39</v>
      </c>
      <c r="F1946" s="5" t="str">
        <f t="shared" si="270"/>
        <v>Program Office-Analyst</v>
      </c>
      <c r="G1946" s="5" t="s">
        <v>47</v>
      </c>
      <c r="H1946" s="9">
        <v>44978.268252314818</v>
      </c>
      <c r="I1946" s="9">
        <v>44979.268252314818</v>
      </c>
      <c r="J1946" s="9" t="e">
        <f>I1946+#REF!</f>
        <v>#REF!</v>
      </c>
      <c r="K1946" s="9" t="e">
        <f>J1946+#REF!</f>
        <v>#REF!</v>
      </c>
      <c r="L1946" s="10" t="s">
        <v>52</v>
      </c>
      <c r="M1946" s="11"/>
      <c r="N1946" s="5"/>
      <c r="O1946" s="5"/>
      <c r="P1946" s="9"/>
      <c r="Q1946" s="5"/>
      <c r="R1946" s="5"/>
      <c r="S1946" s="5"/>
      <c r="T1946" s="9"/>
      <c r="U1946" s="5"/>
      <c r="V1946" s="5">
        <v>0</v>
      </c>
      <c r="W1946" s="5"/>
      <c r="X1946" s="5"/>
      <c r="Y1946" s="5"/>
      <c r="Z1946" s="5"/>
      <c r="AA1946" s="5"/>
      <c r="AC1946" t="str">
        <f t="shared" si="271"/>
        <v/>
      </c>
      <c r="AD1946" t="str">
        <f t="shared" si="272"/>
        <v/>
      </c>
      <c r="AE1946" t="str">
        <f t="shared" si="273"/>
        <v/>
      </c>
      <c r="AF1946" t="str">
        <f t="shared" si="274"/>
        <v/>
      </c>
      <c r="AG1946" t="str">
        <f t="shared" si="275"/>
        <v/>
      </c>
      <c r="AH1946">
        <f t="shared" si="276"/>
        <v>1</v>
      </c>
      <c r="AI1946" t="str">
        <f t="shared" si="277"/>
        <v/>
      </c>
      <c r="AJ1946" t="str">
        <f t="shared" si="278"/>
        <v/>
      </c>
    </row>
    <row r="1947" spans="1:36">
      <c r="A1947" s="5">
        <v>2366</v>
      </c>
      <c r="B1947" s="5" t="s">
        <v>112</v>
      </c>
      <c r="C1947" s="5" t="s">
        <v>100</v>
      </c>
      <c r="D1947" s="5" t="s">
        <v>101</v>
      </c>
      <c r="E1947" s="5" t="s">
        <v>102</v>
      </c>
      <c r="F1947" s="5" t="str">
        <f t="shared" si="270"/>
        <v>Program Office-Senior Manager</v>
      </c>
      <c r="G1947" s="5" t="s">
        <v>103</v>
      </c>
      <c r="H1947" s="9">
        <v>44974.268252314818</v>
      </c>
      <c r="I1947" s="9">
        <v>44976.268252314818</v>
      </c>
      <c r="J1947" s="9" t="e">
        <f>I1947+#REF!</f>
        <v>#REF!</v>
      </c>
      <c r="K1947" s="9" t="e">
        <f>J1947+#REF!</f>
        <v>#REF!</v>
      </c>
      <c r="L1947" s="10" t="s">
        <v>41</v>
      </c>
      <c r="M1947" s="11">
        <v>44986.268252314818</v>
      </c>
      <c r="N1947" s="5" t="s">
        <v>42</v>
      </c>
      <c r="O1947" s="5" t="s">
        <v>113</v>
      </c>
      <c r="P1947" s="9"/>
      <c r="Q1947" s="5"/>
      <c r="R1947" s="5"/>
      <c r="S1947" s="5"/>
      <c r="T1947" s="9">
        <v>44989.268252314818</v>
      </c>
      <c r="U1947" s="5"/>
      <c r="V1947" s="5">
        <v>0</v>
      </c>
      <c r="W1947" s="5"/>
      <c r="X1947" s="5"/>
      <c r="Y1947" s="5"/>
      <c r="Z1947" s="5"/>
      <c r="AA1947" s="5" t="s">
        <v>44</v>
      </c>
      <c r="AC1947">
        <f t="shared" si="271"/>
        <v>10</v>
      </c>
      <c r="AD1947" t="str">
        <f t="shared" si="272"/>
        <v/>
      </c>
      <c r="AE1947">
        <f t="shared" si="273"/>
        <v>3</v>
      </c>
      <c r="AF1947" t="str">
        <f t="shared" si="274"/>
        <v/>
      </c>
      <c r="AG1947" t="str">
        <f t="shared" si="275"/>
        <v/>
      </c>
      <c r="AH1947">
        <f t="shared" si="276"/>
        <v>2</v>
      </c>
      <c r="AI1947" t="str">
        <f t="shared" si="277"/>
        <v/>
      </c>
      <c r="AJ1947" t="str">
        <f t="shared" si="278"/>
        <v/>
      </c>
    </row>
    <row r="1948" spans="1:36">
      <c r="A1948" s="5">
        <v>2367</v>
      </c>
      <c r="B1948" s="5" t="s">
        <v>417</v>
      </c>
      <c r="C1948" s="5" t="s">
        <v>100</v>
      </c>
      <c r="D1948" s="5" t="s">
        <v>387</v>
      </c>
      <c r="E1948" s="5" t="s">
        <v>388</v>
      </c>
      <c r="F1948" s="5" t="str">
        <f t="shared" si="270"/>
        <v>Program Office-Extension Officer</v>
      </c>
      <c r="G1948" s="5" t="s">
        <v>40</v>
      </c>
      <c r="H1948" s="9">
        <v>44972.268252314818</v>
      </c>
      <c r="I1948" s="9">
        <v>44975.268252314818</v>
      </c>
      <c r="J1948" s="9" t="e">
        <f>I1948+#REF!</f>
        <v>#REF!</v>
      </c>
      <c r="K1948" s="9" t="e">
        <f>J1948+#REF!</f>
        <v>#REF!</v>
      </c>
      <c r="L1948" s="10" t="s">
        <v>41</v>
      </c>
      <c r="M1948" s="11">
        <v>44987.268252314818</v>
      </c>
      <c r="N1948" s="5" t="s">
        <v>42</v>
      </c>
      <c r="O1948" s="5" t="s">
        <v>58</v>
      </c>
      <c r="P1948" s="9"/>
      <c r="Q1948" s="5"/>
      <c r="R1948" s="5"/>
      <c r="S1948" s="5"/>
      <c r="T1948" s="9"/>
      <c r="U1948" s="5"/>
      <c r="V1948" s="5">
        <v>0</v>
      </c>
      <c r="W1948" s="5"/>
      <c r="X1948" s="5"/>
      <c r="Y1948" s="5"/>
      <c r="Z1948" s="5"/>
      <c r="AA1948" s="5" t="s">
        <v>62</v>
      </c>
      <c r="AC1948">
        <f t="shared" si="271"/>
        <v>12</v>
      </c>
      <c r="AD1948" t="str">
        <f t="shared" si="272"/>
        <v/>
      </c>
      <c r="AE1948" t="str">
        <f t="shared" si="273"/>
        <v/>
      </c>
      <c r="AF1948" t="str">
        <f t="shared" si="274"/>
        <v/>
      </c>
      <c r="AG1948" t="str">
        <f t="shared" si="275"/>
        <v/>
      </c>
      <c r="AH1948">
        <f t="shared" si="276"/>
        <v>3</v>
      </c>
      <c r="AI1948" t="str">
        <f t="shared" si="277"/>
        <v/>
      </c>
      <c r="AJ1948" t="str">
        <f t="shared" si="278"/>
        <v/>
      </c>
    </row>
    <row r="1949" spans="1:36">
      <c r="A1949" s="5">
        <v>2368</v>
      </c>
      <c r="B1949" s="5" t="s">
        <v>588</v>
      </c>
      <c r="C1949" s="5" t="s">
        <v>100</v>
      </c>
      <c r="D1949" s="5" t="s">
        <v>554</v>
      </c>
      <c r="E1949" s="5" t="s">
        <v>39</v>
      </c>
      <c r="F1949" s="5" t="str">
        <f t="shared" si="270"/>
        <v>Program Office-Analyst</v>
      </c>
      <c r="G1949" s="5" t="s">
        <v>47</v>
      </c>
      <c r="H1949" s="9">
        <v>44975.268252314818</v>
      </c>
      <c r="I1949" s="9">
        <v>44976.268252314818</v>
      </c>
      <c r="J1949" s="9" t="e">
        <f>I1949+#REF!</f>
        <v>#REF!</v>
      </c>
      <c r="K1949" s="9" t="e">
        <f>J1949+#REF!</f>
        <v>#REF!</v>
      </c>
      <c r="L1949" s="10" t="s">
        <v>41</v>
      </c>
      <c r="M1949" s="11">
        <v>44982.268252314818</v>
      </c>
      <c r="N1949" s="5" t="s">
        <v>42</v>
      </c>
      <c r="O1949" s="5" t="s">
        <v>113</v>
      </c>
      <c r="P1949" s="9"/>
      <c r="Q1949" s="5"/>
      <c r="R1949" s="5"/>
      <c r="S1949" s="5"/>
      <c r="T1949" s="9"/>
      <c r="U1949" s="5"/>
      <c r="V1949" s="5">
        <v>0</v>
      </c>
      <c r="W1949" s="5"/>
      <c r="X1949" s="5"/>
      <c r="Y1949" s="5"/>
      <c r="Z1949" s="5"/>
      <c r="AA1949" s="5" t="s">
        <v>44</v>
      </c>
      <c r="AC1949">
        <f t="shared" si="271"/>
        <v>6</v>
      </c>
      <c r="AD1949" t="str">
        <f t="shared" si="272"/>
        <v/>
      </c>
      <c r="AE1949" t="str">
        <f t="shared" si="273"/>
        <v/>
      </c>
      <c r="AF1949" t="str">
        <f t="shared" si="274"/>
        <v/>
      </c>
      <c r="AG1949" t="str">
        <f t="shared" si="275"/>
        <v/>
      </c>
      <c r="AH1949">
        <f t="shared" si="276"/>
        <v>1</v>
      </c>
      <c r="AI1949" t="str">
        <f t="shared" si="277"/>
        <v/>
      </c>
      <c r="AJ1949" t="str">
        <f t="shared" si="278"/>
        <v/>
      </c>
    </row>
    <row r="1950" spans="1:36">
      <c r="A1950" s="5">
        <v>2369</v>
      </c>
      <c r="B1950" s="5" t="s">
        <v>587</v>
      </c>
      <c r="C1950" s="5" t="s">
        <v>100</v>
      </c>
      <c r="D1950" s="5" t="s">
        <v>554</v>
      </c>
      <c r="E1950" s="5" t="s">
        <v>39</v>
      </c>
      <c r="F1950" s="5" t="str">
        <f t="shared" si="270"/>
        <v>Program Office-Analyst</v>
      </c>
      <c r="G1950" s="5" t="s">
        <v>47</v>
      </c>
      <c r="H1950" s="9">
        <v>44971.268252314818</v>
      </c>
      <c r="I1950" s="9">
        <v>44975.268252314818</v>
      </c>
      <c r="J1950" s="9" t="e">
        <f>I1950+#REF!</f>
        <v>#REF!</v>
      </c>
      <c r="K1950" s="9" t="e">
        <f>J1950+#REF!</f>
        <v>#REF!</v>
      </c>
      <c r="L1950" s="10" t="s">
        <v>52</v>
      </c>
      <c r="M1950" s="11"/>
      <c r="N1950" s="5"/>
      <c r="O1950" s="5"/>
      <c r="P1950" s="9"/>
      <c r="Q1950" s="5"/>
      <c r="R1950" s="5"/>
      <c r="S1950" s="5"/>
      <c r="T1950" s="9"/>
      <c r="U1950" s="5"/>
      <c r="V1950" s="5">
        <v>0</v>
      </c>
      <c r="W1950" s="5"/>
      <c r="X1950" s="5"/>
      <c r="Y1950" s="5"/>
      <c r="Z1950" s="5"/>
      <c r="AA1950" s="5"/>
      <c r="AC1950" t="str">
        <f t="shared" si="271"/>
        <v/>
      </c>
      <c r="AD1950" t="str">
        <f t="shared" si="272"/>
        <v/>
      </c>
      <c r="AE1950" t="str">
        <f t="shared" si="273"/>
        <v/>
      </c>
      <c r="AF1950" t="str">
        <f t="shared" si="274"/>
        <v/>
      </c>
      <c r="AG1950" t="str">
        <f t="shared" si="275"/>
        <v/>
      </c>
      <c r="AH1950">
        <f t="shared" si="276"/>
        <v>4</v>
      </c>
      <c r="AI1950" t="str">
        <f t="shared" si="277"/>
        <v/>
      </c>
      <c r="AJ1950" t="str">
        <f t="shared" si="278"/>
        <v/>
      </c>
    </row>
    <row r="1951" spans="1:36">
      <c r="A1951" s="5">
        <v>2370</v>
      </c>
      <c r="B1951" s="5" t="s">
        <v>173</v>
      </c>
      <c r="C1951" s="5" t="s">
        <v>100</v>
      </c>
      <c r="D1951" s="5" t="s">
        <v>146</v>
      </c>
      <c r="E1951" s="5" t="s">
        <v>39</v>
      </c>
      <c r="F1951" s="5" t="str">
        <f t="shared" si="270"/>
        <v>Program Office-Analyst</v>
      </c>
      <c r="G1951" s="5" t="s">
        <v>147</v>
      </c>
      <c r="H1951" s="9">
        <v>44973.268252314818</v>
      </c>
      <c r="I1951" s="9">
        <v>44976.268252314818</v>
      </c>
      <c r="J1951" s="9" t="e">
        <f>I1951+#REF!</f>
        <v>#REF!</v>
      </c>
      <c r="K1951" s="9" t="e">
        <f>J1951+#REF!</f>
        <v>#REF!</v>
      </c>
      <c r="L1951" s="10" t="s">
        <v>52</v>
      </c>
      <c r="M1951" s="11"/>
      <c r="N1951" s="5"/>
      <c r="O1951" s="5"/>
      <c r="P1951" s="9"/>
      <c r="Q1951" s="5"/>
      <c r="R1951" s="5"/>
      <c r="S1951" s="5"/>
      <c r="T1951" s="9"/>
      <c r="U1951" s="5"/>
      <c r="V1951" s="5">
        <v>0</v>
      </c>
      <c r="W1951" s="5"/>
      <c r="X1951" s="5"/>
      <c r="Y1951" s="5"/>
      <c r="Z1951" s="5"/>
      <c r="AA1951" s="5"/>
      <c r="AC1951" t="str">
        <f t="shared" si="271"/>
        <v/>
      </c>
      <c r="AD1951" t="str">
        <f t="shared" si="272"/>
        <v/>
      </c>
      <c r="AE1951" t="str">
        <f t="shared" si="273"/>
        <v/>
      </c>
      <c r="AF1951" t="str">
        <f t="shared" si="274"/>
        <v/>
      </c>
      <c r="AG1951" t="str">
        <f t="shared" si="275"/>
        <v/>
      </c>
      <c r="AH1951">
        <f t="shared" si="276"/>
        <v>3</v>
      </c>
      <c r="AI1951" t="str">
        <f t="shared" si="277"/>
        <v/>
      </c>
      <c r="AJ1951" t="str">
        <f t="shared" si="278"/>
        <v/>
      </c>
    </row>
    <row r="1952" spans="1:36">
      <c r="A1952" s="5">
        <v>2371</v>
      </c>
      <c r="B1952" s="5" t="s">
        <v>2116</v>
      </c>
      <c r="C1952" s="10" t="s">
        <v>2089</v>
      </c>
      <c r="D1952" s="5" t="s">
        <v>2114</v>
      </c>
      <c r="E1952" s="5" t="s">
        <v>388</v>
      </c>
      <c r="F1952" s="5" t="str">
        <f t="shared" si="270"/>
        <v>Communication and Advocacy-Extension Officer</v>
      </c>
      <c r="G1952" s="5" t="s">
        <v>147</v>
      </c>
      <c r="H1952" s="9">
        <v>45029.917395833334</v>
      </c>
      <c r="I1952" s="9">
        <v>45031.917395833334</v>
      </c>
      <c r="J1952" s="9" t="e">
        <f>I1952+#REF!</f>
        <v>#REF!</v>
      </c>
      <c r="K1952" s="9" t="e">
        <f>J1952+#REF!</f>
        <v>#REF!</v>
      </c>
      <c r="L1952" s="10" t="s">
        <v>52</v>
      </c>
      <c r="M1952" s="11"/>
      <c r="N1952" s="5"/>
      <c r="O1952" s="5"/>
      <c r="P1952" s="9"/>
      <c r="Q1952" s="5"/>
      <c r="R1952" s="5"/>
      <c r="S1952" s="5"/>
      <c r="T1952" s="9"/>
      <c r="U1952" s="5"/>
      <c r="V1952" s="5">
        <v>0</v>
      </c>
      <c r="W1952" s="5"/>
      <c r="X1952" s="5"/>
      <c r="Y1952" s="5"/>
      <c r="Z1952" s="5"/>
      <c r="AA1952" s="5"/>
      <c r="AC1952" t="str">
        <f t="shared" si="271"/>
        <v/>
      </c>
      <c r="AD1952" t="str">
        <f t="shared" si="272"/>
        <v/>
      </c>
      <c r="AE1952" t="str">
        <f t="shared" si="273"/>
        <v/>
      </c>
      <c r="AF1952" t="str">
        <f t="shared" si="274"/>
        <v/>
      </c>
      <c r="AG1952" t="str">
        <f t="shared" si="275"/>
        <v/>
      </c>
      <c r="AH1952">
        <f t="shared" si="276"/>
        <v>2</v>
      </c>
      <c r="AI1952" t="str">
        <f t="shared" si="277"/>
        <v/>
      </c>
      <c r="AJ1952" t="str">
        <f t="shared" si="278"/>
        <v/>
      </c>
    </row>
    <row r="1953" spans="1:36">
      <c r="A1953" s="5">
        <v>2373</v>
      </c>
      <c r="B1953" s="5" t="s">
        <v>1294</v>
      </c>
      <c r="C1953" s="10" t="s">
        <v>1215</v>
      </c>
      <c r="D1953" s="5" t="s">
        <v>1287</v>
      </c>
      <c r="E1953" s="5" t="s">
        <v>1146</v>
      </c>
      <c r="F1953" s="5" t="str">
        <f t="shared" si="270"/>
        <v>HR-Quality Assurance</v>
      </c>
      <c r="G1953" s="5" t="s">
        <v>47</v>
      </c>
      <c r="H1953" s="9">
        <v>45030.917395833334</v>
      </c>
      <c r="I1953" s="9">
        <v>45033.917395833334</v>
      </c>
      <c r="J1953" s="9" t="e">
        <f>I1953+#REF!</f>
        <v>#REF!</v>
      </c>
      <c r="K1953" s="9" t="e">
        <f>J1953+#REF!</f>
        <v>#REF!</v>
      </c>
      <c r="L1953" s="10" t="s">
        <v>41</v>
      </c>
      <c r="M1953" s="11">
        <v>45046.917395833334</v>
      </c>
      <c r="N1953" s="5" t="s">
        <v>42</v>
      </c>
      <c r="O1953" s="5" t="s">
        <v>58</v>
      </c>
      <c r="P1953" s="9"/>
      <c r="Q1953" s="5"/>
      <c r="R1953" s="5"/>
      <c r="S1953" s="5"/>
      <c r="T1953" s="9">
        <v>45049.917395833334</v>
      </c>
      <c r="U1953" s="5"/>
      <c r="V1953" s="5">
        <v>0</v>
      </c>
      <c r="W1953" s="5"/>
      <c r="X1953" s="5"/>
      <c r="Y1953" s="5"/>
      <c r="Z1953" s="5"/>
      <c r="AA1953" s="5" t="s">
        <v>44</v>
      </c>
      <c r="AC1953">
        <f t="shared" si="271"/>
        <v>13</v>
      </c>
      <c r="AD1953" t="str">
        <f t="shared" si="272"/>
        <v/>
      </c>
      <c r="AE1953">
        <f t="shared" si="273"/>
        <v>3</v>
      </c>
      <c r="AF1953" t="str">
        <f t="shared" si="274"/>
        <v/>
      </c>
      <c r="AG1953" t="str">
        <f t="shared" si="275"/>
        <v/>
      </c>
      <c r="AH1953">
        <f t="shared" si="276"/>
        <v>3</v>
      </c>
      <c r="AI1953" t="str">
        <f t="shared" si="277"/>
        <v/>
      </c>
      <c r="AJ1953" t="str">
        <f t="shared" si="278"/>
        <v/>
      </c>
    </row>
    <row r="1954" spans="1:36">
      <c r="A1954" s="5">
        <v>2374</v>
      </c>
      <c r="B1954" s="5" t="s">
        <v>1152</v>
      </c>
      <c r="C1954" s="10" t="s">
        <v>1122</v>
      </c>
      <c r="D1954" s="5" t="s">
        <v>1145</v>
      </c>
      <c r="E1954" s="5" t="s">
        <v>1146</v>
      </c>
      <c r="F1954" s="5" t="str">
        <f t="shared" si="270"/>
        <v>IT-Quality Assurance</v>
      </c>
      <c r="G1954" s="5" t="s">
        <v>147</v>
      </c>
      <c r="H1954" s="9">
        <v>45031.917395833334</v>
      </c>
      <c r="I1954" s="9">
        <v>45035.917395833334</v>
      </c>
      <c r="J1954" s="9" t="e">
        <f>I1954+#REF!</f>
        <v>#REF!</v>
      </c>
      <c r="K1954" s="9" t="e">
        <f>J1954+#REF!</f>
        <v>#REF!</v>
      </c>
      <c r="L1954" s="10" t="s">
        <v>41</v>
      </c>
      <c r="M1954" s="11">
        <v>45050.917395833334</v>
      </c>
      <c r="N1954" s="5" t="s">
        <v>42</v>
      </c>
      <c r="O1954" s="5" t="s">
        <v>58</v>
      </c>
      <c r="P1954" s="9"/>
      <c r="Q1954" s="5"/>
      <c r="R1954" s="5"/>
      <c r="S1954" s="5"/>
      <c r="T1954" s="9"/>
      <c r="U1954" s="5"/>
      <c r="V1954" s="5">
        <v>0</v>
      </c>
      <c r="W1954" s="5"/>
      <c r="X1954" s="5"/>
      <c r="Y1954" s="5"/>
      <c r="Z1954" s="5"/>
      <c r="AA1954" s="5" t="s">
        <v>44</v>
      </c>
      <c r="AC1954">
        <f t="shared" si="271"/>
        <v>15</v>
      </c>
      <c r="AD1954" t="str">
        <f t="shared" si="272"/>
        <v/>
      </c>
      <c r="AE1954" t="str">
        <f t="shared" si="273"/>
        <v/>
      </c>
      <c r="AF1954" t="str">
        <f t="shared" si="274"/>
        <v/>
      </c>
      <c r="AG1954" t="str">
        <f t="shared" si="275"/>
        <v/>
      </c>
      <c r="AH1954">
        <f t="shared" si="276"/>
        <v>4</v>
      </c>
      <c r="AI1954" t="str">
        <f t="shared" si="277"/>
        <v/>
      </c>
      <c r="AJ1954" t="str">
        <f t="shared" si="278"/>
        <v/>
      </c>
    </row>
    <row r="1955" spans="1:36">
      <c r="A1955" s="5">
        <v>2375</v>
      </c>
      <c r="B1955" s="5" t="s">
        <v>1221</v>
      </c>
      <c r="C1955" s="10" t="s">
        <v>1215</v>
      </c>
      <c r="D1955" s="5" t="s">
        <v>1216</v>
      </c>
      <c r="E1955" s="5" t="s">
        <v>1217</v>
      </c>
      <c r="F1955" s="5" t="str">
        <f t="shared" si="270"/>
        <v>HR-Specialist</v>
      </c>
      <c r="G1955" s="5" t="s">
        <v>270</v>
      </c>
      <c r="H1955" s="9">
        <v>45032.917395833334</v>
      </c>
      <c r="I1955" s="9">
        <v>45033.917395833334</v>
      </c>
      <c r="J1955" s="9" t="e">
        <f>I1955+#REF!</f>
        <v>#REF!</v>
      </c>
      <c r="K1955" s="9" t="e">
        <f>J1955+#REF!</f>
        <v>#REF!</v>
      </c>
      <c r="L1955" s="10" t="s">
        <v>41</v>
      </c>
      <c r="M1955" s="11">
        <v>45043.917395833334</v>
      </c>
      <c r="N1955" s="5" t="s">
        <v>42</v>
      </c>
      <c r="O1955" s="5" t="s">
        <v>58</v>
      </c>
      <c r="P1955" s="9"/>
      <c r="Q1955" s="5"/>
      <c r="R1955" s="5"/>
      <c r="S1955" s="5"/>
      <c r="T1955" s="9"/>
      <c r="U1955" s="5"/>
      <c r="V1955" s="5">
        <v>0</v>
      </c>
      <c r="W1955" s="5"/>
      <c r="X1955" s="5"/>
      <c r="Y1955" s="5"/>
      <c r="Z1955" s="5"/>
      <c r="AA1955" s="5" t="s">
        <v>44</v>
      </c>
      <c r="AC1955">
        <f t="shared" si="271"/>
        <v>10</v>
      </c>
      <c r="AD1955" t="str">
        <f t="shared" si="272"/>
        <v/>
      </c>
      <c r="AE1955" t="str">
        <f t="shared" si="273"/>
        <v/>
      </c>
      <c r="AF1955" t="str">
        <f t="shared" si="274"/>
        <v/>
      </c>
      <c r="AG1955" t="str">
        <f t="shared" si="275"/>
        <v/>
      </c>
      <c r="AH1955">
        <f t="shared" si="276"/>
        <v>1</v>
      </c>
      <c r="AI1955" t="str">
        <f t="shared" si="277"/>
        <v/>
      </c>
      <c r="AJ1955" t="str">
        <f t="shared" si="278"/>
        <v/>
      </c>
    </row>
    <row r="1956" spans="1:36">
      <c r="A1956" s="5">
        <v>2377</v>
      </c>
      <c r="B1956" s="5" t="s">
        <v>1129</v>
      </c>
      <c r="C1956" s="10" t="s">
        <v>1122</v>
      </c>
      <c r="D1956" s="5" t="s">
        <v>1123</v>
      </c>
      <c r="E1956" s="5" t="s">
        <v>102</v>
      </c>
      <c r="F1956" s="5" t="str">
        <f t="shared" si="270"/>
        <v>IT-Senior Manager</v>
      </c>
      <c r="G1956" s="5" t="s">
        <v>103</v>
      </c>
      <c r="H1956" s="9">
        <v>45032.917395833334</v>
      </c>
      <c r="I1956" s="9">
        <v>45033.917395833334</v>
      </c>
      <c r="J1956" s="9" t="e">
        <f>I1956+#REF!</f>
        <v>#REF!</v>
      </c>
      <c r="K1956" s="9" t="e">
        <f>J1956+#REF!</f>
        <v>#REF!</v>
      </c>
      <c r="L1956" s="10" t="s">
        <v>41</v>
      </c>
      <c r="M1956" s="11">
        <v>45051.917395833334</v>
      </c>
      <c r="N1956" s="5" t="s">
        <v>42</v>
      </c>
      <c r="O1956" s="5" t="s">
        <v>113</v>
      </c>
      <c r="P1956" s="9"/>
      <c r="Q1956" s="5"/>
      <c r="R1956" s="5"/>
      <c r="S1956" s="5"/>
      <c r="T1956" s="9">
        <v>45054.917395833334</v>
      </c>
      <c r="U1956" s="5"/>
      <c r="V1956" s="5">
        <v>0</v>
      </c>
      <c r="W1956" s="5"/>
      <c r="X1956" s="5"/>
      <c r="Y1956" s="5"/>
      <c r="Z1956" s="5"/>
      <c r="AA1956" s="5" t="s">
        <v>62</v>
      </c>
      <c r="AC1956">
        <f t="shared" si="271"/>
        <v>18</v>
      </c>
      <c r="AD1956" t="str">
        <f t="shared" si="272"/>
        <v/>
      </c>
      <c r="AE1956">
        <f t="shared" si="273"/>
        <v>3</v>
      </c>
      <c r="AF1956" t="str">
        <f t="shared" si="274"/>
        <v/>
      </c>
      <c r="AG1956" t="str">
        <f t="shared" si="275"/>
        <v/>
      </c>
      <c r="AH1956">
        <f t="shared" si="276"/>
        <v>1</v>
      </c>
      <c r="AI1956" t="str">
        <f t="shared" si="277"/>
        <v/>
      </c>
      <c r="AJ1956" t="str">
        <f t="shared" si="278"/>
        <v/>
      </c>
    </row>
    <row r="1957" spans="1:36">
      <c r="A1957" s="5">
        <v>2378</v>
      </c>
      <c r="B1957" s="5" t="s">
        <v>1293</v>
      </c>
      <c r="C1957" s="10" t="s">
        <v>1215</v>
      </c>
      <c r="D1957" s="5" t="s">
        <v>1287</v>
      </c>
      <c r="E1957" s="5" t="s">
        <v>1146</v>
      </c>
      <c r="F1957" s="5" t="str">
        <f t="shared" si="270"/>
        <v>HR-Quality Assurance</v>
      </c>
      <c r="G1957" s="5" t="s">
        <v>47</v>
      </c>
      <c r="H1957" s="9">
        <v>45027.917395833334</v>
      </c>
      <c r="I1957" s="9">
        <v>45031.917395833334</v>
      </c>
      <c r="J1957" s="9" t="e">
        <f>I1957+#REF!</f>
        <v>#REF!</v>
      </c>
      <c r="K1957" s="9" t="e">
        <f>J1957+#REF!</f>
        <v>#REF!</v>
      </c>
      <c r="L1957" s="10" t="s">
        <v>41</v>
      </c>
      <c r="M1957" s="11">
        <v>45047.917395833334</v>
      </c>
      <c r="N1957" s="5" t="s">
        <v>48</v>
      </c>
      <c r="O1957" s="5"/>
      <c r="P1957" s="9">
        <v>45053.917395833334</v>
      </c>
      <c r="Q1957" s="5" t="s">
        <v>48</v>
      </c>
      <c r="R1957" s="5"/>
      <c r="S1957" s="5"/>
      <c r="T1957" s="9">
        <v>45049.917395833334</v>
      </c>
      <c r="U1957" s="5"/>
      <c r="V1957" s="5">
        <v>0</v>
      </c>
      <c r="W1957" s="5"/>
      <c r="X1957" s="5"/>
      <c r="Y1957" s="5"/>
      <c r="Z1957" s="5"/>
      <c r="AA1957" s="5"/>
      <c r="AC1957">
        <f t="shared" si="271"/>
        <v>16</v>
      </c>
      <c r="AD1957" t="str">
        <f t="shared" si="272"/>
        <v/>
      </c>
      <c r="AE1957">
        <f t="shared" si="273"/>
        <v>2</v>
      </c>
      <c r="AF1957" t="str">
        <f t="shared" si="274"/>
        <v/>
      </c>
      <c r="AG1957" t="str">
        <f t="shared" si="275"/>
        <v/>
      </c>
      <c r="AH1957">
        <f t="shared" si="276"/>
        <v>4</v>
      </c>
      <c r="AI1957" t="str">
        <f t="shared" si="277"/>
        <v/>
      </c>
      <c r="AJ1957" t="str">
        <f t="shared" si="278"/>
        <v/>
      </c>
    </row>
    <row r="1958" spans="1:36">
      <c r="A1958" s="5">
        <v>2381</v>
      </c>
      <c r="B1958" s="5" t="s">
        <v>416</v>
      </c>
      <c r="C1958" s="5" t="s">
        <v>100</v>
      </c>
      <c r="D1958" s="5" t="s">
        <v>387</v>
      </c>
      <c r="E1958" s="5" t="s">
        <v>388</v>
      </c>
      <c r="F1958" s="5" t="str">
        <f t="shared" si="270"/>
        <v>Program Office-Extension Officer</v>
      </c>
      <c r="G1958" s="5" t="s">
        <v>40</v>
      </c>
      <c r="H1958" s="9">
        <v>45030.529537037037</v>
      </c>
      <c r="I1958" s="9">
        <v>45031.529537037037</v>
      </c>
      <c r="J1958" s="9" t="e">
        <f>I1958+#REF!</f>
        <v>#REF!</v>
      </c>
      <c r="K1958" s="9" t="e">
        <f>J1958+#REF!</f>
        <v>#REF!</v>
      </c>
      <c r="L1958" s="10" t="s">
        <v>41</v>
      </c>
      <c r="M1958" s="11">
        <v>45049.529537037037</v>
      </c>
      <c r="N1958" s="5" t="s">
        <v>64</v>
      </c>
      <c r="O1958" s="5"/>
      <c r="P1958" s="9">
        <v>45054.529537037037</v>
      </c>
      <c r="Q1958" s="5" t="s">
        <v>64</v>
      </c>
      <c r="R1958" s="9">
        <v>45050.529537037037</v>
      </c>
      <c r="S1958" s="9">
        <v>45054.529537037037</v>
      </c>
      <c r="T1958" s="9">
        <v>45050.529537037037</v>
      </c>
      <c r="U1958" s="9">
        <v>45060.529537037037</v>
      </c>
      <c r="V1958" s="12">
        <v>1</v>
      </c>
      <c r="W1958" s="9">
        <v>45062.529537037037</v>
      </c>
      <c r="X1958" s="9">
        <v>45065.529537037037</v>
      </c>
      <c r="Y1958" s="9">
        <v>45068.529537037037</v>
      </c>
      <c r="Z1958" s="5"/>
      <c r="AA1958" s="5"/>
      <c r="AB1958" s="13">
        <v>45076.529537037037</v>
      </c>
      <c r="AC1958">
        <f t="shared" si="271"/>
        <v>18</v>
      </c>
      <c r="AD1958">
        <f t="shared" si="272"/>
        <v>23</v>
      </c>
      <c r="AE1958">
        <f t="shared" si="273"/>
        <v>1</v>
      </c>
      <c r="AF1958">
        <f t="shared" si="274"/>
        <v>5</v>
      </c>
      <c r="AG1958">
        <f t="shared" si="275"/>
        <v>2</v>
      </c>
      <c r="AH1958">
        <f t="shared" si="276"/>
        <v>1</v>
      </c>
      <c r="AI1958" t="str">
        <f t="shared" si="277"/>
        <v/>
      </c>
      <c r="AJ1958" t="str">
        <f t="shared" si="278"/>
        <v/>
      </c>
    </row>
    <row r="1959" spans="1:36">
      <c r="A1959" s="5">
        <v>2382</v>
      </c>
      <c r="B1959" s="5" t="s">
        <v>586</v>
      </c>
      <c r="C1959" s="5" t="s">
        <v>100</v>
      </c>
      <c r="D1959" s="5" t="s">
        <v>554</v>
      </c>
      <c r="E1959" s="5" t="s">
        <v>39</v>
      </c>
      <c r="F1959" s="5" t="str">
        <f t="shared" si="270"/>
        <v>Program Office-Analyst</v>
      </c>
      <c r="G1959" s="5" t="s">
        <v>47</v>
      </c>
      <c r="H1959" s="9">
        <v>45030.529537037037</v>
      </c>
      <c r="I1959" s="9">
        <v>45034.529537037037</v>
      </c>
      <c r="J1959" s="9" t="e">
        <f>I1959+#REF!</f>
        <v>#REF!</v>
      </c>
      <c r="K1959" s="9" t="e">
        <f>J1959+#REF!</f>
        <v>#REF!</v>
      </c>
      <c r="L1959" s="10" t="s">
        <v>41</v>
      </c>
      <c r="M1959" s="11">
        <v>45044.529537037037</v>
      </c>
      <c r="N1959" s="5" t="s">
        <v>42</v>
      </c>
      <c r="O1959" s="5" t="s">
        <v>113</v>
      </c>
      <c r="P1959" s="9"/>
      <c r="Q1959" s="5"/>
      <c r="R1959" s="5"/>
      <c r="S1959" s="5"/>
      <c r="T1959" s="9"/>
      <c r="U1959" s="5"/>
      <c r="V1959" s="5">
        <v>0</v>
      </c>
      <c r="W1959" s="5"/>
      <c r="X1959" s="5"/>
      <c r="Y1959" s="5"/>
      <c r="Z1959" s="5"/>
      <c r="AA1959" s="5" t="s">
        <v>62</v>
      </c>
      <c r="AC1959">
        <f t="shared" si="271"/>
        <v>10</v>
      </c>
      <c r="AD1959" t="str">
        <f t="shared" si="272"/>
        <v/>
      </c>
      <c r="AE1959" t="str">
        <f t="shared" si="273"/>
        <v/>
      </c>
      <c r="AF1959" t="str">
        <f t="shared" si="274"/>
        <v/>
      </c>
      <c r="AG1959" t="str">
        <f t="shared" si="275"/>
        <v/>
      </c>
      <c r="AH1959">
        <f t="shared" si="276"/>
        <v>4</v>
      </c>
      <c r="AI1959" t="str">
        <f t="shared" si="277"/>
        <v/>
      </c>
      <c r="AJ1959" t="str">
        <f t="shared" si="278"/>
        <v/>
      </c>
    </row>
    <row r="1960" spans="1:36">
      <c r="A1960" s="5">
        <v>2383</v>
      </c>
      <c r="B1960" s="5" t="s">
        <v>172</v>
      </c>
      <c r="C1960" s="5" t="s">
        <v>100</v>
      </c>
      <c r="D1960" s="5" t="s">
        <v>146</v>
      </c>
      <c r="E1960" s="5" t="s">
        <v>39</v>
      </c>
      <c r="F1960" s="5" t="str">
        <f t="shared" si="270"/>
        <v>Program Office-Analyst</v>
      </c>
      <c r="G1960" s="5" t="s">
        <v>147</v>
      </c>
      <c r="H1960" s="9">
        <v>45031.529537037037</v>
      </c>
      <c r="I1960" s="9">
        <v>45034.529537037037</v>
      </c>
      <c r="J1960" s="9" t="e">
        <f>I1960+#REF!</f>
        <v>#REF!</v>
      </c>
      <c r="K1960" s="9" t="e">
        <f>J1960+#REF!</f>
        <v>#REF!</v>
      </c>
      <c r="L1960" s="10" t="s">
        <v>41</v>
      </c>
      <c r="M1960" s="11">
        <v>45050.529537037037</v>
      </c>
      <c r="N1960" s="5" t="s">
        <v>64</v>
      </c>
      <c r="O1960" s="5"/>
      <c r="P1960" s="9">
        <v>45054.529537037037</v>
      </c>
      <c r="Q1960" s="5" t="s">
        <v>64</v>
      </c>
      <c r="R1960" s="9">
        <v>45051.529537037037</v>
      </c>
      <c r="S1960" s="9">
        <v>45055.529537037037</v>
      </c>
      <c r="T1960" s="9">
        <v>45051.529537037037</v>
      </c>
      <c r="U1960" s="9">
        <v>45056.529537037037</v>
      </c>
      <c r="V1960" s="12">
        <v>1</v>
      </c>
      <c r="W1960" s="9">
        <v>45059.529537037037</v>
      </c>
      <c r="X1960" s="9">
        <v>45061.529537037037</v>
      </c>
      <c r="Y1960" s="9">
        <v>45062.529537037037</v>
      </c>
      <c r="Z1960" s="5"/>
      <c r="AA1960" s="5"/>
      <c r="AB1960" s="13">
        <v>45081.529537037037</v>
      </c>
      <c r="AC1960">
        <f t="shared" si="271"/>
        <v>16</v>
      </c>
      <c r="AD1960">
        <f t="shared" si="272"/>
        <v>21</v>
      </c>
      <c r="AE1960">
        <f t="shared" si="273"/>
        <v>1</v>
      </c>
      <c r="AF1960">
        <f t="shared" si="274"/>
        <v>5</v>
      </c>
      <c r="AG1960">
        <f t="shared" si="275"/>
        <v>3</v>
      </c>
      <c r="AH1960">
        <f t="shared" si="276"/>
        <v>3</v>
      </c>
      <c r="AI1960" t="str">
        <f t="shared" si="277"/>
        <v/>
      </c>
      <c r="AJ1960" t="str">
        <f t="shared" si="278"/>
        <v/>
      </c>
    </row>
    <row r="1961" spans="1:36">
      <c r="A1961" s="5">
        <v>2384</v>
      </c>
      <c r="B1961" s="5" t="s">
        <v>171</v>
      </c>
      <c r="C1961" s="5" t="s">
        <v>100</v>
      </c>
      <c r="D1961" s="5" t="s">
        <v>146</v>
      </c>
      <c r="E1961" s="5" t="s">
        <v>39</v>
      </c>
      <c r="F1961" s="5" t="str">
        <f t="shared" si="270"/>
        <v>Program Office-Analyst</v>
      </c>
      <c r="G1961" s="5" t="s">
        <v>147</v>
      </c>
      <c r="H1961" s="9">
        <v>45029.529537037037</v>
      </c>
      <c r="I1961" s="9">
        <v>45033.529537037037</v>
      </c>
      <c r="J1961" s="9" t="e">
        <f>I1961+#REF!</f>
        <v>#REF!</v>
      </c>
      <c r="K1961" s="9" t="e">
        <f>J1961+#REF!</f>
        <v>#REF!</v>
      </c>
      <c r="L1961" s="10" t="s">
        <v>41</v>
      </c>
      <c r="M1961" s="11">
        <v>45050.529537037037</v>
      </c>
      <c r="N1961" s="5" t="s">
        <v>42</v>
      </c>
      <c r="O1961" s="5" t="s">
        <v>113</v>
      </c>
      <c r="P1961" s="9"/>
      <c r="Q1961" s="5"/>
      <c r="R1961" s="5"/>
      <c r="S1961" s="5"/>
      <c r="T1961" s="9">
        <v>45053.529537037037</v>
      </c>
      <c r="U1961" s="5"/>
      <c r="V1961" s="5">
        <v>0</v>
      </c>
      <c r="W1961" s="5"/>
      <c r="X1961" s="5"/>
      <c r="Y1961" s="5"/>
      <c r="Z1961" s="5"/>
      <c r="AA1961" s="5" t="s">
        <v>62</v>
      </c>
      <c r="AC1961">
        <f t="shared" si="271"/>
        <v>17</v>
      </c>
      <c r="AD1961" t="str">
        <f t="shared" si="272"/>
        <v/>
      </c>
      <c r="AE1961">
        <f t="shared" si="273"/>
        <v>3</v>
      </c>
      <c r="AF1961" t="str">
        <f t="shared" si="274"/>
        <v/>
      </c>
      <c r="AG1961" t="str">
        <f t="shared" si="275"/>
        <v/>
      </c>
      <c r="AH1961">
        <f t="shared" si="276"/>
        <v>4</v>
      </c>
      <c r="AI1961" t="str">
        <f t="shared" si="277"/>
        <v/>
      </c>
      <c r="AJ1961" t="str">
        <f t="shared" si="278"/>
        <v/>
      </c>
    </row>
    <row r="1962" spans="1:36">
      <c r="A1962" s="5">
        <v>2385</v>
      </c>
      <c r="B1962" s="5" t="s">
        <v>415</v>
      </c>
      <c r="C1962" s="5" t="s">
        <v>100</v>
      </c>
      <c r="D1962" s="5" t="s">
        <v>387</v>
      </c>
      <c r="E1962" s="5" t="s">
        <v>388</v>
      </c>
      <c r="F1962" s="5" t="str">
        <f t="shared" si="270"/>
        <v>Program Office-Extension Officer</v>
      </c>
      <c r="G1962" s="5" t="s">
        <v>40</v>
      </c>
      <c r="H1962" s="9">
        <v>45032.529537037037</v>
      </c>
      <c r="I1962" s="9">
        <v>45033.529537037037</v>
      </c>
      <c r="J1962" s="9" t="e">
        <f>I1962+#REF!</f>
        <v>#REF!</v>
      </c>
      <c r="K1962" s="9" t="e">
        <f>J1962+#REF!</f>
        <v>#REF!</v>
      </c>
      <c r="L1962" s="10" t="s">
        <v>41</v>
      </c>
      <c r="M1962" s="11">
        <v>45039.529537037037</v>
      </c>
      <c r="N1962" s="5" t="s">
        <v>42</v>
      </c>
      <c r="O1962" s="5" t="s">
        <v>73</v>
      </c>
      <c r="P1962" s="9"/>
      <c r="Q1962" s="5"/>
      <c r="R1962" s="5"/>
      <c r="S1962" s="5"/>
      <c r="T1962" s="9"/>
      <c r="U1962" s="5"/>
      <c r="V1962" s="5">
        <v>0</v>
      </c>
      <c r="W1962" s="5"/>
      <c r="X1962" s="5"/>
      <c r="Y1962" s="5"/>
      <c r="Z1962" s="5"/>
      <c r="AA1962" s="5" t="s">
        <v>62</v>
      </c>
      <c r="AC1962">
        <f t="shared" si="271"/>
        <v>6</v>
      </c>
      <c r="AD1962" t="str">
        <f t="shared" si="272"/>
        <v/>
      </c>
      <c r="AE1962" t="str">
        <f t="shared" si="273"/>
        <v/>
      </c>
      <c r="AF1962" t="str">
        <f t="shared" si="274"/>
        <v/>
      </c>
      <c r="AG1962" t="str">
        <f t="shared" si="275"/>
        <v/>
      </c>
      <c r="AH1962">
        <f t="shared" si="276"/>
        <v>1</v>
      </c>
      <c r="AI1962" t="str">
        <f t="shared" si="277"/>
        <v/>
      </c>
      <c r="AJ1962" t="str">
        <f t="shared" si="278"/>
        <v/>
      </c>
    </row>
    <row r="1963" spans="1:36">
      <c r="A1963" s="5">
        <v>2388</v>
      </c>
      <c r="B1963" s="5" t="s">
        <v>287</v>
      </c>
      <c r="C1963" s="5" t="s">
        <v>100</v>
      </c>
      <c r="D1963" s="5" t="s">
        <v>268</v>
      </c>
      <c r="E1963" s="5" t="s">
        <v>269</v>
      </c>
      <c r="F1963" s="5" t="str">
        <f t="shared" si="270"/>
        <v>Program Office-Manager</v>
      </c>
      <c r="G1963" s="5" t="s">
        <v>270</v>
      </c>
      <c r="H1963" s="9">
        <v>45029.529537037037</v>
      </c>
      <c r="I1963" s="9">
        <v>45033.529537037037</v>
      </c>
      <c r="J1963" s="9" t="e">
        <f>I1963+#REF!</f>
        <v>#REF!</v>
      </c>
      <c r="K1963" s="9" t="e">
        <f>J1963+#REF!</f>
        <v>#REF!</v>
      </c>
      <c r="L1963" s="10" t="s">
        <v>41</v>
      </c>
      <c r="M1963" s="11">
        <v>45046.529537037037</v>
      </c>
      <c r="N1963" s="5" t="s">
        <v>42</v>
      </c>
      <c r="O1963" s="5" t="s">
        <v>98</v>
      </c>
      <c r="P1963" s="9"/>
      <c r="Q1963" s="5"/>
      <c r="R1963" s="5"/>
      <c r="S1963" s="5"/>
      <c r="T1963" s="9">
        <v>45050.529537037037</v>
      </c>
      <c r="U1963" s="5"/>
      <c r="V1963" s="5">
        <v>0</v>
      </c>
      <c r="W1963" s="5"/>
      <c r="X1963" s="5"/>
      <c r="Y1963" s="5"/>
      <c r="Z1963" s="5"/>
      <c r="AA1963" s="5" t="s">
        <v>62</v>
      </c>
      <c r="AC1963">
        <f t="shared" si="271"/>
        <v>13</v>
      </c>
      <c r="AD1963" t="str">
        <f t="shared" si="272"/>
        <v/>
      </c>
      <c r="AE1963">
        <f t="shared" si="273"/>
        <v>4</v>
      </c>
      <c r="AF1963" t="str">
        <f t="shared" si="274"/>
        <v/>
      </c>
      <c r="AG1963" t="str">
        <f t="shared" si="275"/>
        <v/>
      </c>
      <c r="AH1963">
        <f t="shared" si="276"/>
        <v>4</v>
      </c>
      <c r="AI1963" t="str">
        <f t="shared" si="277"/>
        <v/>
      </c>
      <c r="AJ1963" t="str">
        <f t="shared" si="278"/>
        <v/>
      </c>
    </row>
    <row r="1964" spans="1:36">
      <c r="A1964" s="5">
        <v>2389</v>
      </c>
      <c r="B1964" s="5" t="s">
        <v>414</v>
      </c>
      <c r="C1964" s="5" t="s">
        <v>100</v>
      </c>
      <c r="D1964" s="5" t="s">
        <v>387</v>
      </c>
      <c r="E1964" s="5" t="s">
        <v>388</v>
      </c>
      <c r="F1964" s="5" t="str">
        <f t="shared" si="270"/>
        <v>Program Office-Extension Officer</v>
      </c>
      <c r="G1964" s="5" t="s">
        <v>40</v>
      </c>
      <c r="H1964" s="9">
        <v>45032.529537037037</v>
      </c>
      <c r="I1964" s="9">
        <v>45033.529537037037</v>
      </c>
      <c r="J1964" s="9" t="e">
        <f>I1964+#REF!</f>
        <v>#REF!</v>
      </c>
      <c r="K1964" s="9" t="e">
        <f>J1964+#REF!</f>
        <v>#REF!</v>
      </c>
      <c r="L1964" s="10" t="s">
        <v>41</v>
      </c>
      <c r="M1964" s="11">
        <v>45044.529537037037</v>
      </c>
      <c r="N1964" s="5" t="s">
        <v>48</v>
      </c>
      <c r="O1964" s="5"/>
      <c r="P1964" s="9">
        <v>45050.529537037037</v>
      </c>
      <c r="Q1964" s="5" t="s">
        <v>48</v>
      </c>
      <c r="R1964" s="5"/>
      <c r="S1964" s="5"/>
      <c r="T1964" s="9">
        <v>45048.529537037037</v>
      </c>
      <c r="U1964" s="5"/>
      <c r="V1964" s="5">
        <v>0</v>
      </c>
      <c r="W1964" s="5"/>
      <c r="X1964" s="5"/>
      <c r="Y1964" s="5"/>
      <c r="Z1964" s="5"/>
      <c r="AA1964" s="5"/>
      <c r="AC1964">
        <f t="shared" si="271"/>
        <v>11</v>
      </c>
      <c r="AD1964" t="str">
        <f t="shared" si="272"/>
        <v/>
      </c>
      <c r="AE1964">
        <f t="shared" si="273"/>
        <v>4</v>
      </c>
      <c r="AF1964" t="str">
        <f t="shared" si="274"/>
        <v/>
      </c>
      <c r="AG1964" t="str">
        <f t="shared" si="275"/>
        <v/>
      </c>
      <c r="AH1964">
        <f t="shared" si="276"/>
        <v>1</v>
      </c>
      <c r="AI1964" t="str">
        <f t="shared" si="277"/>
        <v/>
      </c>
      <c r="AJ1964" t="str">
        <f t="shared" si="278"/>
        <v/>
      </c>
    </row>
    <row r="1965" spans="1:36">
      <c r="A1965" s="5">
        <v>2391</v>
      </c>
      <c r="B1965" s="5" t="s">
        <v>1383</v>
      </c>
      <c r="C1965" s="5" t="s">
        <v>1332</v>
      </c>
      <c r="D1965" s="5" t="s">
        <v>1359</v>
      </c>
      <c r="E1965" s="5" t="s">
        <v>1360</v>
      </c>
      <c r="F1965" s="5" t="str">
        <f t="shared" si="270"/>
        <v>Fundraising-Fund Administrator</v>
      </c>
      <c r="G1965" s="5" t="s">
        <v>147</v>
      </c>
      <c r="H1965" s="9">
        <v>45127.731192129628</v>
      </c>
      <c r="I1965" s="9">
        <v>45129.731192129628</v>
      </c>
      <c r="J1965" s="9" t="e">
        <f>I1965+#REF!</f>
        <v>#REF!</v>
      </c>
      <c r="K1965" s="9" t="e">
        <f>J1965+#REF!</f>
        <v>#REF!</v>
      </c>
      <c r="L1965" s="10" t="s">
        <v>41</v>
      </c>
      <c r="M1965" s="11">
        <v>45147.731192129628</v>
      </c>
      <c r="N1965" s="5" t="s">
        <v>48</v>
      </c>
      <c r="O1965" s="5"/>
      <c r="P1965" s="9">
        <v>45151.731192129628</v>
      </c>
      <c r="Q1965" s="5" t="s">
        <v>48</v>
      </c>
      <c r="R1965" s="5"/>
      <c r="S1965" s="5"/>
      <c r="T1965" s="9">
        <v>45150.731192129628</v>
      </c>
      <c r="U1965" s="5"/>
      <c r="V1965" s="5">
        <v>0</v>
      </c>
      <c r="W1965" s="5"/>
      <c r="X1965" s="5"/>
      <c r="Y1965" s="5"/>
      <c r="Z1965" s="5"/>
      <c r="AA1965" s="5"/>
      <c r="AC1965">
        <f t="shared" si="271"/>
        <v>18</v>
      </c>
      <c r="AD1965" t="str">
        <f t="shared" si="272"/>
        <v/>
      </c>
      <c r="AE1965">
        <f t="shared" si="273"/>
        <v>3</v>
      </c>
      <c r="AF1965" t="str">
        <f t="shared" si="274"/>
        <v/>
      </c>
      <c r="AG1965" t="str">
        <f t="shared" si="275"/>
        <v/>
      </c>
      <c r="AH1965">
        <f t="shared" si="276"/>
        <v>2</v>
      </c>
      <c r="AI1965" t="str">
        <f t="shared" si="277"/>
        <v/>
      </c>
      <c r="AJ1965" t="str">
        <f t="shared" si="278"/>
        <v/>
      </c>
    </row>
    <row r="1966" spans="1:36">
      <c r="A1966" s="5">
        <v>2392</v>
      </c>
      <c r="B1966" s="5" t="s">
        <v>1382</v>
      </c>
      <c r="C1966" s="5" t="s">
        <v>1332</v>
      </c>
      <c r="D1966" s="5" t="s">
        <v>1359</v>
      </c>
      <c r="E1966" s="5" t="s">
        <v>1360</v>
      </c>
      <c r="F1966" s="5" t="str">
        <f t="shared" si="270"/>
        <v>Fundraising-Fund Administrator</v>
      </c>
      <c r="G1966" s="5" t="s">
        <v>147</v>
      </c>
      <c r="H1966" s="9">
        <v>45122.731192129628</v>
      </c>
      <c r="I1966" s="9">
        <v>45125.731192129628</v>
      </c>
      <c r="J1966" s="9" t="e">
        <f>I1966+#REF!</f>
        <v>#REF!</v>
      </c>
      <c r="K1966" s="9" t="e">
        <f>J1966+#REF!</f>
        <v>#REF!</v>
      </c>
      <c r="L1966" s="10" t="s">
        <v>41</v>
      </c>
      <c r="M1966" s="11">
        <v>45143.731192129628</v>
      </c>
      <c r="N1966" s="5" t="s">
        <v>42</v>
      </c>
      <c r="O1966" s="5" t="s">
        <v>113</v>
      </c>
      <c r="P1966" s="9"/>
      <c r="Q1966" s="5"/>
      <c r="R1966" s="5"/>
      <c r="S1966" s="5"/>
      <c r="T1966" s="9"/>
      <c r="U1966" s="5"/>
      <c r="V1966" s="5">
        <v>0</v>
      </c>
      <c r="W1966" s="5"/>
      <c r="X1966" s="5"/>
      <c r="Y1966" s="5"/>
      <c r="Z1966" s="5"/>
      <c r="AA1966" s="5" t="s">
        <v>62</v>
      </c>
      <c r="AC1966">
        <f t="shared" si="271"/>
        <v>18</v>
      </c>
      <c r="AD1966" t="str">
        <f t="shared" si="272"/>
        <v/>
      </c>
      <c r="AE1966" t="str">
        <f t="shared" si="273"/>
        <v/>
      </c>
      <c r="AF1966" t="str">
        <f t="shared" si="274"/>
        <v/>
      </c>
      <c r="AG1966" t="str">
        <f t="shared" si="275"/>
        <v/>
      </c>
      <c r="AH1966">
        <f t="shared" si="276"/>
        <v>3</v>
      </c>
      <c r="AI1966" t="str">
        <f t="shared" si="277"/>
        <v/>
      </c>
      <c r="AJ1966" t="str">
        <f t="shared" si="278"/>
        <v/>
      </c>
    </row>
    <row r="1967" spans="1:36">
      <c r="A1967" s="5">
        <v>2395</v>
      </c>
      <c r="B1967" s="5" t="s">
        <v>2364</v>
      </c>
      <c r="C1967" s="5" t="s">
        <v>2229</v>
      </c>
      <c r="D1967" s="5" t="s">
        <v>2350</v>
      </c>
      <c r="E1967" s="5" t="s">
        <v>2351</v>
      </c>
      <c r="F1967" s="5" t="str">
        <f t="shared" si="270"/>
        <v>Capacity Building-Training Associate</v>
      </c>
      <c r="G1967" s="5" t="s">
        <v>40</v>
      </c>
      <c r="H1967" s="9">
        <v>45125.731192129628</v>
      </c>
      <c r="I1967" s="9">
        <v>45128.731192129628</v>
      </c>
      <c r="J1967" s="9" t="e">
        <f>I1967+#REF!</f>
        <v>#REF!</v>
      </c>
      <c r="K1967" s="9" t="e">
        <f>J1967+#REF!</f>
        <v>#REF!</v>
      </c>
      <c r="L1967" s="10" t="s">
        <v>41</v>
      </c>
      <c r="M1967" s="11">
        <v>45136.731192129628</v>
      </c>
      <c r="N1967" s="5" t="s">
        <v>64</v>
      </c>
      <c r="O1967" s="5"/>
      <c r="P1967" s="9">
        <v>45141.731192129628</v>
      </c>
      <c r="Q1967" s="5" t="s">
        <v>64</v>
      </c>
      <c r="R1967" s="9">
        <v>45138.731192129628</v>
      </c>
      <c r="S1967" s="9">
        <v>45140.731192129628</v>
      </c>
      <c r="T1967" s="9">
        <v>45140.731192129628</v>
      </c>
      <c r="U1967" s="9">
        <v>45146.731192129628</v>
      </c>
      <c r="V1967" s="12">
        <v>1</v>
      </c>
      <c r="W1967" s="9">
        <v>45148.731192129628</v>
      </c>
      <c r="X1967" s="9">
        <v>45150.731192129628</v>
      </c>
      <c r="Y1967" s="9">
        <v>45151.731192129628</v>
      </c>
      <c r="Z1967" s="5"/>
      <c r="AA1967" s="5"/>
      <c r="AB1967" s="13">
        <v>45161.731192129628</v>
      </c>
      <c r="AC1967">
        <f t="shared" si="271"/>
        <v>8</v>
      </c>
      <c r="AD1967">
        <f t="shared" si="272"/>
        <v>12</v>
      </c>
      <c r="AE1967">
        <f t="shared" si="273"/>
        <v>4</v>
      </c>
      <c r="AF1967">
        <f t="shared" si="274"/>
        <v>4</v>
      </c>
      <c r="AG1967">
        <f t="shared" si="275"/>
        <v>2</v>
      </c>
      <c r="AH1967">
        <f t="shared" si="276"/>
        <v>3</v>
      </c>
      <c r="AI1967" t="str">
        <f t="shared" si="277"/>
        <v/>
      </c>
      <c r="AJ1967" t="str">
        <f t="shared" si="278"/>
        <v/>
      </c>
    </row>
    <row r="1968" spans="1:36">
      <c r="A1968" s="5">
        <v>2396</v>
      </c>
      <c r="B1968" s="5" t="s">
        <v>1477</v>
      </c>
      <c r="C1968" s="5" t="s">
        <v>1332</v>
      </c>
      <c r="D1968" s="5" t="s">
        <v>1448</v>
      </c>
      <c r="E1968" s="5" t="s">
        <v>597</v>
      </c>
      <c r="F1968" s="5" t="str">
        <f t="shared" si="270"/>
        <v>Fundraising-Business Partner</v>
      </c>
      <c r="G1968" s="5" t="s">
        <v>40</v>
      </c>
      <c r="H1968" s="9">
        <v>45127.731192129628</v>
      </c>
      <c r="I1968" s="9">
        <v>45129.731192129628</v>
      </c>
      <c r="J1968" s="9" t="e">
        <f>I1968+#REF!</f>
        <v>#REF!</v>
      </c>
      <c r="K1968" s="9" t="e">
        <f>J1968+#REF!</f>
        <v>#REF!</v>
      </c>
      <c r="L1968" s="10" t="s">
        <v>41</v>
      </c>
      <c r="M1968" s="11">
        <v>45144.731192129628</v>
      </c>
      <c r="N1968" s="5" t="s">
        <v>42</v>
      </c>
      <c r="O1968" s="5" t="s">
        <v>113</v>
      </c>
      <c r="P1968" s="9"/>
      <c r="Q1968" s="5"/>
      <c r="R1968" s="5"/>
      <c r="S1968" s="5"/>
      <c r="T1968" s="9"/>
      <c r="U1968" s="5"/>
      <c r="V1968" s="5">
        <v>0</v>
      </c>
      <c r="W1968" s="5"/>
      <c r="X1968" s="5"/>
      <c r="Y1968" s="5"/>
      <c r="Z1968" s="5"/>
      <c r="AA1968" s="5" t="s">
        <v>44</v>
      </c>
      <c r="AC1968">
        <f t="shared" si="271"/>
        <v>15</v>
      </c>
      <c r="AD1968" t="str">
        <f t="shared" si="272"/>
        <v/>
      </c>
      <c r="AE1968" t="str">
        <f t="shared" si="273"/>
        <v/>
      </c>
      <c r="AF1968" t="str">
        <f t="shared" si="274"/>
        <v/>
      </c>
      <c r="AG1968" t="str">
        <f t="shared" si="275"/>
        <v/>
      </c>
      <c r="AH1968">
        <f t="shared" si="276"/>
        <v>2</v>
      </c>
      <c r="AI1968" t="str">
        <f t="shared" si="277"/>
        <v/>
      </c>
      <c r="AJ1968" t="str">
        <f t="shared" si="278"/>
        <v/>
      </c>
    </row>
    <row r="1969" spans="1:36">
      <c r="A1969" s="5">
        <v>2397</v>
      </c>
      <c r="B1969" s="5" t="s">
        <v>1476</v>
      </c>
      <c r="C1969" s="5" t="s">
        <v>1332</v>
      </c>
      <c r="D1969" s="5" t="s">
        <v>1448</v>
      </c>
      <c r="E1969" s="5" t="s">
        <v>597</v>
      </c>
      <c r="F1969" s="5" t="str">
        <f t="shared" si="270"/>
        <v>Fundraising-Business Partner</v>
      </c>
      <c r="G1969" s="5" t="s">
        <v>40</v>
      </c>
      <c r="H1969" s="9">
        <v>45124.731192129628</v>
      </c>
      <c r="I1969" s="9">
        <v>45128.731192129628</v>
      </c>
      <c r="J1969" s="9" t="e">
        <f>I1969+#REF!</f>
        <v>#REF!</v>
      </c>
      <c r="K1969" s="9" t="e">
        <f>J1969+#REF!</f>
        <v>#REF!</v>
      </c>
      <c r="L1969" s="10" t="s">
        <v>41</v>
      </c>
      <c r="M1969" s="11">
        <v>45145.731192129628</v>
      </c>
      <c r="N1969" s="5" t="s">
        <v>42</v>
      </c>
      <c r="O1969" s="5" t="s">
        <v>58</v>
      </c>
      <c r="P1969" s="9"/>
      <c r="Q1969" s="5"/>
      <c r="R1969" s="5"/>
      <c r="S1969" s="5"/>
      <c r="T1969" s="9">
        <v>45146.731192129628</v>
      </c>
      <c r="U1969" s="5"/>
      <c r="V1969" s="5">
        <v>0</v>
      </c>
      <c r="W1969" s="5"/>
      <c r="X1969" s="5"/>
      <c r="Y1969" s="5"/>
      <c r="Z1969" s="5"/>
      <c r="AA1969" s="5" t="s">
        <v>62</v>
      </c>
      <c r="AC1969">
        <f t="shared" si="271"/>
        <v>17</v>
      </c>
      <c r="AD1969" t="str">
        <f t="shared" si="272"/>
        <v/>
      </c>
      <c r="AE1969">
        <f t="shared" si="273"/>
        <v>1</v>
      </c>
      <c r="AF1969" t="str">
        <f t="shared" si="274"/>
        <v/>
      </c>
      <c r="AG1969" t="str">
        <f t="shared" si="275"/>
        <v/>
      </c>
      <c r="AH1969">
        <f t="shared" si="276"/>
        <v>4</v>
      </c>
      <c r="AI1969" t="str">
        <f t="shared" si="277"/>
        <v/>
      </c>
      <c r="AJ1969" t="str">
        <f t="shared" si="278"/>
        <v/>
      </c>
    </row>
    <row r="1970" spans="1:36">
      <c r="A1970" s="5">
        <v>2398</v>
      </c>
      <c r="B1970" s="5" t="s">
        <v>1475</v>
      </c>
      <c r="C1970" s="5" t="s">
        <v>1332</v>
      </c>
      <c r="D1970" s="5" t="s">
        <v>1448</v>
      </c>
      <c r="E1970" s="5" t="s">
        <v>597</v>
      </c>
      <c r="F1970" s="5" t="str">
        <f t="shared" si="270"/>
        <v>Fundraising-Business Partner</v>
      </c>
      <c r="G1970" s="5" t="s">
        <v>40</v>
      </c>
      <c r="H1970" s="9">
        <v>45127.731192129628</v>
      </c>
      <c r="I1970" s="9">
        <v>45129.731192129628</v>
      </c>
      <c r="J1970" s="9" t="e">
        <f>I1970+#REF!</f>
        <v>#REF!</v>
      </c>
      <c r="K1970" s="9" t="e">
        <f>J1970+#REF!</f>
        <v>#REF!</v>
      </c>
      <c r="L1970" s="10" t="s">
        <v>41</v>
      </c>
      <c r="M1970" s="11">
        <v>45143.731192129628</v>
      </c>
      <c r="N1970" s="5" t="s">
        <v>42</v>
      </c>
      <c r="O1970" s="5" t="s">
        <v>43</v>
      </c>
      <c r="P1970" s="9"/>
      <c r="Q1970" s="5"/>
      <c r="R1970" s="5"/>
      <c r="S1970" s="5"/>
      <c r="T1970" s="9">
        <v>45146.731192129628</v>
      </c>
      <c r="U1970" s="5"/>
      <c r="V1970" s="5">
        <v>0</v>
      </c>
      <c r="W1970" s="5"/>
      <c r="X1970" s="5"/>
      <c r="Y1970" s="5"/>
      <c r="Z1970" s="5"/>
      <c r="AA1970" s="5" t="s">
        <v>44</v>
      </c>
      <c r="AC1970">
        <f t="shared" si="271"/>
        <v>14</v>
      </c>
      <c r="AD1970" t="str">
        <f t="shared" si="272"/>
        <v/>
      </c>
      <c r="AE1970">
        <f t="shared" si="273"/>
        <v>3</v>
      </c>
      <c r="AF1970" t="str">
        <f t="shared" si="274"/>
        <v/>
      </c>
      <c r="AG1970" t="str">
        <f t="shared" si="275"/>
        <v/>
      </c>
      <c r="AH1970">
        <f t="shared" si="276"/>
        <v>2</v>
      </c>
      <c r="AI1970" t="str">
        <f t="shared" si="277"/>
        <v/>
      </c>
      <c r="AJ1970" t="str">
        <f t="shared" si="278"/>
        <v/>
      </c>
    </row>
    <row r="1971" spans="1:36">
      <c r="A1971" s="5">
        <v>2399</v>
      </c>
      <c r="B1971" s="5" t="s">
        <v>1424</v>
      </c>
      <c r="C1971" s="5" t="s">
        <v>1332</v>
      </c>
      <c r="D1971" s="5" t="s">
        <v>1413</v>
      </c>
      <c r="E1971" s="5" t="s">
        <v>269</v>
      </c>
      <c r="F1971" s="5" t="str">
        <f t="shared" si="270"/>
        <v>Fundraising-Manager</v>
      </c>
      <c r="G1971" s="5" t="s">
        <v>270</v>
      </c>
      <c r="H1971" s="9">
        <v>45125.731192129628</v>
      </c>
      <c r="I1971" s="9">
        <v>45128.731192129628</v>
      </c>
      <c r="J1971" s="9" t="e">
        <f>I1971+#REF!</f>
        <v>#REF!</v>
      </c>
      <c r="K1971" s="9" t="e">
        <f>J1971+#REF!</f>
        <v>#REF!</v>
      </c>
      <c r="L1971" s="10" t="s">
        <v>41</v>
      </c>
      <c r="M1971" s="11">
        <v>45139.731192129628</v>
      </c>
      <c r="N1971" s="5" t="s">
        <v>48</v>
      </c>
      <c r="O1971" s="5"/>
      <c r="P1971" s="9">
        <v>45145.731192129628</v>
      </c>
      <c r="Q1971" s="5" t="s">
        <v>48</v>
      </c>
      <c r="R1971" s="5"/>
      <c r="S1971" s="5"/>
      <c r="T1971" s="9">
        <v>45141.731192129628</v>
      </c>
      <c r="U1971" s="5"/>
      <c r="V1971" s="5">
        <v>0</v>
      </c>
      <c r="W1971" s="5"/>
      <c r="X1971" s="5"/>
      <c r="Y1971" s="5"/>
      <c r="Z1971" s="5"/>
      <c r="AA1971" s="5"/>
      <c r="AC1971">
        <f t="shared" si="271"/>
        <v>11</v>
      </c>
      <c r="AD1971" t="str">
        <f t="shared" si="272"/>
        <v/>
      </c>
      <c r="AE1971">
        <f t="shared" si="273"/>
        <v>2</v>
      </c>
      <c r="AF1971" t="str">
        <f t="shared" si="274"/>
        <v/>
      </c>
      <c r="AG1971" t="str">
        <f t="shared" si="275"/>
        <v/>
      </c>
      <c r="AH1971">
        <f t="shared" si="276"/>
        <v>3</v>
      </c>
      <c r="AI1971" t="str">
        <f t="shared" si="277"/>
        <v/>
      </c>
      <c r="AJ1971" t="str">
        <f t="shared" si="278"/>
        <v/>
      </c>
    </row>
    <row r="1972" spans="1:36">
      <c r="A1972" s="5">
        <v>2400</v>
      </c>
      <c r="B1972" s="5" t="s">
        <v>1381</v>
      </c>
      <c r="C1972" s="5" t="s">
        <v>1332</v>
      </c>
      <c r="D1972" s="5" t="s">
        <v>1359</v>
      </c>
      <c r="E1972" s="5" t="s">
        <v>1360</v>
      </c>
      <c r="F1972" s="5" t="str">
        <f t="shared" si="270"/>
        <v>Fundraising-Fund Administrator</v>
      </c>
      <c r="G1972" s="5" t="s">
        <v>147</v>
      </c>
      <c r="H1972" s="9">
        <v>45125.731192129628</v>
      </c>
      <c r="I1972" s="9">
        <v>45126.731192129628</v>
      </c>
      <c r="J1972" s="9" t="e">
        <f>I1972+#REF!</f>
        <v>#REF!</v>
      </c>
      <c r="K1972" s="9" t="e">
        <f>J1972+#REF!</f>
        <v>#REF!</v>
      </c>
      <c r="L1972" s="10" t="s">
        <v>41</v>
      </c>
      <c r="M1972" s="11">
        <v>45137.731192129628</v>
      </c>
      <c r="N1972" s="5" t="s">
        <v>42</v>
      </c>
      <c r="O1972" s="5" t="s">
        <v>58</v>
      </c>
      <c r="P1972" s="9"/>
      <c r="Q1972" s="5"/>
      <c r="R1972" s="5"/>
      <c r="S1972" s="5"/>
      <c r="T1972" s="9">
        <v>45139.731192129628</v>
      </c>
      <c r="U1972" s="5"/>
      <c r="V1972" s="5">
        <v>0</v>
      </c>
      <c r="W1972" s="5"/>
      <c r="X1972" s="5"/>
      <c r="Y1972" s="5"/>
      <c r="Z1972" s="5"/>
      <c r="AA1972" s="5" t="s">
        <v>44</v>
      </c>
      <c r="AC1972">
        <f t="shared" si="271"/>
        <v>11</v>
      </c>
      <c r="AD1972" t="str">
        <f t="shared" si="272"/>
        <v/>
      </c>
      <c r="AE1972">
        <f t="shared" si="273"/>
        <v>2</v>
      </c>
      <c r="AF1972" t="str">
        <f t="shared" si="274"/>
        <v/>
      </c>
      <c r="AG1972" t="str">
        <f t="shared" si="275"/>
        <v/>
      </c>
      <c r="AH1972">
        <f t="shared" si="276"/>
        <v>1</v>
      </c>
      <c r="AI1972" t="str">
        <f t="shared" si="277"/>
        <v/>
      </c>
      <c r="AJ1972" t="str">
        <f t="shared" si="278"/>
        <v/>
      </c>
    </row>
    <row r="1973" spans="1:36">
      <c r="A1973" s="5">
        <v>2401</v>
      </c>
      <c r="B1973" s="5" t="s">
        <v>170</v>
      </c>
      <c r="C1973" s="5" t="s">
        <v>100</v>
      </c>
      <c r="D1973" s="5" t="s">
        <v>146</v>
      </c>
      <c r="E1973" s="5" t="s">
        <v>39</v>
      </c>
      <c r="F1973" s="5" t="str">
        <f t="shared" si="270"/>
        <v>Program Office-Analyst</v>
      </c>
      <c r="G1973" s="5" t="s">
        <v>147</v>
      </c>
      <c r="H1973" s="9">
        <v>45016.0859837963</v>
      </c>
      <c r="I1973" s="9">
        <v>45019.0859837963</v>
      </c>
      <c r="J1973" s="9" t="e">
        <f>I1973+#REF!</f>
        <v>#REF!</v>
      </c>
      <c r="K1973" s="9" t="e">
        <f>J1973+#REF!</f>
        <v>#REF!</v>
      </c>
      <c r="L1973" s="10" t="s">
        <v>41</v>
      </c>
      <c r="M1973" s="11">
        <v>45027.0859837963</v>
      </c>
      <c r="N1973" s="5" t="s">
        <v>48</v>
      </c>
      <c r="O1973" s="5"/>
      <c r="P1973" s="9">
        <v>45034.0859837963</v>
      </c>
      <c r="Q1973" s="5" t="s">
        <v>48</v>
      </c>
      <c r="R1973" s="5"/>
      <c r="S1973" s="5"/>
      <c r="T1973" s="9">
        <v>45031.0859837963</v>
      </c>
      <c r="U1973" s="5"/>
      <c r="V1973" s="5">
        <v>0</v>
      </c>
      <c r="W1973" s="5"/>
      <c r="X1973" s="5"/>
      <c r="Y1973" s="5"/>
      <c r="Z1973" s="5"/>
      <c r="AA1973" s="5"/>
      <c r="AC1973">
        <f t="shared" si="271"/>
        <v>8</v>
      </c>
      <c r="AD1973" t="str">
        <f t="shared" si="272"/>
        <v/>
      </c>
      <c r="AE1973">
        <f t="shared" si="273"/>
        <v>4</v>
      </c>
      <c r="AF1973" t="str">
        <f t="shared" si="274"/>
        <v/>
      </c>
      <c r="AG1973" t="str">
        <f t="shared" si="275"/>
        <v/>
      </c>
      <c r="AH1973">
        <f t="shared" si="276"/>
        <v>3</v>
      </c>
      <c r="AI1973" t="str">
        <f t="shared" si="277"/>
        <v/>
      </c>
      <c r="AJ1973" t="str">
        <f t="shared" si="278"/>
        <v/>
      </c>
    </row>
    <row r="1974" spans="1:36">
      <c r="A1974" s="5">
        <v>2402</v>
      </c>
      <c r="B1974" s="5" t="s">
        <v>413</v>
      </c>
      <c r="C1974" s="5" t="s">
        <v>100</v>
      </c>
      <c r="D1974" s="5" t="s">
        <v>387</v>
      </c>
      <c r="E1974" s="5" t="s">
        <v>388</v>
      </c>
      <c r="F1974" s="5" t="str">
        <f t="shared" si="270"/>
        <v>Program Office-Extension Officer</v>
      </c>
      <c r="G1974" s="5" t="s">
        <v>40</v>
      </c>
      <c r="H1974" s="9">
        <v>45015.0859837963</v>
      </c>
      <c r="I1974" s="9">
        <v>45019.0859837963</v>
      </c>
      <c r="J1974" s="9" t="e">
        <f>I1974+#REF!</f>
        <v>#REF!</v>
      </c>
      <c r="K1974" s="9" t="e">
        <f>J1974+#REF!</f>
        <v>#REF!</v>
      </c>
      <c r="L1974" s="10" t="s">
        <v>41</v>
      </c>
      <c r="M1974" s="11">
        <v>45036.0859837963</v>
      </c>
      <c r="N1974" s="5" t="s">
        <v>42</v>
      </c>
      <c r="O1974" s="5" t="s">
        <v>73</v>
      </c>
      <c r="P1974" s="9"/>
      <c r="Q1974" s="5"/>
      <c r="R1974" s="5"/>
      <c r="S1974" s="5"/>
      <c r="T1974" s="9">
        <v>45038.0859837963</v>
      </c>
      <c r="U1974" s="5"/>
      <c r="V1974" s="5">
        <v>0</v>
      </c>
      <c r="W1974" s="5"/>
      <c r="X1974" s="5"/>
      <c r="Y1974" s="5"/>
      <c r="Z1974" s="5"/>
      <c r="AA1974" s="5" t="s">
        <v>44</v>
      </c>
      <c r="AC1974">
        <f t="shared" si="271"/>
        <v>17</v>
      </c>
      <c r="AD1974" t="str">
        <f t="shared" si="272"/>
        <v/>
      </c>
      <c r="AE1974">
        <f t="shared" si="273"/>
        <v>2</v>
      </c>
      <c r="AF1974" t="str">
        <f t="shared" si="274"/>
        <v/>
      </c>
      <c r="AG1974" t="str">
        <f t="shared" si="275"/>
        <v/>
      </c>
      <c r="AH1974">
        <f t="shared" si="276"/>
        <v>4</v>
      </c>
      <c r="AI1974" t="str">
        <f t="shared" si="277"/>
        <v/>
      </c>
      <c r="AJ1974" t="str">
        <f t="shared" si="278"/>
        <v/>
      </c>
    </row>
    <row r="1975" spans="1:36">
      <c r="A1975" s="5">
        <v>2404</v>
      </c>
      <c r="B1975" s="5" t="s">
        <v>585</v>
      </c>
      <c r="C1975" s="5" t="s">
        <v>100</v>
      </c>
      <c r="D1975" s="5" t="s">
        <v>554</v>
      </c>
      <c r="E1975" s="5" t="s">
        <v>39</v>
      </c>
      <c r="F1975" s="5" t="str">
        <f t="shared" si="270"/>
        <v>Program Office-Analyst</v>
      </c>
      <c r="G1975" s="5" t="s">
        <v>47</v>
      </c>
      <c r="H1975" s="9">
        <v>45015.0859837963</v>
      </c>
      <c r="I1975" s="9">
        <v>45016.0859837963</v>
      </c>
      <c r="J1975" s="9" t="e">
        <f>I1975+#REF!</f>
        <v>#REF!</v>
      </c>
      <c r="K1975" s="9" t="e">
        <f>J1975+#REF!</f>
        <v>#REF!</v>
      </c>
      <c r="L1975" s="10" t="s">
        <v>41</v>
      </c>
      <c r="M1975" s="11">
        <v>45036.0859837963</v>
      </c>
      <c r="N1975" s="5" t="s">
        <v>42</v>
      </c>
      <c r="O1975" s="5" t="s">
        <v>43</v>
      </c>
      <c r="P1975" s="9"/>
      <c r="Q1975" s="5"/>
      <c r="R1975" s="5"/>
      <c r="S1975" s="5"/>
      <c r="T1975" s="9">
        <v>45040.0859837963</v>
      </c>
      <c r="U1975" s="5"/>
      <c r="V1975" s="5">
        <v>0</v>
      </c>
      <c r="W1975" s="5"/>
      <c r="X1975" s="5"/>
      <c r="Y1975" s="5"/>
      <c r="Z1975" s="5"/>
      <c r="AA1975" s="5" t="s">
        <v>44</v>
      </c>
      <c r="AC1975">
        <f t="shared" si="271"/>
        <v>20</v>
      </c>
      <c r="AD1975" t="str">
        <f t="shared" si="272"/>
        <v/>
      </c>
      <c r="AE1975">
        <f t="shared" si="273"/>
        <v>4</v>
      </c>
      <c r="AF1975" t="str">
        <f t="shared" si="274"/>
        <v/>
      </c>
      <c r="AG1975" t="str">
        <f t="shared" si="275"/>
        <v/>
      </c>
      <c r="AH1975">
        <f t="shared" si="276"/>
        <v>1</v>
      </c>
      <c r="AI1975" t="str">
        <f t="shared" si="277"/>
        <v/>
      </c>
      <c r="AJ1975" t="str">
        <f t="shared" si="278"/>
        <v/>
      </c>
    </row>
    <row r="1976" spans="1:36">
      <c r="A1976" s="5">
        <v>2405</v>
      </c>
      <c r="B1976" s="5" t="s">
        <v>286</v>
      </c>
      <c r="C1976" s="5" t="s">
        <v>100</v>
      </c>
      <c r="D1976" s="5" t="s">
        <v>268</v>
      </c>
      <c r="E1976" s="5" t="s">
        <v>269</v>
      </c>
      <c r="F1976" s="5" t="str">
        <f t="shared" si="270"/>
        <v>Program Office-Manager</v>
      </c>
      <c r="G1976" s="5" t="s">
        <v>270</v>
      </c>
      <c r="H1976" s="9">
        <v>45015.0859837963</v>
      </c>
      <c r="I1976" s="9">
        <v>45016.0859837963</v>
      </c>
      <c r="J1976" s="9" t="e">
        <f>I1976+#REF!</f>
        <v>#REF!</v>
      </c>
      <c r="K1976" s="9" t="e">
        <f>J1976+#REF!</f>
        <v>#REF!</v>
      </c>
      <c r="L1976" s="10" t="s">
        <v>41</v>
      </c>
      <c r="M1976" s="11">
        <v>45029.0859837963</v>
      </c>
      <c r="N1976" s="5" t="s">
        <v>42</v>
      </c>
      <c r="O1976" s="5" t="s">
        <v>73</v>
      </c>
      <c r="P1976" s="9"/>
      <c r="Q1976" s="5"/>
      <c r="R1976" s="5"/>
      <c r="S1976" s="5"/>
      <c r="T1976" s="9"/>
      <c r="U1976" s="5"/>
      <c r="V1976" s="5">
        <v>0</v>
      </c>
      <c r="W1976" s="5"/>
      <c r="X1976" s="5"/>
      <c r="Y1976" s="5"/>
      <c r="Z1976" s="5"/>
      <c r="AA1976" s="5" t="s">
        <v>62</v>
      </c>
      <c r="AC1976">
        <f t="shared" si="271"/>
        <v>13</v>
      </c>
      <c r="AD1976" t="str">
        <f t="shared" si="272"/>
        <v/>
      </c>
      <c r="AE1976" t="str">
        <f t="shared" si="273"/>
        <v/>
      </c>
      <c r="AF1976" t="str">
        <f t="shared" si="274"/>
        <v/>
      </c>
      <c r="AG1976" t="str">
        <f t="shared" si="275"/>
        <v/>
      </c>
      <c r="AH1976">
        <f t="shared" si="276"/>
        <v>1</v>
      </c>
      <c r="AI1976" t="str">
        <f t="shared" si="277"/>
        <v/>
      </c>
      <c r="AJ1976" t="str">
        <f t="shared" si="278"/>
        <v/>
      </c>
    </row>
    <row r="1977" spans="1:36">
      <c r="A1977" s="5">
        <v>2406</v>
      </c>
      <c r="B1977" s="5" t="s">
        <v>169</v>
      </c>
      <c r="C1977" s="5" t="s">
        <v>100</v>
      </c>
      <c r="D1977" s="5" t="s">
        <v>146</v>
      </c>
      <c r="E1977" s="5" t="s">
        <v>39</v>
      </c>
      <c r="F1977" s="5" t="str">
        <f t="shared" si="270"/>
        <v>Program Office-Analyst</v>
      </c>
      <c r="G1977" s="5" t="s">
        <v>147</v>
      </c>
      <c r="H1977" s="9">
        <v>45014.0859837963</v>
      </c>
      <c r="I1977" s="9">
        <v>45018.0859837963</v>
      </c>
      <c r="J1977" s="9" t="e">
        <f>I1977+#REF!</f>
        <v>#REF!</v>
      </c>
      <c r="K1977" s="9" t="e">
        <f>J1977+#REF!</f>
        <v>#REF!</v>
      </c>
      <c r="L1977" s="10" t="s">
        <v>41</v>
      </c>
      <c r="M1977" s="11">
        <v>45033.0859837963</v>
      </c>
      <c r="N1977" s="5" t="s">
        <v>48</v>
      </c>
      <c r="O1977" s="5"/>
      <c r="P1977" s="9">
        <v>45037.0859837963</v>
      </c>
      <c r="Q1977" s="5" t="s">
        <v>48</v>
      </c>
      <c r="R1977" s="5"/>
      <c r="S1977" s="5"/>
      <c r="T1977" s="9">
        <v>45034.0859837963</v>
      </c>
      <c r="U1977" s="5"/>
      <c r="V1977" s="5">
        <v>0</v>
      </c>
      <c r="W1977" s="5"/>
      <c r="X1977" s="5"/>
      <c r="Y1977" s="5"/>
      <c r="Z1977" s="5"/>
      <c r="AA1977" s="5"/>
      <c r="AC1977">
        <f t="shared" si="271"/>
        <v>15</v>
      </c>
      <c r="AD1977" t="str">
        <f t="shared" si="272"/>
        <v/>
      </c>
      <c r="AE1977">
        <f t="shared" si="273"/>
        <v>1</v>
      </c>
      <c r="AF1977" t="str">
        <f t="shared" si="274"/>
        <v/>
      </c>
      <c r="AG1977" t="str">
        <f t="shared" si="275"/>
        <v/>
      </c>
      <c r="AH1977">
        <f t="shared" si="276"/>
        <v>4</v>
      </c>
      <c r="AI1977" t="str">
        <f t="shared" si="277"/>
        <v/>
      </c>
      <c r="AJ1977" t="str">
        <f t="shared" si="278"/>
        <v/>
      </c>
    </row>
    <row r="1978" spans="1:36">
      <c r="A1978" s="5">
        <v>2407</v>
      </c>
      <c r="B1978" s="5" t="s">
        <v>412</v>
      </c>
      <c r="C1978" s="5" t="s">
        <v>100</v>
      </c>
      <c r="D1978" s="5" t="s">
        <v>387</v>
      </c>
      <c r="E1978" s="5" t="s">
        <v>388</v>
      </c>
      <c r="F1978" s="5" t="str">
        <f t="shared" si="270"/>
        <v>Program Office-Extension Officer</v>
      </c>
      <c r="G1978" s="5" t="s">
        <v>40</v>
      </c>
      <c r="H1978" s="9">
        <v>45013.0859837963</v>
      </c>
      <c r="I1978" s="9">
        <v>45016.0859837963</v>
      </c>
      <c r="J1978" s="9" t="e">
        <f>I1978+#REF!</f>
        <v>#REF!</v>
      </c>
      <c r="K1978" s="9" t="e">
        <f>J1978+#REF!</f>
        <v>#REF!</v>
      </c>
      <c r="L1978" s="10" t="s">
        <v>41</v>
      </c>
      <c r="M1978" s="11">
        <v>45034.0859837963</v>
      </c>
      <c r="N1978" s="5" t="s">
        <v>42</v>
      </c>
      <c r="O1978" s="5" t="s">
        <v>58</v>
      </c>
      <c r="P1978" s="9"/>
      <c r="Q1978" s="5"/>
      <c r="R1978" s="5"/>
      <c r="S1978" s="5"/>
      <c r="T1978" s="9">
        <v>45035.0859837963</v>
      </c>
      <c r="U1978" s="5"/>
      <c r="V1978" s="5">
        <v>0</v>
      </c>
      <c r="W1978" s="5"/>
      <c r="X1978" s="5"/>
      <c r="Y1978" s="5"/>
      <c r="Z1978" s="5"/>
      <c r="AA1978" s="5" t="s">
        <v>62</v>
      </c>
      <c r="AC1978">
        <f t="shared" si="271"/>
        <v>18</v>
      </c>
      <c r="AD1978" t="str">
        <f t="shared" si="272"/>
        <v/>
      </c>
      <c r="AE1978">
        <f t="shared" si="273"/>
        <v>1</v>
      </c>
      <c r="AF1978" t="str">
        <f t="shared" si="274"/>
        <v/>
      </c>
      <c r="AG1978" t="str">
        <f t="shared" si="275"/>
        <v/>
      </c>
      <c r="AH1978">
        <f t="shared" si="276"/>
        <v>3</v>
      </c>
      <c r="AI1978" t="str">
        <f t="shared" si="277"/>
        <v/>
      </c>
      <c r="AJ1978" t="str">
        <f t="shared" si="278"/>
        <v/>
      </c>
    </row>
    <row r="1979" spans="1:36">
      <c r="A1979" s="5">
        <v>2408</v>
      </c>
      <c r="B1979" s="5" t="s">
        <v>584</v>
      </c>
      <c r="C1979" s="5" t="s">
        <v>100</v>
      </c>
      <c r="D1979" s="5" t="s">
        <v>554</v>
      </c>
      <c r="E1979" s="5" t="s">
        <v>39</v>
      </c>
      <c r="F1979" s="5" t="str">
        <f t="shared" si="270"/>
        <v>Program Office-Analyst</v>
      </c>
      <c r="G1979" s="5" t="s">
        <v>47</v>
      </c>
      <c r="H1979" s="9">
        <v>45016.0859837963</v>
      </c>
      <c r="I1979" s="9">
        <v>45019.0859837963</v>
      </c>
      <c r="J1979" s="9" t="e">
        <f>I1979+#REF!</f>
        <v>#REF!</v>
      </c>
      <c r="K1979" s="9" t="e">
        <f>J1979+#REF!</f>
        <v>#REF!</v>
      </c>
      <c r="L1979" s="10" t="s">
        <v>41</v>
      </c>
      <c r="M1979" s="11">
        <v>45035.0859837963</v>
      </c>
      <c r="N1979" s="5" t="s">
        <v>42</v>
      </c>
      <c r="O1979" s="5" t="s">
        <v>43</v>
      </c>
      <c r="P1979" s="9"/>
      <c r="Q1979" s="5"/>
      <c r="R1979" s="5"/>
      <c r="S1979" s="5"/>
      <c r="T1979" s="9"/>
      <c r="U1979" s="5"/>
      <c r="V1979" s="5">
        <v>0</v>
      </c>
      <c r="W1979" s="5"/>
      <c r="X1979" s="5"/>
      <c r="Y1979" s="5"/>
      <c r="Z1979" s="5"/>
      <c r="AA1979" s="5" t="s">
        <v>44</v>
      </c>
      <c r="AC1979">
        <f t="shared" si="271"/>
        <v>16</v>
      </c>
      <c r="AD1979" t="str">
        <f t="shared" si="272"/>
        <v/>
      </c>
      <c r="AE1979" t="str">
        <f t="shared" si="273"/>
        <v/>
      </c>
      <c r="AF1979" t="str">
        <f t="shared" si="274"/>
        <v/>
      </c>
      <c r="AG1979" t="str">
        <f t="shared" si="275"/>
        <v/>
      </c>
      <c r="AH1979">
        <f t="shared" si="276"/>
        <v>3</v>
      </c>
      <c r="AI1979" t="str">
        <f t="shared" si="277"/>
        <v/>
      </c>
      <c r="AJ1979" t="str">
        <f t="shared" si="278"/>
        <v/>
      </c>
    </row>
    <row r="1980" spans="1:36">
      <c r="A1980" s="5">
        <v>2409</v>
      </c>
      <c r="B1980" s="5" t="s">
        <v>411</v>
      </c>
      <c r="C1980" s="5" t="s">
        <v>100</v>
      </c>
      <c r="D1980" s="5" t="s">
        <v>387</v>
      </c>
      <c r="E1980" s="5" t="s">
        <v>388</v>
      </c>
      <c r="F1980" s="5" t="str">
        <f t="shared" si="270"/>
        <v>Program Office-Extension Officer</v>
      </c>
      <c r="G1980" s="5" t="s">
        <v>40</v>
      </c>
      <c r="H1980" s="9">
        <v>45017.0859837963</v>
      </c>
      <c r="I1980" s="9">
        <v>45019.0859837963</v>
      </c>
      <c r="J1980" s="9" t="e">
        <f>I1980+#REF!</f>
        <v>#REF!</v>
      </c>
      <c r="K1980" s="9" t="e">
        <f>J1980+#REF!</f>
        <v>#REF!</v>
      </c>
      <c r="L1980" s="10" t="s">
        <v>41</v>
      </c>
      <c r="M1980" s="11">
        <v>45036.0859837963</v>
      </c>
      <c r="N1980" s="5" t="s">
        <v>48</v>
      </c>
      <c r="O1980" s="5"/>
      <c r="P1980" s="9">
        <v>45041.0859837963</v>
      </c>
      <c r="Q1980" s="5" t="s">
        <v>48</v>
      </c>
      <c r="R1980" s="5"/>
      <c r="S1980" s="5"/>
      <c r="T1980" s="9">
        <v>45038.0859837963</v>
      </c>
      <c r="U1980" s="5"/>
      <c r="V1980" s="5">
        <v>0</v>
      </c>
      <c r="W1980" s="5"/>
      <c r="X1980" s="5"/>
      <c r="Y1980" s="5"/>
      <c r="Z1980" s="5"/>
      <c r="AA1980" s="5"/>
      <c r="AC1980">
        <f t="shared" si="271"/>
        <v>17</v>
      </c>
      <c r="AD1980" t="str">
        <f t="shared" si="272"/>
        <v/>
      </c>
      <c r="AE1980">
        <f t="shared" si="273"/>
        <v>2</v>
      </c>
      <c r="AF1980" t="str">
        <f t="shared" si="274"/>
        <v/>
      </c>
      <c r="AG1980" t="str">
        <f t="shared" si="275"/>
        <v/>
      </c>
      <c r="AH1980">
        <f t="shared" si="276"/>
        <v>2</v>
      </c>
      <c r="AI1980" t="str">
        <f t="shared" si="277"/>
        <v/>
      </c>
      <c r="AJ1980" t="str">
        <f t="shared" si="278"/>
        <v/>
      </c>
    </row>
    <row r="1981" spans="1:36">
      <c r="A1981" s="5">
        <v>2410</v>
      </c>
      <c r="B1981" s="5" t="s">
        <v>285</v>
      </c>
      <c r="C1981" s="5" t="s">
        <v>100</v>
      </c>
      <c r="D1981" s="5" t="s">
        <v>268</v>
      </c>
      <c r="E1981" s="5" t="s">
        <v>269</v>
      </c>
      <c r="F1981" s="5" t="str">
        <f t="shared" si="270"/>
        <v>Program Office-Manager</v>
      </c>
      <c r="G1981" s="5" t="s">
        <v>270</v>
      </c>
      <c r="H1981" s="9">
        <v>45013.0859837963</v>
      </c>
      <c r="I1981" s="9">
        <v>45017.0859837963</v>
      </c>
      <c r="J1981" s="9" t="e">
        <f>I1981+#REF!</f>
        <v>#REF!</v>
      </c>
      <c r="K1981" s="9" t="e">
        <f>J1981+#REF!</f>
        <v>#REF!</v>
      </c>
      <c r="L1981" s="10" t="s">
        <v>41</v>
      </c>
      <c r="M1981" s="11">
        <v>45023.0859837963</v>
      </c>
      <c r="N1981" s="5" t="s">
        <v>42</v>
      </c>
      <c r="O1981" s="5" t="s">
        <v>73</v>
      </c>
      <c r="P1981" s="9"/>
      <c r="Q1981" s="5"/>
      <c r="R1981" s="5"/>
      <c r="S1981" s="5"/>
      <c r="T1981" s="9"/>
      <c r="U1981" s="5"/>
      <c r="V1981" s="5">
        <v>0</v>
      </c>
      <c r="W1981" s="5"/>
      <c r="X1981" s="5"/>
      <c r="Y1981" s="5"/>
      <c r="Z1981" s="5"/>
      <c r="AA1981" s="5" t="s">
        <v>62</v>
      </c>
      <c r="AC1981">
        <f t="shared" si="271"/>
        <v>6</v>
      </c>
      <c r="AD1981" t="str">
        <f t="shared" si="272"/>
        <v/>
      </c>
      <c r="AE1981" t="str">
        <f t="shared" si="273"/>
        <v/>
      </c>
      <c r="AF1981" t="str">
        <f t="shared" si="274"/>
        <v/>
      </c>
      <c r="AG1981" t="str">
        <f t="shared" si="275"/>
        <v/>
      </c>
      <c r="AH1981">
        <f t="shared" si="276"/>
        <v>4</v>
      </c>
      <c r="AI1981" t="str">
        <f t="shared" si="277"/>
        <v/>
      </c>
      <c r="AJ1981" t="str">
        <f t="shared" si="278"/>
        <v/>
      </c>
    </row>
    <row r="1982" spans="1:36">
      <c r="A1982" s="5">
        <v>2411</v>
      </c>
      <c r="B1982" s="5" t="s">
        <v>1195</v>
      </c>
      <c r="C1982" s="10" t="s">
        <v>1122</v>
      </c>
      <c r="D1982" s="5" t="s">
        <v>1191</v>
      </c>
      <c r="E1982" s="5" t="s">
        <v>269</v>
      </c>
      <c r="F1982" s="5" t="str">
        <f t="shared" si="270"/>
        <v>IT-Manager</v>
      </c>
      <c r="G1982" s="5" t="s">
        <v>270</v>
      </c>
      <c r="H1982" s="9">
        <v>45006.608229166668</v>
      </c>
      <c r="I1982" s="9">
        <v>45010.608229166668</v>
      </c>
      <c r="J1982" s="9" t="e">
        <f>I1982+#REF!</f>
        <v>#REF!</v>
      </c>
      <c r="K1982" s="9" t="e">
        <f>J1982+#REF!</f>
        <v>#REF!</v>
      </c>
      <c r="L1982" s="10" t="s">
        <v>41</v>
      </c>
      <c r="M1982" s="11">
        <v>45022.608229166668</v>
      </c>
      <c r="N1982" s="5" t="s">
        <v>48</v>
      </c>
      <c r="O1982" s="5"/>
      <c r="P1982" s="9">
        <v>45027.608229166668</v>
      </c>
      <c r="Q1982" s="5" t="s">
        <v>48</v>
      </c>
      <c r="R1982" s="5"/>
      <c r="S1982" s="5"/>
      <c r="T1982" s="9">
        <v>45023.608229166668</v>
      </c>
      <c r="U1982" s="5"/>
      <c r="V1982" s="5">
        <v>0</v>
      </c>
      <c r="W1982" s="5"/>
      <c r="X1982" s="5"/>
      <c r="Y1982" s="5"/>
      <c r="Z1982" s="5"/>
      <c r="AA1982" s="5"/>
      <c r="AC1982">
        <f t="shared" si="271"/>
        <v>12</v>
      </c>
      <c r="AD1982" t="str">
        <f t="shared" si="272"/>
        <v/>
      </c>
      <c r="AE1982">
        <f t="shared" si="273"/>
        <v>1</v>
      </c>
      <c r="AF1982" t="str">
        <f t="shared" si="274"/>
        <v/>
      </c>
      <c r="AG1982" t="str">
        <f t="shared" si="275"/>
        <v/>
      </c>
      <c r="AH1982">
        <f t="shared" si="276"/>
        <v>4</v>
      </c>
      <c r="AI1982" t="str">
        <f t="shared" si="277"/>
        <v/>
      </c>
      <c r="AJ1982" t="str">
        <f t="shared" si="278"/>
        <v/>
      </c>
    </row>
    <row r="1983" spans="1:36">
      <c r="A1983" s="5">
        <v>2412</v>
      </c>
      <c r="B1983" s="5" t="s">
        <v>1151</v>
      </c>
      <c r="C1983" s="10" t="s">
        <v>1122</v>
      </c>
      <c r="D1983" s="5" t="s">
        <v>1145</v>
      </c>
      <c r="E1983" s="5" t="s">
        <v>1146</v>
      </c>
      <c r="F1983" s="5" t="str">
        <f t="shared" si="270"/>
        <v>IT-Quality Assurance</v>
      </c>
      <c r="G1983" s="5" t="s">
        <v>147</v>
      </c>
      <c r="H1983" s="9">
        <v>45010.608229166668</v>
      </c>
      <c r="I1983" s="9">
        <v>45011.608229166668</v>
      </c>
      <c r="J1983" s="9" t="e">
        <f>I1983+#REF!</f>
        <v>#REF!</v>
      </c>
      <c r="K1983" s="9" t="e">
        <f>J1983+#REF!</f>
        <v>#REF!</v>
      </c>
      <c r="L1983" s="10" t="s">
        <v>41</v>
      </c>
      <c r="M1983" s="11">
        <v>45019.608229166668</v>
      </c>
      <c r="N1983" s="5" t="s">
        <v>48</v>
      </c>
      <c r="O1983" s="5"/>
      <c r="P1983" s="9">
        <v>45027.608229166668</v>
      </c>
      <c r="Q1983" s="5" t="s">
        <v>48</v>
      </c>
      <c r="R1983" s="5"/>
      <c r="S1983" s="5"/>
      <c r="T1983" s="9">
        <v>45023.608229166668</v>
      </c>
      <c r="U1983" s="5"/>
      <c r="V1983" s="5">
        <v>0</v>
      </c>
      <c r="W1983" s="5"/>
      <c r="X1983" s="5"/>
      <c r="Y1983" s="5"/>
      <c r="Z1983" s="5"/>
      <c r="AA1983" s="5"/>
      <c r="AC1983">
        <f t="shared" si="271"/>
        <v>8</v>
      </c>
      <c r="AD1983" t="str">
        <f t="shared" si="272"/>
        <v/>
      </c>
      <c r="AE1983">
        <f t="shared" si="273"/>
        <v>4</v>
      </c>
      <c r="AF1983" t="str">
        <f t="shared" si="274"/>
        <v/>
      </c>
      <c r="AG1983" t="str">
        <f t="shared" si="275"/>
        <v/>
      </c>
      <c r="AH1983">
        <f t="shared" si="276"/>
        <v>1</v>
      </c>
      <c r="AI1983" t="str">
        <f t="shared" si="277"/>
        <v/>
      </c>
      <c r="AJ1983" t="str">
        <f t="shared" si="278"/>
        <v/>
      </c>
    </row>
    <row r="1984" spans="1:36">
      <c r="A1984" s="5">
        <v>2413</v>
      </c>
      <c r="B1984" s="5" t="s">
        <v>748</v>
      </c>
      <c r="C1984" s="10" t="s">
        <v>671</v>
      </c>
      <c r="D1984" s="5" t="s">
        <v>747</v>
      </c>
      <c r="E1984" s="5" t="s">
        <v>55</v>
      </c>
      <c r="F1984" s="5" t="str">
        <f t="shared" si="270"/>
        <v>Operations-Director</v>
      </c>
      <c r="G1984" s="5" t="s">
        <v>47</v>
      </c>
      <c r="H1984" s="9">
        <v>45010.608229166668</v>
      </c>
      <c r="I1984" s="9">
        <v>45011.608229166668</v>
      </c>
      <c r="J1984" s="9" t="e">
        <f>I1984+#REF!</f>
        <v>#REF!</v>
      </c>
      <c r="K1984" s="9" t="e">
        <f>J1984+#REF!</f>
        <v>#REF!</v>
      </c>
      <c r="L1984" s="10" t="s">
        <v>52</v>
      </c>
      <c r="M1984" s="11"/>
      <c r="N1984" s="5"/>
      <c r="O1984" s="5"/>
      <c r="P1984" s="9"/>
      <c r="Q1984" s="5"/>
      <c r="R1984" s="5"/>
      <c r="S1984" s="5"/>
      <c r="T1984" s="9"/>
      <c r="U1984" s="5"/>
      <c r="V1984" s="5">
        <v>0</v>
      </c>
      <c r="W1984" s="5"/>
      <c r="X1984" s="5"/>
      <c r="Y1984" s="5"/>
      <c r="Z1984" s="5"/>
      <c r="AA1984" s="5"/>
      <c r="AC1984" t="str">
        <f t="shared" si="271"/>
        <v/>
      </c>
      <c r="AD1984" t="str">
        <f t="shared" si="272"/>
        <v/>
      </c>
      <c r="AE1984" t="str">
        <f t="shared" si="273"/>
        <v/>
      </c>
      <c r="AF1984" t="str">
        <f t="shared" si="274"/>
        <v/>
      </c>
      <c r="AG1984" t="str">
        <f t="shared" si="275"/>
        <v/>
      </c>
      <c r="AH1984">
        <f t="shared" si="276"/>
        <v>1</v>
      </c>
      <c r="AI1984" t="str">
        <f t="shared" si="277"/>
        <v/>
      </c>
      <c r="AJ1984" t="str">
        <f t="shared" si="278"/>
        <v/>
      </c>
    </row>
    <row r="1985" spans="1:36">
      <c r="A1985" s="5">
        <v>2414</v>
      </c>
      <c r="B1985" s="5" t="s">
        <v>1259</v>
      </c>
      <c r="C1985" s="10" t="s">
        <v>1215</v>
      </c>
      <c r="D1985" s="5" t="s">
        <v>1249</v>
      </c>
      <c r="E1985" s="5" t="s">
        <v>1250</v>
      </c>
      <c r="F1985" s="5" t="str">
        <f t="shared" si="270"/>
        <v>HR-Screening Associate</v>
      </c>
      <c r="G1985" s="5" t="s">
        <v>40</v>
      </c>
      <c r="H1985" s="9">
        <v>45008.608229166668</v>
      </c>
      <c r="I1985" s="9">
        <v>45012.608229166668</v>
      </c>
      <c r="J1985" s="9" t="e">
        <f>I1985+#REF!</f>
        <v>#REF!</v>
      </c>
      <c r="K1985" s="9" t="e">
        <f>J1985+#REF!</f>
        <v>#REF!</v>
      </c>
      <c r="L1985" s="10" t="s">
        <v>41</v>
      </c>
      <c r="M1985" s="11">
        <v>45032.608229166668</v>
      </c>
      <c r="N1985" s="5" t="s">
        <v>42</v>
      </c>
      <c r="O1985" s="5" t="s">
        <v>43</v>
      </c>
      <c r="P1985" s="9"/>
      <c r="Q1985" s="5"/>
      <c r="R1985" s="5"/>
      <c r="S1985" s="5"/>
      <c r="T1985" s="9"/>
      <c r="U1985" s="5"/>
      <c r="V1985" s="5">
        <v>0</v>
      </c>
      <c r="W1985" s="5"/>
      <c r="X1985" s="5"/>
      <c r="Y1985" s="5"/>
      <c r="Z1985" s="5"/>
      <c r="AA1985" s="5" t="s">
        <v>44</v>
      </c>
      <c r="AC1985">
        <f t="shared" si="271"/>
        <v>20</v>
      </c>
      <c r="AD1985" t="str">
        <f t="shared" si="272"/>
        <v/>
      </c>
      <c r="AE1985" t="str">
        <f t="shared" si="273"/>
        <v/>
      </c>
      <c r="AF1985" t="str">
        <f t="shared" si="274"/>
        <v/>
      </c>
      <c r="AG1985" t="str">
        <f t="shared" si="275"/>
        <v/>
      </c>
      <c r="AH1985">
        <f t="shared" si="276"/>
        <v>4</v>
      </c>
      <c r="AI1985" t="str">
        <f t="shared" si="277"/>
        <v/>
      </c>
      <c r="AJ1985" t="str">
        <f t="shared" si="278"/>
        <v/>
      </c>
    </row>
    <row r="1986" spans="1:36">
      <c r="A1986" s="5">
        <v>2415</v>
      </c>
      <c r="B1986" s="5" t="s">
        <v>1150</v>
      </c>
      <c r="C1986" s="10" t="s">
        <v>1122</v>
      </c>
      <c r="D1986" s="5" t="s">
        <v>1145</v>
      </c>
      <c r="E1986" s="5" t="s">
        <v>1146</v>
      </c>
      <c r="F1986" s="5" t="str">
        <f t="shared" ref="F1986:F2049" si="279">_xlfn.CONCAT(C1986,"-",E1986)</f>
        <v>IT-Quality Assurance</v>
      </c>
      <c r="G1986" s="5" t="s">
        <v>147</v>
      </c>
      <c r="H1986" s="9">
        <v>45006.608229166668</v>
      </c>
      <c r="I1986" s="9">
        <v>45010.608229166668</v>
      </c>
      <c r="J1986" s="9" t="e">
        <f>I1986+#REF!</f>
        <v>#REF!</v>
      </c>
      <c r="K1986" s="9" t="e">
        <f>J1986+#REF!</f>
        <v>#REF!</v>
      </c>
      <c r="L1986" s="10" t="s">
        <v>41</v>
      </c>
      <c r="M1986" s="11">
        <v>45027.608229166668</v>
      </c>
      <c r="N1986" s="5" t="s">
        <v>48</v>
      </c>
      <c r="O1986" s="5"/>
      <c r="P1986" s="9">
        <v>45031.608229166668</v>
      </c>
      <c r="Q1986" s="5" t="s">
        <v>48</v>
      </c>
      <c r="R1986" s="5"/>
      <c r="S1986" s="5"/>
      <c r="T1986" s="9">
        <v>45028.608229166668</v>
      </c>
      <c r="U1986" s="5"/>
      <c r="V1986" s="5">
        <v>0</v>
      </c>
      <c r="W1986" s="5"/>
      <c r="X1986" s="5"/>
      <c r="Y1986" s="5"/>
      <c r="Z1986" s="5"/>
      <c r="AA1986" s="5"/>
      <c r="AC1986">
        <f t="shared" ref="AC1986:AC2049" si="280">IF(AND(ISNUMBER(M1986), ISNUMBER(I1986)), M1986 - I1986, "")</f>
        <v>17</v>
      </c>
      <c r="AD1986" t="str">
        <f t="shared" si="272"/>
        <v/>
      </c>
      <c r="AE1986">
        <f t="shared" si="273"/>
        <v>1</v>
      </c>
      <c r="AF1986" t="str">
        <f t="shared" si="274"/>
        <v/>
      </c>
      <c r="AG1986" t="str">
        <f t="shared" si="275"/>
        <v/>
      </c>
      <c r="AH1986">
        <f t="shared" si="276"/>
        <v>4</v>
      </c>
      <c r="AI1986" t="str">
        <f t="shared" si="277"/>
        <v/>
      </c>
      <c r="AJ1986" t="str">
        <f t="shared" si="278"/>
        <v/>
      </c>
    </row>
    <row r="1987" spans="1:36">
      <c r="A1987" s="5">
        <v>2419</v>
      </c>
      <c r="B1987" s="5" t="s">
        <v>1194</v>
      </c>
      <c r="C1987" s="10" t="s">
        <v>1122</v>
      </c>
      <c r="D1987" s="5" t="s">
        <v>1191</v>
      </c>
      <c r="E1987" s="5" t="s">
        <v>269</v>
      </c>
      <c r="F1987" s="5" t="str">
        <f t="shared" si="279"/>
        <v>IT-Manager</v>
      </c>
      <c r="G1987" s="5" t="s">
        <v>270</v>
      </c>
      <c r="H1987" s="9">
        <v>45006.608229166668</v>
      </c>
      <c r="I1987" s="9">
        <v>45009.608229166668</v>
      </c>
      <c r="J1987" s="9" t="e">
        <f>I1987+#REF!</f>
        <v>#REF!</v>
      </c>
      <c r="K1987" s="9" t="e">
        <f>J1987+#REF!</f>
        <v>#REF!</v>
      </c>
      <c r="L1987" s="10" t="s">
        <v>41</v>
      </c>
      <c r="M1987" s="11">
        <v>45019.608229166668</v>
      </c>
      <c r="N1987" s="5" t="s">
        <v>48</v>
      </c>
      <c r="O1987" s="5"/>
      <c r="P1987" s="9">
        <v>45021.608229166668</v>
      </c>
      <c r="Q1987" s="5" t="s">
        <v>48</v>
      </c>
      <c r="R1987" s="5"/>
      <c r="S1987" s="5"/>
      <c r="T1987" s="9">
        <v>45020.608229166668</v>
      </c>
      <c r="U1987" s="5"/>
      <c r="V1987" s="5">
        <v>0</v>
      </c>
      <c r="W1987" s="5"/>
      <c r="X1987" s="5"/>
      <c r="Y1987" s="5"/>
      <c r="Z1987" s="5"/>
      <c r="AA1987" s="5"/>
      <c r="AC1987">
        <f t="shared" si="280"/>
        <v>10</v>
      </c>
      <c r="AD1987" t="str">
        <f t="shared" ref="AD1987:AD2050" si="281">IF(AND(ISNUMBER(S1987), ISNUMBER(I1987)), S1987 - I1987, "")</f>
        <v/>
      </c>
      <c r="AE1987">
        <f t="shared" ref="AE1987:AE2050" si="282">IF(AND(ISNUMBER(T1987), ISNUMBER(M1987)), T1987-M1987, "")</f>
        <v>1</v>
      </c>
      <c r="AF1987" t="str">
        <f t="shared" ref="AF1987:AF2050" si="283">IF(AND(ISNUMBER(X1987), ISNUMBER(U1987)), X1987-U1987,"")</f>
        <v/>
      </c>
      <c r="AG1987" t="str">
        <f t="shared" ref="AG1987:AG2050" si="284">IF(AND(ISNUMBER(W1987), ISNUMBER(U1987)), W1987-U1987, "")</f>
        <v/>
      </c>
      <c r="AH1987">
        <f t="shared" ref="AH1987:AH2050" si="285">IF(AND(ISNUMBER(I1987), ISNUMBER(H1987)), I1987-H1987,"")</f>
        <v>3</v>
      </c>
      <c r="AI1987" t="str">
        <f t="shared" ref="AI1987:AI2050" si="286">IF(AND(ISNUMBER(J1987),ISNUMBER(K1987)),K1987-J1987,"")</f>
        <v/>
      </c>
      <c r="AJ1987" t="str">
        <f t="shared" ref="AJ1987:AJ2050" si="287">IF(AND(ISNUMBER(J1987),ISNUMBER(I1987)), J1987-I1987,"")</f>
        <v/>
      </c>
    </row>
    <row r="1988" spans="1:36">
      <c r="A1988" s="5">
        <v>2423</v>
      </c>
      <c r="B1988" s="5" t="s">
        <v>1514</v>
      </c>
      <c r="C1988" s="5" t="s">
        <v>1332</v>
      </c>
      <c r="D1988" s="5" t="s">
        <v>1500</v>
      </c>
      <c r="E1988" s="5" t="s">
        <v>39</v>
      </c>
      <c r="F1988" s="5" t="str">
        <f t="shared" si="279"/>
        <v>Fundraising-Analyst</v>
      </c>
      <c r="G1988" s="5" t="s">
        <v>47</v>
      </c>
      <c r="H1988" s="9">
        <v>44836.25509259259</v>
      </c>
      <c r="I1988" s="9">
        <v>44838.25509259259</v>
      </c>
      <c r="J1988" s="9" t="e">
        <f>I1988+#REF!</f>
        <v>#REF!</v>
      </c>
      <c r="K1988" s="9" t="e">
        <f>J1988+#REF!</f>
        <v>#REF!</v>
      </c>
      <c r="L1988" s="10" t="s">
        <v>41</v>
      </c>
      <c r="M1988" s="11">
        <v>44847.25509259259</v>
      </c>
      <c r="N1988" s="5" t="s">
        <v>48</v>
      </c>
      <c r="O1988" s="5"/>
      <c r="P1988" s="9">
        <v>44852.25509259259</v>
      </c>
      <c r="Q1988" s="5" t="s">
        <v>48</v>
      </c>
      <c r="R1988" s="5"/>
      <c r="S1988" s="5"/>
      <c r="T1988" s="9">
        <v>44850.25509259259</v>
      </c>
      <c r="U1988" s="5"/>
      <c r="V1988" s="5">
        <v>0</v>
      </c>
      <c r="W1988" s="5"/>
      <c r="X1988" s="5"/>
      <c r="Y1988" s="5"/>
      <c r="Z1988" s="5"/>
      <c r="AA1988" s="5"/>
      <c r="AC1988">
        <f t="shared" si="280"/>
        <v>9</v>
      </c>
      <c r="AD1988" t="str">
        <f t="shared" si="281"/>
        <v/>
      </c>
      <c r="AE1988">
        <f t="shared" si="282"/>
        <v>3</v>
      </c>
      <c r="AF1988" t="str">
        <f t="shared" si="283"/>
        <v/>
      </c>
      <c r="AG1988" t="str">
        <f t="shared" si="284"/>
        <v/>
      </c>
      <c r="AH1988">
        <f t="shared" si="285"/>
        <v>2</v>
      </c>
      <c r="AI1988" t="str">
        <f t="shared" si="286"/>
        <v/>
      </c>
      <c r="AJ1988" t="str">
        <f t="shared" si="287"/>
        <v/>
      </c>
    </row>
    <row r="1989" spans="1:36">
      <c r="A1989" s="5">
        <v>2424</v>
      </c>
      <c r="B1989" s="5" t="s">
        <v>1380</v>
      </c>
      <c r="C1989" s="5" t="s">
        <v>1332</v>
      </c>
      <c r="D1989" s="5" t="s">
        <v>1359</v>
      </c>
      <c r="E1989" s="5" t="s">
        <v>1360</v>
      </c>
      <c r="F1989" s="5" t="str">
        <f t="shared" si="279"/>
        <v>Fundraising-Fund Administrator</v>
      </c>
      <c r="G1989" s="5" t="s">
        <v>147</v>
      </c>
      <c r="H1989" s="9">
        <v>44832.25509259259</v>
      </c>
      <c r="I1989" s="9">
        <v>44835.25509259259</v>
      </c>
      <c r="J1989" s="9" t="e">
        <f>I1989+#REF!</f>
        <v>#REF!</v>
      </c>
      <c r="K1989" s="9" t="e">
        <f>J1989+#REF!</f>
        <v>#REF!</v>
      </c>
      <c r="L1989" s="10" t="s">
        <v>41</v>
      </c>
      <c r="M1989" s="11">
        <v>44850.25509259259</v>
      </c>
      <c r="N1989" s="5" t="s">
        <v>42</v>
      </c>
      <c r="O1989" s="5" t="s">
        <v>113</v>
      </c>
      <c r="P1989" s="9"/>
      <c r="Q1989" s="5"/>
      <c r="R1989" s="5"/>
      <c r="S1989" s="5"/>
      <c r="T1989" s="9"/>
      <c r="U1989" s="5"/>
      <c r="V1989" s="5">
        <v>0</v>
      </c>
      <c r="W1989" s="5"/>
      <c r="X1989" s="5"/>
      <c r="Y1989" s="5"/>
      <c r="Z1989" s="5"/>
      <c r="AA1989" s="5" t="s">
        <v>44</v>
      </c>
      <c r="AC1989">
        <f t="shared" si="280"/>
        <v>15</v>
      </c>
      <c r="AD1989" t="str">
        <f t="shared" si="281"/>
        <v/>
      </c>
      <c r="AE1989" t="str">
        <f t="shared" si="282"/>
        <v/>
      </c>
      <c r="AF1989" t="str">
        <f t="shared" si="283"/>
        <v/>
      </c>
      <c r="AG1989" t="str">
        <f t="shared" si="284"/>
        <v/>
      </c>
      <c r="AH1989">
        <f t="shared" si="285"/>
        <v>3</v>
      </c>
      <c r="AI1989" t="str">
        <f t="shared" si="286"/>
        <v/>
      </c>
      <c r="AJ1989" t="str">
        <f t="shared" si="287"/>
        <v/>
      </c>
    </row>
    <row r="1990" spans="1:36">
      <c r="A1990" s="5">
        <v>2425</v>
      </c>
      <c r="B1990" s="5" t="s">
        <v>2363</v>
      </c>
      <c r="C1990" s="5" t="s">
        <v>2229</v>
      </c>
      <c r="D1990" s="5" t="s">
        <v>2350</v>
      </c>
      <c r="E1990" s="5" t="s">
        <v>2351</v>
      </c>
      <c r="F1990" s="5" t="str">
        <f t="shared" si="279"/>
        <v>Capacity Building-Training Associate</v>
      </c>
      <c r="G1990" s="5" t="s">
        <v>40</v>
      </c>
      <c r="H1990" s="9">
        <v>44832.25509259259</v>
      </c>
      <c r="I1990" s="9">
        <v>44835.25509259259</v>
      </c>
      <c r="J1990" s="9" t="e">
        <f>I1990+#REF!</f>
        <v>#REF!</v>
      </c>
      <c r="K1990" s="9" t="e">
        <f>J1990+#REF!</f>
        <v>#REF!</v>
      </c>
      <c r="L1990" s="10" t="s">
        <v>41</v>
      </c>
      <c r="M1990" s="11">
        <v>44853.25509259259</v>
      </c>
      <c r="N1990" s="5" t="s">
        <v>64</v>
      </c>
      <c r="O1990" s="5"/>
      <c r="P1990" s="9">
        <v>44856.25509259259</v>
      </c>
      <c r="Q1990" s="5" t="s">
        <v>64</v>
      </c>
      <c r="R1990" s="9">
        <v>44855.25509259259</v>
      </c>
      <c r="S1990" s="9">
        <v>44859.25509259259</v>
      </c>
      <c r="T1990" s="9">
        <v>44855.25509259259</v>
      </c>
      <c r="U1990" s="9">
        <v>44864.25509259259</v>
      </c>
      <c r="V1990" s="12">
        <v>1</v>
      </c>
      <c r="W1990" s="9">
        <v>44866.25509259259</v>
      </c>
      <c r="X1990" s="9">
        <v>44868.25509259259</v>
      </c>
      <c r="Y1990" s="9">
        <v>44870.25509259259</v>
      </c>
      <c r="Z1990" s="5"/>
      <c r="AA1990" s="5"/>
      <c r="AB1990" s="13">
        <v>44881.25509259259</v>
      </c>
      <c r="AC1990">
        <f t="shared" si="280"/>
        <v>18</v>
      </c>
      <c r="AD1990">
        <f t="shared" si="281"/>
        <v>24</v>
      </c>
      <c r="AE1990">
        <f t="shared" si="282"/>
        <v>2</v>
      </c>
      <c r="AF1990">
        <f t="shared" si="283"/>
        <v>4</v>
      </c>
      <c r="AG1990">
        <f t="shared" si="284"/>
        <v>2</v>
      </c>
      <c r="AH1990">
        <f t="shared" si="285"/>
        <v>3</v>
      </c>
      <c r="AI1990" t="str">
        <f t="shared" si="286"/>
        <v/>
      </c>
      <c r="AJ1990" t="str">
        <f t="shared" si="287"/>
        <v/>
      </c>
    </row>
    <row r="1991" spans="1:36">
      <c r="A1991" s="5">
        <v>2427</v>
      </c>
      <c r="B1991" s="5" t="s">
        <v>2454</v>
      </c>
      <c r="C1991" s="5" t="s">
        <v>2229</v>
      </c>
      <c r="D1991" s="5" t="s">
        <v>2445</v>
      </c>
      <c r="E1991" s="5" t="s">
        <v>55</v>
      </c>
      <c r="F1991" s="5" t="str">
        <f t="shared" si="279"/>
        <v>Capacity Building-Director</v>
      </c>
      <c r="G1991" s="5" t="s">
        <v>47</v>
      </c>
      <c r="H1991" s="9">
        <v>44839.25509259259</v>
      </c>
      <c r="I1991" s="9">
        <v>44840.25509259259</v>
      </c>
      <c r="J1991" s="9" t="e">
        <f>I1991+#REF!</f>
        <v>#REF!</v>
      </c>
      <c r="K1991" s="9" t="e">
        <f>J1991+#REF!</f>
        <v>#REF!</v>
      </c>
      <c r="L1991" s="10" t="s">
        <v>41</v>
      </c>
      <c r="M1991" s="11">
        <v>44845.25509259259</v>
      </c>
      <c r="N1991" s="5" t="s">
        <v>64</v>
      </c>
      <c r="O1991" s="5"/>
      <c r="P1991" s="9">
        <v>44851.25509259259</v>
      </c>
      <c r="Q1991" s="5" t="s">
        <v>64</v>
      </c>
      <c r="R1991" s="9">
        <v>44847.25509259259</v>
      </c>
      <c r="S1991" s="9">
        <v>44848.25509259259</v>
      </c>
      <c r="T1991" s="9">
        <v>44849.25509259259</v>
      </c>
      <c r="U1991" s="9">
        <v>44850.25509259259</v>
      </c>
      <c r="V1991" s="12">
        <v>1</v>
      </c>
      <c r="W1991" s="9">
        <v>44853.25509259259</v>
      </c>
      <c r="X1991" s="9">
        <v>44856.25509259259</v>
      </c>
      <c r="Y1991" s="9">
        <v>44859.25509259259</v>
      </c>
      <c r="Z1991" s="5"/>
      <c r="AA1991" s="5"/>
      <c r="AB1991" s="13">
        <v>44874.25509259259</v>
      </c>
      <c r="AC1991">
        <f t="shared" si="280"/>
        <v>5</v>
      </c>
      <c r="AD1991">
        <f t="shared" si="281"/>
        <v>8</v>
      </c>
      <c r="AE1991">
        <f t="shared" si="282"/>
        <v>4</v>
      </c>
      <c r="AF1991">
        <f t="shared" si="283"/>
        <v>6</v>
      </c>
      <c r="AG1991">
        <f t="shared" si="284"/>
        <v>3</v>
      </c>
      <c r="AH1991">
        <f t="shared" si="285"/>
        <v>1</v>
      </c>
      <c r="AI1991" t="str">
        <f t="shared" si="286"/>
        <v/>
      </c>
      <c r="AJ1991" t="str">
        <f t="shared" si="287"/>
        <v/>
      </c>
    </row>
    <row r="1992" spans="1:36">
      <c r="A1992" s="5">
        <v>2429</v>
      </c>
      <c r="B1992" s="5" t="s">
        <v>1379</v>
      </c>
      <c r="C1992" s="5" t="s">
        <v>1332</v>
      </c>
      <c r="D1992" s="5" t="s">
        <v>1359</v>
      </c>
      <c r="E1992" s="5" t="s">
        <v>1360</v>
      </c>
      <c r="F1992" s="5" t="str">
        <f t="shared" si="279"/>
        <v>Fundraising-Fund Administrator</v>
      </c>
      <c r="G1992" s="5" t="s">
        <v>147</v>
      </c>
      <c r="H1992" s="9">
        <v>44832.25509259259</v>
      </c>
      <c r="I1992" s="9">
        <v>44835.25509259259</v>
      </c>
      <c r="J1992" s="9" t="e">
        <f>I1992+#REF!</f>
        <v>#REF!</v>
      </c>
      <c r="K1992" s="9" t="e">
        <f>J1992+#REF!</f>
        <v>#REF!</v>
      </c>
      <c r="L1992" s="10" t="s">
        <v>41</v>
      </c>
      <c r="M1992" s="11">
        <v>44848.25509259259</v>
      </c>
      <c r="N1992" s="5" t="s">
        <v>42</v>
      </c>
      <c r="O1992" s="5" t="s">
        <v>98</v>
      </c>
      <c r="P1992" s="9"/>
      <c r="Q1992" s="5"/>
      <c r="R1992" s="5"/>
      <c r="S1992" s="5"/>
      <c r="T1992" s="9">
        <v>44851.25509259259</v>
      </c>
      <c r="U1992" s="5"/>
      <c r="V1992" s="5">
        <v>0</v>
      </c>
      <c r="W1992" s="5"/>
      <c r="X1992" s="5"/>
      <c r="Y1992" s="5"/>
      <c r="Z1992" s="5"/>
      <c r="AA1992" s="5" t="s">
        <v>44</v>
      </c>
      <c r="AC1992">
        <f t="shared" si="280"/>
        <v>13</v>
      </c>
      <c r="AD1992" t="str">
        <f t="shared" si="281"/>
        <v/>
      </c>
      <c r="AE1992">
        <f t="shared" si="282"/>
        <v>3</v>
      </c>
      <c r="AF1992" t="str">
        <f t="shared" si="283"/>
        <v/>
      </c>
      <c r="AG1992" t="str">
        <f t="shared" si="284"/>
        <v/>
      </c>
      <c r="AH1992">
        <f t="shared" si="285"/>
        <v>3</v>
      </c>
      <c r="AI1992" t="str">
        <f t="shared" si="286"/>
        <v/>
      </c>
      <c r="AJ1992" t="str">
        <f t="shared" si="287"/>
        <v/>
      </c>
    </row>
    <row r="1993" spans="1:36">
      <c r="A1993" s="5">
        <v>2430</v>
      </c>
      <c r="B1993" s="5" t="s">
        <v>2453</v>
      </c>
      <c r="C1993" s="5" t="s">
        <v>2229</v>
      </c>
      <c r="D1993" s="5" t="s">
        <v>2445</v>
      </c>
      <c r="E1993" s="5" t="s">
        <v>55</v>
      </c>
      <c r="F1993" s="5" t="str">
        <f t="shared" si="279"/>
        <v>Capacity Building-Director</v>
      </c>
      <c r="G1993" s="5" t="s">
        <v>47</v>
      </c>
      <c r="H1993" s="9">
        <v>44836.25509259259</v>
      </c>
      <c r="I1993" s="9">
        <v>44838.25509259259</v>
      </c>
      <c r="J1993" s="9" t="e">
        <f>I1993+#REF!</f>
        <v>#REF!</v>
      </c>
      <c r="K1993" s="9" t="e">
        <f>J1993+#REF!</f>
        <v>#REF!</v>
      </c>
      <c r="L1993" s="10" t="s">
        <v>41</v>
      </c>
      <c r="M1993" s="11">
        <v>44847.25509259259</v>
      </c>
      <c r="N1993" s="5" t="s">
        <v>64</v>
      </c>
      <c r="O1993" s="5"/>
      <c r="P1993" s="9">
        <v>44852.25509259259</v>
      </c>
      <c r="Q1993" s="5" t="s">
        <v>64</v>
      </c>
      <c r="R1993" s="9">
        <v>44848.25509259259</v>
      </c>
      <c r="S1993" s="9">
        <v>44851.25509259259</v>
      </c>
      <c r="T1993" s="9">
        <v>44851.25509259259</v>
      </c>
      <c r="U1993" s="9">
        <v>44860.25509259259</v>
      </c>
      <c r="V1993" s="12">
        <v>1</v>
      </c>
      <c r="W1993" s="9">
        <v>44862.25509259259</v>
      </c>
      <c r="X1993" s="9">
        <v>44865.25509259259</v>
      </c>
      <c r="Y1993" s="9">
        <v>44868.25509259259</v>
      </c>
      <c r="Z1993" s="5"/>
      <c r="AA1993" s="5"/>
      <c r="AB1993" s="13">
        <v>44882.25509259259</v>
      </c>
      <c r="AC1993">
        <f t="shared" si="280"/>
        <v>9</v>
      </c>
      <c r="AD1993">
        <f t="shared" si="281"/>
        <v>13</v>
      </c>
      <c r="AE1993">
        <f t="shared" si="282"/>
        <v>4</v>
      </c>
      <c r="AF1993">
        <f t="shared" si="283"/>
        <v>5</v>
      </c>
      <c r="AG1993">
        <f t="shared" si="284"/>
        <v>2</v>
      </c>
      <c r="AH1993">
        <f t="shared" si="285"/>
        <v>2</v>
      </c>
      <c r="AI1993" t="str">
        <f t="shared" si="286"/>
        <v/>
      </c>
      <c r="AJ1993" t="str">
        <f t="shared" si="287"/>
        <v/>
      </c>
    </row>
    <row r="1994" spans="1:36">
      <c r="A1994" s="5">
        <v>2432</v>
      </c>
      <c r="B1994" s="5" t="s">
        <v>977</v>
      </c>
      <c r="C1994" s="5" t="s">
        <v>796</v>
      </c>
      <c r="D1994" s="5" t="s">
        <v>957</v>
      </c>
      <c r="E1994" s="5" t="s">
        <v>388</v>
      </c>
      <c r="F1994" s="5" t="str">
        <f t="shared" si="279"/>
        <v>M and E-Extension Officer</v>
      </c>
      <c r="G1994" s="5" t="s">
        <v>40</v>
      </c>
      <c r="H1994" s="9">
        <v>44747.126967592594</v>
      </c>
      <c r="I1994" s="9">
        <v>44748.126967592594</v>
      </c>
      <c r="J1994" s="9" t="e">
        <f>I1994+#REF!</f>
        <v>#REF!</v>
      </c>
      <c r="K1994" s="9" t="e">
        <f>J1994+#REF!</f>
        <v>#REF!</v>
      </c>
      <c r="L1994" s="10" t="s">
        <v>41</v>
      </c>
      <c r="M1994" s="11">
        <v>44754.126967592594</v>
      </c>
      <c r="N1994" s="5" t="s">
        <v>48</v>
      </c>
      <c r="O1994" s="5"/>
      <c r="P1994" s="9">
        <v>44758.126967592594</v>
      </c>
      <c r="Q1994" s="5" t="s">
        <v>48</v>
      </c>
      <c r="R1994" s="5"/>
      <c r="S1994" s="5"/>
      <c r="T1994" s="9">
        <v>44755.126967592594</v>
      </c>
      <c r="U1994" s="5"/>
      <c r="V1994" s="5">
        <v>0</v>
      </c>
      <c r="W1994" s="5"/>
      <c r="X1994" s="5"/>
      <c r="Y1994" s="5"/>
      <c r="Z1994" s="5"/>
      <c r="AA1994" s="5"/>
      <c r="AC1994">
        <f t="shared" si="280"/>
        <v>6</v>
      </c>
      <c r="AD1994" t="str">
        <f t="shared" si="281"/>
        <v/>
      </c>
      <c r="AE1994">
        <f t="shared" si="282"/>
        <v>1</v>
      </c>
      <c r="AF1994" t="str">
        <f t="shared" si="283"/>
        <v/>
      </c>
      <c r="AG1994" t="str">
        <f t="shared" si="284"/>
        <v/>
      </c>
      <c r="AH1994">
        <f t="shared" si="285"/>
        <v>1</v>
      </c>
      <c r="AI1994" t="str">
        <f t="shared" si="286"/>
        <v/>
      </c>
      <c r="AJ1994" t="str">
        <f t="shared" si="287"/>
        <v/>
      </c>
    </row>
    <row r="1995" spans="1:36">
      <c r="A1995" s="5">
        <v>2433</v>
      </c>
      <c r="B1995" s="5" t="s">
        <v>907</v>
      </c>
      <c r="C1995" s="5" t="s">
        <v>796</v>
      </c>
      <c r="D1995" s="5" t="s">
        <v>893</v>
      </c>
      <c r="E1995" s="5" t="s">
        <v>269</v>
      </c>
      <c r="F1995" s="5" t="str">
        <f t="shared" si="279"/>
        <v>M and E-Manager</v>
      </c>
      <c r="G1995" s="5" t="s">
        <v>270</v>
      </c>
      <c r="H1995" s="9">
        <v>44744.126967592594</v>
      </c>
      <c r="I1995" s="9">
        <v>44745.126967592594</v>
      </c>
      <c r="J1995" s="9" t="e">
        <f>I1995+#REF!</f>
        <v>#REF!</v>
      </c>
      <c r="K1995" s="9" t="e">
        <f>J1995+#REF!</f>
        <v>#REF!</v>
      </c>
      <c r="L1995" s="10" t="s">
        <v>41</v>
      </c>
      <c r="M1995" s="11">
        <v>44758.126967592594</v>
      </c>
      <c r="N1995" s="5" t="s">
        <v>42</v>
      </c>
      <c r="O1995" s="5" t="s">
        <v>73</v>
      </c>
      <c r="P1995" s="9"/>
      <c r="Q1995" s="5"/>
      <c r="R1995" s="5"/>
      <c r="S1995" s="5"/>
      <c r="T1995" s="9">
        <v>44762.126967592594</v>
      </c>
      <c r="U1995" s="5"/>
      <c r="V1995" s="5">
        <v>0</v>
      </c>
      <c r="W1995" s="5"/>
      <c r="X1995" s="5"/>
      <c r="Y1995" s="5"/>
      <c r="Z1995" s="5"/>
      <c r="AA1995" s="5" t="s">
        <v>44</v>
      </c>
      <c r="AC1995">
        <f t="shared" si="280"/>
        <v>13</v>
      </c>
      <c r="AD1995" t="str">
        <f t="shared" si="281"/>
        <v/>
      </c>
      <c r="AE1995">
        <f t="shared" si="282"/>
        <v>4</v>
      </c>
      <c r="AF1995" t="str">
        <f t="shared" si="283"/>
        <v/>
      </c>
      <c r="AG1995" t="str">
        <f t="shared" si="284"/>
        <v/>
      </c>
      <c r="AH1995">
        <f t="shared" si="285"/>
        <v>1</v>
      </c>
      <c r="AI1995" t="str">
        <f t="shared" si="286"/>
        <v/>
      </c>
      <c r="AJ1995" t="str">
        <f t="shared" si="287"/>
        <v/>
      </c>
    </row>
    <row r="1996" spans="1:36">
      <c r="A1996" s="5">
        <v>2436</v>
      </c>
      <c r="B1996" s="5" t="s">
        <v>1069</v>
      </c>
      <c r="C1996" s="5" t="s">
        <v>796</v>
      </c>
      <c r="D1996" s="5" t="s">
        <v>1046</v>
      </c>
      <c r="E1996" s="5" t="s">
        <v>473</v>
      </c>
      <c r="F1996" s="5" t="str">
        <f t="shared" si="279"/>
        <v>M and E-Officer</v>
      </c>
      <c r="G1996" s="5" t="s">
        <v>47</v>
      </c>
      <c r="H1996" s="9">
        <v>44742.126967592594</v>
      </c>
      <c r="I1996" s="9">
        <v>44743.126967592594</v>
      </c>
      <c r="J1996" s="9" t="e">
        <f>I1996+#REF!</f>
        <v>#REF!</v>
      </c>
      <c r="K1996" s="9" t="e">
        <f>J1996+#REF!</f>
        <v>#REF!</v>
      </c>
      <c r="L1996" s="10" t="s">
        <v>41</v>
      </c>
      <c r="M1996" s="11">
        <v>44757.126967592594</v>
      </c>
      <c r="N1996" s="5" t="s">
        <v>48</v>
      </c>
      <c r="O1996" s="5"/>
      <c r="P1996" s="9">
        <v>44765.126967592594</v>
      </c>
      <c r="Q1996" s="5" t="s">
        <v>48</v>
      </c>
      <c r="R1996" s="5"/>
      <c r="S1996" s="5"/>
      <c r="T1996" s="9">
        <v>44761.126967592594</v>
      </c>
      <c r="U1996" s="5"/>
      <c r="V1996" s="5">
        <v>0</v>
      </c>
      <c r="W1996" s="5"/>
      <c r="X1996" s="5"/>
      <c r="Y1996" s="5"/>
      <c r="Z1996" s="5"/>
      <c r="AA1996" s="5"/>
      <c r="AC1996">
        <f t="shared" si="280"/>
        <v>14</v>
      </c>
      <c r="AD1996" t="str">
        <f t="shared" si="281"/>
        <v/>
      </c>
      <c r="AE1996">
        <f t="shared" si="282"/>
        <v>4</v>
      </c>
      <c r="AF1996" t="str">
        <f t="shared" si="283"/>
        <v/>
      </c>
      <c r="AG1996" t="str">
        <f t="shared" si="284"/>
        <v/>
      </c>
      <c r="AH1996">
        <f t="shared" si="285"/>
        <v>1</v>
      </c>
      <c r="AI1996" t="str">
        <f t="shared" si="286"/>
        <v/>
      </c>
      <c r="AJ1996" t="str">
        <f t="shared" si="287"/>
        <v/>
      </c>
    </row>
    <row r="1997" spans="1:36">
      <c r="A1997" s="5">
        <v>2437</v>
      </c>
      <c r="B1997" s="5" t="s">
        <v>1068</v>
      </c>
      <c r="C1997" s="5" t="s">
        <v>796</v>
      </c>
      <c r="D1997" s="5" t="s">
        <v>1046</v>
      </c>
      <c r="E1997" s="5" t="s">
        <v>473</v>
      </c>
      <c r="F1997" s="5" t="str">
        <f t="shared" si="279"/>
        <v>M and E-Officer</v>
      </c>
      <c r="G1997" s="5" t="s">
        <v>47</v>
      </c>
      <c r="H1997" s="9">
        <v>44744.126967592594</v>
      </c>
      <c r="I1997" s="9">
        <v>44748.126967592594</v>
      </c>
      <c r="J1997" s="9" t="e">
        <f>I1997+#REF!</f>
        <v>#REF!</v>
      </c>
      <c r="K1997" s="9" t="e">
        <f>J1997+#REF!</f>
        <v>#REF!</v>
      </c>
      <c r="L1997" s="10" t="s">
        <v>41</v>
      </c>
      <c r="M1997" s="11">
        <v>44758.126967592594</v>
      </c>
      <c r="N1997" s="5" t="s">
        <v>48</v>
      </c>
      <c r="O1997" s="5"/>
      <c r="P1997" s="9">
        <v>44761.126967592594</v>
      </c>
      <c r="Q1997" s="5" t="s">
        <v>48</v>
      </c>
      <c r="R1997" s="5"/>
      <c r="S1997" s="5"/>
      <c r="T1997" s="9">
        <v>44759.126967592594</v>
      </c>
      <c r="U1997" s="5"/>
      <c r="V1997" s="5">
        <v>0</v>
      </c>
      <c r="W1997" s="5"/>
      <c r="X1997" s="5"/>
      <c r="Y1997" s="5"/>
      <c r="Z1997" s="5"/>
      <c r="AA1997" s="5"/>
      <c r="AC1997">
        <f t="shared" si="280"/>
        <v>10</v>
      </c>
      <c r="AD1997" t="str">
        <f t="shared" si="281"/>
        <v/>
      </c>
      <c r="AE1997">
        <f t="shared" si="282"/>
        <v>1</v>
      </c>
      <c r="AF1997" t="str">
        <f t="shared" si="283"/>
        <v/>
      </c>
      <c r="AG1997" t="str">
        <f t="shared" si="284"/>
        <v/>
      </c>
      <c r="AH1997">
        <f t="shared" si="285"/>
        <v>4</v>
      </c>
      <c r="AI1997" t="str">
        <f t="shared" si="286"/>
        <v/>
      </c>
      <c r="AJ1997" t="str">
        <f t="shared" si="287"/>
        <v/>
      </c>
    </row>
    <row r="1998" spans="1:36">
      <c r="A1998" s="5">
        <v>2438</v>
      </c>
      <c r="B1998" s="5" t="s">
        <v>1067</v>
      </c>
      <c r="C1998" s="5" t="s">
        <v>796</v>
      </c>
      <c r="D1998" s="5" t="s">
        <v>1046</v>
      </c>
      <c r="E1998" s="5" t="s">
        <v>473</v>
      </c>
      <c r="F1998" s="5" t="str">
        <f t="shared" si="279"/>
        <v>M and E-Officer</v>
      </c>
      <c r="G1998" s="5" t="s">
        <v>47</v>
      </c>
      <c r="H1998" s="9">
        <v>44746.126967592594</v>
      </c>
      <c r="I1998" s="9">
        <v>44747.126967592594</v>
      </c>
      <c r="J1998" s="9" t="e">
        <f>I1998+#REF!</f>
        <v>#REF!</v>
      </c>
      <c r="K1998" s="9" t="e">
        <f>J1998+#REF!</f>
        <v>#REF!</v>
      </c>
      <c r="L1998" s="10" t="s">
        <v>41</v>
      </c>
      <c r="M1998" s="11">
        <v>44755.126967592594</v>
      </c>
      <c r="N1998" s="5" t="s">
        <v>42</v>
      </c>
      <c r="O1998" s="5" t="s">
        <v>98</v>
      </c>
      <c r="P1998" s="9"/>
      <c r="Q1998" s="5"/>
      <c r="R1998" s="5"/>
      <c r="S1998" s="5"/>
      <c r="T1998" s="9"/>
      <c r="U1998" s="5"/>
      <c r="V1998" s="5">
        <v>0</v>
      </c>
      <c r="W1998" s="5"/>
      <c r="X1998" s="5"/>
      <c r="Y1998" s="5"/>
      <c r="Z1998" s="5"/>
      <c r="AA1998" s="5" t="s">
        <v>44</v>
      </c>
      <c r="AC1998">
        <f t="shared" si="280"/>
        <v>8</v>
      </c>
      <c r="AD1998" t="str">
        <f t="shared" si="281"/>
        <v/>
      </c>
      <c r="AE1998" t="str">
        <f t="shared" si="282"/>
        <v/>
      </c>
      <c r="AF1998" t="str">
        <f t="shared" si="283"/>
        <v/>
      </c>
      <c r="AG1998" t="str">
        <f t="shared" si="284"/>
        <v/>
      </c>
      <c r="AH1998">
        <f t="shared" si="285"/>
        <v>1</v>
      </c>
      <c r="AI1998" t="str">
        <f t="shared" si="286"/>
        <v/>
      </c>
      <c r="AJ1998" t="str">
        <f t="shared" si="287"/>
        <v/>
      </c>
    </row>
    <row r="1999" spans="1:36">
      <c r="A1999" s="5">
        <v>2439</v>
      </c>
      <c r="B1999" s="5" t="s">
        <v>1066</v>
      </c>
      <c r="C1999" s="5" t="s">
        <v>796</v>
      </c>
      <c r="D1999" s="5" t="s">
        <v>1046</v>
      </c>
      <c r="E1999" s="5" t="s">
        <v>473</v>
      </c>
      <c r="F1999" s="5" t="str">
        <f t="shared" si="279"/>
        <v>M and E-Officer</v>
      </c>
      <c r="G1999" s="5" t="s">
        <v>47</v>
      </c>
      <c r="H1999" s="9">
        <v>44743.126967592594</v>
      </c>
      <c r="I1999" s="9">
        <v>44745.126967592594</v>
      </c>
      <c r="J1999" s="9" t="e">
        <f>I1999+#REF!</f>
        <v>#REF!</v>
      </c>
      <c r="K1999" s="9" t="e">
        <f>J1999+#REF!</f>
        <v>#REF!</v>
      </c>
      <c r="L1999" s="10" t="s">
        <v>52</v>
      </c>
      <c r="M1999" s="11"/>
      <c r="N1999" s="5"/>
      <c r="O1999" s="5"/>
      <c r="P1999" s="9"/>
      <c r="Q1999" s="5"/>
      <c r="R1999" s="5"/>
      <c r="S1999" s="5"/>
      <c r="T1999" s="9"/>
      <c r="U1999" s="5"/>
      <c r="V1999" s="5">
        <v>0</v>
      </c>
      <c r="W1999" s="5"/>
      <c r="X1999" s="5"/>
      <c r="Y1999" s="5"/>
      <c r="Z1999" s="5"/>
      <c r="AA1999" s="5"/>
      <c r="AC1999" t="str">
        <f t="shared" si="280"/>
        <v/>
      </c>
      <c r="AD1999" t="str">
        <f t="shared" si="281"/>
        <v/>
      </c>
      <c r="AE1999" t="str">
        <f t="shared" si="282"/>
        <v/>
      </c>
      <c r="AF1999" t="str">
        <f t="shared" si="283"/>
        <v/>
      </c>
      <c r="AG1999" t="str">
        <f t="shared" si="284"/>
        <v/>
      </c>
      <c r="AH1999">
        <f t="shared" si="285"/>
        <v>2</v>
      </c>
      <c r="AI1999" t="str">
        <f t="shared" si="286"/>
        <v/>
      </c>
      <c r="AJ1999" t="str">
        <f t="shared" si="287"/>
        <v/>
      </c>
    </row>
    <row r="2000" spans="1:36">
      <c r="A2000" s="5">
        <v>2440</v>
      </c>
      <c r="B2000" s="5" t="s">
        <v>1065</v>
      </c>
      <c r="C2000" s="5" t="s">
        <v>796</v>
      </c>
      <c r="D2000" s="5" t="s">
        <v>1046</v>
      </c>
      <c r="E2000" s="5" t="s">
        <v>473</v>
      </c>
      <c r="F2000" s="5" t="str">
        <f t="shared" si="279"/>
        <v>M and E-Officer</v>
      </c>
      <c r="G2000" s="5" t="s">
        <v>47</v>
      </c>
      <c r="H2000" s="9">
        <v>44746.126967592594</v>
      </c>
      <c r="I2000" s="9">
        <v>44747.126967592594</v>
      </c>
      <c r="J2000" s="9" t="e">
        <f>I2000+#REF!</f>
        <v>#REF!</v>
      </c>
      <c r="K2000" s="9" t="e">
        <f>J2000+#REF!</f>
        <v>#REF!</v>
      </c>
      <c r="L2000" s="10" t="s">
        <v>41</v>
      </c>
      <c r="M2000" s="11">
        <v>44760.126967592594</v>
      </c>
      <c r="N2000" s="5" t="s">
        <v>48</v>
      </c>
      <c r="O2000" s="5"/>
      <c r="P2000" s="9">
        <v>44768.126967592594</v>
      </c>
      <c r="Q2000" s="5" t="s">
        <v>48</v>
      </c>
      <c r="R2000" s="5"/>
      <c r="S2000" s="5"/>
      <c r="T2000" s="9">
        <v>44764.126967592594</v>
      </c>
      <c r="U2000" s="5"/>
      <c r="V2000" s="5">
        <v>0</v>
      </c>
      <c r="W2000" s="5"/>
      <c r="X2000" s="5"/>
      <c r="Y2000" s="5"/>
      <c r="Z2000" s="5"/>
      <c r="AA2000" s="5"/>
      <c r="AC2000">
        <f t="shared" si="280"/>
        <v>13</v>
      </c>
      <c r="AD2000" t="str">
        <f t="shared" si="281"/>
        <v/>
      </c>
      <c r="AE2000">
        <f t="shared" si="282"/>
        <v>4</v>
      </c>
      <c r="AF2000" t="str">
        <f t="shared" si="283"/>
        <v/>
      </c>
      <c r="AG2000" t="str">
        <f t="shared" si="284"/>
        <v/>
      </c>
      <c r="AH2000">
        <f t="shared" si="285"/>
        <v>1</v>
      </c>
      <c r="AI2000" t="str">
        <f t="shared" si="286"/>
        <v/>
      </c>
      <c r="AJ2000" t="str">
        <f t="shared" si="287"/>
        <v/>
      </c>
    </row>
    <row r="2001" spans="1:36">
      <c r="A2001" s="5">
        <v>2441</v>
      </c>
      <c r="B2001" s="5" t="s">
        <v>410</v>
      </c>
      <c r="C2001" s="5" t="s">
        <v>100</v>
      </c>
      <c r="D2001" s="5" t="s">
        <v>387</v>
      </c>
      <c r="E2001" s="5" t="s">
        <v>388</v>
      </c>
      <c r="F2001" s="5" t="str">
        <f t="shared" si="279"/>
        <v>Program Office-Extension Officer</v>
      </c>
      <c r="G2001" s="5" t="s">
        <v>40</v>
      </c>
      <c r="H2001" s="9">
        <v>44868.772222222222</v>
      </c>
      <c r="I2001" s="9">
        <v>44872.772222222222</v>
      </c>
      <c r="J2001" s="9" t="e">
        <f>I2001+#REF!</f>
        <v>#REF!</v>
      </c>
      <c r="K2001" s="9" t="e">
        <f>J2001+#REF!</f>
        <v>#REF!</v>
      </c>
      <c r="L2001" s="10" t="s">
        <v>41</v>
      </c>
      <c r="M2001" s="11">
        <v>44880.772222222222</v>
      </c>
      <c r="N2001" s="5" t="s">
        <v>42</v>
      </c>
      <c r="O2001" s="5" t="s">
        <v>113</v>
      </c>
      <c r="P2001" s="9"/>
      <c r="Q2001" s="5"/>
      <c r="R2001" s="5"/>
      <c r="S2001" s="5"/>
      <c r="T2001" s="9">
        <v>44883.772222222222</v>
      </c>
      <c r="U2001" s="5"/>
      <c r="V2001" s="5">
        <v>0</v>
      </c>
      <c r="W2001" s="5"/>
      <c r="X2001" s="5"/>
      <c r="Y2001" s="5"/>
      <c r="Z2001" s="5"/>
      <c r="AA2001" s="5" t="s">
        <v>62</v>
      </c>
      <c r="AC2001">
        <f t="shared" si="280"/>
        <v>8</v>
      </c>
      <c r="AD2001" t="str">
        <f t="shared" si="281"/>
        <v/>
      </c>
      <c r="AE2001">
        <f t="shared" si="282"/>
        <v>3</v>
      </c>
      <c r="AF2001" t="str">
        <f t="shared" si="283"/>
        <v/>
      </c>
      <c r="AG2001" t="str">
        <f t="shared" si="284"/>
        <v/>
      </c>
      <c r="AH2001">
        <f t="shared" si="285"/>
        <v>4</v>
      </c>
      <c r="AI2001" t="str">
        <f t="shared" si="286"/>
        <v/>
      </c>
      <c r="AJ2001" t="str">
        <f t="shared" si="287"/>
        <v/>
      </c>
    </row>
    <row r="2002" spans="1:36">
      <c r="A2002" s="5">
        <v>2443</v>
      </c>
      <c r="B2002" s="5" t="s">
        <v>409</v>
      </c>
      <c r="C2002" s="5" t="s">
        <v>100</v>
      </c>
      <c r="D2002" s="5" t="s">
        <v>387</v>
      </c>
      <c r="E2002" s="5" t="s">
        <v>388</v>
      </c>
      <c r="F2002" s="5" t="str">
        <f t="shared" si="279"/>
        <v>Program Office-Extension Officer</v>
      </c>
      <c r="G2002" s="5" t="s">
        <v>40</v>
      </c>
      <c r="H2002" s="9">
        <v>44865.772222222222</v>
      </c>
      <c r="I2002" s="9">
        <v>44869.772222222222</v>
      </c>
      <c r="J2002" s="9" t="e">
        <f>I2002+#REF!</f>
        <v>#REF!</v>
      </c>
      <c r="K2002" s="9" t="e">
        <f>J2002+#REF!</f>
        <v>#REF!</v>
      </c>
      <c r="L2002" s="10" t="s">
        <v>41</v>
      </c>
      <c r="M2002" s="11">
        <v>44879.772222222222</v>
      </c>
      <c r="N2002" s="5" t="s">
        <v>42</v>
      </c>
      <c r="O2002" s="5" t="s">
        <v>43</v>
      </c>
      <c r="P2002" s="9"/>
      <c r="Q2002" s="5"/>
      <c r="R2002" s="5"/>
      <c r="S2002" s="5"/>
      <c r="T2002" s="9">
        <v>44882.772222222222</v>
      </c>
      <c r="U2002" s="5"/>
      <c r="V2002" s="5">
        <v>0</v>
      </c>
      <c r="W2002" s="5"/>
      <c r="X2002" s="5"/>
      <c r="Y2002" s="5"/>
      <c r="Z2002" s="5"/>
      <c r="AA2002" s="5" t="s">
        <v>62</v>
      </c>
      <c r="AC2002">
        <f t="shared" si="280"/>
        <v>10</v>
      </c>
      <c r="AD2002" t="str">
        <f t="shared" si="281"/>
        <v/>
      </c>
      <c r="AE2002">
        <f t="shared" si="282"/>
        <v>3</v>
      </c>
      <c r="AF2002" t="str">
        <f t="shared" si="283"/>
        <v/>
      </c>
      <c r="AG2002" t="str">
        <f t="shared" si="284"/>
        <v/>
      </c>
      <c r="AH2002">
        <f t="shared" si="285"/>
        <v>4</v>
      </c>
      <c r="AI2002" t="str">
        <f t="shared" si="286"/>
        <v/>
      </c>
      <c r="AJ2002" t="str">
        <f t="shared" si="287"/>
        <v/>
      </c>
    </row>
    <row r="2003" spans="1:36">
      <c r="A2003" s="5">
        <v>2444</v>
      </c>
      <c r="B2003" s="5" t="s">
        <v>284</v>
      </c>
      <c r="C2003" s="5" t="s">
        <v>100</v>
      </c>
      <c r="D2003" s="5" t="s">
        <v>268</v>
      </c>
      <c r="E2003" s="5" t="s">
        <v>269</v>
      </c>
      <c r="F2003" s="5" t="str">
        <f t="shared" si="279"/>
        <v>Program Office-Manager</v>
      </c>
      <c r="G2003" s="5" t="s">
        <v>270</v>
      </c>
      <c r="H2003" s="9">
        <v>44868.772222222222</v>
      </c>
      <c r="I2003" s="9">
        <v>44869.772222222222</v>
      </c>
      <c r="J2003" s="9" t="e">
        <f>I2003+#REF!</f>
        <v>#REF!</v>
      </c>
      <c r="K2003" s="9" t="e">
        <f>J2003+#REF!</f>
        <v>#REF!</v>
      </c>
      <c r="L2003" s="10" t="s">
        <v>41</v>
      </c>
      <c r="M2003" s="11">
        <v>44888.772222222222</v>
      </c>
      <c r="N2003" s="5" t="s">
        <v>42</v>
      </c>
      <c r="O2003" s="5" t="s">
        <v>98</v>
      </c>
      <c r="P2003" s="9"/>
      <c r="Q2003" s="5"/>
      <c r="R2003" s="5"/>
      <c r="S2003" s="5"/>
      <c r="T2003" s="9"/>
      <c r="U2003" s="5"/>
      <c r="V2003" s="5">
        <v>0</v>
      </c>
      <c r="W2003" s="5"/>
      <c r="X2003" s="5"/>
      <c r="Y2003" s="5"/>
      <c r="Z2003" s="5"/>
      <c r="AA2003" s="5" t="s">
        <v>44</v>
      </c>
      <c r="AC2003">
        <f t="shared" si="280"/>
        <v>19</v>
      </c>
      <c r="AD2003" t="str">
        <f t="shared" si="281"/>
        <v/>
      </c>
      <c r="AE2003" t="str">
        <f t="shared" si="282"/>
        <v/>
      </c>
      <c r="AF2003" t="str">
        <f t="shared" si="283"/>
        <v/>
      </c>
      <c r="AG2003" t="str">
        <f t="shared" si="284"/>
        <v/>
      </c>
      <c r="AH2003">
        <f t="shared" si="285"/>
        <v>1</v>
      </c>
      <c r="AI2003" t="str">
        <f t="shared" si="286"/>
        <v/>
      </c>
      <c r="AJ2003" t="str">
        <f t="shared" si="287"/>
        <v/>
      </c>
    </row>
    <row r="2004" spans="1:36">
      <c r="A2004" s="5">
        <v>2445</v>
      </c>
      <c r="B2004" s="5" t="s">
        <v>408</v>
      </c>
      <c r="C2004" s="5" t="s">
        <v>100</v>
      </c>
      <c r="D2004" s="5" t="s">
        <v>387</v>
      </c>
      <c r="E2004" s="5" t="s">
        <v>388</v>
      </c>
      <c r="F2004" s="5" t="str">
        <f t="shared" si="279"/>
        <v>Program Office-Extension Officer</v>
      </c>
      <c r="G2004" s="5" t="s">
        <v>40</v>
      </c>
      <c r="H2004" s="9">
        <v>44868.772222222222</v>
      </c>
      <c r="I2004" s="9">
        <v>44870.772222222222</v>
      </c>
      <c r="J2004" s="9" t="e">
        <f>I2004+#REF!</f>
        <v>#REF!</v>
      </c>
      <c r="K2004" s="9" t="e">
        <f>J2004+#REF!</f>
        <v>#REF!</v>
      </c>
      <c r="L2004" s="10" t="s">
        <v>52</v>
      </c>
      <c r="M2004" s="11"/>
      <c r="N2004" s="5"/>
      <c r="O2004" s="5"/>
      <c r="P2004" s="9"/>
      <c r="Q2004" s="5"/>
      <c r="R2004" s="5"/>
      <c r="S2004" s="5"/>
      <c r="T2004" s="9"/>
      <c r="U2004" s="5"/>
      <c r="V2004" s="5">
        <v>0</v>
      </c>
      <c r="W2004" s="5"/>
      <c r="X2004" s="5"/>
      <c r="Y2004" s="5"/>
      <c r="Z2004" s="5"/>
      <c r="AA2004" s="5"/>
      <c r="AC2004" t="str">
        <f t="shared" si="280"/>
        <v/>
      </c>
      <c r="AD2004" t="str">
        <f t="shared" si="281"/>
        <v/>
      </c>
      <c r="AE2004" t="str">
        <f t="shared" si="282"/>
        <v/>
      </c>
      <c r="AF2004" t="str">
        <f t="shared" si="283"/>
        <v/>
      </c>
      <c r="AG2004" t="str">
        <f t="shared" si="284"/>
        <v/>
      </c>
      <c r="AH2004">
        <f t="shared" si="285"/>
        <v>2</v>
      </c>
      <c r="AI2004" t="str">
        <f t="shared" si="286"/>
        <v/>
      </c>
      <c r="AJ2004" t="str">
        <f t="shared" si="287"/>
        <v/>
      </c>
    </row>
    <row r="2005" spans="1:36">
      <c r="A2005" s="5">
        <v>2446</v>
      </c>
      <c r="B2005" s="5" t="s">
        <v>407</v>
      </c>
      <c r="C2005" s="5" t="s">
        <v>100</v>
      </c>
      <c r="D2005" s="5" t="s">
        <v>387</v>
      </c>
      <c r="E2005" s="5" t="s">
        <v>388</v>
      </c>
      <c r="F2005" s="5" t="str">
        <f t="shared" si="279"/>
        <v>Program Office-Extension Officer</v>
      </c>
      <c r="G2005" s="5" t="s">
        <v>40</v>
      </c>
      <c r="H2005" s="9">
        <v>44865.772222222222</v>
      </c>
      <c r="I2005" s="9">
        <v>44867.772222222222</v>
      </c>
      <c r="J2005" s="9" t="e">
        <f>I2005+#REF!</f>
        <v>#REF!</v>
      </c>
      <c r="K2005" s="9" t="e">
        <f>J2005+#REF!</f>
        <v>#REF!</v>
      </c>
      <c r="L2005" s="10" t="s">
        <v>41</v>
      </c>
      <c r="M2005" s="11">
        <v>44880.772222222222</v>
      </c>
      <c r="N2005" s="5" t="s">
        <v>42</v>
      </c>
      <c r="O2005" s="5" t="s">
        <v>43</v>
      </c>
      <c r="P2005" s="9"/>
      <c r="Q2005" s="5"/>
      <c r="R2005" s="5"/>
      <c r="S2005" s="5"/>
      <c r="T2005" s="9"/>
      <c r="U2005" s="5"/>
      <c r="V2005" s="5">
        <v>0</v>
      </c>
      <c r="W2005" s="5"/>
      <c r="X2005" s="5"/>
      <c r="Y2005" s="5"/>
      <c r="Z2005" s="5"/>
      <c r="AA2005" s="5" t="s">
        <v>62</v>
      </c>
      <c r="AC2005">
        <f t="shared" si="280"/>
        <v>13</v>
      </c>
      <c r="AD2005" t="str">
        <f t="shared" si="281"/>
        <v/>
      </c>
      <c r="AE2005" t="str">
        <f t="shared" si="282"/>
        <v/>
      </c>
      <c r="AF2005" t="str">
        <f t="shared" si="283"/>
        <v/>
      </c>
      <c r="AG2005" t="str">
        <f t="shared" si="284"/>
        <v/>
      </c>
      <c r="AH2005">
        <f t="shared" si="285"/>
        <v>2</v>
      </c>
      <c r="AI2005" t="str">
        <f t="shared" si="286"/>
        <v/>
      </c>
      <c r="AJ2005" t="str">
        <f t="shared" si="287"/>
        <v/>
      </c>
    </row>
    <row r="2006" spans="1:36">
      <c r="A2006" s="5">
        <v>2448</v>
      </c>
      <c r="B2006" s="5" t="s">
        <v>583</v>
      </c>
      <c r="C2006" s="5" t="s">
        <v>100</v>
      </c>
      <c r="D2006" s="5" t="s">
        <v>554</v>
      </c>
      <c r="E2006" s="5" t="s">
        <v>39</v>
      </c>
      <c r="F2006" s="5" t="str">
        <f t="shared" si="279"/>
        <v>Program Office-Analyst</v>
      </c>
      <c r="G2006" s="5" t="s">
        <v>47</v>
      </c>
      <c r="H2006" s="9">
        <v>44864.772222222222</v>
      </c>
      <c r="I2006" s="9">
        <v>44867.772222222222</v>
      </c>
      <c r="J2006" s="9" t="e">
        <f>I2006+#REF!</f>
        <v>#REF!</v>
      </c>
      <c r="K2006" s="9" t="e">
        <f>J2006+#REF!</f>
        <v>#REF!</v>
      </c>
      <c r="L2006" s="10" t="s">
        <v>41</v>
      </c>
      <c r="M2006" s="11">
        <v>44877.772222222222</v>
      </c>
      <c r="N2006" s="5" t="s">
        <v>42</v>
      </c>
      <c r="O2006" s="5" t="s">
        <v>113</v>
      </c>
      <c r="P2006" s="9"/>
      <c r="Q2006" s="5"/>
      <c r="R2006" s="5"/>
      <c r="S2006" s="5"/>
      <c r="T2006" s="9"/>
      <c r="U2006" s="5"/>
      <c r="V2006" s="5">
        <v>0</v>
      </c>
      <c r="W2006" s="5"/>
      <c r="X2006" s="5"/>
      <c r="Y2006" s="5"/>
      <c r="Z2006" s="5"/>
      <c r="AA2006" s="5" t="s">
        <v>44</v>
      </c>
      <c r="AC2006">
        <f t="shared" si="280"/>
        <v>10</v>
      </c>
      <c r="AD2006" t="str">
        <f t="shared" si="281"/>
        <v/>
      </c>
      <c r="AE2006" t="str">
        <f t="shared" si="282"/>
        <v/>
      </c>
      <c r="AF2006" t="str">
        <f t="shared" si="283"/>
        <v/>
      </c>
      <c r="AG2006" t="str">
        <f t="shared" si="284"/>
        <v/>
      </c>
      <c r="AH2006">
        <f t="shared" si="285"/>
        <v>3</v>
      </c>
      <c r="AI2006" t="str">
        <f t="shared" si="286"/>
        <v/>
      </c>
      <c r="AJ2006" t="str">
        <f t="shared" si="287"/>
        <v/>
      </c>
    </row>
    <row r="2007" spans="1:36">
      <c r="A2007" s="5">
        <v>2449</v>
      </c>
      <c r="B2007" s="5" t="s">
        <v>582</v>
      </c>
      <c r="C2007" s="5" t="s">
        <v>100</v>
      </c>
      <c r="D2007" s="5" t="s">
        <v>554</v>
      </c>
      <c r="E2007" s="5" t="s">
        <v>39</v>
      </c>
      <c r="F2007" s="5" t="str">
        <f t="shared" si="279"/>
        <v>Program Office-Analyst</v>
      </c>
      <c r="G2007" s="5" t="s">
        <v>47</v>
      </c>
      <c r="H2007" s="9">
        <v>44867.772222222222</v>
      </c>
      <c r="I2007" s="9">
        <v>44868.772222222222</v>
      </c>
      <c r="J2007" s="9" t="e">
        <f>I2007+#REF!</f>
        <v>#REF!</v>
      </c>
      <c r="K2007" s="9" t="e">
        <f>J2007+#REF!</f>
        <v>#REF!</v>
      </c>
      <c r="L2007" s="10" t="s">
        <v>41</v>
      </c>
      <c r="M2007" s="11">
        <v>44888.772222222222</v>
      </c>
      <c r="N2007" s="5" t="s">
        <v>42</v>
      </c>
      <c r="O2007" s="5" t="s">
        <v>43</v>
      </c>
      <c r="P2007" s="9"/>
      <c r="Q2007" s="5"/>
      <c r="R2007" s="5"/>
      <c r="S2007" s="5"/>
      <c r="T2007" s="9">
        <v>44892.772222222222</v>
      </c>
      <c r="U2007" s="5"/>
      <c r="V2007" s="5">
        <v>0</v>
      </c>
      <c r="W2007" s="5"/>
      <c r="X2007" s="5"/>
      <c r="Y2007" s="5"/>
      <c r="Z2007" s="5"/>
      <c r="AA2007" s="5" t="s">
        <v>44</v>
      </c>
      <c r="AC2007">
        <f t="shared" si="280"/>
        <v>20</v>
      </c>
      <c r="AD2007" t="str">
        <f t="shared" si="281"/>
        <v/>
      </c>
      <c r="AE2007">
        <f t="shared" si="282"/>
        <v>4</v>
      </c>
      <c r="AF2007" t="str">
        <f t="shared" si="283"/>
        <v/>
      </c>
      <c r="AG2007" t="str">
        <f t="shared" si="284"/>
        <v/>
      </c>
      <c r="AH2007">
        <f t="shared" si="285"/>
        <v>1</v>
      </c>
      <c r="AI2007" t="str">
        <f t="shared" si="286"/>
        <v/>
      </c>
      <c r="AJ2007" t="str">
        <f t="shared" si="287"/>
        <v/>
      </c>
    </row>
    <row r="2008" spans="1:36">
      <c r="A2008" s="5">
        <v>2450</v>
      </c>
      <c r="B2008" s="5" t="s">
        <v>406</v>
      </c>
      <c r="C2008" s="5" t="s">
        <v>100</v>
      </c>
      <c r="D2008" s="5" t="s">
        <v>387</v>
      </c>
      <c r="E2008" s="5" t="s">
        <v>388</v>
      </c>
      <c r="F2008" s="5" t="str">
        <f t="shared" si="279"/>
        <v>Program Office-Extension Officer</v>
      </c>
      <c r="G2008" s="5" t="s">
        <v>40</v>
      </c>
      <c r="H2008" s="9">
        <v>44863.772222222222</v>
      </c>
      <c r="I2008" s="9">
        <v>44867.772222222222</v>
      </c>
      <c r="J2008" s="9" t="e">
        <f>I2008+#REF!</f>
        <v>#REF!</v>
      </c>
      <c r="K2008" s="9" t="e">
        <f>J2008+#REF!</f>
        <v>#REF!</v>
      </c>
      <c r="L2008" s="10" t="s">
        <v>41</v>
      </c>
      <c r="M2008" s="11">
        <v>44880.772222222222</v>
      </c>
      <c r="N2008" s="5" t="s">
        <v>48</v>
      </c>
      <c r="O2008" s="5"/>
      <c r="P2008" s="9">
        <v>44885.772222222222</v>
      </c>
      <c r="Q2008" s="5" t="s">
        <v>48</v>
      </c>
      <c r="R2008" s="5"/>
      <c r="S2008" s="5"/>
      <c r="T2008" s="9">
        <v>44884.772222222222</v>
      </c>
      <c r="U2008" s="5"/>
      <c r="V2008" s="5">
        <v>0</v>
      </c>
      <c r="W2008" s="5"/>
      <c r="X2008" s="5"/>
      <c r="Y2008" s="5"/>
      <c r="Z2008" s="5"/>
      <c r="AA2008" s="5"/>
      <c r="AC2008">
        <f t="shared" si="280"/>
        <v>13</v>
      </c>
      <c r="AD2008" t="str">
        <f t="shared" si="281"/>
        <v/>
      </c>
      <c r="AE2008">
        <f t="shared" si="282"/>
        <v>4</v>
      </c>
      <c r="AF2008" t="str">
        <f t="shared" si="283"/>
        <v/>
      </c>
      <c r="AG2008" t="str">
        <f t="shared" si="284"/>
        <v/>
      </c>
      <c r="AH2008">
        <f t="shared" si="285"/>
        <v>4</v>
      </c>
      <c r="AI2008" t="str">
        <f t="shared" si="286"/>
        <v/>
      </c>
      <c r="AJ2008" t="str">
        <f t="shared" si="287"/>
        <v/>
      </c>
    </row>
    <row r="2009" spans="1:36">
      <c r="A2009" s="5">
        <v>2452</v>
      </c>
      <c r="B2009" s="5" t="s">
        <v>581</v>
      </c>
      <c r="C2009" s="5" t="s">
        <v>100</v>
      </c>
      <c r="D2009" s="5" t="s">
        <v>554</v>
      </c>
      <c r="E2009" s="5" t="s">
        <v>51</v>
      </c>
      <c r="F2009" s="5" t="str">
        <f t="shared" si="279"/>
        <v>Program Office-Supervisor</v>
      </c>
      <c r="G2009" s="5" t="s">
        <v>47</v>
      </c>
      <c r="H2009" s="9">
        <v>45161.069826388892</v>
      </c>
      <c r="I2009" s="9">
        <v>45163.069826388892</v>
      </c>
      <c r="J2009" s="9" t="e">
        <f>I2009+#REF!</f>
        <v>#REF!</v>
      </c>
      <c r="K2009" s="9" t="e">
        <f>J2009+#REF!</f>
        <v>#REF!</v>
      </c>
      <c r="L2009" s="10" t="s">
        <v>41</v>
      </c>
      <c r="M2009" s="11">
        <v>45179.069826388892</v>
      </c>
      <c r="N2009" s="5" t="s">
        <v>42</v>
      </c>
      <c r="O2009" s="5" t="s">
        <v>58</v>
      </c>
      <c r="P2009" s="9"/>
      <c r="Q2009" s="5"/>
      <c r="R2009" s="5"/>
      <c r="S2009" s="5"/>
      <c r="T2009" s="9">
        <v>45183.069826388892</v>
      </c>
      <c r="U2009" s="5"/>
      <c r="V2009" s="5">
        <v>0</v>
      </c>
      <c r="W2009" s="5"/>
      <c r="X2009" s="5"/>
      <c r="Y2009" s="5"/>
      <c r="Z2009" s="5"/>
      <c r="AA2009" s="5" t="s">
        <v>44</v>
      </c>
      <c r="AC2009">
        <f t="shared" si="280"/>
        <v>16</v>
      </c>
      <c r="AD2009" t="str">
        <f t="shared" si="281"/>
        <v/>
      </c>
      <c r="AE2009">
        <f t="shared" si="282"/>
        <v>4</v>
      </c>
      <c r="AF2009" t="str">
        <f t="shared" si="283"/>
        <v/>
      </c>
      <c r="AG2009" t="str">
        <f t="shared" si="284"/>
        <v/>
      </c>
      <c r="AH2009">
        <f t="shared" si="285"/>
        <v>2</v>
      </c>
      <c r="AI2009" t="str">
        <f t="shared" si="286"/>
        <v/>
      </c>
      <c r="AJ2009" t="str">
        <f t="shared" si="287"/>
        <v/>
      </c>
    </row>
    <row r="2010" spans="1:36">
      <c r="A2010" s="5">
        <v>2456</v>
      </c>
      <c r="B2010" s="5" t="s">
        <v>405</v>
      </c>
      <c r="C2010" s="5" t="s">
        <v>100</v>
      </c>
      <c r="D2010" s="5" t="s">
        <v>387</v>
      </c>
      <c r="E2010" s="5" t="s">
        <v>388</v>
      </c>
      <c r="F2010" s="5" t="str">
        <f t="shared" si="279"/>
        <v>Program Office-Extension Officer</v>
      </c>
      <c r="G2010" s="5" t="s">
        <v>40</v>
      </c>
      <c r="H2010" s="9">
        <v>45162.069826388892</v>
      </c>
      <c r="I2010" s="9">
        <v>45163.069826388892</v>
      </c>
      <c r="J2010" s="9" t="e">
        <f>I2010+#REF!</f>
        <v>#REF!</v>
      </c>
      <c r="K2010" s="9" t="e">
        <f>J2010+#REF!</f>
        <v>#REF!</v>
      </c>
      <c r="L2010" s="10" t="s">
        <v>41</v>
      </c>
      <c r="M2010" s="11">
        <v>45171.069826388892</v>
      </c>
      <c r="N2010" s="5" t="s">
        <v>64</v>
      </c>
      <c r="O2010" s="5"/>
      <c r="P2010" s="9">
        <v>45178.069826388892</v>
      </c>
      <c r="Q2010" s="5" t="s">
        <v>64</v>
      </c>
      <c r="R2010" s="9">
        <v>45173.069826388892</v>
      </c>
      <c r="S2010" s="9">
        <v>45175.069826388892</v>
      </c>
      <c r="T2010" s="9">
        <v>45175.069826388892</v>
      </c>
      <c r="U2010" s="9">
        <v>45179.069826388892</v>
      </c>
      <c r="V2010" s="12">
        <v>1</v>
      </c>
      <c r="W2010" s="9">
        <v>45180.069826388892</v>
      </c>
      <c r="X2010" s="9">
        <v>45183.069826388892</v>
      </c>
      <c r="Y2010" s="9">
        <v>45186.069826388892</v>
      </c>
      <c r="Z2010" s="5"/>
      <c r="AA2010" s="5"/>
      <c r="AB2010" s="13">
        <v>45205.069826388892</v>
      </c>
      <c r="AC2010">
        <f t="shared" si="280"/>
        <v>8</v>
      </c>
      <c r="AD2010">
        <f t="shared" si="281"/>
        <v>12</v>
      </c>
      <c r="AE2010">
        <f t="shared" si="282"/>
        <v>4</v>
      </c>
      <c r="AF2010">
        <f t="shared" si="283"/>
        <v>4</v>
      </c>
      <c r="AG2010">
        <f t="shared" si="284"/>
        <v>1</v>
      </c>
      <c r="AH2010">
        <f t="shared" si="285"/>
        <v>1</v>
      </c>
      <c r="AI2010" t="str">
        <f t="shared" si="286"/>
        <v/>
      </c>
      <c r="AJ2010" t="str">
        <f t="shared" si="287"/>
        <v/>
      </c>
    </row>
    <row r="2011" spans="1:36">
      <c r="A2011" s="5">
        <v>2457</v>
      </c>
      <c r="B2011" s="5" t="s">
        <v>168</v>
      </c>
      <c r="C2011" s="5" t="s">
        <v>100</v>
      </c>
      <c r="D2011" s="5" t="s">
        <v>146</v>
      </c>
      <c r="E2011" s="5" t="s">
        <v>39</v>
      </c>
      <c r="F2011" s="5" t="str">
        <f t="shared" si="279"/>
        <v>Program Office-Analyst</v>
      </c>
      <c r="G2011" s="5" t="s">
        <v>147</v>
      </c>
      <c r="H2011" s="9">
        <v>45162.069826388892</v>
      </c>
      <c r="I2011" s="9">
        <v>45165.069826388892</v>
      </c>
      <c r="J2011" s="9" t="e">
        <f>I2011+#REF!</f>
        <v>#REF!</v>
      </c>
      <c r="K2011" s="9" t="e">
        <f>J2011+#REF!</f>
        <v>#REF!</v>
      </c>
      <c r="L2011" s="10" t="s">
        <v>41</v>
      </c>
      <c r="M2011" s="11">
        <v>45180.069826388892</v>
      </c>
      <c r="N2011" s="5" t="s">
        <v>42</v>
      </c>
      <c r="O2011" s="5" t="s">
        <v>58</v>
      </c>
      <c r="P2011" s="9"/>
      <c r="Q2011" s="5"/>
      <c r="R2011" s="5"/>
      <c r="S2011" s="5"/>
      <c r="T2011" s="9">
        <v>45181.069826388892</v>
      </c>
      <c r="U2011" s="5"/>
      <c r="V2011" s="5">
        <v>0</v>
      </c>
      <c r="W2011" s="5"/>
      <c r="X2011" s="5"/>
      <c r="Y2011" s="5"/>
      <c r="Z2011" s="5"/>
      <c r="AA2011" s="5" t="s">
        <v>62</v>
      </c>
      <c r="AC2011">
        <f t="shared" si="280"/>
        <v>15</v>
      </c>
      <c r="AD2011" t="str">
        <f t="shared" si="281"/>
        <v/>
      </c>
      <c r="AE2011">
        <f t="shared" si="282"/>
        <v>1</v>
      </c>
      <c r="AF2011" t="str">
        <f t="shared" si="283"/>
        <v/>
      </c>
      <c r="AG2011" t="str">
        <f t="shared" si="284"/>
        <v/>
      </c>
      <c r="AH2011">
        <f t="shared" si="285"/>
        <v>3</v>
      </c>
      <c r="AI2011" t="str">
        <f t="shared" si="286"/>
        <v/>
      </c>
      <c r="AJ2011" t="str">
        <f t="shared" si="287"/>
        <v/>
      </c>
    </row>
    <row r="2012" spans="1:36">
      <c r="A2012" s="5">
        <v>2459</v>
      </c>
      <c r="B2012" s="5" t="s">
        <v>580</v>
      </c>
      <c r="C2012" s="5" t="s">
        <v>100</v>
      </c>
      <c r="D2012" s="5" t="s">
        <v>554</v>
      </c>
      <c r="E2012" s="5" t="s">
        <v>51</v>
      </c>
      <c r="F2012" s="5" t="str">
        <f t="shared" si="279"/>
        <v>Program Office-Supervisor</v>
      </c>
      <c r="G2012" s="5" t="s">
        <v>47</v>
      </c>
      <c r="H2012" s="9">
        <v>45160.069826388892</v>
      </c>
      <c r="I2012" s="9">
        <v>45162.069826388892</v>
      </c>
      <c r="J2012" s="9" t="e">
        <f>I2012+#REF!</f>
        <v>#REF!</v>
      </c>
      <c r="K2012" s="9" t="e">
        <f>J2012+#REF!</f>
        <v>#REF!</v>
      </c>
      <c r="L2012" s="10" t="s">
        <v>41</v>
      </c>
      <c r="M2012" s="11">
        <v>45183.069826388892</v>
      </c>
      <c r="N2012" s="5" t="s">
        <v>42</v>
      </c>
      <c r="O2012" s="5" t="s">
        <v>98</v>
      </c>
      <c r="P2012" s="9"/>
      <c r="Q2012" s="5"/>
      <c r="R2012" s="5"/>
      <c r="S2012" s="5"/>
      <c r="T2012" s="9">
        <v>45186.069826388892</v>
      </c>
      <c r="U2012" s="5"/>
      <c r="V2012" s="5">
        <v>0</v>
      </c>
      <c r="W2012" s="5"/>
      <c r="X2012" s="5"/>
      <c r="Y2012" s="5"/>
      <c r="Z2012" s="5"/>
      <c r="AA2012" s="5" t="s">
        <v>62</v>
      </c>
      <c r="AC2012">
        <f t="shared" si="280"/>
        <v>21</v>
      </c>
      <c r="AD2012" t="str">
        <f t="shared" si="281"/>
        <v/>
      </c>
      <c r="AE2012">
        <f t="shared" si="282"/>
        <v>3</v>
      </c>
      <c r="AF2012" t="str">
        <f t="shared" si="283"/>
        <v/>
      </c>
      <c r="AG2012" t="str">
        <f t="shared" si="284"/>
        <v/>
      </c>
      <c r="AH2012">
        <f t="shared" si="285"/>
        <v>2</v>
      </c>
      <c r="AI2012" t="str">
        <f t="shared" si="286"/>
        <v/>
      </c>
      <c r="AJ2012" t="str">
        <f t="shared" si="287"/>
        <v/>
      </c>
    </row>
    <row r="2013" spans="1:36">
      <c r="A2013" s="5">
        <v>2460</v>
      </c>
      <c r="B2013" s="5" t="s">
        <v>283</v>
      </c>
      <c r="C2013" s="5" t="s">
        <v>100</v>
      </c>
      <c r="D2013" s="5" t="s">
        <v>268</v>
      </c>
      <c r="E2013" s="5" t="s">
        <v>269</v>
      </c>
      <c r="F2013" s="5" t="str">
        <f t="shared" si="279"/>
        <v>Program Office-Manager</v>
      </c>
      <c r="G2013" s="5" t="s">
        <v>270</v>
      </c>
      <c r="H2013" s="9">
        <v>45163.069826388892</v>
      </c>
      <c r="I2013" s="9">
        <v>45166.069826388892</v>
      </c>
      <c r="J2013" s="9" t="e">
        <f>I2013+#REF!</f>
        <v>#REF!</v>
      </c>
      <c r="K2013" s="9" t="e">
        <f>J2013+#REF!</f>
        <v>#REF!</v>
      </c>
      <c r="L2013" s="10" t="s">
        <v>41</v>
      </c>
      <c r="M2013" s="11">
        <v>45183.069826388892</v>
      </c>
      <c r="N2013" s="5" t="s">
        <v>48</v>
      </c>
      <c r="O2013" s="5"/>
      <c r="P2013" s="9">
        <v>45187.069826388892</v>
      </c>
      <c r="Q2013" s="5" t="s">
        <v>48</v>
      </c>
      <c r="R2013" s="5"/>
      <c r="S2013" s="5"/>
      <c r="T2013" s="9">
        <v>45186.069826388892</v>
      </c>
      <c r="U2013" s="5"/>
      <c r="V2013" s="5">
        <v>0</v>
      </c>
      <c r="W2013" s="5"/>
      <c r="X2013" s="5"/>
      <c r="Y2013" s="5"/>
      <c r="Z2013" s="5"/>
      <c r="AA2013" s="5"/>
      <c r="AC2013">
        <f t="shared" si="280"/>
        <v>17</v>
      </c>
      <c r="AD2013" t="str">
        <f t="shared" si="281"/>
        <v/>
      </c>
      <c r="AE2013">
        <f t="shared" si="282"/>
        <v>3</v>
      </c>
      <c r="AF2013" t="str">
        <f t="shared" si="283"/>
        <v/>
      </c>
      <c r="AG2013" t="str">
        <f t="shared" si="284"/>
        <v/>
      </c>
      <c r="AH2013">
        <f t="shared" si="285"/>
        <v>3</v>
      </c>
      <c r="AI2013" t="str">
        <f t="shared" si="286"/>
        <v/>
      </c>
      <c r="AJ2013" t="str">
        <f t="shared" si="287"/>
        <v/>
      </c>
    </row>
    <row r="2014" spans="1:36">
      <c r="A2014" s="5">
        <v>2462</v>
      </c>
      <c r="B2014" s="5" t="s">
        <v>1027</v>
      </c>
      <c r="C2014" s="5" t="s">
        <v>796</v>
      </c>
      <c r="D2014" s="5" t="s">
        <v>1026</v>
      </c>
      <c r="E2014" s="5" t="s">
        <v>709</v>
      </c>
      <c r="F2014" s="5" t="str">
        <f t="shared" si="279"/>
        <v>M and E-Lead</v>
      </c>
      <c r="G2014" s="5" t="s">
        <v>56</v>
      </c>
      <c r="H2014" s="9">
        <v>45016.841874999998</v>
      </c>
      <c r="I2014" s="9">
        <v>45019.841874999998</v>
      </c>
      <c r="J2014" s="9" t="e">
        <f>I2014+#REF!</f>
        <v>#REF!</v>
      </c>
      <c r="K2014" s="9" t="e">
        <f>J2014+#REF!</f>
        <v>#REF!</v>
      </c>
      <c r="L2014" s="10" t="s">
        <v>52</v>
      </c>
      <c r="M2014" s="11"/>
      <c r="N2014" s="5"/>
      <c r="O2014" s="5"/>
      <c r="P2014" s="9"/>
      <c r="Q2014" s="5"/>
      <c r="R2014" s="5"/>
      <c r="S2014" s="5"/>
      <c r="T2014" s="9"/>
      <c r="U2014" s="5"/>
      <c r="V2014" s="5">
        <v>0</v>
      </c>
      <c r="W2014" s="5"/>
      <c r="X2014" s="5"/>
      <c r="Y2014" s="5"/>
      <c r="Z2014" s="5"/>
      <c r="AA2014" s="5"/>
      <c r="AC2014" t="str">
        <f t="shared" si="280"/>
        <v/>
      </c>
      <c r="AD2014" t="str">
        <f t="shared" si="281"/>
        <v/>
      </c>
      <c r="AE2014" t="str">
        <f t="shared" si="282"/>
        <v/>
      </c>
      <c r="AF2014" t="str">
        <f t="shared" si="283"/>
        <v/>
      </c>
      <c r="AG2014" t="str">
        <f t="shared" si="284"/>
        <v/>
      </c>
      <c r="AH2014">
        <f t="shared" si="285"/>
        <v>3</v>
      </c>
      <c r="AI2014" t="str">
        <f t="shared" si="286"/>
        <v/>
      </c>
      <c r="AJ2014" t="str">
        <f t="shared" si="287"/>
        <v/>
      </c>
    </row>
    <row r="2015" spans="1:36">
      <c r="A2015" s="5">
        <v>2463</v>
      </c>
      <c r="B2015" s="5" t="s">
        <v>1064</v>
      </c>
      <c r="C2015" s="5" t="s">
        <v>796</v>
      </c>
      <c r="D2015" s="5" t="s">
        <v>1046</v>
      </c>
      <c r="E2015" s="5" t="s">
        <v>473</v>
      </c>
      <c r="F2015" s="5" t="str">
        <f t="shared" si="279"/>
        <v>M and E-Officer</v>
      </c>
      <c r="G2015" s="5" t="s">
        <v>47</v>
      </c>
      <c r="H2015" s="9">
        <v>45016.841874999998</v>
      </c>
      <c r="I2015" s="9">
        <v>45020.841874999998</v>
      </c>
      <c r="J2015" s="9" t="e">
        <f>I2015+#REF!</f>
        <v>#REF!</v>
      </c>
      <c r="K2015" s="9" t="e">
        <f>J2015+#REF!</f>
        <v>#REF!</v>
      </c>
      <c r="L2015" s="10" t="s">
        <v>41</v>
      </c>
      <c r="M2015" s="11">
        <v>45031.841874999998</v>
      </c>
      <c r="N2015" s="5" t="s">
        <v>64</v>
      </c>
      <c r="O2015" s="5"/>
      <c r="P2015" s="9">
        <v>45036.841874999998</v>
      </c>
      <c r="Q2015" s="5" t="s">
        <v>64</v>
      </c>
      <c r="R2015" s="9">
        <v>45033.841874999998</v>
      </c>
      <c r="S2015" s="9">
        <v>45036.841874999998</v>
      </c>
      <c r="T2015" s="9">
        <v>45035.841874999998</v>
      </c>
      <c r="U2015" s="9">
        <v>45043.841874999998</v>
      </c>
      <c r="V2015" s="12">
        <v>1</v>
      </c>
      <c r="W2015" s="9">
        <v>45047.841874999998</v>
      </c>
      <c r="X2015" s="9">
        <v>45049.841874999998</v>
      </c>
      <c r="Y2015" s="9">
        <v>45052.841874999998</v>
      </c>
      <c r="Z2015" s="5"/>
      <c r="AA2015" s="5"/>
      <c r="AB2015" s="13">
        <v>45067.841874999998</v>
      </c>
      <c r="AC2015">
        <f t="shared" si="280"/>
        <v>11</v>
      </c>
      <c r="AD2015">
        <f t="shared" si="281"/>
        <v>16</v>
      </c>
      <c r="AE2015">
        <f t="shared" si="282"/>
        <v>4</v>
      </c>
      <c r="AF2015">
        <f t="shared" si="283"/>
        <v>6</v>
      </c>
      <c r="AG2015">
        <f t="shared" si="284"/>
        <v>4</v>
      </c>
      <c r="AH2015">
        <f t="shared" si="285"/>
        <v>4</v>
      </c>
      <c r="AI2015" t="str">
        <f t="shared" si="286"/>
        <v/>
      </c>
      <c r="AJ2015" t="str">
        <f t="shared" si="287"/>
        <v/>
      </c>
    </row>
    <row r="2016" spans="1:36">
      <c r="A2016" s="5">
        <v>2464</v>
      </c>
      <c r="B2016" s="5" t="s">
        <v>976</v>
      </c>
      <c r="C2016" s="5" t="s">
        <v>796</v>
      </c>
      <c r="D2016" s="5" t="s">
        <v>957</v>
      </c>
      <c r="E2016" s="5" t="s">
        <v>388</v>
      </c>
      <c r="F2016" s="5" t="str">
        <f t="shared" si="279"/>
        <v>M and E-Extension Officer</v>
      </c>
      <c r="G2016" s="5" t="s">
        <v>40</v>
      </c>
      <c r="H2016" s="9">
        <v>45017.841874999998</v>
      </c>
      <c r="I2016" s="9">
        <v>45021.841874999998</v>
      </c>
      <c r="J2016" s="9" t="e">
        <f>I2016+#REF!</f>
        <v>#REF!</v>
      </c>
      <c r="K2016" s="9" t="e">
        <f>J2016+#REF!</f>
        <v>#REF!</v>
      </c>
      <c r="L2016" s="10" t="s">
        <v>41</v>
      </c>
      <c r="M2016" s="11">
        <v>45027.841874999998</v>
      </c>
      <c r="N2016" s="5" t="s">
        <v>48</v>
      </c>
      <c r="O2016" s="5"/>
      <c r="P2016" s="9">
        <v>45034.841874999998</v>
      </c>
      <c r="Q2016" s="5" t="s">
        <v>48</v>
      </c>
      <c r="R2016" s="5"/>
      <c r="S2016" s="5"/>
      <c r="T2016" s="9">
        <v>45031.841874999998</v>
      </c>
      <c r="U2016" s="5"/>
      <c r="V2016" s="5">
        <v>0</v>
      </c>
      <c r="W2016" s="5"/>
      <c r="X2016" s="5"/>
      <c r="Y2016" s="5"/>
      <c r="Z2016" s="5"/>
      <c r="AA2016" s="5"/>
      <c r="AC2016">
        <f t="shared" si="280"/>
        <v>6</v>
      </c>
      <c r="AD2016" t="str">
        <f t="shared" si="281"/>
        <v/>
      </c>
      <c r="AE2016">
        <f t="shared" si="282"/>
        <v>4</v>
      </c>
      <c r="AF2016" t="str">
        <f t="shared" si="283"/>
        <v/>
      </c>
      <c r="AG2016" t="str">
        <f t="shared" si="284"/>
        <v/>
      </c>
      <c r="AH2016">
        <f t="shared" si="285"/>
        <v>4</v>
      </c>
      <c r="AI2016" t="str">
        <f t="shared" si="286"/>
        <v/>
      </c>
      <c r="AJ2016" t="str">
        <f t="shared" si="287"/>
        <v/>
      </c>
    </row>
    <row r="2017" spans="1:36">
      <c r="A2017" s="5">
        <v>2466</v>
      </c>
      <c r="B2017" s="5" t="s">
        <v>906</v>
      </c>
      <c r="C2017" s="5" t="s">
        <v>796</v>
      </c>
      <c r="D2017" s="5" t="s">
        <v>893</v>
      </c>
      <c r="E2017" s="5" t="s">
        <v>269</v>
      </c>
      <c r="F2017" s="5" t="str">
        <f t="shared" si="279"/>
        <v>M and E-Manager</v>
      </c>
      <c r="G2017" s="5" t="s">
        <v>270</v>
      </c>
      <c r="H2017" s="9">
        <v>45017.841874999998</v>
      </c>
      <c r="I2017" s="9">
        <v>45019.841874999998</v>
      </c>
      <c r="J2017" s="9" t="e">
        <f>I2017+#REF!</f>
        <v>#REF!</v>
      </c>
      <c r="K2017" s="9" t="e">
        <f>J2017+#REF!</f>
        <v>#REF!</v>
      </c>
      <c r="L2017" s="10" t="s">
        <v>41</v>
      </c>
      <c r="M2017" s="11">
        <v>45036.841874999998</v>
      </c>
      <c r="N2017" s="5" t="s">
        <v>167</v>
      </c>
      <c r="O2017" s="5"/>
      <c r="P2017" s="9">
        <v>45044.841874999998</v>
      </c>
      <c r="Q2017" s="5" t="s">
        <v>167</v>
      </c>
      <c r="R2017" s="5"/>
      <c r="S2017" s="5"/>
      <c r="T2017" s="9">
        <v>45040.841874999998</v>
      </c>
      <c r="U2017" s="5"/>
      <c r="V2017" s="5">
        <v>0</v>
      </c>
      <c r="W2017" s="5"/>
      <c r="X2017" s="5"/>
      <c r="Y2017" s="5"/>
      <c r="Z2017" s="5"/>
      <c r="AA2017" s="5"/>
      <c r="AC2017">
        <f t="shared" si="280"/>
        <v>17</v>
      </c>
      <c r="AD2017" t="str">
        <f t="shared" si="281"/>
        <v/>
      </c>
      <c r="AE2017">
        <f t="shared" si="282"/>
        <v>4</v>
      </c>
      <c r="AF2017" t="str">
        <f t="shared" si="283"/>
        <v/>
      </c>
      <c r="AG2017" t="str">
        <f t="shared" si="284"/>
        <v/>
      </c>
      <c r="AH2017">
        <f t="shared" si="285"/>
        <v>2</v>
      </c>
      <c r="AI2017" t="str">
        <f t="shared" si="286"/>
        <v/>
      </c>
      <c r="AJ2017" t="str">
        <f t="shared" si="287"/>
        <v/>
      </c>
    </row>
    <row r="2018" spans="1:36">
      <c r="A2018" s="5">
        <v>2467</v>
      </c>
      <c r="B2018" s="5" t="s">
        <v>1063</v>
      </c>
      <c r="C2018" s="5" t="s">
        <v>796</v>
      </c>
      <c r="D2018" s="5" t="s">
        <v>1046</v>
      </c>
      <c r="E2018" s="5" t="s">
        <v>473</v>
      </c>
      <c r="F2018" s="5" t="str">
        <f t="shared" si="279"/>
        <v>M and E-Officer</v>
      </c>
      <c r="G2018" s="5" t="s">
        <v>47</v>
      </c>
      <c r="H2018" s="9">
        <v>45017.841874999998</v>
      </c>
      <c r="I2018" s="9">
        <v>45021.841874999998</v>
      </c>
      <c r="J2018" s="9" t="e">
        <f>I2018+#REF!</f>
        <v>#REF!</v>
      </c>
      <c r="K2018" s="9" t="e">
        <f>J2018+#REF!</f>
        <v>#REF!</v>
      </c>
      <c r="L2018" s="10" t="s">
        <v>52</v>
      </c>
      <c r="M2018" s="11"/>
      <c r="N2018" s="5"/>
      <c r="O2018" s="5"/>
      <c r="P2018" s="9"/>
      <c r="Q2018" s="5"/>
      <c r="R2018" s="5"/>
      <c r="S2018" s="5"/>
      <c r="T2018" s="9"/>
      <c r="U2018" s="5"/>
      <c r="V2018" s="5">
        <v>0</v>
      </c>
      <c r="W2018" s="5"/>
      <c r="X2018" s="5"/>
      <c r="Y2018" s="5"/>
      <c r="Z2018" s="5"/>
      <c r="AA2018" s="5"/>
      <c r="AC2018" t="str">
        <f t="shared" si="280"/>
        <v/>
      </c>
      <c r="AD2018" t="str">
        <f t="shared" si="281"/>
        <v/>
      </c>
      <c r="AE2018" t="str">
        <f t="shared" si="282"/>
        <v/>
      </c>
      <c r="AF2018" t="str">
        <f t="shared" si="283"/>
        <v/>
      </c>
      <c r="AG2018" t="str">
        <f t="shared" si="284"/>
        <v/>
      </c>
      <c r="AH2018">
        <f t="shared" si="285"/>
        <v>4</v>
      </c>
      <c r="AI2018" t="str">
        <f t="shared" si="286"/>
        <v/>
      </c>
      <c r="AJ2018" t="str">
        <f t="shared" si="287"/>
        <v/>
      </c>
    </row>
    <row r="2019" spans="1:36">
      <c r="A2019" s="5">
        <v>2469</v>
      </c>
      <c r="B2019" s="5" t="s">
        <v>975</v>
      </c>
      <c r="C2019" s="5" t="s">
        <v>796</v>
      </c>
      <c r="D2019" s="5" t="s">
        <v>957</v>
      </c>
      <c r="E2019" s="5" t="s">
        <v>388</v>
      </c>
      <c r="F2019" s="5" t="str">
        <f t="shared" si="279"/>
        <v>M and E-Extension Officer</v>
      </c>
      <c r="G2019" s="5" t="s">
        <v>40</v>
      </c>
      <c r="H2019" s="9">
        <v>45016.841874999998</v>
      </c>
      <c r="I2019" s="9">
        <v>45017.841874999998</v>
      </c>
      <c r="J2019" s="9" t="e">
        <f>I2019+#REF!</f>
        <v>#REF!</v>
      </c>
      <c r="K2019" s="9" t="e">
        <f>J2019+#REF!</f>
        <v>#REF!</v>
      </c>
      <c r="L2019" s="10" t="s">
        <v>41</v>
      </c>
      <c r="M2019" s="11">
        <v>45038.841874999998</v>
      </c>
      <c r="N2019" s="5" t="s">
        <v>42</v>
      </c>
      <c r="O2019" s="5" t="s">
        <v>73</v>
      </c>
      <c r="P2019" s="9"/>
      <c r="Q2019" s="5"/>
      <c r="R2019" s="5"/>
      <c r="S2019" s="5"/>
      <c r="T2019" s="9"/>
      <c r="U2019" s="5"/>
      <c r="V2019" s="5">
        <v>0</v>
      </c>
      <c r="W2019" s="5"/>
      <c r="X2019" s="5"/>
      <c r="Y2019" s="5"/>
      <c r="Z2019" s="5"/>
      <c r="AA2019" s="5" t="s">
        <v>44</v>
      </c>
      <c r="AC2019">
        <f t="shared" si="280"/>
        <v>21</v>
      </c>
      <c r="AD2019" t="str">
        <f t="shared" si="281"/>
        <v/>
      </c>
      <c r="AE2019" t="str">
        <f t="shared" si="282"/>
        <v/>
      </c>
      <c r="AF2019" t="str">
        <f t="shared" si="283"/>
        <v/>
      </c>
      <c r="AG2019" t="str">
        <f t="shared" si="284"/>
        <v/>
      </c>
      <c r="AH2019">
        <f t="shared" si="285"/>
        <v>1</v>
      </c>
      <c r="AI2019" t="str">
        <f t="shared" si="286"/>
        <v/>
      </c>
      <c r="AJ2019" t="str">
        <f t="shared" si="287"/>
        <v/>
      </c>
    </row>
    <row r="2020" spans="1:36">
      <c r="A2020" s="5">
        <v>2470</v>
      </c>
      <c r="B2020" s="5" t="s">
        <v>905</v>
      </c>
      <c r="C2020" s="5" t="s">
        <v>796</v>
      </c>
      <c r="D2020" s="5" t="s">
        <v>893</v>
      </c>
      <c r="E2020" s="5" t="s">
        <v>269</v>
      </c>
      <c r="F2020" s="5" t="str">
        <f t="shared" si="279"/>
        <v>M and E-Manager</v>
      </c>
      <c r="G2020" s="5" t="s">
        <v>270</v>
      </c>
      <c r="H2020" s="9">
        <v>45014.841874999998</v>
      </c>
      <c r="I2020" s="9">
        <v>45017.841874999998</v>
      </c>
      <c r="J2020" s="9" t="e">
        <f>I2020+#REF!</f>
        <v>#REF!</v>
      </c>
      <c r="K2020" s="9" t="e">
        <f>J2020+#REF!</f>
        <v>#REF!</v>
      </c>
      <c r="L2020" s="10" t="s">
        <v>41</v>
      </c>
      <c r="M2020" s="11">
        <v>45024.841874999998</v>
      </c>
      <c r="N2020" s="5" t="s">
        <v>64</v>
      </c>
      <c r="O2020" s="5"/>
      <c r="P2020" s="9">
        <v>45032.841874999998</v>
      </c>
      <c r="Q2020" s="5" t="s">
        <v>64</v>
      </c>
      <c r="R2020" s="9">
        <v>45025.841874999998</v>
      </c>
      <c r="S2020" s="9">
        <v>45028.841874999998</v>
      </c>
      <c r="T2020" s="9">
        <v>45028.841874999998</v>
      </c>
      <c r="U2020" s="9">
        <v>45030.841874999998</v>
      </c>
      <c r="V2020" s="12">
        <v>1</v>
      </c>
      <c r="W2020" s="9">
        <v>45034.841874999998</v>
      </c>
      <c r="X2020" s="9">
        <v>45035.841874999998</v>
      </c>
      <c r="Y2020" s="9">
        <v>45037.841874999998</v>
      </c>
      <c r="Z2020" s="5"/>
      <c r="AA2020" s="5"/>
      <c r="AB2020" s="13">
        <v>45057.841874999998</v>
      </c>
      <c r="AC2020">
        <f t="shared" si="280"/>
        <v>7</v>
      </c>
      <c r="AD2020">
        <f t="shared" si="281"/>
        <v>11</v>
      </c>
      <c r="AE2020">
        <f t="shared" si="282"/>
        <v>4</v>
      </c>
      <c r="AF2020">
        <f t="shared" si="283"/>
        <v>5</v>
      </c>
      <c r="AG2020">
        <f t="shared" si="284"/>
        <v>4</v>
      </c>
      <c r="AH2020">
        <f t="shared" si="285"/>
        <v>3</v>
      </c>
      <c r="AI2020" t="str">
        <f t="shared" si="286"/>
        <v/>
      </c>
      <c r="AJ2020" t="str">
        <f t="shared" si="287"/>
        <v/>
      </c>
    </row>
    <row r="2021" spans="1:36">
      <c r="A2021" s="5">
        <v>2471</v>
      </c>
      <c r="B2021" s="5" t="s">
        <v>1602</v>
      </c>
      <c r="C2021" s="5" t="s">
        <v>1540</v>
      </c>
      <c r="D2021" s="5" t="s">
        <v>1588</v>
      </c>
      <c r="E2021" s="5" t="s">
        <v>1360</v>
      </c>
      <c r="F2021" s="5" t="str">
        <f t="shared" si="279"/>
        <v>Finance-Fund Administrator</v>
      </c>
      <c r="G2021" s="5" t="s">
        <v>147</v>
      </c>
      <c r="H2021" s="9">
        <v>44912.430844907409</v>
      </c>
      <c r="I2021" s="9">
        <v>44915.430844907409</v>
      </c>
      <c r="J2021" s="9" t="e">
        <f>I2021+#REF!</f>
        <v>#REF!</v>
      </c>
      <c r="K2021" s="9" t="e">
        <f>J2021+#REF!</f>
        <v>#REF!</v>
      </c>
      <c r="L2021" s="10" t="s">
        <v>41</v>
      </c>
      <c r="M2021" s="11">
        <v>44932.430844907409</v>
      </c>
      <c r="N2021" s="5" t="s">
        <v>64</v>
      </c>
      <c r="O2021" s="5"/>
      <c r="P2021" s="9">
        <v>44936.430844907409</v>
      </c>
      <c r="Q2021" s="5" t="s">
        <v>64</v>
      </c>
      <c r="R2021" s="9">
        <v>44933.430844907409</v>
      </c>
      <c r="S2021" s="9">
        <v>44934.430844907409</v>
      </c>
      <c r="T2021" s="9">
        <v>44933.430844907409</v>
      </c>
      <c r="U2021" s="9">
        <v>44943.430844907409</v>
      </c>
      <c r="V2021" s="12">
        <v>1</v>
      </c>
      <c r="W2021" s="9">
        <v>44946.430844907409</v>
      </c>
      <c r="X2021" s="9">
        <v>44949.430844907409</v>
      </c>
      <c r="Y2021" s="9">
        <v>44952.430844907409</v>
      </c>
      <c r="Z2021" s="5"/>
      <c r="AA2021" s="5"/>
      <c r="AB2021" s="13">
        <v>44973.430844907409</v>
      </c>
      <c r="AC2021">
        <f t="shared" si="280"/>
        <v>17</v>
      </c>
      <c r="AD2021">
        <f t="shared" si="281"/>
        <v>19</v>
      </c>
      <c r="AE2021">
        <f t="shared" si="282"/>
        <v>1</v>
      </c>
      <c r="AF2021">
        <f t="shared" si="283"/>
        <v>6</v>
      </c>
      <c r="AG2021">
        <f t="shared" si="284"/>
        <v>3</v>
      </c>
      <c r="AH2021">
        <f t="shared" si="285"/>
        <v>3</v>
      </c>
      <c r="AI2021" t="str">
        <f t="shared" si="286"/>
        <v/>
      </c>
      <c r="AJ2021" t="str">
        <f t="shared" si="287"/>
        <v/>
      </c>
    </row>
    <row r="2022" spans="1:36">
      <c r="A2022" s="5">
        <v>2472</v>
      </c>
      <c r="B2022" s="5" t="s">
        <v>1720</v>
      </c>
      <c r="C2022" s="5" t="s">
        <v>1540</v>
      </c>
      <c r="D2022" s="5" t="s">
        <v>1706</v>
      </c>
      <c r="E2022" s="5" t="s">
        <v>269</v>
      </c>
      <c r="F2022" s="5" t="str">
        <f t="shared" si="279"/>
        <v>Finance-Manager</v>
      </c>
      <c r="G2022" s="5" t="s">
        <v>270</v>
      </c>
      <c r="H2022" s="9">
        <v>44914.430844907409</v>
      </c>
      <c r="I2022" s="9">
        <v>44916.430844907409</v>
      </c>
      <c r="J2022" s="9" t="e">
        <f>I2022+#REF!</f>
        <v>#REF!</v>
      </c>
      <c r="K2022" s="9" t="e">
        <f>J2022+#REF!</f>
        <v>#REF!</v>
      </c>
      <c r="L2022" s="10" t="s">
        <v>41</v>
      </c>
      <c r="M2022" s="11">
        <v>44922.430844907409</v>
      </c>
      <c r="N2022" s="5" t="s">
        <v>42</v>
      </c>
      <c r="O2022" s="5" t="s">
        <v>113</v>
      </c>
      <c r="P2022" s="9"/>
      <c r="Q2022" s="5"/>
      <c r="R2022" s="5"/>
      <c r="S2022" s="5"/>
      <c r="T2022" s="9">
        <v>44926.430844907409</v>
      </c>
      <c r="U2022" s="5"/>
      <c r="V2022" s="5">
        <v>0</v>
      </c>
      <c r="W2022" s="5"/>
      <c r="X2022" s="5"/>
      <c r="Y2022" s="5"/>
      <c r="Z2022" s="5"/>
      <c r="AA2022" s="5" t="s">
        <v>62</v>
      </c>
      <c r="AC2022">
        <f t="shared" si="280"/>
        <v>6</v>
      </c>
      <c r="AD2022" t="str">
        <f t="shared" si="281"/>
        <v/>
      </c>
      <c r="AE2022">
        <f t="shared" si="282"/>
        <v>4</v>
      </c>
      <c r="AF2022" t="str">
        <f t="shared" si="283"/>
        <v/>
      </c>
      <c r="AG2022" t="str">
        <f t="shared" si="284"/>
        <v/>
      </c>
      <c r="AH2022">
        <f t="shared" si="285"/>
        <v>2</v>
      </c>
      <c r="AI2022" t="str">
        <f t="shared" si="286"/>
        <v/>
      </c>
      <c r="AJ2022" t="str">
        <f t="shared" si="287"/>
        <v/>
      </c>
    </row>
    <row r="2023" spans="1:36">
      <c r="A2023" s="5">
        <v>2473</v>
      </c>
      <c r="B2023" s="5" t="s">
        <v>1836</v>
      </c>
      <c r="C2023" s="5" t="s">
        <v>1540</v>
      </c>
      <c r="D2023" s="5" t="s">
        <v>1820</v>
      </c>
      <c r="E2023" s="5" t="s">
        <v>39</v>
      </c>
      <c r="F2023" s="5" t="str">
        <f t="shared" si="279"/>
        <v>Finance-Analyst</v>
      </c>
      <c r="G2023" s="5" t="s">
        <v>40</v>
      </c>
      <c r="H2023" s="9">
        <v>44914.430844907409</v>
      </c>
      <c r="I2023" s="9">
        <v>44916.430844907409</v>
      </c>
      <c r="J2023" s="9" t="e">
        <f>I2023+#REF!</f>
        <v>#REF!</v>
      </c>
      <c r="K2023" s="9" t="e">
        <f>J2023+#REF!</f>
        <v>#REF!</v>
      </c>
      <c r="L2023" s="10" t="s">
        <v>41</v>
      </c>
      <c r="M2023" s="11">
        <v>44926.430844907409</v>
      </c>
      <c r="N2023" s="5" t="s">
        <v>64</v>
      </c>
      <c r="O2023" s="5"/>
      <c r="P2023" s="9">
        <v>44933.430844907409</v>
      </c>
      <c r="Q2023" s="5" t="s">
        <v>64</v>
      </c>
      <c r="R2023" s="9">
        <v>44928.430844907409</v>
      </c>
      <c r="S2023" s="9">
        <v>44931.430844907409</v>
      </c>
      <c r="T2023" s="9">
        <v>44929.430844907409</v>
      </c>
      <c r="U2023" s="9">
        <v>44937.430844907409</v>
      </c>
      <c r="V2023" s="12">
        <v>1</v>
      </c>
      <c r="W2023" s="9">
        <v>44940.430844907409</v>
      </c>
      <c r="X2023" s="9">
        <v>44943.430844907409</v>
      </c>
      <c r="Y2023" s="9">
        <v>44946.430844907409</v>
      </c>
      <c r="Z2023" s="5"/>
      <c r="AA2023" s="5"/>
      <c r="AB2023" s="13">
        <v>44962.430844907409</v>
      </c>
      <c r="AC2023">
        <f t="shared" si="280"/>
        <v>10</v>
      </c>
      <c r="AD2023">
        <f t="shared" si="281"/>
        <v>15</v>
      </c>
      <c r="AE2023">
        <f t="shared" si="282"/>
        <v>3</v>
      </c>
      <c r="AF2023">
        <f t="shared" si="283"/>
        <v>6</v>
      </c>
      <c r="AG2023">
        <f t="shared" si="284"/>
        <v>3</v>
      </c>
      <c r="AH2023">
        <f t="shared" si="285"/>
        <v>2</v>
      </c>
      <c r="AI2023" t="str">
        <f t="shared" si="286"/>
        <v/>
      </c>
      <c r="AJ2023" t="str">
        <f t="shared" si="287"/>
        <v/>
      </c>
    </row>
    <row r="2024" spans="1:36">
      <c r="A2024" s="5">
        <v>2475</v>
      </c>
      <c r="B2024" s="5" t="s">
        <v>1995</v>
      </c>
      <c r="C2024" s="5" t="s">
        <v>1540</v>
      </c>
      <c r="D2024" s="5" t="s">
        <v>1985</v>
      </c>
      <c r="E2024" s="5" t="s">
        <v>1986</v>
      </c>
      <c r="F2024" s="5" t="str">
        <f t="shared" si="279"/>
        <v>Finance-Revenue Recorgnition</v>
      </c>
      <c r="G2024" s="5" t="s">
        <v>47</v>
      </c>
      <c r="H2024" s="9">
        <v>44915.430844907409</v>
      </c>
      <c r="I2024" s="9">
        <v>44917.430844907409</v>
      </c>
      <c r="J2024" s="9" t="e">
        <f>I2024+#REF!</f>
        <v>#REF!</v>
      </c>
      <c r="K2024" s="9" t="e">
        <f>J2024+#REF!</f>
        <v>#REF!</v>
      </c>
      <c r="L2024" s="10" t="s">
        <v>41</v>
      </c>
      <c r="M2024" s="11">
        <v>44926.430844907409</v>
      </c>
      <c r="N2024" s="5" t="s">
        <v>48</v>
      </c>
      <c r="O2024" s="5"/>
      <c r="P2024" s="9">
        <v>44929.430844907409</v>
      </c>
      <c r="Q2024" s="5" t="s">
        <v>48</v>
      </c>
      <c r="R2024" s="5"/>
      <c r="S2024" s="5"/>
      <c r="T2024" s="9">
        <v>44928.430844907409</v>
      </c>
      <c r="U2024" s="5"/>
      <c r="V2024" s="5">
        <v>0</v>
      </c>
      <c r="W2024" s="5"/>
      <c r="X2024" s="5"/>
      <c r="Y2024" s="5"/>
      <c r="Z2024" s="5"/>
      <c r="AA2024" s="5"/>
      <c r="AC2024">
        <f t="shared" si="280"/>
        <v>9</v>
      </c>
      <c r="AD2024" t="str">
        <f t="shared" si="281"/>
        <v/>
      </c>
      <c r="AE2024">
        <f t="shared" si="282"/>
        <v>2</v>
      </c>
      <c r="AF2024" t="str">
        <f t="shared" si="283"/>
        <v/>
      </c>
      <c r="AG2024" t="str">
        <f t="shared" si="284"/>
        <v/>
      </c>
      <c r="AH2024">
        <f t="shared" si="285"/>
        <v>2</v>
      </c>
      <c r="AI2024" t="str">
        <f t="shared" si="286"/>
        <v/>
      </c>
      <c r="AJ2024" t="str">
        <f t="shared" si="287"/>
        <v/>
      </c>
    </row>
    <row r="2025" spans="1:36">
      <c r="A2025" s="5">
        <v>2477</v>
      </c>
      <c r="B2025" s="5" t="s">
        <v>1835</v>
      </c>
      <c r="C2025" s="5" t="s">
        <v>1540</v>
      </c>
      <c r="D2025" s="5" t="s">
        <v>1820</v>
      </c>
      <c r="E2025" s="5" t="s">
        <v>39</v>
      </c>
      <c r="F2025" s="5" t="str">
        <f t="shared" si="279"/>
        <v>Finance-Analyst</v>
      </c>
      <c r="G2025" s="5" t="s">
        <v>40</v>
      </c>
      <c r="H2025" s="9">
        <v>44915.430844907409</v>
      </c>
      <c r="I2025" s="9">
        <v>44917.430844907409</v>
      </c>
      <c r="J2025" s="9" t="e">
        <f>I2025+#REF!</f>
        <v>#REF!</v>
      </c>
      <c r="K2025" s="9" t="e">
        <f>J2025+#REF!</f>
        <v>#REF!</v>
      </c>
      <c r="L2025" s="10" t="s">
        <v>41</v>
      </c>
      <c r="M2025" s="11">
        <v>44931.430844907409</v>
      </c>
      <c r="N2025" s="5" t="s">
        <v>48</v>
      </c>
      <c r="O2025" s="5"/>
      <c r="P2025" s="9">
        <v>44938.430844907409</v>
      </c>
      <c r="Q2025" s="5" t="s">
        <v>48</v>
      </c>
      <c r="R2025" s="5"/>
      <c r="S2025" s="5"/>
      <c r="T2025" s="9">
        <v>44934.430844907409</v>
      </c>
      <c r="U2025" s="5"/>
      <c r="V2025" s="5">
        <v>0</v>
      </c>
      <c r="W2025" s="5"/>
      <c r="X2025" s="5"/>
      <c r="Y2025" s="5"/>
      <c r="Z2025" s="5"/>
      <c r="AA2025" s="5"/>
      <c r="AC2025">
        <f t="shared" si="280"/>
        <v>14</v>
      </c>
      <c r="AD2025" t="str">
        <f t="shared" si="281"/>
        <v/>
      </c>
      <c r="AE2025">
        <f t="shared" si="282"/>
        <v>3</v>
      </c>
      <c r="AF2025" t="str">
        <f t="shared" si="283"/>
        <v/>
      </c>
      <c r="AG2025" t="str">
        <f t="shared" si="284"/>
        <v/>
      </c>
      <c r="AH2025">
        <f t="shared" si="285"/>
        <v>2</v>
      </c>
      <c r="AI2025" t="str">
        <f t="shared" si="286"/>
        <v/>
      </c>
      <c r="AJ2025" t="str">
        <f t="shared" si="287"/>
        <v/>
      </c>
    </row>
    <row r="2026" spans="1:36">
      <c r="A2026" s="5">
        <v>2479</v>
      </c>
      <c r="B2026" s="5" t="s">
        <v>1601</v>
      </c>
      <c r="C2026" s="5" t="s">
        <v>1540</v>
      </c>
      <c r="D2026" s="5" t="s">
        <v>1588</v>
      </c>
      <c r="E2026" s="5" t="s">
        <v>1360</v>
      </c>
      <c r="F2026" s="5" t="str">
        <f t="shared" si="279"/>
        <v>Finance-Fund Administrator</v>
      </c>
      <c r="G2026" s="5" t="s">
        <v>147</v>
      </c>
      <c r="H2026" s="9">
        <v>44915.430844907409</v>
      </c>
      <c r="I2026" s="9">
        <v>44918.430844907409</v>
      </c>
      <c r="J2026" s="9" t="e">
        <f>I2026+#REF!</f>
        <v>#REF!</v>
      </c>
      <c r="K2026" s="9" t="e">
        <f>J2026+#REF!</f>
        <v>#REF!</v>
      </c>
      <c r="L2026" s="10" t="s">
        <v>41</v>
      </c>
      <c r="M2026" s="11">
        <v>44928.430844907409</v>
      </c>
      <c r="N2026" s="5" t="s">
        <v>48</v>
      </c>
      <c r="O2026" s="5"/>
      <c r="P2026" s="9">
        <v>44934.430844907409</v>
      </c>
      <c r="Q2026" s="5" t="s">
        <v>48</v>
      </c>
      <c r="R2026" s="5"/>
      <c r="S2026" s="5"/>
      <c r="T2026" s="9">
        <v>44930.430844907409</v>
      </c>
      <c r="U2026" s="5"/>
      <c r="V2026" s="5">
        <v>0</v>
      </c>
      <c r="W2026" s="5"/>
      <c r="X2026" s="5"/>
      <c r="Y2026" s="5"/>
      <c r="Z2026" s="5"/>
      <c r="AA2026" s="5"/>
      <c r="AC2026">
        <f t="shared" si="280"/>
        <v>10</v>
      </c>
      <c r="AD2026" t="str">
        <f t="shared" si="281"/>
        <v/>
      </c>
      <c r="AE2026">
        <f t="shared" si="282"/>
        <v>2</v>
      </c>
      <c r="AF2026" t="str">
        <f t="shared" si="283"/>
        <v/>
      </c>
      <c r="AG2026" t="str">
        <f t="shared" si="284"/>
        <v/>
      </c>
      <c r="AH2026">
        <f t="shared" si="285"/>
        <v>3</v>
      </c>
      <c r="AI2026" t="str">
        <f t="shared" si="286"/>
        <v/>
      </c>
      <c r="AJ2026" t="str">
        <f t="shared" si="287"/>
        <v/>
      </c>
    </row>
    <row r="2027" spans="1:36">
      <c r="A2027" s="5">
        <v>2480</v>
      </c>
      <c r="B2027" s="5" t="s">
        <v>1719</v>
      </c>
      <c r="C2027" s="5" t="s">
        <v>1540</v>
      </c>
      <c r="D2027" s="5" t="s">
        <v>1706</v>
      </c>
      <c r="E2027" s="5" t="s">
        <v>269</v>
      </c>
      <c r="F2027" s="5" t="str">
        <f t="shared" si="279"/>
        <v>Finance-Manager</v>
      </c>
      <c r="G2027" s="5" t="s">
        <v>270</v>
      </c>
      <c r="H2027" s="9">
        <v>44915.430844907409</v>
      </c>
      <c r="I2027" s="9">
        <v>44916.430844907409</v>
      </c>
      <c r="J2027" s="9" t="e">
        <f>I2027+#REF!</f>
        <v>#REF!</v>
      </c>
      <c r="K2027" s="9" t="e">
        <f>J2027+#REF!</f>
        <v>#REF!</v>
      </c>
      <c r="L2027" s="10" t="s">
        <v>41</v>
      </c>
      <c r="M2027" s="11">
        <v>44936.430844907409</v>
      </c>
      <c r="N2027" s="5" t="s">
        <v>48</v>
      </c>
      <c r="O2027" s="5"/>
      <c r="P2027" s="9">
        <v>44939.430844907409</v>
      </c>
      <c r="Q2027" s="5" t="s">
        <v>48</v>
      </c>
      <c r="R2027" s="5"/>
      <c r="S2027" s="5"/>
      <c r="T2027" s="9">
        <v>44938.430844907409</v>
      </c>
      <c r="U2027" s="5"/>
      <c r="V2027" s="5">
        <v>0</v>
      </c>
      <c r="W2027" s="5"/>
      <c r="X2027" s="5"/>
      <c r="Y2027" s="5"/>
      <c r="Z2027" s="5"/>
      <c r="AA2027" s="5"/>
      <c r="AC2027">
        <f t="shared" si="280"/>
        <v>20</v>
      </c>
      <c r="AD2027" t="str">
        <f t="shared" si="281"/>
        <v/>
      </c>
      <c r="AE2027">
        <f t="shared" si="282"/>
        <v>2</v>
      </c>
      <c r="AF2027" t="str">
        <f t="shared" si="283"/>
        <v/>
      </c>
      <c r="AG2027" t="str">
        <f t="shared" si="284"/>
        <v/>
      </c>
      <c r="AH2027">
        <f t="shared" si="285"/>
        <v>1</v>
      </c>
      <c r="AI2027" t="str">
        <f t="shared" si="286"/>
        <v/>
      </c>
      <c r="AJ2027" t="str">
        <f t="shared" si="287"/>
        <v/>
      </c>
    </row>
    <row r="2028" spans="1:36">
      <c r="A2028" s="5">
        <v>2482</v>
      </c>
      <c r="B2028" s="5" t="s">
        <v>1340</v>
      </c>
      <c r="C2028" s="5" t="s">
        <v>1332</v>
      </c>
      <c r="D2028" s="5" t="s">
        <v>1333</v>
      </c>
      <c r="E2028" s="5" t="s">
        <v>102</v>
      </c>
      <c r="F2028" s="5" t="str">
        <f t="shared" si="279"/>
        <v>Fundraising-Senior Manager</v>
      </c>
      <c r="G2028" s="5" t="s">
        <v>103</v>
      </c>
      <c r="H2028" s="9">
        <v>44974.901273148149</v>
      </c>
      <c r="I2028" s="9">
        <v>44976.901273148149</v>
      </c>
      <c r="J2028" s="9" t="e">
        <f>I2028+#REF!</f>
        <v>#REF!</v>
      </c>
      <c r="K2028" s="9" t="e">
        <f>J2028+#REF!</f>
        <v>#REF!</v>
      </c>
      <c r="L2028" s="10" t="s">
        <v>41</v>
      </c>
      <c r="M2028" s="11">
        <v>44982.901273148149</v>
      </c>
      <c r="N2028" s="5" t="s">
        <v>42</v>
      </c>
      <c r="O2028" s="5" t="s">
        <v>58</v>
      </c>
      <c r="P2028" s="9"/>
      <c r="Q2028" s="5"/>
      <c r="R2028" s="5"/>
      <c r="S2028" s="5"/>
      <c r="T2028" s="9">
        <v>44984.901273148149</v>
      </c>
      <c r="U2028" s="5"/>
      <c r="V2028" s="5">
        <v>0</v>
      </c>
      <c r="W2028" s="5"/>
      <c r="X2028" s="5"/>
      <c r="Y2028" s="5"/>
      <c r="Z2028" s="5"/>
      <c r="AA2028" s="5" t="s">
        <v>44</v>
      </c>
      <c r="AC2028">
        <f t="shared" si="280"/>
        <v>6</v>
      </c>
      <c r="AD2028" t="str">
        <f t="shared" si="281"/>
        <v/>
      </c>
      <c r="AE2028">
        <f t="shared" si="282"/>
        <v>2</v>
      </c>
      <c r="AF2028" t="str">
        <f t="shared" si="283"/>
        <v/>
      </c>
      <c r="AG2028" t="str">
        <f t="shared" si="284"/>
        <v/>
      </c>
      <c r="AH2028">
        <f t="shared" si="285"/>
        <v>2</v>
      </c>
      <c r="AI2028" t="str">
        <f t="shared" si="286"/>
        <v/>
      </c>
      <c r="AJ2028" t="str">
        <f t="shared" si="287"/>
        <v/>
      </c>
    </row>
    <row r="2029" spans="1:36">
      <c r="A2029" s="5">
        <v>2484</v>
      </c>
      <c r="B2029" s="5" t="s">
        <v>1474</v>
      </c>
      <c r="C2029" s="5" t="s">
        <v>1332</v>
      </c>
      <c r="D2029" s="5" t="s">
        <v>1448</v>
      </c>
      <c r="E2029" s="5" t="s">
        <v>597</v>
      </c>
      <c r="F2029" s="5" t="str">
        <f t="shared" si="279"/>
        <v>Fundraising-Business Partner</v>
      </c>
      <c r="G2029" s="5" t="s">
        <v>40</v>
      </c>
      <c r="H2029" s="9">
        <v>44971.901273148149</v>
      </c>
      <c r="I2029" s="9">
        <v>44975.901273148149</v>
      </c>
      <c r="J2029" s="9" t="e">
        <f>I2029+#REF!</f>
        <v>#REF!</v>
      </c>
      <c r="K2029" s="9" t="e">
        <f>J2029+#REF!</f>
        <v>#REF!</v>
      </c>
      <c r="L2029" s="10" t="s">
        <v>41</v>
      </c>
      <c r="M2029" s="11">
        <v>44986.901273148149</v>
      </c>
      <c r="N2029" s="5" t="s">
        <v>64</v>
      </c>
      <c r="O2029" s="5"/>
      <c r="P2029" s="9">
        <v>44991.901273148149</v>
      </c>
      <c r="Q2029" s="5" t="s">
        <v>64</v>
      </c>
      <c r="R2029" s="9">
        <v>44988.901273148149</v>
      </c>
      <c r="S2029" s="9">
        <v>44989.901273148149</v>
      </c>
      <c r="T2029" s="9">
        <v>44987.901273148149</v>
      </c>
      <c r="U2029" s="9">
        <v>44996.901273148149</v>
      </c>
      <c r="V2029" s="12">
        <v>1</v>
      </c>
      <c r="W2029" s="9">
        <v>45000.901273148149</v>
      </c>
      <c r="X2029" s="9">
        <v>45003.901273148149</v>
      </c>
      <c r="Y2029" s="9">
        <v>45006.901273148149</v>
      </c>
      <c r="Z2029" s="5"/>
      <c r="AA2029" s="5"/>
      <c r="AB2029" s="13">
        <v>45026.901273148149</v>
      </c>
      <c r="AC2029">
        <f t="shared" si="280"/>
        <v>11</v>
      </c>
      <c r="AD2029">
        <f t="shared" si="281"/>
        <v>14</v>
      </c>
      <c r="AE2029">
        <f t="shared" si="282"/>
        <v>1</v>
      </c>
      <c r="AF2029">
        <f t="shared" si="283"/>
        <v>7</v>
      </c>
      <c r="AG2029">
        <f t="shared" si="284"/>
        <v>4</v>
      </c>
      <c r="AH2029">
        <f t="shared" si="285"/>
        <v>4</v>
      </c>
      <c r="AI2029" t="str">
        <f t="shared" si="286"/>
        <v/>
      </c>
      <c r="AJ2029" t="str">
        <f t="shared" si="287"/>
        <v/>
      </c>
    </row>
    <row r="2030" spans="1:36">
      <c r="A2030" s="5">
        <v>2486</v>
      </c>
      <c r="B2030" s="5" t="s">
        <v>1339</v>
      </c>
      <c r="C2030" s="5" t="s">
        <v>1332</v>
      </c>
      <c r="D2030" s="5" t="s">
        <v>1333</v>
      </c>
      <c r="E2030" s="5" t="s">
        <v>102</v>
      </c>
      <c r="F2030" s="5" t="str">
        <f t="shared" si="279"/>
        <v>Fundraising-Senior Manager</v>
      </c>
      <c r="G2030" s="5" t="s">
        <v>103</v>
      </c>
      <c r="H2030" s="9">
        <v>44972.901273148149</v>
      </c>
      <c r="I2030" s="9">
        <v>44975.901273148149</v>
      </c>
      <c r="J2030" s="9" t="e">
        <f>I2030+#REF!</f>
        <v>#REF!</v>
      </c>
      <c r="K2030" s="9" t="e">
        <f>J2030+#REF!</f>
        <v>#REF!</v>
      </c>
      <c r="L2030" s="10" t="s">
        <v>41</v>
      </c>
      <c r="M2030" s="11">
        <v>44981.901273148149</v>
      </c>
      <c r="N2030" s="5" t="s">
        <v>42</v>
      </c>
      <c r="O2030" s="5" t="s">
        <v>43</v>
      </c>
      <c r="P2030" s="9"/>
      <c r="Q2030" s="5"/>
      <c r="R2030" s="5"/>
      <c r="S2030" s="5"/>
      <c r="T2030" s="9">
        <v>44982.901273148149</v>
      </c>
      <c r="U2030" s="5"/>
      <c r="V2030" s="5">
        <v>0</v>
      </c>
      <c r="W2030" s="5"/>
      <c r="X2030" s="5"/>
      <c r="Y2030" s="5"/>
      <c r="Z2030" s="5"/>
      <c r="AA2030" s="5" t="s">
        <v>44</v>
      </c>
      <c r="AC2030">
        <f t="shared" si="280"/>
        <v>6</v>
      </c>
      <c r="AD2030" t="str">
        <f t="shared" si="281"/>
        <v/>
      </c>
      <c r="AE2030">
        <f t="shared" si="282"/>
        <v>1</v>
      </c>
      <c r="AF2030" t="str">
        <f t="shared" si="283"/>
        <v/>
      </c>
      <c r="AG2030" t="str">
        <f t="shared" si="284"/>
        <v/>
      </c>
      <c r="AH2030">
        <f t="shared" si="285"/>
        <v>3</v>
      </c>
      <c r="AI2030" t="str">
        <f t="shared" si="286"/>
        <v/>
      </c>
      <c r="AJ2030" t="str">
        <f t="shared" si="287"/>
        <v/>
      </c>
    </row>
    <row r="2031" spans="1:36">
      <c r="A2031" s="5">
        <v>2487</v>
      </c>
      <c r="B2031" s="5" t="s">
        <v>1473</v>
      </c>
      <c r="C2031" s="5" t="s">
        <v>1332</v>
      </c>
      <c r="D2031" s="5" t="s">
        <v>1448</v>
      </c>
      <c r="E2031" s="5" t="s">
        <v>597</v>
      </c>
      <c r="F2031" s="5" t="str">
        <f t="shared" si="279"/>
        <v>Fundraising-Business Partner</v>
      </c>
      <c r="G2031" s="5" t="s">
        <v>40</v>
      </c>
      <c r="H2031" s="9">
        <v>44972.901273148149</v>
      </c>
      <c r="I2031" s="9">
        <v>44973.901273148149</v>
      </c>
      <c r="J2031" s="9" t="e">
        <f>I2031+#REF!</f>
        <v>#REF!</v>
      </c>
      <c r="K2031" s="9" t="e">
        <f>J2031+#REF!</f>
        <v>#REF!</v>
      </c>
      <c r="L2031" s="10" t="s">
        <v>41</v>
      </c>
      <c r="M2031" s="11">
        <v>44981.901273148149</v>
      </c>
      <c r="N2031" s="5" t="s">
        <v>42</v>
      </c>
      <c r="O2031" s="5" t="s">
        <v>73</v>
      </c>
      <c r="P2031" s="9"/>
      <c r="Q2031" s="5"/>
      <c r="R2031" s="5"/>
      <c r="S2031" s="5"/>
      <c r="T2031" s="9"/>
      <c r="U2031" s="5"/>
      <c r="V2031" s="5">
        <v>0</v>
      </c>
      <c r="W2031" s="5"/>
      <c r="X2031" s="5"/>
      <c r="Y2031" s="5"/>
      <c r="Z2031" s="5"/>
      <c r="AA2031" s="5" t="s">
        <v>62</v>
      </c>
      <c r="AC2031">
        <f t="shared" si="280"/>
        <v>8</v>
      </c>
      <c r="AD2031" t="str">
        <f t="shared" si="281"/>
        <v/>
      </c>
      <c r="AE2031" t="str">
        <f t="shared" si="282"/>
        <v/>
      </c>
      <c r="AF2031" t="str">
        <f t="shared" si="283"/>
        <v/>
      </c>
      <c r="AG2031" t="str">
        <f t="shared" si="284"/>
        <v/>
      </c>
      <c r="AH2031">
        <f t="shared" si="285"/>
        <v>1</v>
      </c>
      <c r="AI2031" t="str">
        <f t="shared" si="286"/>
        <v/>
      </c>
      <c r="AJ2031" t="str">
        <f t="shared" si="287"/>
        <v/>
      </c>
    </row>
    <row r="2032" spans="1:36">
      <c r="A2032" s="5">
        <v>2489</v>
      </c>
      <c r="B2032" s="5" t="s">
        <v>1472</v>
      </c>
      <c r="C2032" s="5" t="s">
        <v>1332</v>
      </c>
      <c r="D2032" s="5" t="s">
        <v>1448</v>
      </c>
      <c r="E2032" s="5" t="s">
        <v>597</v>
      </c>
      <c r="F2032" s="5" t="str">
        <f t="shared" si="279"/>
        <v>Fundraising-Business Partner</v>
      </c>
      <c r="G2032" s="5" t="s">
        <v>40</v>
      </c>
      <c r="H2032" s="9">
        <v>44970.901273148149</v>
      </c>
      <c r="I2032" s="9">
        <v>44973.901273148149</v>
      </c>
      <c r="J2032" s="9" t="e">
        <f>I2032+#REF!</f>
        <v>#REF!</v>
      </c>
      <c r="K2032" s="9" t="e">
        <f>J2032+#REF!</f>
        <v>#REF!</v>
      </c>
      <c r="L2032" s="10" t="s">
        <v>41</v>
      </c>
      <c r="M2032" s="11">
        <v>44978.901273148149</v>
      </c>
      <c r="N2032" s="5" t="s">
        <v>48</v>
      </c>
      <c r="O2032" s="5"/>
      <c r="P2032" s="9">
        <v>44986.901273148149</v>
      </c>
      <c r="Q2032" s="5" t="s">
        <v>48</v>
      </c>
      <c r="R2032" s="5"/>
      <c r="S2032" s="5"/>
      <c r="T2032" s="9">
        <v>44982.901273148149</v>
      </c>
      <c r="U2032" s="5"/>
      <c r="V2032" s="5">
        <v>0</v>
      </c>
      <c r="W2032" s="5"/>
      <c r="X2032" s="5"/>
      <c r="Y2032" s="5"/>
      <c r="Z2032" s="5"/>
      <c r="AA2032" s="5"/>
      <c r="AC2032">
        <f t="shared" si="280"/>
        <v>5</v>
      </c>
      <c r="AD2032" t="str">
        <f t="shared" si="281"/>
        <v/>
      </c>
      <c r="AE2032">
        <f t="shared" si="282"/>
        <v>4</v>
      </c>
      <c r="AF2032" t="str">
        <f t="shared" si="283"/>
        <v/>
      </c>
      <c r="AG2032" t="str">
        <f t="shared" si="284"/>
        <v/>
      </c>
      <c r="AH2032">
        <f t="shared" si="285"/>
        <v>3</v>
      </c>
      <c r="AI2032" t="str">
        <f t="shared" si="286"/>
        <v/>
      </c>
      <c r="AJ2032" t="str">
        <f t="shared" si="287"/>
        <v/>
      </c>
    </row>
    <row r="2033" spans="1:36">
      <c r="A2033" s="5">
        <v>2490</v>
      </c>
      <c r="B2033" s="5" t="s">
        <v>1513</v>
      </c>
      <c r="C2033" s="5" t="s">
        <v>1332</v>
      </c>
      <c r="D2033" s="5" t="s">
        <v>1500</v>
      </c>
      <c r="E2033" s="5" t="s">
        <v>39</v>
      </c>
      <c r="F2033" s="5" t="str">
        <f t="shared" si="279"/>
        <v>Fundraising-Analyst</v>
      </c>
      <c r="G2033" s="5" t="s">
        <v>47</v>
      </c>
      <c r="H2033" s="9">
        <v>44971.901273148149</v>
      </c>
      <c r="I2033" s="9">
        <v>44975.901273148149</v>
      </c>
      <c r="J2033" s="9" t="e">
        <f>I2033+#REF!</f>
        <v>#REF!</v>
      </c>
      <c r="K2033" s="9" t="e">
        <f>J2033+#REF!</f>
        <v>#REF!</v>
      </c>
      <c r="L2033" s="10" t="s">
        <v>41</v>
      </c>
      <c r="M2033" s="11">
        <v>44991.901273148149</v>
      </c>
      <c r="N2033" s="5" t="s">
        <v>42</v>
      </c>
      <c r="O2033" s="5" t="s">
        <v>43</v>
      </c>
      <c r="P2033" s="9"/>
      <c r="Q2033" s="5"/>
      <c r="R2033" s="5"/>
      <c r="S2033" s="5"/>
      <c r="T2033" s="9"/>
      <c r="U2033" s="5"/>
      <c r="V2033" s="5">
        <v>0</v>
      </c>
      <c r="W2033" s="5"/>
      <c r="X2033" s="5"/>
      <c r="Y2033" s="5"/>
      <c r="Z2033" s="5"/>
      <c r="AA2033" s="5" t="s">
        <v>62</v>
      </c>
      <c r="AC2033">
        <f t="shared" si="280"/>
        <v>16</v>
      </c>
      <c r="AD2033" t="str">
        <f t="shared" si="281"/>
        <v/>
      </c>
      <c r="AE2033" t="str">
        <f t="shared" si="282"/>
        <v/>
      </c>
      <c r="AF2033" t="str">
        <f t="shared" si="283"/>
        <v/>
      </c>
      <c r="AG2033" t="str">
        <f t="shared" si="284"/>
        <v/>
      </c>
      <c r="AH2033">
        <f t="shared" si="285"/>
        <v>4</v>
      </c>
      <c r="AI2033" t="str">
        <f t="shared" si="286"/>
        <v/>
      </c>
      <c r="AJ2033" t="str">
        <f t="shared" si="287"/>
        <v/>
      </c>
    </row>
    <row r="2034" spans="1:36">
      <c r="A2034" s="5">
        <v>2491</v>
      </c>
      <c r="B2034" s="5" t="s">
        <v>1062</v>
      </c>
      <c r="C2034" s="5" t="s">
        <v>796</v>
      </c>
      <c r="D2034" s="5" t="s">
        <v>1046</v>
      </c>
      <c r="E2034" s="5" t="s">
        <v>473</v>
      </c>
      <c r="F2034" s="5" t="str">
        <f t="shared" si="279"/>
        <v>M and E-Officer</v>
      </c>
      <c r="G2034" s="5" t="s">
        <v>47</v>
      </c>
      <c r="H2034" s="9">
        <v>44587.546469907407</v>
      </c>
      <c r="I2034" s="9">
        <v>44591.546469907407</v>
      </c>
      <c r="J2034" s="9" t="e">
        <f>I2034+#REF!</f>
        <v>#REF!</v>
      </c>
      <c r="K2034" s="9" t="e">
        <f>J2034+#REF!</f>
        <v>#REF!</v>
      </c>
      <c r="L2034" s="10" t="s">
        <v>41</v>
      </c>
      <c r="M2034" s="11">
        <v>44605.546469907407</v>
      </c>
      <c r="N2034" s="5" t="s">
        <v>42</v>
      </c>
      <c r="O2034" s="5" t="s">
        <v>113</v>
      </c>
      <c r="P2034" s="9"/>
      <c r="Q2034" s="5"/>
      <c r="R2034" s="5"/>
      <c r="S2034" s="5"/>
      <c r="T2034" s="9">
        <v>44608.546469907407</v>
      </c>
      <c r="U2034" s="5"/>
      <c r="V2034" s="5">
        <v>0</v>
      </c>
      <c r="W2034" s="5"/>
      <c r="X2034" s="5"/>
      <c r="Y2034" s="5"/>
      <c r="Z2034" s="5"/>
      <c r="AA2034" s="5" t="s">
        <v>44</v>
      </c>
      <c r="AC2034">
        <f t="shared" si="280"/>
        <v>14</v>
      </c>
      <c r="AD2034" t="str">
        <f t="shared" si="281"/>
        <v/>
      </c>
      <c r="AE2034">
        <f t="shared" si="282"/>
        <v>3</v>
      </c>
      <c r="AF2034" t="str">
        <f t="shared" si="283"/>
        <v/>
      </c>
      <c r="AG2034" t="str">
        <f t="shared" si="284"/>
        <v/>
      </c>
      <c r="AH2034">
        <f t="shared" si="285"/>
        <v>4</v>
      </c>
      <c r="AI2034" t="str">
        <f t="shared" si="286"/>
        <v/>
      </c>
      <c r="AJ2034" t="str">
        <f t="shared" si="287"/>
        <v/>
      </c>
    </row>
    <row r="2035" spans="1:36">
      <c r="A2035" s="5">
        <v>2492</v>
      </c>
      <c r="B2035" s="5" t="s">
        <v>974</v>
      </c>
      <c r="C2035" s="5" t="s">
        <v>796</v>
      </c>
      <c r="D2035" s="5" t="s">
        <v>957</v>
      </c>
      <c r="E2035" s="5" t="s">
        <v>388</v>
      </c>
      <c r="F2035" s="5" t="str">
        <f t="shared" si="279"/>
        <v>M and E-Extension Officer</v>
      </c>
      <c r="G2035" s="5" t="s">
        <v>40</v>
      </c>
      <c r="H2035" s="9">
        <v>44591.546469907407</v>
      </c>
      <c r="I2035" s="9">
        <v>44593.546469907407</v>
      </c>
      <c r="J2035" s="9" t="e">
        <f>I2035+#REF!</f>
        <v>#REF!</v>
      </c>
      <c r="K2035" s="9" t="e">
        <f>J2035+#REF!</f>
        <v>#REF!</v>
      </c>
      <c r="L2035" s="10" t="s">
        <v>41</v>
      </c>
      <c r="M2035" s="11">
        <v>44604.546469907407</v>
      </c>
      <c r="N2035" s="5" t="s">
        <v>64</v>
      </c>
      <c r="O2035" s="5"/>
      <c r="P2035" s="9">
        <v>44609.546469907407</v>
      </c>
      <c r="Q2035" s="5" t="s">
        <v>64</v>
      </c>
      <c r="R2035" s="9">
        <v>44606.546469907407</v>
      </c>
      <c r="S2035" s="9">
        <v>44607.546469907407</v>
      </c>
      <c r="T2035" s="9">
        <v>44608.546469907407</v>
      </c>
      <c r="U2035" s="9">
        <v>44613.546469907407</v>
      </c>
      <c r="V2035" s="12">
        <v>1</v>
      </c>
      <c r="W2035" s="9">
        <v>44616.546469907407</v>
      </c>
      <c r="X2035" s="9">
        <v>44617.546469907407</v>
      </c>
      <c r="Y2035" s="9">
        <v>44618.546469907407</v>
      </c>
      <c r="Z2035" s="5"/>
      <c r="AA2035" s="5"/>
      <c r="AB2035" s="13">
        <v>44638.546469907407</v>
      </c>
      <c r="AC2035">
        <f t="shared" si="280"/>
        <v>11</v>
      </c>
      <c r="AD2035">
        <f t="shared" si="281"/>
        <v>14</v>
      </c>
      <c r="AE2035">
        <f t="shared" si="282"/>
        <v>4</v>
      </c>
      <c r="AF2035">
        <f t="shared" si="283"/>
        <v>4</v>
      </c>
      <c r="AG2035">
        <f t="shared" si="284"/>
        <v>3</v>
      </c>
      <c r="AH2035">
        <f t="shared" si="285"/>
        <v>2</v>
      </c>
      <c r="AI2035" t="str">
        <f t="shared" si="286"/>
        <v/>
      </c>
      <c r="AJ2035" t="str">
        <f t="shared" si="287"/>
        <v/>
      </c>
    </row>
    <row r="2036" spans="1:36">
      <c r="A2036" s="5">
        <v>2493</v>
      </c>
      <c r="B2036" s="5" t="s">
        <v>1061</v>
      </c>
      <c r="C2036" s="5" t="s">
        <v>796</v>
      </c>
      <c r="D2036" s="5" t="s">
        <v>1046</v>
      </c>
      <c r="E2036" s="5" t="s">
        <v>473</v>
      </c>
      <c r="F2036" s="5" t="str">
        <f t="shared" si="279"/>
        <v>M and E-Officer</v>
      </c>
      <c r="G2036" s="5" t="s">
        <v>47</v>
      </c>
      <c r="H2036" s="9">
        <v>44589.546469907407</v>
      </c>
      <c r="I2036" s="9">
        <v>44593.546469907407</v>
      </c>
      <c r="J2036" s="9" t="e">
        <f>I2036+#REF!</f>
        <v>#REF!</v>
      </c>
      <c r="K2036" s="9" t="e">
        <f>J2036+#REF!</f>
        <v>#REF!</v>
      </c>
      <c r="L2036" s="10" t="s">
        <v>41</v>
      </c>
      <c r="M2036" s="11">
        <v>44604.546469907407</v>
      </c>
      <c r="N2036" s="5" t="s">
        <v>42</v>
      </c>
      <c r="O2036" s="5" t="s">
        <v>58</v>
      </c>
      <c r="P2036" s="9"/>
      <c r="Q2036" s="5"/>
      <c r="R2036" s="5"/>
      <c r="S2036" s="5"/>
      <c r="T2036" s="9">
        <v>44608.546469907407</v>
      </c>
      <c r="U2036" s="5"/>
      <c r="V2036" s="5">
        <v>0</v>
      </c>
      <c r="W2036" s="5"/>
      <c r="X2036" s="5"/>
      <c r="Y2036" s="5"/>
      <c r="Z2036" s="5"/>
      <c r="AA2036" s="5" t="s">
        <v>62</v>
      </c>
      <c r="AC2036">
        <f t="shared" si="280"/>
        <v>11</v>
      </c>
      <c r="AD2036" t="str">
        <f t="shared" si="281"/>
        <v/>
      </c>
      <c r="AE2036">
        <f t="shared" si="282"/>
        <v>4</v>
      </c>
      <c r="AF2036" t="str">
        <f t="shared" si="283"/>
        <v/>
      </c>
      <c r="AG2036" t="str">
        <f t="shared" si="284"/>
        <v/>
      </c>
      <c r="AH2036">
        <f t="shared" si="285"/>
        <v>4</v>
      </c>
      <c r="AI2036" t="str">
        <f t="shared" si="286"/>
        <v/>
      </c>
      <c r="AJ2036" t="str">
        <f t="shared" si="287"/>
        <v/>
      </c>
    </row>
    <row r="2037" spans="1:36">
      <c r="A2037" s="5">
        <v>2494</v>
      </c>
      <c r="B2037" s="5" t="s">
        <v>831</v>
      </c>
      <c r="C2037" s="5" t="s">
        <v>796</v>
      </c>
      <c r="D2037" s="5" t="s">
        <v>814</v>
      </c>
      <c r="E2037" s="5" t="s">
        <v>815</v>
      </c>
      <c r="F2037" s="5" t="str">
        <f t="shared" si="279"/>
        <v>M and E-Auditor</v>
      </c>
      <c r="G2037" s="5" t="s">
        <v>147</v>
      </c>
      <c r="H2037" s="9">
        <v>44593.546469907407</v>
      </c>
      <c r="I2037" s="9">
        <v>44594.546469907407</v>
      </c>
      <c r="J2037" s="9" t="e">
        <f>I2037+#REF!</f>
        <v>#REF!</v>
      </c>
      <c r="K2037" s="9" t="e">
        <f>J2037+#REF!</f>
        <v>#REF!</v>
      </c>
      <c r="L2037" s="10" t="s">
        <v>52</v>
      </c>
      <c r="M2037" s="11"/>
      <c r="N2037" s="5"/>
      <c r="O2037" s="5"/>
      <c r="P2037" s="9"/>
      <c r="Q2037" s="5"/>
      <c r="R2037" s="5"/>
      <c r="S2037" s="5"/>
      <c r="T2037" s="9"/>
      <c r="U2037" s="5"/>
      <c r="V2037" s="5">
        <v>0</v>
      </c>
      <c r="W2037" s="5"/>
      <c r="X2037" s="5"/>
      <c r="Y2037" s="5"/>
      <c r="Z2037" s="5"/>
      <c r="AA2037" s="5"/>
      <c r="AC2037" t="str">
        <f t="shared" si="280"/>
        <v/>
      </c>
      <c r="AD2037" t="str">
        <f t="shared" si="281"/>
        <v/>
      </c>
      <c r="AE2037" t="str">
        <f t="shared" si="282"/>
        <v/>
      </c>
      <c r="AF2037" t="str">
        <f t="shared" si="283"/>
        <v/>
      </c>
      <c r="AG2037" t="str">
        <f t="shared" si="284"/>
        <v/>
      </c>
      <c r="AH2037">
        <f t="shared" si="285"/>
        <v>1</v>
      </c>
      <c r="AI2037" t="str">
        <f t="shared" si="286"/>
        <v/>
      </c>
      <c r="AJ2037" t="str">
        <f t="shared" si="287"/>
        <v/>
      </c>
    </row>
    <row r="2038" spans="1:36">
      <c r="A2038" s="5">
        <v>2496</v>
      </c>
      <c r="B2038" s="5" t="s">
        <v>973</v>
      </c>
      <c r="C2038" s="5" t="s">
        <v>796</v>
      </c>
      <c r="D2038" s="5" t="s">
        <v>957</v>
      </c>
      <c r="E2038" s="5" t="s">
        <v>388</v>
      </c>
      <c r="F2038" s="5" t="str">
        <f t="shared" si="279"/>
        <v>M and E-Extension Officer</v>
      </c>
      <c r="G2038" s="5" t="s">
        <v>40</v>
      </c>
      <c r="H2038" s="9">
        <v>44589.546469907407</v>
      </c>
      <c r="I2038" s="9">
        <v>44592.546469907407</v>
      </c>
      <c r="J2038" s="9" t="e">
        <f>I2038+#REF!</f>
        <v>#REF!</v>
      </c>
      <c r="K2038" s="9" t="e">
        <f>J2038+#REF!</f>
        <v>#REF!</v>
      </c>
      <c r="L2038" s="10" t="s">
        <v>41</v>
      </c>
      <c r="M2038" s="11">
        <v>44603.546469907407</v>
      </c>
      <c r="N2038" s="5" t="s">
        <v>42</v>
      </c>
      <c r="O2038" s="5" t="s">
        <v>73</v>
      </c>
      <c r="P2038" s="9"/>
      <c r="Q2038" s="5"/>
      <c r="R2038" s="5"/>
      <c r="S2038" s="5"/>
      <c r="T2038" s="9"/>
      <c r="U2038" s="5"/>
      <c r="V2038" s="5">
        <v>0</v>
      </c>
      <c r="W2038" s="5"/>
      <c r="X2038" s="5"/>
      <c r="Y2038" s="5"/>
      <c r="Z2038" s="5"/>
      <c r="AA2038" s="5" t="s">
        <v>44</v>
      </c>
      <c r="AC2038">
        <f t="shared" si="280"/>
        <v>11</v>
      </c>
      <c r="AD2038" t="str">
        <f t="shared" si="281"/>
        <v/>
      </c>
      <c r="AE2038" t="str">
        <f t="shared" si="282"/>
        <v/>
      </c>
      <c r="AF2038" t="str">
        <f t="shared" si="283"/>
        <v/>
      </c>
      <c r="AG2038" t="str">
        <f t="shared" si="284"/>
        <v/>
      </c>
      <c r="AH2038">
        <f t="shared" si="285"/>
        <v>3</v>
      </c>
      <c r="AI2038" t="str">
        <f t="shared" si="286"/>
        <v/>
      </c>
      <c r="AJ2038" t="str">
        <f t="shared" si="287"/>
        <v/>
      </c>
    </row>
    <row r="2039" spans="1:36">
      <c r="A2039" s="5">
        <v>2497</v>
      </c>
      <c r="B2039" s="5" t="s">
        <v>1060</v>
      </c>
      <c r="C2039" s="5" t="s">
        <v>796</v>
      </c>
      <c r="D2039" s="5" t="s">
        <v>1046</v>
      </c>
      <c r="E2039" s="5" t="s">
        <v>473</v>
      </c>
      <c r="F2039" s="5" t="str">
        <f t="shared" si="279"/>
        <v>M and E-Officer</v>
      </c>
      <c r="G2039" s="5" t="s">
        <v>47</v>
      </c>
      <c r="H2039" s="9">
        <v>44592.546469907407</v>
      </c>
      <c r="I2039" s="9">
        <v>44593.546469907407</v>
      </c>
      <c r="J2039" s="9" t="e">
        <f>I2039+#REF!</f>
        <v>#REF!</v>
      </c>
      <c r="K2039" s="9" t="e">
        <f>J2039+#REF!</f>
        <v>#REF!</v>
      </c>
      <c r="L2039" s="10" t="s">
        <v>41</v>
      </c>
      <c r="M2039" s="11">
        <v>44608.546469907407</v>
      </c>
      <c r="N2039" s="5" t="s">
        <v>42</v>
      </c>
      <c r="O2039" s="5" t="s">
        <v>98</v>
      </c>
      <c r="P2039" s="9"/>
      <c r="Q2039" s="5"/>
      <c r="R2039" s="5"/>
      <c r="S2039" s="5"/>
      <c r="T2039" s="9">
        <v>44612.546469907407</v>
      </c>
      <c r="U2039" s="5"/>
      <c r="V2039" s="5">
        <v>0</v>
      </c>
      <c r="W2039" s="5"/>
      <c r="X2039" s="5"/>
      <c r="Y2039" s="5"/>
      <c r="Z2039" s="5"/>
      <c r="AA2039" s="5" t="s">
        <v>44</v>
      </c>
      <c r="AC2039">
        <f t="shared" si="280"/>
        <v>15</v>
      </c>
      <c r="AD2039" t="str">
        <f t="shared" si="281"/>
        <v/>
      </c>
      <c r="AE2039">
        <f t="shared" si="282"/>
        <v>4</v>
      </c>
      <c r="AF2039" t="str">
        <f t="shared" si="283"/>
        <v/>
      </c>
      <c r="AG2039" t="str">
        <f t="shared" si="284"/>
        <v/>
      </c>
      <c r="AH2039">
        <f t="shared" si="285"/>
        <v>1</v>
      </c>
      <c r="AI2039" t="str">
        <f t="shared" si="286"/>
        <v/>
      </c>
      <c r="AJ2039" t="str">
        <f t="shared" si="287"/>
        <v/>
      </c>
    </row>
    <row r="2040" spans="1:36">
      <c r="A2040" s="5">
        <v>2498</v>
      </c>
      <c r="B2040" s="5" t="s">
        <v>830</v>
      </c>
      <c r="C2040" s="5" t="s">
        <v>796</v>
      </c>
      <c r="D2040" s="5" t="s">
        <v>814</v>
      </c>
      <c r="E2040" s="5" t="s">
        <v>815</v>
      </c>
      <c r="F2040" s="5" t="str">
        <f t="shared" si="279"/>
        <v>M and E-Auditor</v>
      </c>
      <c r="G2040" s="5" t="s">
        <v>147</v>
      </c>
      <c r="H2040" s="9">
        <v>44592.546469907407</v>
      </c>
      <c r="I2040" s="9">
        <v>44593.546469907407</v>
      </c>
      <c r="J2040" s="9" t="e">
        <f>I2040+#REF!</f>
        <v>#REF!</v>
      </c>
      <c r="K2040" s="9" t="e">
        <f>J2040+#REF!</f>
        <v>#REF!</v>
      </c>
      <c r="L2040" s="10" t="s">
        <v>41</v>
      </c>
      <c r="M2040" s="11">
        <v>44599.546469907407</v>
      </c>
      <c r="N2040" s="5" t="s">
        <v>42</v>
      </c>
      <c r="O2040" s="5" t="s">
        <v>98</v>
      </c>
      <c r="P2040" s="9"/>
      <c r="Q2040" s="5"/>
      <c r="R2040" s="5"/>
      <c r="S2040" s="5"/>
      <c r="T2040" s="9"/>
      <c r="U2040" s="5"/>
      <c r="V2040" s="5">
        <v>0</v>
      </c>
      <c r="W2040" s="5"/>
      <c r="X2040" s="5"/>
      <c r="Y2040" s="5"/>
      <c r="Z2040" s="5"/>
      <c r="AA2040" s="5" t="s">
        <v>62</v>
      </c>
      <c r="AC2040">
        <f t="shared" si="280"/>
        <v>6</v>
      </c>
      <c r="AD2040" t="str">
        <f t="shared" si="281"/>
        <v/>
      </c>
      <c r="AE2040" t="str">
        <f t="shared" si="282"/>
        <v/>
      </c>
      <c r="AF2040" t="str">
        <f t="shared" si="283"/>
        <v/>
      </c>
      <c r="AG2040" t="str">
        <f t="shared" si="284"/>
        <v/>
      </c>
      <c r="AH2040">
        <f t="shared" si="285"/>
        <v>1</v>
      </c>
      <c r="AI2040" t="str">
        <f t="shared" si="286"/>
        <v/>
      </c>
      <c r="AJ2040" t="str">
        <f t="shared" si="287"/>
        <v/>
      </c>
    </row>
    <row r="2041" spans="1:36">
      <c r="A2041" s="5">
        <v>2499</v>
      </c>
      <c r="B2041" s="5" t="s">
        <v>829</v>
      </c>
      <c r="C2041" s="5" t="s">
        <v>796</v>
      </c>
      <c r="D2041" s="5" t="s">
        <v>814</v>
      </c>
      <c r="E2041" s="5" t="s">
        <v>815</v>
      </c>
      <c r="F2041" s="5" t="str">
        <f t="shared" si="279"/>
        <v>M and E-Auditor</v>
      </c>
      <c r="G2041" s="5" t="s">
        <v>147</v>
      </c>
      <c r="H2041" s="9">
        <v>44590.546469907407</v>
      </c>
      <c r="I2041" s="9">
        <v>44593.546469907407</v>
      </c>
      <c r="J2041" s="9" t="e">
        <f>I2041+#REF!</f>
        <v>#REF!</v>
      </c>
      <c r="K2041" s="9" t="e">
        <f>J2041+#REF!</f>
        <v>#REF!</v>
      </c>
      <c r="L2041" s="10" t="s">
        <v>41</v>
      </c>
      <c r="M2041" s="11">
        <v>44609.546469907407</v>
      </c>
      <c r="N2041" s="5" t="s">
        <v>64</v>
      </c>
      <c r="O2041" s="5"/>
      <c r="P2041" s="9">
        <v>44613.546469907407</v>
      </c>
      <c r="Q2041" s="5" t="s">
        <v>64</v>
      </c>
      <c r="R2041" s="9">
        <v>44611.546469907407</v>
      </c>
      <c r="S2041" s="9">
        <v>44613.546469907407</v>
      </c>
      <c r="T2041" s="9">
        <v>44610.546469907407</v>
      </c>
      <c r="U2041" s="9">
        <v>44611.546469907407</v>
      </c>
      <c r="V2041" s="12">
        <v>1</v>
      </c>
      <c r="W2041" s="9">
        <v>44612.546469907407</v>
      </c>
      <c r="X2041" s="9">
        <v>44613.546469907407</v>
      </c>
      <c r="Y2041" s="9">
        <v>44614.546469907407</v>
      </c>
      <c r="Z2041" s="5"/>
      <c r="AA2041" s="5"/>
      <c r="AB2041" s="13">
        <v>44634.546469907407</v>
      </c>
      <c r="AC2041">
        <f t="shared" si="280"/>
        <v>16</v>
      </c>
      <c r="AD2041">
        <f t="shared" si="281"/>
        <v>20</v>
      </c>
      <c r="AE2041">
        <f t="shared" si="282"/>
        <v>1</v>
      </c>
      <c r="AF2041">
        <f t="shared" si="283"/>
        <v>2</v>
      </c>
      <c r="AG2041">
        <f t="shared" si="284"/>
        <v>1</v>
      </c>
      <c r="AH2041">
        <f t="shared" si="285"/>
        <v>3</v>
      </c>
      <c r="AI2041" t="str">
        <f t="shared" si="286"/>
        <v/>
      </c>
      <c r="AJ2041" t="str">
        <f t="shared" si="287"/>
        <v/>
      </c>
    </row>
    <row r="2042" spans="1:36">
      <c r="A2042" s="5">
        <v>2501</v>
      </c>
      <c r="B2042" s="5" t="s">
        <v>1994</v>
      </c>
      <c r="C2042" s="5" t="s">
        <v>1540</v>
      </c>
      <c r="D2042" s="5" t="s">
        <v>1985</v>
      </c>
      <c r="E2042" s="5" t="s">
        <v>1986</v>
      </c>
      <c r="F2042" s="5" t="str">
        <f t="shared" si="279"/>
        <v>Finance-Revenue Recorgnition</v>
      </c>
      <c r="G2042" s="5" t="s">
        <v>47</v>
      </c>
      <c r="H2042" s="9">
        <v>44734.776979166665</v>
      </c>
      <c r="I2042" s="9">
        <v>44738.776979166665</v>
      </c>
      <c r="J2042" s="9" t="e">
        <f>I2042+#REF!</f>
        <v>#REF!</v>
      </c>
      <c r="K2042" s="9" t="e">
        <f>J2042+#REF!</f>
        <v>#REF!</v>
      </c>
      <c r="L2042" s="10" t="s">
        <v>41</v>
      </c>
      <c r="M2042" s="11">
        <v>44751.776979166665</v>
      </c>
      <c r="N2042" s="5" t="s">
        <v>42</v>
      </c>
      <c r="O2042" s="5" t="s">
        <v>58</v>
      </c>
      <c r="P2042" s="9"/>
      <c r="Q2042" s="5"/>
      <c r="R2042" s="5"/>
      <c r="S2042" s="5"/>
      <c r="T2042" s="9">
        <v>44754.776979166665</v>
      </c>
      <c r="U2042" s="5"/>
      <c r="V2042" s="5">
        <v>0</v>
      </c>
      <c r="W2042" s="5"/>
      <c r="X2042" s="5"/>
      <c r="Y2042" s="5"/>
      <c r="Z2042" s="5"/>
      <c r="AA2042" s="5" t="s">
        <v>62</v>
      </c>
      <c r="AC2042">
        <f t="shared" si="280"/>
        <v>13</v>
      </c>
      <c r="AD2042" t="str">
        <f t="shared" si="281"/>
        <v/>
      </c>
      <c r="AE2042">
        <f t="shared" si="282"/>
        <v>3</v>
      </c>
      <c r="AF2042" t="str">
        <f t="shared" si="283"/>
        <v/>
      </c>
      <c r="AG2042" t="str">
        <f t="shared" si="284"/>
        <v/>
      </c>
      <c r="AH2042">
        <f t="shared" si="285"/>
        <v>4</v>
      </c>
      <c r="AI2042" t="str">
        <f t="shared" si="286"/>
        <v/>
      </c>
      <c r="AJ2042" t="str">
        <f t="shared" si="287"/>
        <v/>
      </c>
    </row>
    <row r="2043" spans="1:36">
      <c r="A2043" s="5">
        <v>2502</v>
      </c>
      <c r="B2043" s="5" t="s">
        <v>1718</v>
      </c>
      <c r="C2043" s="5" t="s">
        <v>1540</v>
      </c>
      <c r="D2043" s="5" t="s">
        <v>1706</v>
      </c>
      <c r="E2043" s="5" t="s">
        <v>269</v>
      </c>
      <c r="F2043" s="5" t="str">
        <f t="shared" si="279"/>
        <v>Finance-Manager</v>
      </c>
      <c r="G2043" s="5" t="s">
        <v>270</v>
      </c>
      <c r="H2043" s="9">
        <v>44740.776979166665</v>
      </c>
      <c r="I2043" s="9">
        <v>44742.776979166665</v>
      </c>
      <c r="J2043" s="9" t="e">
        <f>I2043+#REF!</f>
        <v>#REF!</v>
      </c>
      <c r="K2043" s="9" t="e">
        <f>J2043+#REF!</f>
        <v>#REF!</v>
      </c>
      <c r="L2043" s="10" t="s">
        <v>41</v>
      </c>
      <c r="M2043" s="11">
        <v>44754.776979166665</v>
      </c>
      <c r="N2043" s="5" t="s">
        <v>42</v>
      </c>
      <c r="O2043" s="5" t="s">
        <v>58</v>
      </c>
      <c r="P2043" s="9"/>
      <c r="Q2043" s="5"/>
      <c r="R2043" s="5"/>
      <c r="S2043" s="5"/>
      <c r="T2043" s="9">
        <v>44756.776979166665</v>
      </c>
      <c r="U2043" s="5"/>
      <c r="V2043" s="5">
        <v>0</v>
      </c>
      <c r="W2043" s="5"/>
      <c r="X2043" s="5"/>
      <c r="Y2043" s="5"/>
      <c r="Z2043" s="5"/>
      <c r="AA2043" s="5" t="s">
        <v>62</v>
      </c>
      <c r="AC2043">
        <f t="shared" si="280"/>
        <v>12</v>
      </c>
      <c r="AD2043" t="str">
        <f t="shared" si="281"/>
        <v/>
      </c>
      <c r="AE2043">
        <f t="shared" si="282"/>
        <v>2</v>
      </c>
      <c r="AF2043" t="str">
        <f t="shared" si="283"/>
        <v/>
      </c>
      <c r="AG2043" t="str">
        <f t="shared" si="284"/>
        <v/>
      </c>
      <c r="AH2043">
        <f t="shared" si="285"/>
        <v>2</v>
      </c>
      <c r="AI2043" t="str">
        <f t="shared" si="286"/>
        <v/>
      </c>
      <c r="AJ2043" t="str">
        <f t="shared" si="287"/>
        <v/>
      </c>
    </row>
    <row r="2044" spans="1:36">
      <c r="A2044" s="5">
        <v>2503</v>
      </c>
      <c r="B2044" s="5" t="s">
        <v>1717</v>
      </c>
      <c r="C2044" s="5" t="s">
        <v>1540</v>
      </c>
      <c r="D2044" s="5" t="s">
        <v>1706</v>
      </c>
      <c r="E2044" s="5" t="s">
        <v>269</v>
      </c>
      <c r="F2044" s="5" t="str">
        <f t="shared" si="279"/>
        <v>Finance-Manager</v>
      </c>
      <c r="G2044" s="5" t="s">
        <v>270</v>
      </c>
      <c r="H2044" s="9">
        <v>44739.776979166665</v>
      </c>
      <c r="I2044" s="9">
        <v>44741.776979166665</v>
      </c>
      <c r="J2044" s="9" t="e">
        <f>I2044+#REF!</f>
        <v>#REF!</v>
      </c>
      <c r="K2044" s="9" t="e">
        <f>J2044+#REF!</f>
        <v>#REF!</v>
      </c>
      <c r="L2044" s="10" t="s">
        <v>41</v>
      </c>
      <c r="M2044" s="11">
        <v>44744.776979166665</v>
      </c>
      <c r="N2044" s="5" t="s">
        <v>64</v>
      </c>
      <c r="O2044" s="5"/>
      <c r="P2044" s="9">
        <v>44748.776979166665</v>
      </c>
      <c r="Q2044" s="5" t="s">
        <v>64</v>
      </c>
      <c r="R2044" s="9">
        <v>44745.776979166665</v>
      </c>
      <c r="S2044" s="9">
        <v>44748.776979166665</v>
      </c>
      <c r="T2044" s="9">
        <v>44745.776979166665</v>
      </c>
      <c r="U2044" s="9">
        <v>44750.776979166665</v>
      </c>
      <c r="V2044" s="12">
        <v>1</v>
      </c>
      <c r="W2044" s="9">
        <v>44751.776979166665</v>
      </c>
      <c r="X2044" s="9">
        <v>44754.776979166665</v>
      </c>
      <c r="Y2044" s="9">
        <v>44755.776979166665</v>
      </c>
      <c r="Z2044" s="5"/>
      <c r="AA2044" s="5"/>
      <c r="AB2044" s="13">
        <v>44772.776979166665</v>
      </c>
      <c r="AC2044">
        <f t="shared" si="280"/>
        <v>3</v>
      </c>
      <c r="AD2044">
        <f t="shared" si="281"/>
        <v>7</v>
      </c>
      <c r="AE2044">
        <f t="shared" si="282"/>
        <v>1</v>
      </c>
      <c r="AF2044">
        <f t="shared" si="283"/>
        <v>4</v>
      </c>
      <c r="AG2044">
        <f t="shared" si="284"/>
        <v>1</v>
      </c>
      <c r="AH2044">
        <f t="shared" si="285"/>
        <v>2</v>
      </c>
      <c r="AI2044" t="str">
        <f t="shared" si="286"/>
        <v/>
      </c>
      <c r="AJ2044" t="str">
        <f t="shared" si="287"/>
        <v/>
      </c>
    </row>
    <row r="2045" spans="1:36">
      <c r="A2045" s="5">
        <v>2504</v>
      </c>
      <c r="B2045" s="5" t="s">
        <v>1993</v>
      </c>
      <c r="C2045" s="5" t="s">
        <v>1540</v>
      </c>
      <c r="D2045" s="5" t="s">
        <v>1985</v>
      </c>
      <c r="E2045" s="5" t="s">
        <v>1986</v>
      </c>
      <c r="F2045" s="5" t="str">
        <f t="shared" si="279"/>
        <v>Finance-Revenue Recorgnition</v>
      </c>
      <c r="G2045" s="5" t="s">
        <v>47</v>
      </c>
      <c r="H2045" s="9">
        <v>44737.776979166665</v>
      </c>
      <c r="I2045" s="9">
        <v>44740.776979166665</v>
      </c>
      <c r="J2045" s="9" t="e">
        <f>I2045+#REF!</f>
        <v>#REF!</v>
      </c>
      <c r="K2045" s="9" t="e">
        <f>J2045+#REF!</f>
        <v>#REF!</v>
      </c>
      <c r="L2045" s="10" t="s">
        <v>41</v>
      </c>
      <c r="M2045" s="11">
        <v>44760.776979166665</v>
      </c>
      <c r="N2045" s="5" t="s">
        <v>42</v>
      </c>
      <c r="O2045" s="5" t="s">
        <v>43</v>
      </c>
      <c r="P2045" s="9"/>
      <c r="Q2045" s="5"/>
      <c r="R2045" s="5"/>
      <c r="S2045" s="5"/>
      <c r="T2045" s="9">
        <v>44763.776979166665</v>
      </c>
      <c r="U2045" s="5"/>
      <c r="V2045" s="5">
        <v>0</v>
      </c>
      <c r="W2045" s="5"/>
      <c r="X2045" s="5"/>
      <c r="Y2045" s="5"/>
      <c r="Z2045" s="5"/>
      <c r="AA2045" s="5" t="s">
        <v>62</v>
      </c>
      <c r="AC2045">
        <f t="shared" si="280"/>
        <v>20</v>
      </c>
      <c r="AD2045" t="str">
        <f t="shared" si="281"/>
        <v/>
      </c>
      <c r="AE2045">
        <f t="shared" si="282"/>
        <v>3</v>
      </c>
      <c r="AF2045" t="str">
        <f t="shared" si="283"/>
        <v/>
      </c>
      <c r="AG2045" t="str">
        <f t="shared" si="284"/>
        <v/>
      </c>
      <c r="AH2045">
        <f t="shared" si="285"/>
        <v>3</v>
      </c>
      <c r="AI2045" t="str">
        <f t="shared" si="286"/>
        <v/>
      </c>
      <c r="AJ2045" t="str">
        <f t="shared" si="287"/>
        <v/>
      </c>
    </row>
    <row r="2046" spans="1:36">
      <c r="A2046" s="5">
        <v>2506</v>
      </c>
      <c r="B2046" s="5" t="s">
        <v>1716</v>
      </c>
      <c r="C2046" s="5" t="s">
        <v>1540</v>
      </c>
      <c r="D2046" s="5" t="s">
        <v>1706</v>
      </c>
      <c r="E2046" s="5" t="s">
        <v>269</v>
      </c>
      <c r="F2046" s="5" t="str">
        <f t="shared" si="279"/>
        <v>Finance-Manager</v>
      </c>
      <c r="G2046" s="5" t="s">
        <v>270</v>
      </c>
      <c r="H2046" s="9">
        <v>44737.776979166665</v>
      </c>
      <c r="I2046" s="9">
        <v>44739.776979166665</v>
      </c>
      <c r="J2046" s="9" t="e">
        <f>I2046+#REF!</f>
        <v>#REF!</v>
      </c>
      <c r="K2046" s="9" t="e">
        <f>J2046+#REF!</f>
        <v>#REF!</v>
      </c>
      <c r="L2046" s="10" t="s">
        <v>41</v>
      </c>
      <c r="M2046" s="11">
        <v>44758.776979166665</v>
      </c>
      <c r="N2046" s="5" t="s">
        <v>48</v>
      </c>
      <c r="O2046" s="5"/>
      <c r="P2046" s="9">
        <v>44762.776979166665</v>
      </c>
      <c r="Q2046" s="5" t="s">
        <v>48</v>
      </c>
      <c r="R2046" s="5"/>
      <c r="S2046" s="5"/>
      <c r="T2046" s="9">
        <v>44761.776979166665</v>
      </c>
      <c r="U2046" s="5"/>
      <c r="V2046" s="5">
        <v>0</v>
      </c>
      <c r="W2046" s="5"/>
      <c r="X2046" s="5"/>
      <c r="Y2046" s="5"/>
      <c r="Z2046" s="5"/>
      <c r="AA2046" s="5"/>
      <c r="AC2046">
        <f t="shared" si="280"/>
        <v>19</v>
      </c>
      <c r="AD2046" t="str">
        <f t="shared" si="281"/>
        <v/>
      </c>
      <c r="AE2046">
        <f t="shared" si="282"/>
        <v>3</v>
      </c>
      <c r="AF2046" t="str">
        <f t="shared" si="283"/>
        <v/>
      </c>
      <c r="AG2046" t="str">
        <f t="shared" si="284"/>
        <v/>
      </c>
      <c r="AH2046">
        <f t="shared" si="285"/>
        <v>2</v>
      </c>
      <c r="AI2046" t="str">
        <f t="shared" si="286"/>
        <v/>
      </c>
      <c r="AJ2046" t="str">
        <f t="shared" si="287"/>
        <v/>
      </c>
    </row>
    <row r="2047" spans="1:36">
      <c r="A2047" s="5">
        <v>2507</v>
      </c>
      <c r="B2047" s="5" t="s">
        <v>1834</v>
      </c>
      <c r="C2047" s="5" t="s">
        <v>1540</v>
      </c>
      <c r="D2047" s="5" t="s">
        <v>1820</v>
      </c>
      <c r="E2047" s="5" t="s">
        <v>39</v>
      </c>
      <c r="F2047" s="5" t="str">
        <f t="shared" si="279"/>
        <v>Finance-Analyst</v>
      </c>
      <c r="G2047" s="5" t="s">
        <v>40</v>
      </c>
      <c r="H2047" s="9">
        <v>44736.776979166665</v>
      </c>
      <c r="I2047" s="9">
        <v>44740.776979166665</v>
      </c>
      <c r="J2047" s="9" t="e">
        <f>I2047+#REF!</f>
        <v>#REF!</v>
      </c>
      <c r="K2047" s="9" t="e">
        <f>J2047+#REF!</f>
        <v>#REF!</v>
      </c>
      <c r="L2047" s="10" t="s">
        <v>41</v>
      </c>
      <c r="M2047" s="11">
        <v>44751.776979166665</v>
      </c>
      <c r="N2047" s="5" t="s">
        <v>42</v>
      </c>
      <c r="O2047" s="5" t="s">
        <v>73</v>
      </c>
      <c r="P2047" s="9"/>
      <c r="Q2047" s="5"/>
      <c r="R2047" s="5"/>
      <c r="S2047" s="5"/>
      <c r="T2047" s="9">
        <v>44754.776979166665</v>
      </c>
      <c r="U2047" s="5"/>
      <c r="V2047" s="5">
        <v>0</v>
      </c>
      <c r="W2047" s="5"/>
      <c r="X2047" s="5"/>
      <c r="Y2047" s="5"/>
      <c r="Z2047" s="5"/>
      <c r="AA2047" s="5" t="s">
        <v>44</v>
      </c>
      <c r="AC2047">
        <f t="shared" si="280"/>
        <v>11</v>
      </c>
      <c r="AD2047" t="str">
        <f t="shared" si="281"/>
        <v/>
      </c>
      <c r="AE2047">
        <f t="shared" si="282"/>
        <v>3</v>
      </c>
      <c r="AF2047" t="str">
        <f t="shared" si="283"/>
        <v/>
      </c>
      <c r="AG2047" t="str">
        <f t="shared" si="284"/>
        <v/>
      </c>
      <c r="AH2047">
        <f t="shared" si="285"/>
        <v>4</v>
      </c>
      <c r="AI2047" t="str">
        <f t="shared" si="286"/>
        <v/>
      </c>
      <c r="AJ2047" t="str">
        <f t="shared" si="287"/>
        <v/>
      </c>
    </row>
    <row r="2048" spans="1:36">
      <c r="A2048" s="5">
        <v>2509</v>
      </c>
      <c r="B2048" s="5" t="s">
        <v>1992</v>
      </c>
      <c r="C2048" s="5" t="s">
        <v>1540</v>
      </c>
      <c r="D2048" s="5" t="s">
        <v>1985</v>
      </c>
      <c r="E2048" s="5" t="s">
        <v>1986</v>
      </c>
      <c r="F2048" s="5" t="str">
        <f t="shared" si="279"/>
        <v>Finance-Revenue Recorgnition</v>
      </c>
      <c r="G2048" s="5" t="s">
        <v>47</v>
      </c>
      <c r="H2048" s="9">
        <v>44738.776979166665</v>
      </c>
      <c r="I2048" s="9">
        <v>44741.776979166665</v>
      </c>
      <c r="J2048" s="9" t="e">
        <f>I2048+#REF!</f>
        <v>#REF!</v>
      </c>
      <c r="K2048" s="9" t="e">
        <f>J2048+#REF!</f>
        <v>#REF!</v>
      </c>
      <c r="L2048" s="10" t="s">
        <v>41</v>
      </c>
      <c r="M2048" s="11">
        <v>44753.776979166665</v>
      </c>
      <c r="N2048" s="5" t="s">
        <v>48</v>
      </c>
      <c r="O2048" s="5"/>
      <c r="P2048" s="9">
        <v>44758.776979166665</v>
      </c>
      <c r="Q2048" s="5" t="s">
        <v>48</v>
      </c>
      <c r="R2048" s="5"/>
      <c r="S2048" s="5"/>
      <c r="T2048" s="9">
        <v>44754.776979166665</v>
      </c>
      <c r="U2048" s="5"/>
      <c r="V2048" s="5">
        <v>0</v>
      </c>
      <c r="W2048" s="5"/>
      <c r="X2048" s="5"/>
      <c r="Y2048" s="5"/>
      <c r="Z2048" s="5"/>
      <c r="AA2048" s="5"/>
      <c r="AC2048">
        <f t="shared" si="280"/>
        <v>12</v>
      </c>
      <c r="AD2048" t="str">
        <f t="shared" si="281"/>
        <v/>
      </c>
      <c r="AE2048">
        <f t="shared" si="282"/>
        <v>1</v>
      </c>
      <c r="AF2048" t="str">
        <f t="shared" si="283"/>
        <v/>
      </c>
      <c r="AG2048" t="str">
        <f t="shared" si="284"/>
        <v/>
      </c>
      <c r="AH2048">
        <f t="shared" si="285"/>
        <v>3</v>
      </c>
      <c r="AI2048" t="str">
        <f t="shared" si="286"/>
        <v/>
      </c>
      <c r="AJ2048" t="str">
        <f t="shared" si="287"/>
        <v/>
      </c>
    </row>
    <row r="2049" spans="1:36">
      <c r="A2049" s="5">
        <v>2510</v>
      </c>
      <c r="B2049" s="5" t="s">
        <v>1833</v>
      </c>
      <c r="C2049" s="5" t="s">
        <v>1540</v>
      </c>
      <c r="D2049" s="5" t="s">
        <v>1820</v>
      </c>
      <c r="E2049" s="5" t="s">
        <v>39</v>
      </c>
      <c r="F2049" s="5" t="str">
        <f t="shared" si="279"/>
        <v>Finance-Analyst</v>
      </c>
      <c r="G2049" s="5" t="s">
        <v>40</v>
      </c>
      <c r="H2049" s="9">
        <v>44738.776979166665</v>
      </c>
      <c r="I2049" s="9">
        <v>44741.776979166665</v>
      </c>
      <c r="J2049" s="9" t="e">
        <f>I2049+#REF!</f>
        <v>#REF!</v>
      </c>
      <c r="K2049" s="9" t="e">
        <f>J2049+#REF!</f>
        <v>#REF!</v>
      </c>
      <c r="L2049" s="10" t="s">
        <v>41</v>
      </c>
      <c r="M2049" s="11">
        <v>44753.776979166665</v>
      </c>
      <c r="N2049" s="5" t="s">
        <v>48</v>
      </c>
      <c r="O2049" s="5"/>
      <c r="P2049" s="9">
        <v>44758.776979166665</v>
      </c>
      <c r="Q2049" s="5" t="s">
        <v>48</v>
      </c>
      <c r="R2049" s="5"/>
      <c r="S2049" s="5"/>
      <c r="T2049" s="9">
        <v>44757.776979166665</v>
      </c>
      <c r="U2049" s="5"/>
      <c r="V2049" s="5">
        <v>0</v>
      </c>
      <c r="W2049" s="5"/>
      <c r="X2049" s="5"/>
      <c r="Y2049" s="5"/>
      <c r="Z2049" s="5"/>
      <c r="AA2049" s="5"/>
      <c r="AC2049">
        <f t="shared" si="280"/>
        <v>12</v>
      </c>
      <c r="AD2049" t="str">
        <f t="shared" si="281"/>
        <v/>
      </c>
      <c r="AE2049">
        <f t="shared" si="282"/>
        <v>4</v>
      </c>
      <c r="AF2049" t="str">
        <f t="shared" si="283"/>
        <v/>
      </c>
      <c r="AG2049" t="str">
        <f t="shared" si="284"/>
        <v/>
      </c>
      <c r="AH2049">
        <f t="shared" si="285"/>
        <v>3</v>
      </c>
      <c r="AI2049" t="str">
        <f t="shared" si="286"/>
        <v/>
      </c>
      <c r="AJ2049" t="str">
        <f t="shared" si="287"/>
        <v/>
      </c>
    </row>
    <row r="2050" spans="1:36">
      <c r="A2050" s="5">
        <v>2511</v>
      </c>
      <c r="B2050" s="5" t="s">
        <v>282</v>
      </c>
      <c r="C2050" s="5" t="s">
        <v>100</v>
      </c>
      <c r="D2050" s="5" t="s">
        <v>268</v>
      </c>
      <c r="E2050" s="5" t="s">
        <v>269</v>
      </c>
      <c r="F2050" s="5" t="str">
        <f t="shared" ref="F2050:F2113" si="288">_xlfn.CONCAT(C2050,"-",E2050)</f>
        <v>Program Office-Manager</v>
      </c>
      <c r="G2050" s="5" t="s">
        <v>270</v>
      </c>
      <c r="H2050" s="9">
        <v>45174.133263888885</v>
      </c>
      <c r="I2050" s="9">
        <v>45175.133263888885</v>
      </c>
      <c r="J2050" s="9" t="e">
        <f>I2050+#REF!</f>
        <v>#REF!</v>
      </c>
      <c r="K2050" s="9" t="e">
        <f>J2050+#REF!</f>
        <v>#REF!</v>
      </c>
      <c r="L2050" s="10" t="s">
        <v>41</v>
      </c>
      <c r="M2050" s="11">
        <v>45182.133263888885</v>
      </c>
      <c r="N2050" s="5" t="s">
        <v>48</v>
      </c>
      <c r="O2050" s="5"/>
      <c r="P2050" s="9">
        <v>45184.133263888885</v>
      </c>
      <c r="Q2050" s="5" t="s">
        <v>48</v>
      </c>
      <c r="R2050" s="5"/>
      <c r="S2050" s="5"/>
      <c r="T2050" s="9">
        <v>45183.133263888885</v>
      </c>
      <c r="U2050" s="5"/>
      <c r="V2050" s="5">
        <v>0</v>
      </c>
      <c r="W2050" s="5"/>
      <c r="X2050" s="5"/>
      <c r="Y2050" s="5"/>
      <c r="Z2050" s="5"/>
      <c r="AA2050" s="5"/>
      <c r="AC2050">
        <f t="shared" ref="AC2050:AC2113" si="289">IF(AND(ISNUMBER(M2050), ISNUMBER(I2050)), M2050 - I2050, "")</f>
        <v>7</v>
      </c>
      <c r="AD2050" t="str">
        <f t="shared" si="281"/>
        <v/>
      </c>
      <c r="AE2050">
        <f t="shared" si="282"/>
        <v>1</v>
      </c>
      <c r="AF2050" t="str">
        <f t="shared" si="283"/>
        <v/>
      </c>
      <c r="AG2050" t="str">
        <f t="shared" si="284"/>
        <v/>
      </c>
      <c r="AH2050">
        <f t="shared" si="285"/>
        <v>1</v>
      </c>
      <c r="AI2050" t="str">
        <f t="shared" si="286"/>
        <v/>
      </c>
      <c r="AJ2050" t="str">
        <f t="shared" si="287"/>
        <v/>
      </c>
    </row>
    <row r="2051" spans="1:36">
      <c r="A2051" s="5">
        <v>2512</v>
      </c>
      <c r="B2051" s="5" t="s">
        <v>579</v>
      </c>
      <c r="C2051" s="5" t="s">
        <v>100</v>
      </c>
      <c r="D2051" s="5" t="s">
        <v>554</v>
      </c>
      <c r="E2051" s="5" t="s">
        <v>51</v>
      </c>
      <c r="F2051" s="5" t="str">
        <f t="shared" si="288"/>
        <v>Program Office-Supervisor</v>
      </c>
      <c r="G2051" s="5" t="s">
        <v>47</v>
      </c>
      <c r="H2051" s="9">
        <v>45173.133263888885</v>
      </c>
      <c r="I2051" s="9">
        <v>45176.133263888885</v>
      </c>
      <c r="J2051" s="9" t="e">
        <f>I2051+#REF!</f>
        <v>#REF!</v>
      </c>
      <c r="K2051" s="9" t="e">
        <f>J2051+#REF!</f>
        <v>#REF!</v>
      </c>
      <c r="L2051" s="10" t="s">
        <v>41</v>
      </c>
      <c r="M2051" s="11">
        <v>45192.133263888885</v>
      </c>
      <c r="N2051" s="5" t="s">
        <v>42</v>
      </c>
      <c r="O2051" s="5" t="s">
        <v>113</v>
      </c>
      <c r="P2051" s="9"/>
      <c r="Q2051" s="5"/>
      <c r="R2051" s="5"/>
      <c r="S2051" s="5"/>
      <c r="T2051" s="9"/>
      <c r="U2051" s="5"/>
      <c r="V2051" s="5">
        <v>0</v>
      </c>
      <c r="W2051" s="5"/>
      <c r="X2051" s="5"/>
      <c r="Y2051" s="5"/>
      <c r="Z2051" s="5"/>
      <c r="AA2051" s="5" t="s">
        <v>44</v>
      </c>
      <c r="AC2051">
        <f t="shared" si="289"/>
        <v>16</v>
      </c>
      <c r="AD2051" t="str">
        <f t="shared" ref="AD2051:AD2114" si="290">IF(AND(ISNUMBER(S2051), ISNUMBER(I2051)), S2051 - I2051, "")</f>
        <v/>
      </c>
      <c r="AE2051" t="str">
        <f t="shared" ref="AE2051:AE2114" si="291">IF(AND(ISNUMBER(T2051), ISNUMBER(M2051)), T2051-M2051, "")</f>
        <v/>
      </c>
      <c r="AF2051" t="str">
        <f t="shared" ref="AF2051:AF2114" si="292">IF(AND(ISNUMBER(X2051), ISNUMBER(U2051)), X2051-U2051,"")</f>
        <v/>
      </c>
      <c r="AG2051" t="str">
        <f t="shared" ref="AG2051:AG2114" si="293">IF(AND(ISNUMBER(W2051), ISNUMBER(U2051)), W2051-U2051, "")</f>
        <v/>
      </c>
      <c r="AH2051">
        <f t="shared" ref="AH2051:AH2114" si="294">IF(AND(ISNUMBER(I2051), ISNUMBER(H2051)), I2051-H2051,"")</f>
        <v>3</v>
      </c>
      <c r="AI2051" t="str">
        <f t="shared" ref="AI2051:AI2114" si="295">IF(AND(ISNUMBER(J2051),ISNUMBER(K2051)),K2051-J2051,"")</f>
        <v/>
      </c>
      <c r="AJ2051" t="str">
        <f t="shared" ref="AJ2051:AJ2114" si="296">IF(AND(ISNUMBER(J2051),ISNUMBER(I2051)), J2051-I2051,"")</f>
        <v/>
      </c>
    </row>
    <row r="2052" spans="1:36">
      <c r="A2052" s="5">
        <v>2513</v>
      </c>
      <c r="B2052" s="5" t="s">
        <v>578</v>
      </c>
      <c r="C2052" s="5" t="s">
        <v>100</v>
      </c>
      <c r="D2052" s="5" t="s">
        <v>554</v>
      </c>
      <c r="E2052" s="5" t="s">
        <v>51</v>
      </c>
      <c r="F2052" s="5" t="str">
        <f t="shared" si="288"/>
        <v>Program Office-Supervisor</v>
      </c>
      <c r="G2052" s="5" t="s">
        <v>47</v>
      </c>
      <c r="H2052" s="9">
        <v>45175.133263888885</v>
      </c>
      <c r="I2052" s="9">
        <v>45176.133263888885</v>
      </c>
      <c r="J2052" s="9" t="e">
        <f>I2052+#REF!</f>
        <v>#REF!</v>
      </c>
      <c r="K2052" s="9" t="e">
        <f>J2052+#REF!</f>
        <v>#REF!</v>
      </c>
      <c r="L2052" s="10" t="s">
        <v>41</v>
      </c>
      <c r="M2052" s="11">
        <v>45188.133263888885</v>
      </c>
      <c r="N2052" s="5" t="s">
        <v>42</v>
      </c>
      <c r="O2052" s="5" t="s">
        <v>113</v>
      </c>
      <c r="P2052" s="9"/>
      <c r="Q2052" s="5"/>
      <c r="R2052" s="5"/>
      <c r="S2052" s="5"/>
      <c r="T2052" s="9">
        <v>45192.133263888885</v>
      </c>
      <c r="U2052" s="5"/>
      <c r="V2052" s="5">
        <v>0</v>
      </c>
      <c r="W2052" s="5"/>
      <c r="X2052" s="5"/>
      <c r="Y2052" s="5"/>
      <c r="Z2052" s="5"/>
      <c r="AA2052" s="5" t="s">
        <v>44</v>
      </c>
      <c r="AC2052">
        <f t="shared" si="289"/>
        <v>12</v>
      </c>
      <c r="AD2052" t="str">
        <f t="shared" si="290"/>
        <v/>
      </c>
      <c r="AE2052">
        <f t="shared" si="291"/>
        <v>4</v>
      </c>
      <c r="AF2052" t="str">
        <f t="shared" si="292"/>
        <v/>
      </c>
      <c r="AG2052" t="str">
        <f t="shared" si="293"/>
        <v/>
      </c>
      <c r="AH2052">
        <f t="shared" si="294"/>
        <v>1</v>
      </c>
      <c r="AI2052" t="str">
        <f t="shared" si="295"/>
        <v/>
      </c>
      <c r="AJ2052" t="str">
        <f t="shared" si="296"/>
        <v/>
      </c>
    </row>
    <row r="2053" spans="1:36">
      <c r="A2053" s="5">
        <v>2515</v>
      </c>
      <c r="B2053" s="5" t="s">
        <v>404</v>
      </c>
      <c r="C2053" s="5" t="s">
        <v>100</v>
      </c>
      <c r="D2053" s="5" t="s">
        <v>387</v>
      </c>
      <c r="E2053" s="5" t="s">
        <v>388</v>
      </c>
      <c r="F2053" s="5" t="str">
        <f t="shared" si="288"/>
        <v>Program Office-Extension Officer</v>
      </c>
      <c r="G2053" s="5" t="s">
        <v>40</v>
      </c>
      <c r="H2053" s="9">
        <v>45169.133263888885</v>
      </c>
      <c r="I2053" s="9">
        <v>45171.133263888885</v>
      </c>
      <c r="J2053" s="9" t="e">
        <f>I2053+#REF!</f>
        <v>#REF!</v>
      </c>
      <c r="K2053" s="9" t="e">
        <f>J2053+#REF!</f>
        <v>#REF!</v>
      </c>
      <c r="L2053" s="10" t="s">
        <v>52</v>
      </c>
      <c r="M2053" s="11"/>
      <c r="N2053" s="5"/>
      <c r="O2053" s="5"/>
      <c r="P2053" s="9"/>
      <c r="Q2053" s="5"/>
      <c r="R2053" s="5"/>
      <c r="S2053" s="5"/>
      <c r="T2053" s="9"/>
      <c r="U2053" s="5"/>
      <c r="V2053" s="5">
        <v>0</v>
      </c>
      <c r="W2053" s="5"/>
      <c r="X2053" s="5"/>
      <c r="Y2053" s="5"/>
      <c r="Z2053" s="5"/>
      <c r="AA2053" s="5"/>
      <c r="AC2053" t="str">
        <f t="shared" si="289"/>
        <v/>
      </c>
      <c r="AD2053" t="str">
        <f t="shared" si="290"/>
        <v/>
      </c>
      <c r="AE2053" t="str">
        <f t="shared" si="291"/>
        <v/>
      </c>
      <c r="AF2053" t="str">
        <f t="shared" si="292"/>
        <v/>
      </c>
      <c r="AG2053" t="str">
        <f t="shared" si="293"/>
        <v/>
      </c>
      <c r="AH2053">
        <f t="shared" si="294"/>
        <v>2</v>
      </c>
      <c r="AI2053" t="str">
        <f t="shared" si="295"/>
        <v/>
      </c>
      <c r="AJ2053" t="str">
        <f t="shared" si="296"/>
        <v/>
      </c>
    </row>
    <row r="2054" spans="1:36">
      <c r="A2054" s="5">
        <v>2516</v>
      </c>
      <c r="B2054" s="5" t="s">
        <v>403</v>
      </c>
      <c r="C2054" s="5" t="s">
        <v>100</v>
      </c>
      <c r="D2054" s="5" t="s">
        <v>387</v>
      </c>
      <c r="E2054" s="5" t="s">
        <v>388</v>
      </c>
      <c r="F2054" s="5" t="str">
        <f t="shared" si="288"/>
        <v>Program Office-Extension Officer</v>
      </c>
      <c r="G2054" s="5" t="s">
        <v>40</v>
      </c>
      <c r="H2054" s="9">
        <v>45167.133263888885</v>
      </c>
      <c r="I2054" s="9">
        <v>45171.133263888885</v>
      </c>
      <c r="J2054" s="9" t="e">
        <f>I2054+#REF!</f>
        <v>#REF!</v>
      </c>
      <c r="K2054" s="9" t="e">
        <f>J2054+#REF!</f>
        <v>#REF!</v>
      </c>
      <c r="L2054" s="10" t="s">
        <v>41</v>
      </c>
      <c r="M2054" s="11">
        <v>45191.133263888885</v>
      </c>
      <c r="N2054" s="5" t="s">
        <v>42</v>
      </c>
      <c r="O2054" s="5" t="s">
        <v>98</v>
      </c>
      <c r="P2054" s="9"/>
      <c r="Q2054" s="5"/>
      <c r="R2054" s="5"/>
      <c r="S2054" s="5"/>
      <c r="T2054" s="9">
        <v>45193.133263888885</v>
      </c>
      <c r="U2054" s="5"/>
      <c r="V2054" s="5">
        <v>0</v>
      </c>
      <c r="W2054" s="5"/>
      <c r="X2054" s="5"/>
      <c r="Y2054" s="5"/>
      <c r="Z2054" s="5"/>
      <c r="AA2054" s="5" t="s">
        <v>62</v>
      </c>
      <c r="AC2054">
        <f t="shared" si="289"/>
        <v>20</v>
      </c>
      <c r="AD2054" t="str">
        <f t="shared" si="290"/>
        <v/>
      </c>
      <c r="AE2054">
        <f t="shared" si="291"/>
        <v>2</v>
      </c>
      <c r="AF2054" t="str">
        <f t="shared" si="292"/>
        <v/>
      </c>
      <c r="AG2054" t="str">
        <f t="shared" si="293"/>
        <v/>
      </c>
      <c r="AH2054">
        <f t="shared" si="294"/>
        <v>4</v>
      </c>
      <c r="AI2054" t="str">
        <f t="shared" si="295"/>
        <v/>
      </c>
      <c r="AJ2054" t="str">
        <f t="shared" si="296"/>
        <v/>
      </c>
    </row>
    <row r="2055" spans="1:36">
      <c r="A2055" s="5">
        <v>2517</v>
      </c>
      <c r="B2055" s="5" t="s">
        <v>577</v>
      </c>
      <c r="C2055" s="5" t="s">
        <v>100</v>
      </c>
      <c r="D2055" s="5" t="s">
        <v>554</v>
      </c>
      <c r="E2055" s="5" t="s">
        <v>51</v>
      </c>
      <c r="F2055" s="5" t="str">
        <f t="shared" si="288"/>
        <v>Program Office-Supervisor</v>
      </c>
      <c r="G2055" s="5" t="s">
        <v>47</v>
      </c>
      <c r="H2055" s="9">
        <v>45173.133263888885</v>
      </c>
      <c r="I2055" s="9">
        <v>45175.133263888885</v>
      </c>
      <c r="J2055" s="9" t="e">
        <f>I2055+#REF!</f>
        <v>#REF!</v>
      </c>
      <c r="K2055" s="9" t="e">
        <f>J2055+#REF!</f>
        <v>#REF!</v>
      </c>
      <c r="L2055" s="10" t="s">
        <v>41</v>
      </c>
      <c r="M2055" s="11">
        <v>45193.133263888885</v>
      </c>
      <c r="N2055" s="5" t="s">
        <v>48</v>
      </c>
      <c r="O2055" s="5"/>
      <c r="P2055" s="9">
        <v>45196.133263888885</v>
      </c>
      <c r="Q2055" s="5" t="s">
        <v>48</v>
      </c>
      <c r="R2055" s="5"/>
      <c r="S2055" s="5"/>
      <c r="T2055" s="9">
        <v>45194.133263888885</v>
      </c>
      <c r="U2055" s="5"/>
      <c r="V2055" s="5">
        <v>0</v>
      </c>
      <c r="W2055" s="5"/>
      <c r="X2055" s="5"/>
      <c r="Y2055" s="5"/>
      <c r="Z2055" s="5"/>
      <c r="AA2055" s="5"/>
      <c r="AC2055">
        <f t="shared" si="289"/>
        <v>18</v>
      </c>
      <c r="AD2055" t="str">
        <f t="shared" si="290"/>
        <v/>
      </c>
      <c r="AE2055">
        <f t="shared" si="291"/>
        <v>1</v>
      </c>
      <c r="AF2055" t="str">
        <f t="shared" si="292"/>
        <v/>
      </c>
      <c r="AG2055" t="str">
        <f t="shared" si="293"/>
        <v/>
      </c>
      <c r="AH2055">
        <f t="shared" si="294"/>
        <v>2</v>
      </c>
      <c r="AI2055" t="str">
        <f t="shared" si="295"/>
        <v/>
      </c>
      <c r="AJ2055" t="str">
        <f t="shared" si="296"/>
        <v/>
      </c>
    </row>
    <row r="2056" spans="1:36">
      <c r="A2056" s="5">
        <v>2519</v>
      </c>
      <c r="B2056" s="5" t="s">
        <v>111</v>
      </c>
      <c r="C2056" s="5" t="s">
        <v>100</v>
      </c>
      <c r="D2056" s="5" t="s">
        <v>101</v>
      </c>
      <c r="E2056" s="5" t="s">
        <v>102</v>
      </c>
      <c r="F2056" s="5" t="str">
        <f t="shared" si="288"/>
        <v>Program Office-Senior Manager</v>
      </c>
      <c r="G2056" s="5" t="s">
        <v>103</v>
      </c>
      <c r="H2056" s="9">
        <v>45172.133263888885</v>
      </c>
      <c r="I2056" s="9">
        <v>45175.133263888885</v>
      </c>
      <c r="J2056" s="9" t="e">
        <f>I2056+#REF!</f>
        <v>#REF!</v>
      </c>
      <c r="K2056" s="9" t="e">
        <f>J2056+#REF!</f>
        <v>#REF!</v>
      </c>
      <c r="L2056" s="10" t="s">
        <v>41</v>
      </c>
      <c r="M2056" s="11">
        <v>45188.133263888885</v>
      </c>
      <c r="N2056" s="5" t="s">
        <v>42</v>
      </c>
      <c r="O2056" s="5" t="s">
        <v>73</v>
      </c>
      <c r="P2056" s="9"/>
      <c r="Q2056" s="5"/>
      <c r="R2056" s="5"/>
      <c r="S2056" s="5"/>
      <c r="T2056" s="9">
        <v>45189.133263888885</v>
      </c>
      <c r="U2056" s="5"/>
      <c r="V2056" s="5">
        <v>0</v>
      </c>
      <c r="W2056" s="5"/>
      <c r="X2056" s="5"/>
      <c r="Y2056" s="5"/>
      <c r="Z2056" s="5"/>
      <c r="AA2056" s="5" t="s">
        <v>44</v>
      </c>
      <c r="AC2056">
        <f t="shared" si="289"/>
        <v>13</v>
      </c>
      <c r="AD2056" t="str">
        <f t="shared" si="290"/>
        <v/>
      </c>
      <c r="AE2056">
        <f t="shared" si="291"/>
        <v>1</v>
      </c>
      <c r="AF2056" t="str">
        <f t="shared" si="292"/>
        <v/>
      </c>
      <c r="AG2056" t="str">
        <f t="shared" si="293"/>
        <v/>
      </c>
      <c r="AH2056">
        <f t="shared" si="294"/>
        <v>3</v>
      </c>
      <c r="AI2056" t="str">
        <f t="shared" si="295"/>
        <v/>
      </c>
      <c r="AJ2056" t="str">
        <f t="shared" si="296"/>
        <v/>
      </c>
    </row>
    <row r="2057" spans="1:36">
      <c r="A2057" s="5">
        <v>2520</v>
      </c>
      <c r="B2057" s="5" t="s">
        <v>402</v>
      </c>
      <c r="C2057" s="5" t="s">
        <v>100</v>
      </c>
      <c r="D2057" s="5" t="s">
        <v>387</v>
      </c>
      <c r="E2057" s="5" t="s">
        <v>388</v>
      </c>
      <c r="F2057" s="5" t="str">
        <f t="shared" si="288"/>
        <v>Program Office-Extension Officer</v>
      </c>
      <c r="G2057" s="5" t="s">
        <v>40</v>
      </c>
      <c r="H2057" s="9">
        <v>45171.133263888885</v>
      </c>
      <c r="I2057" s="9">
        <v>45173.133263888885</v>
      </c>
      <c r="J2057" s="9" t="e">
        <f>I2057+#REF!</f>
        <v>#REF!</v>
      </c>
      <c r="K2057" s="9" t="e">
        <f>J2057+#REF!</f>
        <v>#REF!</v>
      </c>
      <c r="L2057" s="10" t="s">
        <v>41</v>
      </c>
      <c r="M2057" s="11">
        <v>45182.133263888885</v>
      </c>
      <c r="N2057" s="5" t="s">
        <v>64</v>
      </c>
      <c r="O2057" s="5"/>
      <c r="P2057" s="9">
        <v>45187.133263888885</v>
      </c>
      <c r="Q2057" s="5" t="s">
        <v>64</v>
      </c>
      <c r="R2057" s="9">
        <v>45183.133263888885</v>
      </c>
      <c r="S2057" s="9">
        <v>45186.133263888885</v>
      </c>
      <c r="T2057" s="9">
        <v>45185.133263888885</v>
      </c>
      <c r="U2057" s="9">
        <v>45189.133263888885</v>
      </c>
      <c r="V2057" s="12">
        <v>1</v>
      </c>
      <c r="W2057" s="9">
        <v>45190.133263888885</v>
      </c>
      <c r="X2057" s="9">
        <v>45192.133263888885</v>
      </c>
      <c r="Y2057" s="9">
        <v>45194.133263888885</v>
      </c>
      <c r="Z2057" s="5"/>
      <c r="AA2057" s="5"/>
      <c r="AB2057" s="13">
        <v>45212.133263888885</v>
      </c>
      <c r="AC2057">
        <f t="shared" si="289"/>
        <v>9</v>
      </c>
      <c r="AD2057">
        <f t="shared" si="290"/>
        <v>13</v>
      </c>
      <c r="AE2057">
        <f t="shared" si="291"/>
        <v>3</v>
      </c>
      <c r="AF2057">
        <f t="shared" si="292"/>
        <v>3</v>
      </c>
      <c r="AG2057">
        <f t="shared" si="293"/>
        <v>1</v>
      </c>
      <c r="AH2057">
        <f t="shared" si="294"/>
        <v>2</v>
      </c>
      <c r="AI2057" t="str">
        <f t="shared" si="295"/>
        <v/>
      </c>
      <c r="AJ2057" t="str">
        <f t="shared" si="296"/>
        <v/>
      </c>
    </row>
    <row r="2058" spans="1:36">
      <c r="A2058" s="5">
        <v>2521</v>
      </c>
      <c r="B2058" s="5" t="s">
        <v>1423</v>
      </c>
      <c r="C2058" s="5" t="s">
        <v>1332</v>
      </c>
      <c r="D2058" s="5" t="s">
        <v>1413</v>
      </c>
      <c r="E2058" s="5" t="s">
        <v>269</v>
      </c>
      <c r="F2058" s="5" t="str">
        <f t="shared" si="288"/>
        <v>Fundraising-Manager</v>
      </c>
      <c r="G2058" s="5" t="s">
        <v>270</v>
      </c>
      <c r="H2058" s="9">
        <v>45026.778819444444</v>
      </c>
      <c r="I2058" s="9">
        <v>45027.778819444444</v>
      </c>
      <c r="J2058" s="9" t="e">
        <f>I2058+#REF!</f>
        <v>#REF!</v>
      </c>
      <c r="K2058" s="9" t="e">
        <f>J2058+#REF!</f>
        <v>#REF!</v>
      </c>
      <c r="L2058" s="10" t="s">
        <v>41</v>
      </c>
      <c r="M2058" s="11">
        <v>45045.778819444444</v>
      </c>
      <c r="N2058" s="5" t="s">
        <v>42</v>
      </c>
      <c r="O2058" s="5" t="s">
        <v>113</v>
      </c>
      <c r="P2058" s="9"/>
      <c r="Q2058" s="5"/>
      <c r="R2058" s="5"/>
      <c r="S2058" s="5"/>
      <c r="T2058" s="9">
        <v>45046.778819444444</v>
      </c>
      <c r="U2058" s="5"/>
      <c r="V2058" s="5">
        <v>0</v>
      </c>
      <c r="W2058" s="5"/>
      <c r="X2058" s="5"/>
      <c r="Y2058" s="5"/>
      <c r="Z2058" s="5"/>
      <c r="AA2058" s="5" t="s">
        <v>44</v>
      </c>
      <c r="AC2058">
        <f t="shared" si="289"/>
        <v>18</v>
      </c>
      <c r="AD2058" t="str">
        <f t="shared" si="290"/>
        <v/>
      </c>
      <c r="AE2058">
        <f t="shared" si="291"/>
        <v>1</v>
      </c>
      <c r="AF2058" t="str">
        <f t="shared" si="292"/>
        <v/>
      </c>
      <c r="AG2058" t="str">
        <f t="shared" si="293"/>
        <v/>
      </c>
      <c r="AH2058">
        <f t="shared" si="294"/>
        <v>1</v>
      </c>
      <c r="AI2058" t="str">
        <f t="shared" si="295"/>
        <v/>
      </c>
      <c r="AJ2058" t="str">
        <f t="shared" si="296"/>
        <v/>
      </c>
    </row>
    <row r="2059" spans="1:36">
      <c r="A2059" s="5">
        <v>2523</v>
      </c>
      <c r="B2059" s="5" t="s">
        <v>2311</v>
      </c>
      <c r="C2059" s="5" t="s">
        <v>2229</v>
      </c>
      <c r="D2059" s="5" t="s">
        <v>2302</v>
      </c>
      <c r="E2059" s="5" t="s">
        <v>269</v>
      </c>
      <c r="F2059" s="5" t="str">
        <f t="shared" si="288"/>
        <v>Capacity Building-Manager</v>
      </c>
      <c r="G2059" s="5" t="s">
        <v>270</v>
      </c>
      <c r="H2059" s="9">
        <v>45028.778819444444</v>
      </c>
      <c r="I2059" s="9">
        <v>45030.778819444444</v>
      </c>
      <c r="J2059" s="9" t="e">
        <f>I2059+#REF!</f>
        <v>#REF!</v>
      </c>
      <c r="K2059" s="9" t="e">
        <f>J2059+#REF!</f>
        <v>#REF!</v>
      </c>
      <c r="L2059" s="10" t="s">
        <v>41</v>
      </c>
      <c r="M2059" s="11">
        <v>45047.778819444444</v>
      </c>
      <c r="N2059" s="5" t="s">
        <v>64</v>
      </c>
      <c r="O2059" s="5"/>
      <c r="P2059" s="9">
        <v>45054.778819444444</v>
      </c>
      <c r="Q2059" s="5" t="s">
        <v>64</v>
      </c>
      <c r="R2059" s="9">
        <v>45048.778819444444</v>
      </c>
      <c r="S2059" s="9">
        <v>45049.778819444444</v>
      </c>
      <c r="T2059" s="9">
        <v>45050.778819444444</v>
      </c>
      <c r="U2059" s="9">
        <v>45053.778819444444</v>
      </c>
      <c r="V2059" s="12">
        <v>1</v>
      </c>
      <c r="W2059" s="9">
        <v>45057.778819444444</v>
      </c>
      <c r="X2059" s="9">
        <v>45058.778819444444</v>
      </c>
      <c r="Y2059" s="9">
        <v>45060.778819444444</v>
      </c>
      <c r="Z2059" s="5"/>
      <c r="AA2059" s="5"/>
      <c r="AB2059" s="13">
        <v>45069.778819444444</v>
      </c>
      <c r="AC2059">
        <f t="shared" si="289"/>
        <v>17</v>
      </c>
      <c r="AD2059">
        <f t="shared" si="290"/>
        <v>19</v>
      </c>
      <c r="AE2059">
        <f t="shared" si="291"/>
        <v>3</v>
      </c>
      <c r="AF2059">
        <f t="shared" si="292"/>
        <v>5</v>
      </c>
      <c r="AG2059">
        <f t="shared" si="293"/>
        <v>4</v>
      </c>
      <c r="AH2059">
        <f t="shared" si="294"/>
        <v>2</v>
      </c>
      <c r="AI2059" t="str">
        <f t="shared" si="295"/>
        <v/>
      </c>
      <c r="AJ2059" t="str">
        <f t="shared" si="296"/>
        <v/>
      </c>
    </row>
    <row r="2060" spans="1:36">
      <c r="A2060" s="5">
        <v>2525</v>
      </c>
      <c r="B2060" s="5" t="s">
        <v>1422</v>
      </c>
      <c r="C2060" s="5" t="s">
        <v>1332</v>
      </c>
      <c r="D2060" s="5" t="s">
        <v>1413</v>
      </c>
      <c r="E2060" s="5" t="s">
        <v>269</v>
      </c>
      <c r="F2060" s="5" t="str">
        <f t="shared" si="288"/>
        <v>Fundraising-Manager</v>
      </c>
      <c r="G2060" s="5" t="s">
        <v>270</v>
      </c>
      <c r="H2060" s="9">
        <v>45028.778819444444</v>
      </c>
      <c r="I2060" s="9">
        <v>45030.778819444444</v>
      </c>
      <c r="J2060" s="9" t="e">
        <f>I2060+#REF!</f>
        <v>#REF!</v>
      </c>
      <c r="K2060" s="9" t="e">
        <f>J2060+#REF!</f>
        <v>#REF!</v>
      </c>
      <c r="L2060" s="10" t="s">
        <v>41</v>
      </c>
      <c r="M2060" s="11">
        <v>45045.778819444444</v>
      </c>
      <c r="N2060" s="5" t="s">
        <v>64</v>
      </c>
      <c r="O2060" s="5"/>
      <c r="P2060" s="9">
        <v>45047.778819444444</v>
      </c>
      <c r="Q2060" s="5" t="s">
        <v>64</v>
      </c>
      <c r="R2060" s="9">
        <v>45047.778819444444</v>
      </c>
      <c r="S2060" s="9">
        <v>45051.778819444444</v>
      </c>
      <c r="T2060" s="9">
        <v>45046.778819444444</v>
      </c>
      <c r="U2060" s="9">
        <v>45052.778819444444</v>
      </c>
      <c r="V2060" s="12">
        <v>1</v>
      </c>
      <c r="W2060" s="9">
        <v>45053.778819444444</v>
      </c>
      <c r="X2060" s="9">
        <v>45056.778819444444</v>
      </c>
      <c r="Y2060" s="9">
        <v>45057.778819444444</v>
      </c>
      <c r="Z2060" s="5"/>
      <c r="AA2060" s="5"/>
      <c r="AB2060" s="13">
        <v>45073.778819444444</v>
      </c>
      <c r="AC2060">
        <f t="shared" si="289"/>
        <v>15</v>
      </c>
      <c r="AD2060">
        <f t="shared" si="290"/>
        <v>21</v>
      </c>
      <c r="AE2060">
        <f t="shared" si="291"/>
        <v>1</v>
      </c>
      <c r="AF2060">
        <f t="shared" si="292"/>
        <v>4</v>
      </c>
      <c r="AG2060">
        <f t="shared" si="293"/>
        <v>1</v>
      </c>
      <c r="AH2060">
        <f t="shared" si="294"/>
        <v>2</v>
      </c>
      <c r="AI2060" t="str">
        <f t="shared" si="295"/>
        <v/>
      </c>
      <c r="AJ2060" t="str">
        <f t="shared" si="296"/>
        <v/>
      </c>
    </row>
    <row r="2061" spans="1:36">
      <c r="A2061" s="5">
        <v>2528</v>
      </c>
      <c r="B2061" s="5" t="s">
        <v>2452</v>
      </c>
      <c r="C2061" s="5" t="s">
        <v>2229</v>
      </c>
      <c r="D2061" s="5" t="s">
        <v>2445</v>
      </c>
      <c r="E2061" s="5" t="s">
        <v>55</v>
      </c>
      <c r="F2061" s="5" t="str">
        <f t="shared" si="288"/>
        <v>Capacity Building-Director</v>
      </c>
      <c r="G2061" s="5" t="s">
        <v>47</v>
      </c>
      <c r="H2061" s="9">
        <v>45026.778819444444</v>
      </c>
      <c r="I2061" s="9">
        <v>45030.778819444444</v>
      </c>
      <c r="J2061" s="9" t="e">
        <f>I2061+#REF!</f>
        <v>#REF!</v>
      </c>
      <c r="K2061" s="9" t="e">
        <f>J2061+#REF!</f>
        <v>#REF!</v>
      </c>
      <c r="L2061" s="10" t="s">
        <v>52</v>
      </c>
      <c r="M2061" s="11"/>
      <c r="N2061" s="5"/>
      <c r="O2061" s="5"/>
      <c r="P2061" s="9"/>
      <c r="Q2061" s="5"/>
      <c r="R2061" s="5"/>
      <c r="S2061" s="5"/>
      <c r="T2061" s="9"/>
      <c r="U2061" s="5"/>
      <c r="V2061" s="5">
        <v>0</v>
      </c>
      <c r="W2061" s="5"/>
      <c r="X2061" s="5"/>
      <c r="Y2061" s="5"/>
      <c r="Z2061" s="5"/>
      <c r="AA2061" s="5"/>
      <c r="AC2061" t="str">
        <f t="shared" si="289"/>
        <v/>
      </c>
      <c r="AD2061" t="str">
        <f t="shared" si="290"/>
        <v/>
      </c>
      <c r="AE2061" t="str">
        <f t="shared" si="291"/>
        <v/>
      </c>
      <c r="AF2061" t="str">
        <f t="shared" si="292"/>
        <v/>
      </c>
      <c r="AG2061" t="str">
        <f t="shared" si="293"/>
        <v/>
      </c>
      <c r="AH2061">
        <f t="shared" si="294"/>
        <v>4</v>
      </c>
      <c r="AI2061" t="str">
        <f t="shared" si="295"/>
        <v/>
      </c>
      <c r="AJ2061" t="str">
        <f t="shared" si="296"/>
        <v/>
      </c>
    </row>
    <row r="2062" spans="1:36">
      <c r="A2062" s="5">
        <v>2529</v>
      </c>
      <c r="B2062" s="5" t="s">
        <v>2407</v>
      </c>
      <c r="C2062" s="5" t="s">
        <v>2229</v>
      </c>
      <c r="D2062" s="5" t="s">
        <v>2403</v>
      </c>
      <c r="E2062" s="5" t="s">
        <v>1039</v>
      </c>
      <c r="F2062" s="5" t="str">
        <f t="shared" si="288"/>
        <v>Capacity Building-Associate Director</v>
      </c>
      <c r="G2062" s="5" t="s">
        <v>56</v>
      </c>
      <c r="H2062" s="9">
        <v>45027.778819444444</v>
      </c>
      <c r="I2062" s="9">
        <v>45028.778819444444</v>
      </c>
      <c r="J2062" s="9" t="e">
        <f>I2062+#REF!</f>
        <v>#REF!</v>
      </c>
      <c r="K2062" s="9" t="e">
        <f>J2062+#REF!</f>
        <v>#REF!</v>
      </c>
      <c r="L2062" s="10" t="s">
        <v>52</v>
      </c>
      <c r="M2062" s="11"/>
      <c r="N2062" s="5"/>
      <c r="O2062" s="5"/>
      <c r="P2062" s="9"/>
      <c r="Q2062" s="5"/>
      <c r="R2062" s="5"/>
      <c r="S2062" s="5"/>
      <c r="T2062" s="9"/>
      <c r="U2062" s="5"/>
      <c r="V2062" s="5">
        <v>0</v>
      </c>
      <c r="W2062" s="5"/>
      <c r="X2062" s="5"/>
      <c r="Y2062" s="5"/>
      <c r="Z2062" s="5"/>
      <c r="AA2062" s="5"/>
      <c r="AC2062" t="str">
        <f t="shared" si="289"/>
        <v/>
      </c>
      <c r="AD2062" t="str">
        <f t="shared" si="290"/>
        <v/>
      </c>
      <c r="AE2062" t="str">
        <f t="shared" si="291"/>
        <v/>
      </c>
      <c r="AF2062" t="str">
        <f t="shared" si="292"/>
        <v/>
      </c>
      <c r="AG2062" t="str">
        <f t="shared" si="293"/>
        <v/>
      </c>
      <c r="AH2062">
        <f t="shared" si="294"/>
        <v>1</v>
      </c>
      <c r="AI2062" t="str">
        <f t="shared" si="295"/>
        <v/>
      </c>
      <c r="AJ2062" t="str">
        <f t="shared" si="296"/>
        <v/>
      </c>
    </row>
    <row r="2063" spans="1:36">
      <c r="A2063" s="5">
        <v>2530</v>
      </c>
      <c r="B2063" s="5" t="s">
        <v>2451</v>
      </c>
      <c r="C2063" s="5" t="s">
        <v>2229</v>
      </c>
      <c r="D2063" s="5" t="s">
        <v>2445</v>
      </c>
      <c r="E2063" s="5" t="s">
        <v>55</v>
      </c>
      <c r="F2063" s="5" t="str">
        <f t="shared" si="288"/>
        <v>Capacity Building-Director</v>
      </c>
      <c r="G2063" s="5" t="s">
        <v>47</v>
      </c>
      <c r="H2063" s="9">
        <v>45026.778819444444</v>
      </c>
      <c r="I2063" s="9">
        <v>45028.778819444444</v>
      </c>
      <c r="J2063" s="9" t="e">
        <f>I2063+#REF!</f>
        <v>#REF!</v>
      </c>
      <c r="K2063" s="9" t="e">
        <f>J2063+#REF!</f>
        <v>#REF!</v>
      </c>
      <c r="L2063" s="10" t="s">
        <v>41</v>
      </c>
      <c r="M2063" s="11">
        <v>45043.778819444444</v>
      </c>
      <c r="N2063" s="5" t="s">
        <v>64</v>
      </c>
      <c r="O2063" s="5"/>
      <c r="P2063" s="9">
        <v>45047.778819444444</v>
      </c>
      <c r="Q2063" s="5" t="s">
        <v>64</v>
      </c>
      <c r="R2063" s="9">
        <v>45045.778819444444</v>
      </c>
      <c r="S2063" s="9">
        <v>45047.778819444444</v>
      </c>
      <c r="T2063" s="9">
        <v>45046.778819444444</v>
      </c>
      <c r="U2063" s="9">
        <v>45056.778819444444</v>
      </c>
      <c r="V2063" s="12">
        <v>1</v>
      </c>
      <c r="W2063" s="9">
        <v>45059.778819444444</v>
      </c>
      <c r="X2063" s="9">
        <v>45060.778819444444</v>
      </c>
      <c r="Y2063" s="9">
        <v>45062.778819444444</v>
      </c>
      <c r="Z2063" s="5"/>
      <c r="AA2063" s="5"/>
      <c r="AB2063" s="13">
        <v>45079.778819444444</v>
      </c>
      <c r="AC2063">
        <f t="shared" si="289"/>
        <v>15</v>
      </c>
      <c r="AD2063">
        <f t="shared" si="290"/>
        <v>19</v>
      </c>
      <c r="AE2063">
        <f t="shared" si="291"/>
        <v>3</v>
      </c>
      <c r="AF2063">
        <f t="shared" si="292"/>
        <v>4</v>
      </c>
      <c r="AG2063">
        <f t="shared" si="293"/>
        <v>3</v>
      </c>
      <c r="AH2063">
        <f t="shared" si="294"/>
        <v>2</v>
      </c>
      <c r="AI2063" t="str">
        <f t="shared" si="295"/>
        <v/>
      </c>
      <c r="AJ2063" t="str">
        <f t="shared" si="296"/>
        <v/>
      </c>
    </row>
    <row r="2064" spans="1:36">
      <c r="A2064" s="5">
        <v>2531</v>
      </c>
      <c r="B2064" s="5" t="s">
        <v>507</v>
      </c>
      <c r="C2064" s="5" t="s">
        <v>100</v>
      </c>
      <c r="D2064" s="5" t="s">
        <v>506</v>
      </c>
      <c r="E2064" s="5" t="s">
        <v>55</v>
      </c>
      <c r="F2064" s="5" t="str">
        <f t="shared" si="288"/>
        <v>Program Office-Director</v>
      </c>
      <c r="G2064" s="5" t="s">
        <v>56</v>
      </c>
      <c r="H2064" s="9">
        <v>44685.058252314811</v>
      </c>
      <c r="I2064" s="9">
        <v>44686.058252314811</v>
      </c>
      <c r="J2064" s="9" t="e">
        <f>I2064+#REF!</f>
        <v>#REF!</v>
      </c>
      <c r="K2064" s="9" t="e">
        <f>J2064+#REF!</f>
        <v>#REF!</v>
      </c>
      <c r="L2064" s="10" t="s">
        <v>52</v>
      </c>
      <c r="M2064" s="11"/>
      <c r="N2064" s="5"/>
      <c r="O2064" s="5"/>
      <c r="P2064" s="9"/>
      <c r="Q2064" s="5"/>
      <c r="R2064" s="5"/>
      <c r="S2064" s="5"/>
      <c r="T2064" s="9"/>
      <c r="U2064" s="5"/>
      <c r="V2064" s="5">
        <v>0</v>
      </c>
      <c r="W2064" s="5"/>
      <c r="X2064" s="5"/>
      <c r="Y2064" s="5"/>
      <c r="Z2064" s="5"/>
      <c r="AA2064" s="5"/>
      <c r="AC2064" t="str">
        <f t="shared" si="289"/>
        <v/>
      </c>
      <c r="AD2064" t="str">
        <f t="shared" si="290"/>
        <v/>
      </c>
      <c r="AE2064" t="str">
        <f t="shared" si="291"/>
        <v/>
      </c>
      <c r="AF2064" t="str">
        <f t="shared" si="292"/>
        <v/>
      </c>
      <c r="AG2064" t="str">
        <f t="shared" si="293"/>
        <v/>
      </c>
      <c r="AH2064">
        <f t="shared" si="294"/>
        <v>1</v>
      </c>
      <c r="AI2064" t="str">
        <f t="shared" si="295"/>
        <v/>
      </c>
      <c r="AJ2064" t="str">
        <f t="shared" si="296"/>
        <v/>
      </c>
    </row>
    <row r="2065" spans="1:36">
      <c r="A2065" s="5">
        <v>2532</v>
      </c>
      <c r="B2065" s="5" t="s">
        <v>401</v>
      </c>
      <c r="C2065" s="5" t="s">
        <v>100</v>
      </c>
      <c r="D2065" s="5" t="s">
        <v>387</v>
      </c>
      <c r="E2065" s="5" t="s">
        <v>388</v>
      </c>
      <c r="F2065" s="5" t="str">
        <f t="shared" si="288"/>
        <v>Program Office-Extension Officer</v>
      </c>
      <c r="G2065" s="5" t="s">
        <v>40</v>
      </c>
      <c r="H2065" s="9">
        <v>44682.058252314811</v>
      </c>
      <c r="I2065" s="9">
        <v>44686.058252314811</v>
      </c>
      <c r="J2065" s="9" t="e">
        <f>I2065+#REF!</f>
        <v>#REF!</v>
      </c>
      <c r="K2065" s="9" t="e">
        <f>J2065+#REF!</f>
        <v>#REF!</v>
      </c>
      <c r="L2065" s="10" t="s">
        <v>52</v>
      </c>
      <c r="M2065" s="11"/>
      <c r="N2065" s="5"/>
      <c r="O2065" s="5"/>
      <c r="P2065" s="9"/>
      <c r="Q2065" s="5"/>
      <c r="R2065" s="5"/>
      <c r="S2065" s="5"/>
      <c r="T2065" s="9"/>
      <c r="U2065" s="5"/>
      <c r="V2065" s="5">
        <v>0</v>
      </c>
      <c r="W2065" s="5"/>
      <c r="X2065" s="5"/>
      <c r="Y2065" s="5"/>
      <c r="Z2065" s="5"/>
      <c r="AA2065" s="5"/>
      <c r="AC2065" t="str">
        <f t="shared" si="289"/>
        <v/>
      </c>
      <c r="AD2065" t="str">
        <f t="shared" si="290"/>
        <v/>
      </c>
      <c r="AE2065" t="str">
        <f t="shared" si="291"/>
        <v/>
      </c>
      <c r="AF2065" t="str">
        <f t="shared" si="292"/>
        <v/>
      </c>
      <c r="AG2065" t="str">
        <f t="shared" si="293"/>
        <v/>
      </c>
      <c r="AH2065">
        <f t="shared" si="294"/>
        <v>4</v>
      </c>
      <c r="AI2065" t="str">
        <f t="shared" si="295"/>
        <v/>
      </c>
      <c r="AJ2065" t="str">
        <f t="shared" si="296"/>
        <v/>
      </c>
    </row>
    <row r="2066" spans="1:36">
      <c r="A2066" s="5">
        <v>2534</v>
      </c>
      <c r="B2066" s="5" t="s">
        <v>400</v>
      </c>
      <c r="C2066" s="5" t="s">
        <v>100</v>
      </c>
      <c r="D2066" s="5" t="s">
        <v>387</v>
      </c>
      <c r="E2066" s="5" t="s">
        <v>388</v>
      </c>
      <c r="F2066" s="5" t="str">
        <f t="shared" si="288"/>
        <v>Program Office-Extension Officer</v>
      </c>
      <c r="G2066" s="5" t="s">
        <v>40</v>
      </c>
      <c r="H2066" s="9">
        <v>44682.058252314811</v>
      </c>
      <c r="I2066" s="9">
        <v>44686.058252314811</v>
      </c>
      <c r="J2066" s="9" t="e">
        <f>I2066+#REF!</f>
        <v>#REF!</v>
      </c>
      <c r="K2066" s="9" t="e">
        <f>J2066+#REF!</f>
        <v>#REF!</v>
      </c>
      <c r="L2066" s="10" t="s">
        <v>41</v>
      </c>
      <c r="M2066" s="11">
        <v>44695.058252314811</v>
      </c>
      <c r="N2066" s="5" t="s">
        <v>42</v>
      </c>
      <c r="O2066" s="5" t="s">
        <v>58</v>
      </c>
      <c r="P2066" s="9"/>
      <c r="Q2066" s="5"/>
      <c r="R2066" s="5"/>
      <c r="S2066" s="5"/>
      <c r="T2066" s="9"/>
      <c r="U2066" s="5"/>
      <c r="V2066" s="5">
        <v>0</v>
      </c>
      <c r="W2066" s="5"/>
      <c r="X2066" s="5"/>
      <c r="Y2066" s="5"/>
      <c r="Z2066" s="5"/>
      <c r="AA2066" s="5" t="s">
        <v>44</v>
      </c>
      <c r="AC2066">
        <f t="shared" si="289"/>
        <v>9</v>
      </c>
      <c r="AD2066" t="str">
        <f t="shared" si="290"/>
        <v/>
      </c>
      <c r="AE2066" t="str">
        <f t="shared" si="291"/>
        <v/>
      </c>
      <c r="AF2066" t="str">
        <f t="shared" si="292"/>
        <v/>
      </c>
      <c r="AG2066" t="str">
        <f t="shared" si="293"/>
        <v/>
      </c>
      <c r="AH2066">
        <f t="shared" si="294"/>
        <v>4</v>
      </c>
      <c r="AI2066" t="str">
        <f t="shared" si="295"/>
        <v/>
      </c>
      <c r="AJ2066" t="str">
        <f t="shared" si="296"/>
        <v/>
      </c>
    </row>
    <row r="2067" spans="1:36">
      <c r="A2067" s="5">
        <v>2536</v>
      </c>
      <c r="B2067" s="5" t="s">
        <v>110</v>
      </c>
      <c r="C2067" s="5" t="s">
        <v>100</v>
      </c>
      <c r="D2067" s="5" t="s">
        <v>101</v>
      </c>
      <c r="E2067" s="5" t="s">
        <v>102</v>
      </c>
      <c r="F2067" s="5" t="str">
        <f t="shared" si="288"/>
        <v>Program Office-Senior Manager</v>
      </c>
      <c r="G2067" s="5" t="s">
        <v>103</v>
      </c>
      <c r="H2067" s="9">
        <v>44681.058252314811</v>
      </c>
      <c r="I2067" s="9">
        <v>44684.058252314811</v>
      </c>
      <c r="J2067" s="9" t="e">
        <f>I2067+#REF!</f>
        <v>#REF!</v>
      </c>
      <c r="K2067" s="9" t="e">
        <f>J2067+#REF!</f>
        <v>#REF!</v>
      </c>
      <c r="L2067" s="10" t="s">
        <v>41</v>
      </c>
      <c r="M2067" s="11">
        <v>44695.058252314811</v>
      </c>
      <c r="N2067" s="5" t="s">
        <v>42</v>
      </c>
      <c r="O2067" s="5" t="s">
        <v>58</v>
      </c>
      <c r="P2067" s="9"/>
      <c r="Q2067" s="5"/>
      <c r="R2067" s="5"/>
      <c r="S2067" s="5"/>
      <c r="T2067" s="9">
        <v>44696.058252314811</v>
      </c>
      <c r="U2067" s="5"/>
      <c r="V2067" s="5">
        <v>0</v>
      </c>
      <c r="W2067" s="5"/>
      <c r="X2067" s="5"/>
      <c r="Y2067" s="5"/>
      <c r="Z2067" s="5"/>
      <c r="AA2067" s="5" t="s">
        <v>44</v>
      </c>
      <c r="AC2067">
        <f t="shared" si="289"/>
        <v>11</v>
      </c>
      <c r="AD2067" t="str">
        <f t="shared" si="290"/>
        <v/>
      </c>
      <c r="AE2067">
        <f t="shared" si="291"/>
        <v>1</v>
      </c>
      <c r="AF2067" t="str">
        <f t="shared" si="292"/>
        <v/>
      </c>
      <c r="AG2067" t="str">
        <f t="shared" si="293"/>
        <v/>
      </c>
      <c r="AH2067">
        <f t="shared" si="294"/>
        <v>3</v>
      </c>
      <c r="AI2067" t="str">
        <f t="shared" si="295"/>
        <v/>
      </c>
      <c r="AJ2067" t="str">
        <f t="shared" si="296"/>
        <v/>
      </c>
    </row>
    <row r="2068" spans="1:36">
      <c r="A2068" s="5">
        <v>2537</v>
      </c>
      <c r="B2068" s="5" t="s">
        <v>399</v>
      </c>
      <c r="C2068" s="5" t="s">
        <v>100</v>
      </c>
      <c r="D2068" s="5" t="s">
        <v>387</v>
      </c>
      <c r="E2068" s="5" t="s">
        <v>388</v>
      </c>
      <c r="F2068" s="5" t="str">
        <f t="shared" si="288"/>
        <v>Program Office-Extension Officer</v>
      </c>
      <c r="G2068" s="5" t="s">
        <v>40</v>
      </c>
      <c r="H2068" s="9">
        <v>44682.058252314811</v>
      </c>
      <c r="I2068" s="9">
        <v>44685.058252314811</v>
      </c>
      <c r="J2068" s="9" t="e">
        <f>I2068+#REF!</f>
        <v>#REF!</v>
      </c>
      <c r="K2068" s="9" t="e">
        <f>J2068+#REF!</f>
        <v>#REF!</v>
      </c>
      <c r="L2068" s="10" t="s">
        <v>41</v>
      </c>
      <c r="M2068" s="11">
        <v>44698.058252314811</v>
      </c>
      <c r="N2068" s="5" t="s">
        <v>48</v>
      </c>
      <c r="O2068" s="5"/>
      <c r="P2068" s="9">
        <v>44701.058252314811</v>
      </c>
      <c r="Q2068" s="5" t="s">
        <v>48</v>
      </c>
      <c r="R2068" s="5"/>
      <c r="S2068" s="5"/>
      <c r="T2068" s="9">
        <v>44699.058252314811</v>
      </c>
      <c r="U2068" s="5"/>
      <c r="V2068" s="5">
        <v>0</v>
      </c>
      <c r="W2068" s="5"/>
      <c r="X2068" s="5"/>
      <c r="Y2068" s="5"/>
      <c r="Z2068" s="5"/>
      <c r="AA2068" s="5"/>
      <c r="AC2068">
        <f t="shared" si="289"/>
        <v>13</v>
      </c>
      <c r="AD2068" t="str">
        <f t="shared" si="290"/>
        <v/>
      </c>
      <c r="AE2068">
        <f t="shared" si="291"/>
        <v>1</v>
      </c>
      <c r="AF2068" t="str">
        <f t="shared" si="292"/>
        <v/>
      </c>
      <c r="AG2068" t="str">
        <f t="shared" si="293"/>
        <v/>
      </c>
      <c r="AH2068">
        <f t="shared" si="294"/>
        <v>3</v>
      </c>
      <c r="AI2068" t="str">
        <f t="shared" si="295"/>
        <v/>
      </c>
      <c r="AJ2068" t="str">
        <f t="shared" si="296"/>
        <v/>
      </c>
    </row>
    <row r="2069" spans="1:36">
      <c r="A2069" s="5">
        <v>2538</v>
      </c>
      <c r="B2069" s="5" t="s">
        <v>576</v>
      </c>
      <c r="C2069" s="5" t="s">
        <v>100</v>
      </c>
      <c r="D2069" s="5" t="s">
        <v>554</v>
      </c>
      <c r="E2069" s="5" t="s">
        <v>51</v>
      </c>
      <c r="F2069" s="5" t="str">
        <f t="shared" si="288"/>
        <v>Program Office-Supervisor</v>
      </c>
      <c r="G2069" s="5" t="s">
        <v>47</v>
      </c>
      <c r="H2069" s="9">
        <v>44681.058252314811</v>
      </c>
      <c r="I2069" s="9">
        <v>44682.058252314811</v>
      </c>
      <c r="J2069" s="9" t="e">
        <f>I2069+#REF!</f>
        <v>#REF!</v>
      </c>
      <c r="K2069" s="9" t="e">
        <f>J2069+#REF!</f>
        <v>#REF!</v>
      </c>
      <c r="L2069" s="10" t="s">
        <v>41</v>
      </c>
      <c r="M2069" s="11">
        <v>44696.058252314811</v>
      </c>
      <c r="N2069" s="5" t="s">
        <v>42</v>
      </c>
      <c r="O2069" s="5" t="s">
        <v>73</v>
      </c>
      <c r="P2069" s="9"/>
      <c r="Q2069" s="5"/>
      <c r="R2069" s="5"/>
      <c r="S2069" s="5"/>
      <c r="T2069" s="9"/>
      <c r="U2069" s="5"/>
      <c r="V2069" s="5">
        <v>0</v>
      </c>
      <c r="W2069" s="5"/>
      <c r="X2069" s="5"/>
      <c r="Y2069" s="5"/>
      <c r="Z2069" s="5"/>
      <c r="AA2069" s="5" t="s">
        <v>44</v>
      </c>
      <c r="AC2069">
        <f t="shared" si="289"/>
        <v>14</v>
      </c>
      <c r="AD2069" t="str">
        <f t="shared" si="290"/>
        <v/>
      </c>
      <c r="AE2069" t="str">
        <f t="shared" si="291"/>
        <v/>
      </c>
      <c r="AF2069" t="str">
        <f t="shared" si="292"/>
        <v/>
      </c>
      <c r="AG2069" t="str">
        <f t="shared" si="293"/>
        <v/>
      </c>
      <c r="AH2069">
        <f t="shared" si="294"/>
        <v>1</v>
      </c>
      <c r="AI2069" t="str">
        <f t="shared" si="295"/>
        <v/>
      </c>
      <c r="AJ2069" t="str">
        <f t="shared" si="296"/>
        <v/>
      </c>
    </row>
    <row r="2070" spans="1:36">
      <c r="A2070" s="5">
        <v>2539</v>
      </c>
      <c r="B2070" s="5" t="s">
        <v>398</v>
      </c>
      <c r="C2070" s="5" t="s">
        <v>100</v>
      </c>
      <c r="D2070" s="5" t="s">
        <v>387</v>
      </c>
      <c r="E2070" s="5" t="s">
        <v>388</v>
      </c>
      <c r="F2070" s="5" t="str">
        <f t="shared" si="288"/>
        <v>Program Office-Extension Officer</v>
      </c>
      <c r="G2070" s="5" t="s">
        <v>40</v>
      </c>
      <c r="H2070" s="9">
        <v>44683.058252314811</v>
      </c>
      <c r="I2070" s="9">
        <v>44687.058252314811</v>
      </c>
      <c r="J2070" s="9" t="e">
        <f>I2070+#REF!</f>
        <v>#REF!</v>
      </c>
      <c r="K2070" s="9" t="e">
        <f>J2070+#REF!</f>
        <v>#REF!</v>
      </c>
      <c r="L2070" s="10" t="s">
        <v>41</v>
      </c>
      <c r="M2070" s="11">
        <v>44693.058252314811</v>
      </c>
      <c r="N2070" s="5" t="s">
        <v>64</v>
      </c>
      <c r="O2070" s="5"/>
      <c r="P2070" s="9">
        <v>44697.058252314811</v>
      </c>
      <c r="Q2070" s="5" t="s">
        <v>64</v>
      </c>
      <c r="R2070" s="9">
        <v>44694.058252314811</v>
      </c>
      <c r="S2070" s="9">
        <v>44695.058252314811</v>
      </c>
      <c r="T2070" s="9">
        <v>44695.058252314811</v>
      </c>
      <c r="U2070" s="9">
        <v>44699.058252314811</v>
      </c>
      <c r="V2070" s="12">
        <v>1</v>
      </c>
      <c r="W2070" s="9">
        <v>44702.058252314811</v>
      </c>
      <c r="X2070" s="9">
        <v>44703.058252314811</v>
      </c>
      <c r="Y2070" s="9">
        <v>44706.058252314811</v>
      </c>
      <c r="Z2070" s="5"/>
      <c r="AA2070" s="5"/>
      <c r="AB2070" s="13">
        <v>44713.058252314811</v>
      </c>
      <c r="AC2070">
        <f t="shared" si="289"/>
        <v>6</v>
      </c>
      <c r="AD2070">
        <f t="shared" si="290"/>
        <v>8</v>
      </c>
      <c r="AE2070">
        <f t="shared" si="291"/>
        <v>2</v>
      </c>
      <c r="AF2070">
        <f t="shared" si="292"/>
        <v>4</v>
      </c>
      <c r="AG2070">
        <f t="shared" si="293"/>
        <v>3</v>
      </c>
      <c r="AH2070">
        <f t="shared" si="294"/>
        <v>4</v>
      </c>
      <c r="AI2070" t="str">
        <f t="shared" si="295"/>
        <v/>
      </c>
      <c r="AJ2070" t="str">
        <f t="shared" si="296"/>
        <v/>
      </c>
    </row>
    <row r="2071" spans="1:36">
      <c r="A2071" s="5">
        <v>2540</v>
      </c>
      <c r="B2071" s="5" t="s">
        <v>505</v>
      </c>
      <c r="C2071" s="5" t="s">
        <v>100</v>
      </c>
      <c r="D2071" s="5" t="s">
        <v>506</v>
      </c>
      <c r="E2071" s="5" t="s">
        <v>55</v>
      </c>
      <c r="F2071" s="5" t="str">
        <f t="shared" si="288"/>
        <v>Program Office-Director</v>
      </c>
      <c r="G2071" s="5" t="s">
        <v>56</v>
      </c>
      <c r="H2071" s="9">
        <v>44682.058252314811</v>
      </c>
      <c r="I2071" s="9">
        <v>44686.058252314811</v>
      </c>
      <c r="J2071" s="9" t="e">
        <f>I2071+#REF!</f>
        <v>#REF!</v>
      </c>
      <c r="K2071" s="9" t="e">
        <f>J2071+#REF!</f>
        <v>#REF!</v>
      </c>
      <c r="L2071" s="10" t="s">
        <v>52</v>
      </c>
      <c r="M2071" s="11"/>
      <c r="N2071" s="5"/>
      <c r="O2071" s="5"/>
      <c r="P2071" s="9"/>
      <c r="Q2071" s="5"/>
      <c r="R2071" s="5"/>
      <c r="S2071" s="5"/>
      <c r="T2071" s="9"/>
      <c r="U2071" s="5"/>
      <c r="V2071" s="5">
        <v>0</v>
      </c>
      <c r="W2071" s="5"/>
      <c r="X2071" s="5"/>
      <c r="Y2071" s="5"/>
      <c r="Z2071" s="5"/>
      <c r="AA2071" s="5"/>
      <c r="AC2071" t="str">
        <f t="shared" si="289"/>
        <v/>
      </c>
      <c r="AD2071" t="str">
        <f t="shared" si="290"/>
        <v/>
      </c>
      <c r="AE2071" t="str">
        <f t="shared" si="291"/>
        <v/>
      </c>
      <c r="AF2071" t="str">
        <f t="shared" si="292"/>
        <v/>
      </c>
      <c r="AG2071" t="str">
        <f t="shared" si="293"/>
        <v/>
      </c>
      <c r="AH2071">
        <f t="shared" si="294"/>
        <v>4</v>
      </c>
      <c r="AI2071" t="str">
        <f t="shared" si="295"/>
        <v/>
      </c>
      <c r="AJ2071" t="str">
        <f t="shared" si="296"/>
        <v/>
      </c>
    </row>
    <row r="2072" spans="1:36">
      <c r="A2072" s="5">
        <v>2541</v>
      </c>
      <c r="B2072" s="5" t="s">
        <v>1600</v>
      </c>
      <c r="C2072" s="5" t="s">
        <v>1540</v>
      </c>
      <c r="D2072" s="5" t="s">
        <v>1588</v>
      </c>
      <c r="E2072" s="5" t="s">
        <v>1360</v>
      </c>
      <c r="F2072" s="5" t="str">
        <f t="shared" si="288"/>
        <v>Finance-Fund Administrator</v>
      </c>
      <c r="G2072" s="5" t="s">
        <v>147</v>
      </c>
      <c r="H2072" s="9">
        <v>45107.479166666664</v>
      </c>
      <c r="I2072" s="9">
        <v>45110.479166666664</v>
      </c>
      <c r="J2072" s="9" t="e">
        <f>I2072+#REF!</f>
        <v>#REF!</v>
      </c>
      <c r="K2072" s="9" t="e">
        <f>J2072+#REF!</f>
        <v>#REF!</v>
      </c>
      <c r="L2072" s="10" t="s">
        <v>41</v>
      </c>
      <c r="M2072" s="11">
        <v>45128.479166666664</v>
      </c>
      <c r="N2072" s="5" t="s">
        <v>64</v>
      </c>
      <c r="O2072" s="5"/>
      <c r="P2072" s="9">
        <v>45132.479166666664</v>
      </c>
      <c r="Q2072" s="5" t="s">
        <v>64</v>
      </c>
      <c r="R2072" s="9">
        <v>45130.479166666664</v>
      </c>
      <c r="S2072" s="9">
        <v>45133.479166666664</v>
      </c>
      <c r="T2072" s="9">
        <v>45131.479166666664</v>
      </c>
      <c r="U2072" s="9">
        <v>45139.479166666664</v>
      </c>
      <c r="V2072" s="12">
        <v>1</v>
      </c>
      <c r="W2072" s="9">
        <v>45142.479166666664</v>
      </c>
      <c r="X2072" s="9">
        <v>45144.479166666664</v>
      </c>
      <c r="Y2072" s="9">
        <v>45145.479166666664</v>
      </c>
      <c r="Z2072" s="5"/>
      <c r="AA2072" s="5"/>
      <c r="AB2072" s="13">
        <v>45160.479166666664</v>
      </c>
      <c r="AC2072">
        <f t="shared" si="289"/>
        <v>18</v>
      </c>
      <c r="AD2072">
        <f t="shared" si="290"/>
        <v>23</v>
      </c>
      <c r="AE2072">
        <f t="shared" si="291"/>
        <v>3</v>
      </c>
      <c r="AF2072">
        <f t="shared" si="292"/>
        <v>5</v>
      </c>
      <c r="AG2072">
        <f t="shared" si="293"/>
        <v>3</v>
      </c>
      <c r="AH2072">
        <f t="shared" si="294"/>
        <v>3</v>
      </c>
      <c r="AI2072" t="str">
        <f t="shared" si="295"/>
        <v/>
      </c>
      <c r="AJ2072" t="str">
        <f t="shared" si="296"/>
        <v/>
      </c>
    </row>
    <row r="2073" spans="1:36">
      <c r="A2073" s="5">
        <v>2543</v>
      </c>
      <c r="B2073" s="5" t="s">
        <v>1832</v>
      </c>
      <c r="C2073" s="5" t="s">
        <v>1540</v>
      </c>
      <c r="D2073" s="5" t="s">
        <v>1820</v>
      </c>
      <c r="E2073" s="5" t="s">
        <v>39</v>
      </c>
      <c r="F2073" s="5" t="str">
        <f t="shared" si="288"/>
        <v>Finance-Analyst</v>
      </c>
      <c r="G2073" s="5" t="s">
        <v>40</v>
      </c>
      <c r="H2073" s="9">
        <v>45104.479166666664</v>
      </c>
      <c r="I2073" s="9">
        <v>45108.479166666664</v>
      </c>
      <c r="J2073" s="9" t="e">
        <f>I2073+#REF!</f>
        <v>#REF!</v>
      </c>
      <c r="K2073" s="9" t="e">
        <f>J2073+#REF!</f>
        <v>#REF!</v>
      </c>
      <c r="L2073" s="10" t="s">
        <v>52</v>
      </c>
      <c r="M2073" s="11"/>
      <c r="N2073" s="5"/>
      <c r="O2073" s="5"/>
      <c r="P2073" s="9"/>
      <c r="Q2073" s="5"/>
      <c r="R2073" s="5"/>
      <c r="S2073" s="5"/>
      <c r="T2073" s="9"/>
      <c r="U2073" s="5"/>
      <c r="V2073" s="5">
        <v>0</v>
      </c>
      <c r="W2073" s="5"/>
      <c r="X2073" s="5"/>
      <c r="Y2073" s="5"/>
      <c r="Z2073" s="5"/>
      <c r="AA2073" s="5"/>
      <c r="AC2073" t="str">
        <f t="shared" si="289"/>
        <v/>
      </c>
      <c r="AD2073" t="str">
        <f t="shared" si="290"/>
        <v/>
      </c>
      <c r="AE2073" t="str">
        <f t="shared" si="291"/>
        <v/>
      </c>
      <c r="AF2073" t="str">
        <f t="shared" si="292"/>
        <v/>
      </c>
      <c r="AG2073" t="str">
        <f t="shared" si="293"/>
        <v/>
      </c>
      <c r="AH2073">
        <f t="shared" si="294"/>
        <v>4</v>
      </c>
      <c r="AI2073" t="str">
        <f t="shared" si="295"/>
        <v/>
      </c>
      <c r="AJ2073" t="str">
        <f t="shared" si="296"/>
        <v/>
      </c>
    </row>
    <row r="2074" spans="1:36">
      <c r="A2074" s="5">
        <v>2544</v>
      </c>
      <c r="B2074" s="5" t="s">
        <v>1715</v>
      </c>
      <c r="C2074" s="5" t="s">
        <v>1540</v>
      </c>
      <c r="D2074" s="5" t="s">
        <v>1706</v>
      </c>
      <c r="E2074" s="5" t="s">
        <v>269</v>
      </c>
      <c r="F2074" s="5" t="str">
        <f t="shared" si="288"/>
        <v>Finance-Manager</v>
      </c>
      <c r="G2074" s="5" t="s">
        <v>270</v>
      </c>
      <c r="H2074" s="9">
        <v>45105.479166666664</v>
      </c>
      <c r="I2074" s="9">
        <v>45106.479166666664</v>
      </c>
      <c r="J2074" s="9" t="e">
        <f>I2074+#REF!</f>
        <v>#REF!</v>
      </c>
      <c r="K2074" s="9" t="e">
        <f>J2074+#REF!</f>
        <v>#REF!</v>
      </c>
      <c r="L2074" s="10" t="s">
        <v>41</v>
      </c>
      <c r="M2074" s="11">
        <v>45128.479166666664</v>
      </c>
      <c r="N2074" s="5" t="s">
        <v>42</v>
      </c>
      <c r="O2074" s="5" t="s">
        <v>43</v>
      </c>
      <c r="P2074" s="9"/>
      <c r="Q2074" s="5"/>
      <c r="R2074" s="5"/>
      <c r="S2074" s="5"/>
      <c r="T2074" s="9">
        <v>45129.479166666664</v>
      </c>
      <c r="U2074" s="5"/>
      <c r="V2074" s="5">
        <v>0</v>
      </c>
      <c r="W2074" s="5"/>
      <c r="X2074" s="5"/>
      <c r="Y2074" s="5"/>
      <c r="Z2074" s="5"/>
      <c r="AA2074" s="5" t="s">
        <v>44</v>
      </c>
      <c r="AC2074">
        <f t="shared" si="289"/>
        <v>22</v>
      </c>
      <c r="AD2074" t="str">
        <f t="shared" si="290"/>
        <v/>
      </c>
      <c r="AE2074">
        <f t="shared" si="291"/>
        <v>1</v>
      </c>
      <c r="AF2074" t="str">
        <f t="shared" si="292"/>
        <v/>
      </c>
      <c r="AG2074" t="str">
        <f t="shared" si="293"/>
        <v/>
      </c>
      <c r="AH2074">
        <f t="shared" si="294"/>
        <v>1</v>
      </c>
      <c r="AI2074" t="str">
        <f t="shared" si="295"/>
        <v/>
      </c>
      <c r="AJ2074" t="str">
        <f t="shared" si="296"/>
        <v/>
      </c>
    </row>
    <row r="2075" spans="1:36">
      <c r="A2075" s="5">
        <v>2545</v>
      </c>
      <c r="B2075" s="5" t="s">
        <v>1599</v>
      </c>
      <c r="C2075" s="5" t="s">
        <v>1540</v>
      </c>
      <c r="D2075" s="5" t="s">
        <v>1588</v>
      </c>
      <c r="E2075" s="5" t="s">
        <v>1360</v>
      </c>
      <c r="F2075" s="5" t="str">
        <f t="shared" si="288"/>
        <v>Finance-Fund Administrator</v>
      </c>
      <c r="G2075" s="5" t="s">
        <v>147</v>
      </c>
      <c r="H2075" s="9">
        <v>45104.479166666664</v>
      </c>
      <c r="I2075" s="9">
        <v>45107.479166666664</v>
      </c>
      <c r="J2075" s="9" t="e">
        <f>I2075+#REF!</f>
        <v>#REF!</v>
      </c>
      <c r="K2075" s="9" t="e">
        <f>J2075+#REF!</f>
        <v>#REF!</v>
      </c>
      <c r="L2075" s="10" t="s">
        <v>41</v>
      </c>
      <c r="M2075" s="11">
        <v>45127.479166666664</v>
      </c>
      <c r="N2075" s="5" t="s">
        <v>42</v>
      </c>
      <c r="O2075" s="5" t="s">
        <v>73</v>
      </c>
      <c r="P2075" s="9"/>
      <c r="Q2075" s="5"/>
      <c r="R2075" s="5"/>
      <c r="S2075" s="5"/>
      <c r="T2075" s="9"/>
      <c r="U2075" s="5"/>
      <c r="V2075" s="5">
        <v>0</v>
      </c>
      <c r="W2075" s="5"/>
      <c r="X2075" s="5"/>
      <c r="Y2075" s="5"/>
      <c r="Z2075" s="5"/>
      <c r="AA2075" s="5" t="s">
        <v>62</v>
      </c>
      <c r="AC2075">
        <f t="shared" si="289"/>
        <v>20</v>
      </c>
      <c r="AD2075" t="str">
        <f t="shared" si="290"/>
        <v/>
      </c>
      <c r="AE2075" t="str">
        <f t="shared" si="291"/>
        <v/>
      </c>
      <c r="AF2075" t="str">
        <f t="shared" si="292"/>
        <v/>
      </c>
      <c r="AG2075" t="str">
        <f t="shared" si="293"/>
        <v/>
      </c>
      <c r="AH2075">
        <f t="shared" si="294"/>
        <v>3</v>
      </c>
      <c r="AI2075" t="str">
        <f t="shared" si="295"/>
        <v/>
      </c>
      <c r="AJ2075" t="str">
        <f t="shared" si="296"/>
        <v/>
      </c>
    </row>
    <row r="2076" spans="1:36">
      <c r="A2076" s="5">
        <v>2546</v>
      </c>
      <c r="B2076" s="5" t="s">
        <v>1991</v>
      </c>
      <c r="C2076" s="5" t="s">
        <v>1540</v>
      </c>
      <c r="D2076" s="5" t="s">
        <v>1985</v>
      </c>
      <c r="E2076" s="5" t="s">
        <v>1986</v>
      </c>
      <c r="F2076" s="5" t="str">
        <f t="shared" si="288"/>
        <v>Finance-Revenue Recorgnition</v>
      </c>
      <c r="G2076" s="5" t="s">
        <v>47</v>
      </c>
      <c r="H2076" s="9">
        <v>45108.479166666664</v>
      </c>
      <c r="I2076" s="9">
        <v>45109.479166666664</v>
      </c>
      <c r="J2076" s="9" t="e">
        <f>I2076+#REF!</f>
        <v>#REF!</v>
      </c>
      <c r="K2076" s="9" t="e">
        <f>J2076+#REF!</f>
        <v>#REF!</v>
      </c>
      <c r="L2076" s="10" t="s">
        <v>41</v>
      </c>
      <c r="M2076" s="11">
        <v>45126.479166666664</v>
      </c>
      <c r="N2076" s="5" t="s">
        <v>64</v>
      </c>
      <c r="O2076" s="5"/>
      <c r="P2076" s="9">
        <v>45134.479166666664</v>
      </c>
      <c r="Q2076" s="5" t="s">
        <v>64</v>
      </c>
      <c r="R2076" s="9">
        <v>45128.479166666664</v>
      </c>
      <c r="S2076" s="9">
        <v>45132.479166666664</v>
      </c>
      <c r="T2076" s="9">
        <v>45130.479166666664</v>
      </c>
      <c r="U2076" s="9">
        <v>45135.479166666664</v>
      </c>
      <c r="V2076" s="12">
        <v>1</v>
      </c>
      <c r="W2076" s="9">
        <v>45138.479166666664</v>
      </c>
      <c r="X2076" s="9">
        <v>45141.479166666664</v>
      </c>
      <c r="Y2076" s="9">
        <v>45143.479166666664</v>
      </c>
      <c r="Z2076" s="5"/>
      <c r="AA2076" s="5"/>
      <c r="AB2076" s="13">
        <v>45152.479166666664</v>
      </c>
      <c r="AC2076">
        <f t="shared" si="289"/>
        <v>17</v>
      </c>
      <c r="AD2076">
        <f t="shared" si="290"/>
        <v>23</v>
      </c>
      <c r="AE2076">
        <f t="shared" si="291"/>
        <v>4</v>
      </c>
      <c r="AF2076">
        <f t="shared" si="292"/>
        <v>6</v>
      </c>
      <c r="AG2076">
        <f t="shared" si="293"/>
        <v>3</v>
      </c>
      <c r="AH2076">
        <f t="shared" si="294"/>
        <v>1</v>
      </c>
      <c r="AI2076" t="str">
        <f t="shared" si="295"/>
        <v/>
      </c>
      <c r="AJ2076" t="str">
        <f t="shared" si="296"/>
        <v/>
      </c>
    </row>
    <row r="2077" spans="1:36">
      <c r="A2077" s="5">
        <v>2548</v>
      </c>
      <c r="B2077" s="5" t="s">
        <v>1990</v>
      </c>
      <c r="C2077" s="5" t="s">
        <v>1540</v>
      </c>
      <c r="D2077" s="5" t="s">
        <v>1985</v>
      </c>
      <c r="E2077" s="5" t="s">
        <v>1986</v>
      </c>
      <c r="F2077" s="5" t="str">
        <f t="shared" si="288"/>
        <v>Finance-Revenue Recorgnition</v>
      </c>
      <c r="G2077" s="5" t="s">
        <v>47</v>
      </c>
      <c r="H2077" s="9">
        <v>45107.479166666664</v>
      </c>
      <c r="I2077" s="9">
        <v>45110.479166666664</v>
      </c>
      <c r="J2077" s="9" t="e">
        <f>I2077+#REF!</f>
        <v>#REF!</v>
      </c>
      <c r="K2077" s="9" t="e">
        <f>J2077+#REF!</f>
        <v>#REF!</v>
      </c>
      <c r="L2077" s="10" t="s">
        <v>41</v>
      </c>
      <c r="M2077" s="11">
        <v>45125.479166666664</v>
      </c>
      <c r="N2077" s="5" t="s">
        <v>42</v>
      </c>
      <c r="O2077" s="5" t="s">
        <v>73</v>
      </c>
      <c r="P2077" s="9"/>
      <c r="Q2077" s="5"/>
      <c r="R2077" s="5"/>
      <c r="S2077" s="5"/>
      <c r="T2077" s="9"/>
      <c r="U2077" s="5"/>
      <c r="V2077" s="5">
        <v>0</v>
      </c>
      <c r="W2077" s="5"/>
      <c r="X2077" s="5"/>
      <c r="Y2077" s="5"/>
      <c r="Z2077" s="5"/>
      <c r="AA2077" s="5" t="s">
        <v>44</v>
      </c>
      <c r="AC2077">
        <f t="shared" si="289"/>
        <v>15</v>
      </c>
      <c r="AD2077" t="str">
        <f t="shared" si="290"/>
        <v/>
      </c>
      <c r="AE2077" t="str">
        <f t="shared" si="291"/>
        <v/>
      </c>
      <c r="AF2077" t="str">
        <f t="shared" si="292"/>
        <v/>
      </c>
      <c r="AG2077" t="str">
        <f t="shared" si="293"/>
        <v/>
      </c>
      <c r="AH2077">
        <f t="shared" si="294"/>
        <v>3</v>
      </c>
      <c r="AI2077" t="str">
        <f t="shared" si="295"/>
        <v/>
      </c>
      <c r="AJ2077" t="str">
        <f t="shared" si="296"/>
        <v/>
      </c>
    </row>
    <row r="2078" spans="1:36">
      <c r="A2078" s="5">
        <v>2549</v>
      </c>
      <c r="B2078" s="5" t="s">
        <v>1831</v>
      </c>
      <c r="C2078" s="5" t="s">
        <v>1540</v>
      </c>
      <c r="D2078" s="5" t="s">
        <v>1820</v>
      </c>
      <c r="E2078" s="5" t="s">
        <v>39</v>
      </c>
      <c r="F2078" s="5" t="str">
        <f t="shared" si="288"/>
        <v>Finance-Analyst</v>
      </c>
      <c r="G2078" s="5" t="s">
        <v>40</v>
      </c>
      <c r="H2078" s="9">
        <v>45108.479166666664</v>
      </c>
      <c r="I2078" s="9">
        <v>45111.479166666664</v>
      </c>
      <c r="J2078" s="9" t="e">
        <f>I2078+#REF!</f>
        <v>#REF!</v>
      </c>
      <c r="K2078" s="9" t="e">
        <f>J2078+#REF!</f>
        <v>#REF!</v>
      </c>
      <c r="L2078" s="10" t="s">
        <v>41</v>
      </c>
      <c r="M2078" s="11">
        <v>45116.479166666664</v>
      </c>
      <c r="N2078" s="5" t="s">
        <v>42</v>
      </c>
      <c r="O2078" s="5" t="s">
        <v>98</v>
      </c>
      <c r="P2078" s="9"/>
      <c r="Q2078" s="5"/>
      <c r="R2078" s="5"/>
      <c r="S2078" s="5"/>
      <c r="T2078" s="9"/>
      <c r="U2078" s="5"/>
      <c r="V2078" s="5">
        <v>0</v>
      </c>
      <c r="W2078" s="5"/>
      <c r="X2078" s="5"/>
      <c r="Y2078" s="5"/>
      <c r="Z2078" s="5"/>
      <c r="AA2078" s="5" t="s">
        <v>62</v>
      </c>
      <c r="AC2078">
        <f t="shared" si="289"/>
        <v>5</v>
      </c>
      <c r="AD2078" t="str">
        <f t="shared" si="290"/>
        <v/>
      </c>
      <c r="AE2078" t="str">
        <f t="shared" si="291"/>
        <v/>
      </c>
      <c r="AF2078" t="str">
        <f t="shared" si="292"/>
        <v/>
      </c>
      <c r="AG2078" t="str">
        <f t="shared" si="293"/>
        <v/>
      </c>
      <c r="AH2078">
        <f t="shared" si="294"/>
        <v>3</v>
      </c>
      <c r="AI2078" t="str">
        <f t="shared" si="295"/>
        <v/>
      </c>
      <c r="AJ2078" t="str">
        <f t="shared" si="296"/>
        <v/>
      </c>
    </row>
    <row r="2079" spans="1:36">
      <c r="A2079" s="5">
        <v>2550</v>
      </c>
      <c r="B2079" s="5" t="s">
        <v>1714</v>
      </c>
      <c r="C2079" s="5" t="s">
        <v>1540</v>
      </c>
      <c r="D2079" s="5" t="s">
        <v>1706</v>
      </c>
      <c r="E2079" s="5" t="s">
        <v>269</v>
      </c>
      <c r="F2079" s="5" t="str">
        <f t="shared" si="288"/>
        <v>Finance-Manager</v>
      </c>
      <c r="G2079" s="5" t="s">
        <v>270</v>
      </c>
      <c r="H2079" s="9">
        <v>45103.479166666664</v>
      </c>
      <c r="I2079" s="9">
        <v>45106.479166666664</v>
      </c>
      <c r="J2079" s="9" t="e">
        <f>I2079+#REF!</f>
        <v>#REF!</v>
      </c>
      <c r="K2079" s="9" t="e">
        <f>J2079+#REF!</f>
        <v>#REF!</v>
      </c>
      <c r="L2079" s="10" t="s">
        <v>41</v>
      </c>
      <c r="M2079" s="11">
        <v>45120.479166666664</v>
      </c>
      <c r="N2079" s="5" t="s">
        <v>48</v>
      </c>
      <c r="O2079" s="5"/>
      <c r="P2079" s="9">
        <v>45126.479166666664</v>
      </c>
      <c r="Q2079" s="5" t="s">
        <v>48</v>
      </c>
      <c r="R2079" s="5"/>
      <c r="S2079" s="5"/>
      <c r="T2079" s="9">
        <v>45123.479166666664</v>
      </c>
      <c r="U2079" s="5"/>
      <c r="V2079" s="5">
        <v>0</v>
      </c>
      <c r="W2079" s="5"/>
      <c r="X2079" s="5"/>
      <c r="Y2079" s="5"/>
      <c r="Z2079" s="5"/>
      <c r="AA2079" s="5"/>
      <c r="AC2079">
        <f t="shared" si="289"/>
        <v>14</v>
      </c>
      <c r="AD2079" t="str">
        <f t="shared" si="290"/>
        <v/>
      </c>
      <c r="AE2079">
        <f t="shared" si="291"/>
        <v>3</v>
      </c>
      <c r="AF2079" t="str">
        <f t="shared" si="292"/>
        <v/>
      </c>
      <c r="AG2079" t="str">
        <f t="shared" si="293"/>
        <v/>
      </c>
      <c r="AH2079">
        <f t="shared" si="294"/>
        <v>3</v>
      </c>
      <c r="AI2079" t="str">
        <f t="shared" si="295"/>
        <v/>
      </c>
      <c r="AJ2079" t="str">
        <f t="shared" si="296"/>
        <v/>
      </c>
    </row>
    <row r="2080" spans="1:36">
      <c r="A2080" s="5">
        <v>2551</v>
      </c>
      <c r="B2080" s="5" t="s">
        <v>166</v>
      </c>
      <c r="C2080" s="5" t="s">
        <v>100</v>
      </c>
      <c r="D2080" s="5" t="s">
        <v>146</v>
      </c>
      <c r="E2080" s="5" t="s">
        <v>39</v>
      </c>
      <c r="F2080" s="5" t="str">
        <f t="shared" si="288"/>
        <v>Program Office-Analyst</v>
      </c>
      <c r="G2080" s="5" t="s">
        <v>147</v>
      </c>
      <c r="H2080" s="9">
        <v>45141.715324074074</v>
      </c>
      <c r="I2080" s="9">
        <v>45142.715324074074</v>
      </c>
      <c r="J2080" s="9" t="e">
        <f>I2080+#REF!</f>
        <v>#REF!</v>
      </c>
      <c r="K2080" s="9" t="e">
        <f>J2080+#REF!</f>
        <v>#REF!</v>
      </c>
      <c r="L2080" s="10" t="s">
        <v>41</v>
      </c>
      <c r="M2080" s="11">
        <v>45152.715324074074</v>
      </c>
      <c r="N2080" s="5" t="s">
        <v>167</v>
      </c>
      <c r="O2080" s="5"/>
      <c r="P2080" s="9">
        <v>45157.715324074074</v>
      </c>
      <c r="Q2080" s="5" t="s">
        <v>167</v>
      </c>
      <c r="R2080" s="5"/>
      <c r="S2080" s="5"/>
      <c r="T2080" s="9">
        <v>45155.715324074074</v>
      </c>
      <c r="U2080" s="5"/>
      <c r="V2080" s="5">
        <v>0</v>
      </c>
      <c r="W2080" s="5"/>
      <c r="X2080" s="5"/>
      <c r="Y2080" s="5"/>
      <c r="Z2080" s="5"/>
      <c r="AA2080" s="5"/>
      <c r="AC2080">
        <f t="shared" si="289"/>
        <v>10</v>
      </c>
      <c r="AD2080" t="str">
        <f t="shared" si="290"/>
        <v/>
      </c>
      <c r="AE2080">
        <f t="shared" si="291"/>
        <v>3</v>
      </c>
      <c r="AF2080" t="str">
        <f t="shared" si="292"/>
        <v/>
      </c>
      <c r="AG2080" t="str">
        <f t="shared" si="293"/>
        <v/>
      </c>
      <c r="AH2080">
        <f t="shared" si="294"/>
        <v>1</v>
      </c>
      <c r="AI2080" t="str">
        <f t="shared" si="295"/>
        <v/>
      </c>
      <c r="AJ2080" t="str">
        <f t="shared" si="296"/>
        <v/>
      </c>
    </row>
    <row r="2081" spans="1:36">
      <c r="A2081" s="5">
        <v>2552</v>
      </c>
      <c r="B2081" s="5" t="s">
        <v>281</v>
      </c>
      <c r="C2081" s="5" t="s">
        <v>100</v>
      </c>
      <c r="D2081" s="5" t="s">
        <v>268</v>
      </c>
      <c r="E2081" s="5" t="s">
        <v>269</v>
      </c>
      <c r="F2081" s="5" t="str">
        <f t="shared" si="288"/>
        <v>Program Office-Manager</v>
      </c>
      <c r="G2081" s="5" t="s">
        <v>270</v>
      </c>
      <c r="H2081" s="9">
        <v>45142.715324074074</v>
      </c>
      <c r="I2081" s="9">
        <v>45146.715324074074</v>
      </c>
      <c r="J2081" s="9" t="e">
        <f>I2081+#REF!</f>
        <v>#REF!</v>
      </c>
      <c r="K2081" s="9" t="e">
        <f>J2081+#REF!</f>
        <v>#REF!</v>
      </c>
      <c r="L2081" s="10" t="s">
        <v>41</v>
      </c>
      <c r="M2081" s="11">
        <v>45158.715324074074</v>
      </c>
      <c r="N2081" s="5" t="s">
        <v>64</v>
      </c>
      <c r="O2081" s="5"/>
      <c r="P2081" s="9">
        <v>45160.715324074074</v>
      </c>
      <c r="Q2081" s="5" t="s">
        <v>64</v>
      </c>
      <c r="R2081" s="9">
        <v>45160.715324074074</v>
      </c>
      <c r="S2081" s="9">
        <v>45162.715324074074</v>
      </c>
      <c r="T2081" s="9">
        <v>45159.715324074074</v>
      </c>
      <c r="U2081" s="9">
        <v>45162.715324074074</v>
      </c>
      <c r="V2081" s="12">
        <v>1</v>
      </c>
      <c r="W2081" s="9">
        <v>45165.715324074074</v>
      </c>
      <c r="X2081" s="9">
        <v>45167.715324074074</v>
      </c>
      <c r="Y2081" s="9">
        <v>45170.715324074074</v>
      </c>
      <c r="Z2081" s="5"/>
      <c r="AA2081" s="5"/>
      <c r="AB2081" s="13">
        <v>45184.715324074074</v>
      </c>
      <c r="AC2081">
        <f t="shared" si="289"/>
        <v>12</v>
      </c>
      <c r="AD2081">
        <f t="shared" si="290"/>
        <v>16</v>
      </c>
      <c r="AE2081">
        <f t="shared" si="291"/>
        <v>1</v>
      </c>
      <c r="AF2081">
        <f t="shared" si="292"/>
        <v>5</v>
      </c>
      <c r="AG2081">
        <f t="shared" si="293"/>
        <v>3</v>
      </c>
      <c r="AH2081">
        <f t="shared" si="294"/>
        <v>4</v>
      </c>
      <c r="AI2081" t="str">
        <f t="shared" si="295"/>
        <v/>
      </c>
      <c r="AJ2081" t="str">
        <f t="shared" si="296"/>
        <v/>
      </c>
    </row>
    <row r="2082" spans="1:36">
      <c r="A2082" s="5">
        <v>2554</v>
      </c>
      <c r="B2082" s="5" t="s">
        <v>575</v>
      </c>
      <c r="C2082" s="5" t="s">
        <v>100</v>
      </c>
      <c r="D2082" s="5" t="s">
        <v>554</v>
      </c>
      <c r="E2082" s="5" t="s">
        <v>39</v>
      </c>
      <c r="F2082" s="5" t="str">
        <f t="shared" si="288"/>
        <v>Program Office-Analyst</v>
      </c>
      <c r="G2082" s="5" t="s">
        <v>47</v>
      </c>
      <c r="H2082" s="9">
        <v>45140.715324074074</v>
      </c>
      <c r="I2082" s="9">
        <v>45144.715324074074</v>
      </c>
      <c r="J2082" s="9" t="e">
        <f>I2082+#REF!</f>
        <v>#REF!</v>
      </c>
      <c r="K2082" s="9" t="e">
        <f>J2082+#REF!</f>
        <v>#REF!</v>
      </c>
      <c r="L2082" s="10" t="s">
        <v>41</v>
      </c>
      <c r="M2082" s="11">
        <v>45154.715324074074</v>
      </c>
      <c r="N2082" s="5" t="s">
        <v>42</v>
      </c>
      <c r="O2082" s="5" t="s">
        <v>113</v>
      </c>
      <c r="P2082" s="9"/>
      <c r="Q2082" s="5"/>
      <c r="R2082" s="5"/>
      <c r="S2082" s="5"/>
      <c r="T2082" s="9">
        <v>45156.715324074074</v>
      </c>
      <c r="U2082" s="5"/>
      <c r="V2082" s="5">
        <v>0</v>
      </c>
      <c r="W2082" s="5"/>
      <c r="X2082" s="5"/>
      <c r="Y2082" s="5"/>
      <c r="Z2082" s="5"/>
      <c r="AA2082" s="5" t="s">
        <v>62</v>
      </c>
      <c r="AC2082">
        <f t="shared" si="289"/>
        <v>10</v>
      </c>
      <c r="AD2082" t="str">
        <f t="shared" si="290"/>
        <v/>
      </c>
      <c r="AE2082">
        <f t="shared" si="291"/>
        <v>2</v>
      </c>
      <c r="AF2082" t="str">
        <f t="shared" si="292"/>
        <v/>
      </c>
      <c r="AG2082" t="str">
        <f t="shared" si="293"/>
        <v/>
      </c>
      <c r="AH2082">
        <f t="shared" si="294"/>
        <v>4</v>
      </c>
      <c r="AI2082" t="str">
        <f t="shared" si="295"/>
        <v/>
      </c>
      <c r="AJ2082" t="str">
        <f t="shared" si="296"/>
        <v/>
      </c>
    </row>
    <row r="2083" spans="1:36">
      <c r="A2083" s="5">
        <v>2555</v>
      </c>
      <c r="B2083" s="5" t="s">
        <v>109</v>
      </c>
      <c r="C2083" s="5" t="s">
        <v>100</v>
      </c>
      <c r="D2083" s="5" t="s">
        <v>101</v>
      </c>
      <c r="E2083" s="5" t="s">
        <v>102</v>
      </c>
      <c r="F2083" s="5" t="str">
        <f t="shared" si="288"/>
        <v>Program Office-Senior Manager</v>
      </c>
      <c r="G2083" s="5" t="s">
        <v>103</v>
      </c>
      <c r="H2083" s="9">
        <v>45145.715324074074</v>
      </c>
      <c r="I2083" s="9">
        <v>45147.715324074074</v>
      </c>
      <c r="J2083" s="9" t="e">
        <f>I2083+#REF!</f>
        <v>#REF!</v>
      </c>
      <c r="K2083" s="9" t="e">
        <f>J2083+#REF!</f>
        <v>#REF!</v>
      </c>
      <c r="L2083" s="10" t="s">
        <v>41</v>
      </c>
      <c r="M2083" s="11">
        <v>45159.715324074074</v>
      </c>
      <c r="N2083" s="5" t="s">
        <v>42</v>
      </c>
      <c r="O2083" s="5" t="s">
        <v>98</v>
      </c>
      <c r="P2083" s="9"/>
      <c r="Q2083" s="5"/>
      <c r="R2083" s="5"/>
      <c r="S2083" s="5"/>
      <c r="T2083" s="9"/>
      <c r="U2083" s="5"/>
      <c r="V2083" s="5">
        <v>0</v>
      </c>
      <c r="W2083" s="5"/>
      <c r="X2083" s="5"/>
      <c r="Y2083" s="5"/>
      <c r="Z2083" s="5"/>
      <c r="AA2083" s="5" t="s">
        <v>44</v>
      </c>
      <c r="AC2083">
        <f t="shared" si="289"/>
        <v>12</v>
      </c>
      <c r="AD2083" t="str">
        <f t="shared" si="290"/>
        <v/>
      </c>
      <c r="AE2083" t="str">
        <f t="shared" si="291"/>
        <v/>
      </c>
      <c r="AF2083" t="str">
        <f t="shared" si="292"/>
        <v/>
      </c>
      <c r="AG2083" t="str">
        <f t="shared" si="293"/>
        <v/>
      </c>
      <c r="AH2083">
        <f t="shared" si="294"/>
        <v>2</v>
      </c>
      <c r="AI2083" t="str">
        <f t="shared" si="295"/>
        <v/>
      </c>
      <c r="AJ2083" t="str">
        <f t="shared" si="296"/>
        <v/>
      </c>
    </row>
    <row r="2084" spans="1:36">
      <c r="A2084" s="5">
        <v>2556</v>
      </c>
      <c r="B2084" s="5" t="s">
        <v>574</v>
      </c>
      <c r="C2084" s="5" t="s">
        <v>100</v>
      </c>
      <c r="D2084" s="5" t="s">
        <v>554</v>
      </c>
      <c r="E2084" s="5" t="s">
        <v>39</v>
      </c>
      <c r="F2084" s="5" t="str">
        <f t="shared" si="288"/>
        <v>Program Office-Analyst</v>
      </c>
      <c r="G2084" s="5" t="s">
        <v>47</v>
      </c>
      <c r="H2084" s="9">
        <v>45139.715324074074</v>
      </c>
      <c r="I2084" s="9">
        <v>45142.715324074074</v>
      </c>
      <c r="J2084" s="9" t="e">
        <f>I2084+#REF!</f>
        <v>#REF!</v>
      </c>
      <c r="K2084" s="9" t="e">
        <f>J2084+#REF!</f>
        <v>#REF!</v>
      </c>
      <c r="L2084" s="10" t="s">
        <v>41</v>
      </c>
      <c r="M2084" s="11">
        <v>45164.715324074074</v>
      </c>
      <c r="N2084" s="5" t="s">
        <v>48</v>
      </c>
      <c r="O2084" s="5"/>
      <c r="P2084" s="9">
        <v>45167.715324074074</v>
      </c>
      <c r="Q2084" s="5" t="s">
        <v>48</v>
      </c>
      <c r="R2084" s="5"/>
      <c r="S2084" s="5"/>
      <c r="T2084" s="9">
        <v>45166.715324074074</v>
      </c>
      <c r="U2084" s="5"/>
      <c r="V2084" s="5">
        <v>0</v>
      </c>
      <c r="W2084" s="5"/>
      <c r="X2084" s="5"/>
      <c r="Y2084" s="5"/>
      <c r="Z2084" s="5"/>
      <c r="AA2084" s="5"/>
      <c r="AC2084">
        <f t="shared" si="289"/>
        <v>22</v>
      </c>
      <c r="AD2084" t="str">
        <f t="shared" si="290"/>
        <v/>
      </c>
      <c r="AE2084">
        <f t="shared" si="291"/>
        <v>2</v>
      </c>
      <c r="AF2084" t="str">
        <f t="shared" si="292"/>
        <v/>
      </c>
      <c r="AG2084" t="str">
        <f t="shared" si="293"/>
        <v/>
      </c>
      <c r="AH2084">
        <f t="shared" si="294"/>
        <v>3</v>
      </c>
      <c r="AI2084" t="str">
        <f t="shared" si="295"/>
        <v/>
      </c>
      <c r="AJ2084" t="str">
        <f t="shared" si="296"/>
        <v/>
      </c>
    </row>
    <row r="2085" spans="1:36">
      <c r="A2085" s="5">
        <v>2557</v>
      </c>
      <c r="B2085" s="5" t="s">
        <v>165</v>
      </c>
      <c r="C2085" s="5" t="s">
        <v>100</v>
      </c>
      <c r="D2085" s="5" t="s">
        <v>146</v>
      </c>
      <c r="E2085" s="5" t="s">
        <v>39</v>
      </c>
      <c r="F2085" s="5" t="str">
        <f t="shared" si="288"/>
        <v>Program Office-Analyst</v>
      </c>
      <c r="G2085" s="5" t="s">
        <v>147</v>
      </c>
      <c r="H2085" s="9">
        <v>45144.715324074074</v>
      </c>
      <c r="I2085" s="9">
        <v>45145.715324074074</v>
      </c>
      <c r="J2085" s="9" t="e">
        <f>I2085+#REF!</f>
        <v>#REF!</v>
      </c>
      <c r="K2085" s="9" t="e">
        <f>J2085+#REF!</f>
        <v>#REF!</v>
      </c>
      <c r="L2085" s="10" t="s">
        <v>41</v>
      </c>
      <c r="M2085" s="11">
        <v>45152.715324074074</v>
      </c>
      <c r="N2085" s="5" t="s">
        <v>64</v>
      </c>
      <c r="O2085" s="5"/>
      <c r="P2085" s="9">
        <v>45157.715324074074</v>
      </c>
      <c r="Q2085" s="5" t="s">
        <v>64</v>
      </c>
      <c r="R2085" s="9">
        <v>45153.715324074074</v>
      </c>
      <c r="S2085" s="9">
        <v>45154.715324074074</v>
      </c>
      <c r="T2085" s="9">
        <v>45153.715324074074</v>
      </c>
      <c r="U2085" s="9">
        <v>45158.715324074074</v>
      </c>
      <c r="V2085" s="12">
        <v>1</v>
      </c>
      <c r="W2085" s="9">
        <v>45159.715324074074</v>
      </c>
      <c r="X2085" s="9">
        <v>45160.715324074074</v>
      </c>
      <c r="Y2085" s="9">
        <v>45162.715324074074</v>
      </c>
      <c r="Z2085" s="5"/>
      <c r="AA2085" s="5"/>
      <c r="AB2085" s="13">
        <v>45181.715324074074</v>
      </c>
      <c r="AC2085">
        <f t="shared" si="289"/>
        <v>7</v>
      </c>
      <c r="AD2085">
        <f t="shared" si="290"/>
        <v>9</v>
      </c>
      <c r="AE2085">
        <f t="shared" si="291"/>
        <v>1</v>
      </c>
      <c r="AF2085">
        <f t="shared" si="292"/>
        <v>2</v>
      </c>
      <c r="AG2085">
        <f t="shared" si="293"/>
        <v>1</v>
      </c>
      <c r="AH2085">
        <f t="shared" si="294"/>
        <v>1</v>
      </c>
      <c r="AI2085" t="str">
        <f t="shared" si="295"/>
        <v/>
      </c>
      <c r="AJ2085" t="str">
        <f t="shared" si="296"/>
        <v/>
      </c>
    </row>
    <row r="2086" spans="1:36">
      <c r="A2086" s="5">
        <v>2558</v>
      </c>
      <c r="B2086" s="5" t="s">
        <v>280</v>
      </c>
      <c r="C2086" s="5" t="s">
        <v>100</v>
      </c>
      <c r="D2086" s="5" t="s">
        <v>268</v>
      </c>
      <c r="E2086" s="5" t="s">
        <v>269</v>
      </c>
      <c r="F2086" s="5" t="str">
        <f t="shared" si="288"/>
        <v>Program Office-Manager</v>
      </c>
      <c r="G2086" s="5" t="s">
        <v>270</v>
      </c>
      <c r="H2086" s="9">
        <v>45145.715324074074</v>
      </c>
      <c r="I2086" s="9">
        <v>45146.715324074074</v>
      </c>
      <c r="J2086" s="9" t="e">
        <f>I2086+#REF!</f>
        <v>#REF!</v>
      </c>
      <c r="K2086" s="9" t="e">
        <f>J2086+#REF!</f>
        <v>#REF!</v>
      </c>
      <c r="L2086" s="10" t="s">
        <v>41</v>
      </c>
      <c r="M2086" s="11">
        <v>45158.715324074074</v>
      </c>
      <c r="N2086" s="5" t="s">
        <v>42</v>
      </c>
      <c r="O2086" s="5" t="s">
        <v>98</v>
      </c>
      <c r="P2086" s="9"/>
      <c r="Q2086" s="5"/>
      <c r="R2086" s="5"/>
      <c r="S2086" s="5"/>
      <c r="T2086" s="9"/>
      <c r="U2086" s="5"/>
      <c r="V2086" s="5">
        <v>0</v>
      </c>
      <c r="W2086" s="5"/>
      <c r="X2086" s="5"/>
      <c r="Y2086" s="5"/>
      <c r="Z2086" s="5"/>
      <c r="AA2086" s="5" t="s">
        <v>62</v>
      </c>
      <c r="AC2086">
        <f t="shared" si="289"/>
        <v>12</v>
      </c>
      <c r="AD2086" t="str">
        <f t="shared" si="290"/>
        <v/>
      </c>
      <c r="AE2086" t="str">
        <f t="shared" si="291"/>
        <v/>
      </c>
      <c r="AF2086" t="str">
        <f t="shared" si="292"/>
        <v/>
      </c>
      <c r="AG2086" t="str">
        <f t="shared" si="293"/>
        <v/>
      </c>
      <c r="AH2086">
        <f t="shared" si="294"/>
        <v>1</v>
      </c>
      <c r="AI2086" t="str">
        <f t="shared" si="295"/>
        <v/>
      </c>
      <c r="AJ2086" t="str">
        <f t="shared" si="296"/>
        <v/>
      </c>
    </row>
    <row r="2087" spans="1:36">
      <c r="A2087" s="5">
        <v>2559</v>
      </c>
      <c r="B2087" s="5" t="s">
        <v>573</v>
      </c>
      <c r="C2087" s="5" t="s">
        <v>100</v>
      </c>
      <c r="D2087" s="5" t="s">
        <v>554</v>
      </c>
      <c r="E2087" s="5" t="s">
        <v>39</v>
      </c>
      <c r="F2087" s="5" t="str">
        <f t="shared" si="288"/>
        <v>Program Office-Analyst</v>
      </c>
      <c r="G2087" s="5" t="s">
        <v>47</v>
      </c>
      <c r="H2087" s="9">
        <v>45141.715324074074</v>
      </c>
      <c r="I2087" s="9">
        <v>45144.715324074074</v>
      </c>
      <c r="J2087" s="9" t="e">
        <f>I2087+#REF!</f>
        <v>#REF!</v>
      </c>
      <c r="K2087" s="9" t="e">
        <f>J2087+#REF!</f>
        <v>#REF!</v>
      </c>
      <c r="L2087" s="10" t="s">
        <v>52</v>
      </c>
      <c r="M2087" s="11"/>
      <c r="N2087" s="5"/>
      <c r="O2087" s="5"/>
      <c r="P2087" s="9"/>
      <c r="Q2087" s="5"/>
      <c r="R2087" s="5"/>
      <c r="S2087" s="5"/>
      <c r="T2087" s="9"/>
      <c r="U2087" s="5"/>
      <c r="V2087" s="5">
        <v>0</v>
      </c>
      <c r="W2087" s="5"/>
      <c r="X2087" s="5"/>
      <c r="Y2087" s="5"/>
      <c r="Z2087" s="5"/>
      <c r="AA2087" s="5"/>
      <c r="AC2087" t="str">
        <f t="shared" si="289"/>
        <v/>
      </c>
      <c r="AD2087" t="str">
        <f t="shared" si="290"/>
        <v/>
      </c>
      <c r="AE2087" t="str">
        <f t="shared" si="291"/>
        <v/>
      </c>
      <c r="AF2087" t="str">
        <f t="shared" si="292"/>
        <v/>
      </c>
      <c r="AG2087" t="str">
        <f t="shared" si="293"/>
        <v/>
      </c>
      <c r="AH2087">
        <f t="shared" si="294"/>
        <v>3</v>
      </c>
      <c r="AI2087" t="str">
        <f t="shared" si="295"/>
        <v/>
      </c>
      <c r="AJ2087" t="str">
        <f t="shared" si="296"/>
        <v/>
      </c>
    </row>
    <row r="2088" spans="1:36">
      <c r="A2088" s="5">
        <v>2561</v>
      </c>
      <c r="B2088" s="5" t="s">
        <v>279</v>
      </c>
      <c r="C2088" s="5" t="s">
        <v>100</v>
      </c>
      <c r="D2088" s="5" t="s">
        <v>268</v>
      </c>
      <c r="E2088" s="5" t="s">
        <v>269</v>
      </c>
      <c r="F2088" s="5" t="str">
        <f t="shared" si="288"/>
        <v>Program Office-Manager</v>
      </c>
      <c r="G2088" s="5" t="s">
        <v>270</v>
      </c>
      <c r="H2088" s="9">
        <v>44886.290763888886</v>
      </c>
      <c r="I2088" s="9">
        <v>44890.290763888886</v>
      </c>
      <c r="J2088" s="9" t="e">
        <f>I2088+#REF!</f>
        <v>#REF!</v>
      </c>
      <c r="K2088" s="9" t="e">
        <f>J2088+#REF!</f>
        <v>#REF!</v>
      </c>
      <c r="L2088" s="10" t="s">
        <v>52</v>
      </c>
      <c r="M2088" s="11"/>
      <c r="N2088" s="5"/>
      <c r="O2088" s="5"/>
      <c r="P2088" s="9"/>
      <c r="Q2088" s="5"/>
      <c r="R2088" s="5"/>
      <c r="S2088" s="5"/>
      <c r="T2088" s="9"/>
      <c r="U2088" s="5"/>
      <c r="V2088" s="5">
        <v>0</v>
      </c>
      <c r="W2088" s="5"/>
      <c r="X2088" s="5"/>
      <c r="Y2088" s="5"/>
      <c r="Z2088" s="5"/>
      <c r="AA2088" s="5"/>
      <c r="AC2088" t="str">
        <f t="shared" si="289"/>
        <v/>
      </c>
      <c r="AD2088" t="str">
        <f t="shared" si="290"/>
        <v/>
      </c>
      <c r="AE2088" t="str">
        <f t="shared" si="291"/>
        <v/>
      </c>
      <c r="AF2088" t="str">
        <f t="shared" si="292"/>
        <v/>
      </c>
      <c r="AG2088" t="str">
        <f t="shared" si="293"/>
        <v/>
      </c>
      <c r="AH2088">
        <f t="shared" si="294"/>
        <v>4</v>
      </c>
      <c r="AI2088" t="str">
        <f t="shared" si="295"/>
        <v/>
      </c>
      <c r="AJ2088" t="str">
        <f t="shared" si="296"/>
        <v/>
      </c>
    </row>
    <row r="2089" spans="1:36">
      <c r="A2089" s="5">
        <v>2562</v>
      </c>
      <c r="B2089" s="5" t="s">
        <v>278</v>
      </c>
      <c r="C2089" s="5" t="s">
        <v>100</v>
      </c>
      <c r="D2089" s="5" t="s">
        <v>268</v>
      </c>
      <c r="E2089" s="5" t="s">
        <v>269</v>
      </c>
      <c r="F2089" s="5" t="str">
        <f t="shared" si="288"/>
        <v>Program Office-Manager</v>
      </c>
      <c r="G2089" s="5" t="s">
        <v>270</v>
      </c>
      <c r="H2089" s="9">
        <v>44887.290763888886</v>
      </c>
      <c r="I2089" s="9">
        <v>44891.290763888886</v>
      </c>
      <c r="J2089" s="9" t="e">
        <f>I2089+#REF!</f>
        <v>#REF!</v>
      </c>
      <c r="K2089" s="9" t="e">
        <f>J2089+#REF!</f>
        <v>#REF!</v>
      </c>
      <c r="L2089" s="10" t="s">
        <v>41</v>
      </c>
      <c r="M2089" s="11">
        <v>44903.290763888886</v>
      </c>
      <c r="N2089" s="5" t="s">
        <v>48</v>
      </c>
      <c r="O2089" s="5"/>
      <c r="P2089" s="9">
        <v>44911.290763888886</v>
      </c>
      <c r="Q2089" s="5" t="s">
        <v>48</v>
      </c>
      <c r="R2089" s="5"/>
      <c r="S2089" s="5"/>
      <c r="T2089" s="9">
        <v>44907.290763888886</v>
      </c>
      <c r="U2089" s="5"/>
      <c r="V2089" s="5">
        <v>0</v>
      </c>
      <c r="W2089" s="5"/>
      <c r="X2089" s="5"/>
      <c r="Y2089" s="5"/>
      <c r="Z2089" s="5"/>
      <c r="AA2089" s="5"/>
      <c r="AC2089">
        <f t="shared" si="289"/>
        <v>12</v>
      </c>
      <c r="AD2089" t="str">
        <f t="shared" si="290"/>
        <v/>
      </c>
      <c r="AE2089">
        <f t="shared" si="291"/>
        <v>4</v>
      </c>
      <c r="AF2089" t="str">
        <f t="shared" si="292"/>
        <v/>
      </c>
      <c r="AG2089" t="str">
        <f t="shared" si="293"/>
        <v/>
      </c>
      <c r="AH2089">
        <f t="shared" si="294"/>
        <v>4</v>
      </c>
      <c r="AI2089" t="str">
        <f t="shared" si="295"/>
        <v/>
      </c>
      <c r="AJ2089" t="str">
        <f t="shared" si="296"/>
        <v/>
      </c>
    </row>
    <row r="2090" spans="1:36">
      <c r="A2090" s="5">
        <v>2563</v>
      </c>
      <c r="B2090" s="5" t="s">
        <v>572</v>
      </c>
      <c r="C2090" s="5" t="s">
        <v>100</v>
      </c>
      <c r="D2090" s="5" t="s">
        <v>554</v>
      </c>
      <c r="E2090" s="5" t="s">
        <v>39</v>
      </c>
      <c r="F2090" s="5" t="str">
        <f t="shared" si="288"/>
        <v>Program Office-Analyst</v>
      </c>
      <c r="G2090" s="5" t="s">
        <v>47</v>
      </c>
      <c r="H2090" s="9">
        <v>44886.290763888886</v>
      </c>
      <c r="I2090" s="9">
        <v>44890.290763888886</v>
      </c>
      <c r="J2090" s="9" t="e">
        <f>I2090+#REF!</f>
        <v>#REF!</v>
      </c>
      <c r="K2090" s="9" t="e">
        <f>J2090+#REF!</f>
        <v>#REF!</v>
      </c>
      <c r="L2090" s="10" t="s">
        <v>52</v>
      </c>
      <c r="M2090" s="11"/>
      <c r="N2090" s="5"/>
      <c r="O2090" s="5"/>
      <c r="P2090" s="9"/>
      <c r="Q2090" s="5"/>
      <c r="R2090" s="5"/>
      <c r="S2090" s="5"/>
      <c r="T2090" s="9"/>
      <c r="U2090" s="5"/>
      <c r="V2090" s="5">
        <v>0</v>
      </c>
      <c r="W2090" s="5"/>
      <c r="X2090" s="5"/>
      <c r="Y2090" s="5"/>
      <c r="Z2090" s="5"/>
      <c r="AA2090" s="5"/>
      <c r="AC2090" t="str">
        <f t="shared" si="289"/>
        <v/>
      </c>
      <c r="AD2090" t="str">
        <f t="shared" si="290"/>
        <v/>
      </c>
      <c r="AE2090" t="str">
        <f t="shared" si="291"/>
        <v/>
      </c>
      <c r="AF2090" t="str">
        <f t="shared" si="292"/>
        <v/>
      </c>
      <c r="AG2090" t="str">
        <f t="shared" si="293"/>
        <v/>
      </c>
      <c r="AH2090">
        <f t="shared" si="294"/>
        <v>4</v>
      </c>
      <c r="AI2090" t="str">
        <f t="shared" si="295"/>
        <v/>
      </c>
      <c r="AJ2090" t="str">
        <f t="shared" si="296"/>
        <v/>
      </c>
    </row>
    <row r="2091" spans="1:36">
      <c r="A2091" s="5">
        <v>2564</v>
      </c>
      <c r="B2091" s="5" t="s">
        <v>397</v>
      </c>
      <c r="C2091" s="5" t="s">
        <v>100</v>
      </c>
      <c r="D2091" s="5" t="s">
        <v>387</v>
      </c>
      <c r="E2091" s="5" t="s">
        <v>388</v>
      </c>
      <c r="F2091" s="5" t="str">
        <f t="shared" si="288"/>
        <v>Program Office-Extension Officer</v>
      </c>
      <c r="G2091" s="5" t="s">
        <v>40</v>
      </c>
      <c r="H2091" s="9">
        <v>44888.290763888886</v>
      </c>
      <c r="I2091" s="9">
        <v>44890.290763888886</v>
      </c>
      <c r="J2091" s="9" t="e">
        <f>I2091+#REF!</f>
        <v>#REF!</v>
      </c>
      <c r="K2091" s="9" t="e">
        <f>J2091+#REF!</f>
        <v>#REF!</v>
      </c>
      <c r="L2091" s="10" t="s">
        <v>41</v>
      </c>
      <c r="M2091" s="11">
        <v>44906.290763888886</v>
      </c>
      <c r="N2091" s="5" t="s">
        <v>48</v>
      </c>
      <c r="O2091" s="5"/>
      <c r="P2091" s="9">
        <v>44911.290763888886</v>
      </c>
      <c r="Q2091" s="5" t="s">
        <v>48</v>
      </c>
      <c r="R2091" s="5"/>
      <c r="S2091" s="5"/>
      <c r="T2091" s="9">
        <v>44909.290763888886</v>
      </c>
      <c r="U2091" s="5"/>
      <c r="V2091" s="5">
        <v>0</v>
      </c>
      <c r="W2091" s="5"/>
      <c r="X2091" s="5"/>
      <c r="Y2091" s="5"/>
      <c r="Z2091" s="5"/>
      <c r="AA2091" s="5"/>
      <c r="AC2091">
        <f t="shared" si="289"/>
        <v>16</v>
      </c>
      <c r="AD2091" t="str">
        <f t="shared" si="290"/>
        <v/>
      </c>
      <c r="AE2091">
        <f t="shared" si="291"/>
        <v>3</v>
      </c>
      <c r="AF2091" t="str">
        <f t="shared" si="292"/>
        <v/>
      </c>
      <c r="AG2091" t="str">
        <f t="shared" si="293"/>
        <v/>
      </c>
      <c r="AH2091">
        <f t="shared" si="294"/>
        <v>2</v>
      </c>
      <c r="AI2091" t="str">
        <f t="shared" si="295"/>
        <v/>
      </c>
      <c r="AJ2091" t="str">
        <f t="shared" si="296"/>
        <v/>
      </c>
    </row>
    <row r="2092" spans="1:36">
      <c r="A2092" s="5">
        <v>2566</v>
      </c>
      <c r="B2092" s="5" t="s">
        <v>571</v>
      </c>
      <c r="C2092" s="5" t="s">
        <v>100</v>
      </c>
      <c r="D2092" s="5" t="s">
        <v>554</v>
      </c>
      <c r="E2092" s="5" t="s">
        <v>39</v>
      </c>
      <c r="F2092" s="5" t="str">
        <f t="shared" si="288"/>
        <v>Program Office-Analyst</v>
      </c>
      <c r="G2092" s="5" t="s">
        <v>47</v>
      </c>
      <c r="H2092" s="9">
        <v>44888.290763888886</v>
      </c>
      <c r="I2092" s="9">
        <v>44889.290763888886</v>
      </c>
      <c r="J2092" s="9" t="e">
        <f>I2092+#REF!</f>
        <v>#REF!</v>
      </c>
      <c r="K2092" s="9" t="e">
        <f>J2092+#REF!</f>
        <v>#REF!</v>
      </c>
      <c r="L2092" s="10" t="s">
        <v>41</v>
      </c>
      <c r="M2092" s="11">
        <v>44904.290763888886</v>
      </c>
      <c r="N2092" s="5" t="s">
        <v>64</v>
      </c>
      <c r="O2092" s="5"/>
      <c r="P2092" s="9">
        <v>44911.290763888886</v>
      </c>
      <c r="Q2092" s="5" t="s">
        <v>64</v>
      </c>
      <c r="R2092" s="9">
        <v>44906.290763888886</v>
      </c>
      <c r="S2092" s="9">
        <v>44909.290763888886</v>
      </c>
      <c r="T2092" s="9">
        <v>44908.290763888886</v>
      </c>
      <c r="U2092" s="9">
        <v>44918.290763888886</v>
      </c>
      <c r="V2092" s="12">
        <v>1</v>
      </c>
      <c r="W2092" s="9">
        <v>44921.290763888886</v>
      </c>
      <c r="X2092" s="9">
        <v>44922.290763888886</v>
      </c>
      <c r="Y2092" s="9">
        <v>44923.290763888886</v>
      </c>
      <c r="Z2092" s="5"/>
      <c r="AA2092" s="5"/>
      <c r="AB2092" s="13">
        <v>44934.290763888886</v>
      </c>
      <c r="AC2092">
        <f t="shared" si="289"/>
        <v>15</v>
      </c>
      <c r="AD2092">
        <f t="shared" si="290"/>
        <v>20</v>
      </c>
      <c r="AE2092">
        <f t="shared" si="291"/>
        <v>4</v>
      </c>
      <c r="AF2092">
        <f t="shared" si="292"/>
        <v>4</v>
      </c>
      <c r="AG2092">
        <f t="shared" si="293"/>
        <v>3</v>
      </c>
      <c r="AH2092">
        <f t="shared" si="294"/>
        <v>1</v>
      </c>
      <c r="AI2092" t="str">
        <f t="shared" si="295"/>
        <v/>
      </c>
      <c r="AJ2092" t="str">
        <f t="shared" si="296"/>
        <v/>
      </c>
    </row>
    <row r="2093" spans="1:36">
      <c r="A2093" s="5">
        <v>2567</v>
      </c>
      <c r="B2093" s="5" t="s">
        <v>164</v>
      </c>
      <c r="C2093" s="5" t="s">
        <v>100</v>
      </c>
      <c r="D2093" s="5" t="s">
        <v>146</v>
      </c>
      <c r="E2093" s="5" t="s">
        <v>39</v>
      </c>
      <c r="F2093" s="5" t="str">
        <f t="shared" si="288"/>
        <v>Program Office-Analyst</v>
      </c>
      <c r="G2093" s="5" t="s">
        <v>147</v>
      </c>
      <c r="H2093" s="9">
        <v>44887.290763888886</v>
      </c>
      <c r="I2093" s="9">
        <v>44889.290763888886</v>
      </c>
      <c r="J2093" s="9" t="e">
        <f>I2093+#REF!</f>
        <v>#REF!</v>
      </c>
      <c r="K2093" s="9" t="e">
        <f>J2093+#REF!</f>
        <v>#REF!</v>
      </c>
      <c r="L2093" s="10" t="s">
        <v>52</v>
      </c>
      <c r="M2093" s="11"/>
      <c r="N2093" s="5"/>
      <c r="O2093" s="5"/>
      <c r="P2093" s="9"/>
      <c r="Q2093" s="5"/>
      <c r="R2093" s="5"/>
      <c r="S2093" s="5"/>
      <c r="T2093" s="9"/>
      <c r="U2093" s="5"/>
      <c r="V2093" s="5">
        <v>0</v>
      </c>
      <c r="W2093" s="5"/>
      <c r="X2093" s="5"/>
      <c r="Y2093" s="5"/>
      <c r="Z2093" s="5"/>
      <c r="AA2093" s="5"/>
      <c r="AC2093" t="str">
        <f t="shared" si="289"/>
        <v/>
      </c>
      <c r="AD2093" t="str">
        <f t="shared" si="290"/>
        <v/>
      </c>
      <c r="AE2093" t="str">
        <f t="shared" si="291"/>
        <v/>
      </c>
      <c r="AF2093" t="str">
        <f t="shared" si="292"/>
        <v/>
      </c>
      <c r="AG2093" t="str">
        <f t="shared" si="293"/>
        <v/>
      </c>
      <c r="AH2093">
        <f t="shared" si="294"/>
        <v>2</v>
      </c>
      <c r="AI2093" t="str">
        <f t="shared" si="295"/>
        <v/>
      </c>
      <c r="AJ2093" t="str">
        <f t="shared" si="296"/>
        <v/>
      </c>
    </row>
    <row r="2094" spans="1:36">
      <c r="A2094" s="5">
        <v>2569</v>
      </c>
      <c r="B2094" s="5" t="s">
        <v>163</v>
      </c>
      <c r="C2094" s="5" t="s">
        <v>100</v>
      </c>
      <c r="D2094" s="5" t="s">
        <v>146</v>
      </c>
      <c r="E2094" s="5" t="s">
        <v>39</v>
      </c>
      <c r="F2094" s="5" t="str">
        <f t="shared" si="288"/>
        <v>Program Office-Analyst</v>
      </c>
      <c r="G2094" s="5" t="s">
        <v>147</v>
      </c>
      <c r="H2094" s="9">
        <v>44885.290763888886</v>
      </c>
      <c r="I2094" s="9">
        <v>44888.290763888886</v>
      </c>
      <c r="J2094" s="9" t="e">
        <f>I2094+#REF!</f>
        <v>#REF!</v>
      </c>
      <c r="K2094" s="9" t="e">
        <f>J2094+#REF!</f>
        <v>#REF!</v>
      </c>
      <c r="L2094" s="10" t="s">
        <v>41</v>
      </c>
      <c r="M2094" s="11">
        <v>44898.290763888886</v>
      </c>
      <c r="N2094" s="5" t="s">
        <v>42</v>
      </c>
      <c r="O2094" s="5" t="s">
        <v>113</v>
      </c>
      <c r="P2094" s="9"/>
      <c r="Q2094" s="5"/>
      <c r="R2094" s="5"/>
      <c r="S2094" s="5"/>
      <c r="T2094" s="9"/>
      <c r="U2094" s="5"/>
      <c r="V2094" s="5">
        <v>0</v>
      </c>
      <c r="W2094" s="5"/>
      <c r="X2094" s="5"/>
      <c r="Y2094" s="5"/>
      <c r="Z2094" s="5"/>
      <c r="AA2094" s="5" t="s">
        <v>44</v>
      </c>
      <c r="AC2094">
        <f t="shared" si="289"/>
        <v>10</v>
      </c>
      <c r="AD2094" t="str">
        <f t="shared" si="290"/>
        <v/>
      </c>
      <c r="AE2094" t="str">
        <f t="shared" si="291"/>
        <v/>
      </c>
      <c r="AF2094" t="str">
        <f t="shared" si="292"/>
        <v/>
      </c>
      <c r="AG2094" t="str">
        <f t="shared" si="293"/>
        <v/>
      </c>
      <c r="AH2094">
        <f t="shared" si="294"/>
        <v>3</v>
      </c>
      <c r="AI2094" t="str">
        <f t="shared" si="295"/>
        <v/>
      </c>
      <c r="AJ2094" t="str">
        <f t="shared" si="296"/>
        <v/>
      </c>
    </row>
    <row r="2095" spans="1:36">
      <c r="A2095" s="5">
        <v>2570</v>
      </c>
      <c r="B2095" s="5" t="s">
        <v>396</v>
      </c>
      <c r="C2095" s="5" t="s">
        <v>100</v>
      </c>
      <c r="D2095" s="5" t="s">
        <v>387</v>
      </c>
      <c r="E2095" s="5" t="s">
        <v>388</v>
      </c>
      <c r="F2095" s="5" t="str">
        <f t="shared" si="288"/>
        <v>Program Office-Extension Officer</v>
      </c>
      <c r="G2095" s="5" t="s">
        <v>40</v>
      </c>
      <c r="H2095" s="9">
        <v>44883.290763888886</v>
      </c>
      <c r="I2095" s="9">
        <v>44887.290763888886</v>
      </c>
      <c r="J2095" s="9" t="e">
        <f>I2095+#REF!</f>
        <v>#REF!</v>
      </c>
      <c r="K2095" s="9" t="e">
        <f>J2095+#REF!</f>
        <v>#REF!</v>
      </c>
      <c r="L2095" s="10" t="s">
        <v>41</v>
      </c>
      <c r="M2095" s="11">
        <v>44896.290763888886</v>
      </c>
      <c r="N2095" s="5" t="s">
        <v>42</v>
      </c>
      <c r="O2095" s="5" t="s">
        <v>58</v>
      </c>
      <c r="P2095" s="9"/>
      <c r="Q2095" s="5"/>
      <c r="R2095" s="5"/>
      <c r="S2095" s="5"/>
      <c r="T2095" s="9">
        <v>44897.290763888886</v>
      </c>
      <c r="U2095" s="5"/>
      <c r="V2095" s="5">
        <v>0</v>
      </c>
      <c r="W2095" s="5"/>
      <c r="X2095" s="5"/>
      <c r="Y2095" s="5"/>
      <c r="Z2095" s="5"/>
      <c r="AA2095" s="5" t="s">
        <v>44</v>
      </c>
      <c r="AC2095">
        <f t="shared" si="289"/>
        <v>9</v>
      </c>
      <c r="AD2095" t="str">
        <f t="shared" si="290"/>
        <v/>
      </c>
      <c r="AE2095">
        <f t="shared" si="291"/>
        <v>1</v>
      </c>
      <c r="AF2095" t="str">
        <f t="shared" si="292"/>
        <v/>
      </c>
      <c r="AG2095" t="str">
        <f t="shared" si="293"/>
        <v/>
      </c>
      <c r="AH2095">
        <f t="shared" si="294"/>
        <v>4</v>
      </c>
      <c r="AI2095" t="str">
        <f t="shared" si="295"/>
        <v/>
      </c>
      <c r="AJ2095" t="str">
        <f t="shared" si="296"/>
        <v/>
      </c>
    </row>
    <row r="2096" spans="1:36">
      <c r="A2096" s="5">
        <v>2571</v>
      </c>
      <c r="B2096" s="5" t="s">
        <v>1421</v>
      </c>
      <c r="C2096" s="5" t="s">
        <v>1332</v>
      </c>
      <c r="D2096" s="5" t="s">
        <v>1413</v>
      </c>
      <c r="E2096" s="5" t="s">
        <v>269</v>
      </c>
      <c r="F2096" s="5" t="str">
        <f t="shared" si="288"/>
        <v>Fundraising-Manager</v>
      </c>
      <c r="G2096" s="5" t="s">
        <v>270</v>
      </c>
      <c r="H2096" s="9">
        <v>44637.718425925923</v>
      </c>
      <c r="I2096" s="9">
        <v>44640.718425925923</v>
      </c>
      <c r="J2096" s="9" t="e">
        <f>I2096+#REF!</f>
        <v>#REF!</v>
      </c>
      <c r="K2096" s="9" t="e">
        <f>J2096+#REF!</f>
        <v>#REF!</v>
      </c>
      <c r="L2096" s="10" t="s">
        <v>41</v>
      </c>
      <c r="M2096" s="11">
        <v>44650.718425925923</v>
      </c>
      <c r="N2096" s="5" t="s">
        <v>42</v>
      </c>
      <c r="O2096" s="5" t="s">
        <v>98</v>
      </c>
      <c r="P2096" s="9"/>
      <c r="Q2096" s="5"/>
      <c r="R2096" s="5"/>
      <c r="S2096" s="5"/>
      <c r="T2096" s="9"/>
      <c r="U2096" s="5"/>
      <c r="V2096" s="5">
        <v>0</v>
      </c>
      <c r="W2096" s="5"/>
      <c r="X2096" s="5"/>
      <c r="Y2096" s="5"/>
      <c r="Z2096" s="5"/>
      <c r="AA2096" s="5" t="s">
        <v>62</v>
      </c>
      <c r="AC2096">
        <f t="shared" si="289"/>
        <v>10</v>
      </c>
      <c r="AD2096" t="str">
        <f t="shared" si="290"/>
        <v/>
      </c>
      <c r="AE2096" t="str">
        <f t="shared" si="291"/>
        <v/>
      </c>
      <c r="AF2096" t="str">
        <f t="shared" si="292"/>
        <v/>
      </c>
      <c r="AG2096" t="str">
        <f t="shared" si="293"/>
        <v/>
      </c>
      <c r="AH2096">
        <f t="shared" si="294"/>
        <v>3</v>
      </c>
      <c r="AI2096" t="str">
        <f t="shared" si="295"/>
        <v/>
      </c>
      <c r="AJ2096" t="str">
        <f t="shared" si="296"/>
        <v/>
      </c>
    </row>
    <row r="2097" spans="1:36">
      <c r="A2097" s="5">
        <v>2572</v>
      </c>
      <c r="B2097" s="5" t="s">
        <v>1471</v>
      </c>
      <c r="C2097" s="5" t="s">
        <v>1332</v>
      </c>
      <c r="D2097" s="5" t="s">
        <v>1448</v>
      </c>
      <c r="E2097" s="5" t="s">
        <v>597</v>
      </c>
      <c r="F2097" s="5" t="str">
        <f t="shared" si="288"/>
        <v>Fundraising-Business Partner</v>
      </c>
      <c r="G2097" s="5" t="s">
        <v>40</v>
      </c>
      <c r="H2097" s="9">
        <v>44641.718425925923</v>
      </c>
      <c r="I2097" s="9">
        <v>44642.718425925923</v>
      </c>
      <c r="J2097" s="9" t="e">
        <f>I2097+#REF!</f>
        <v>#REF!</v>
      </c>
      <c r="K2097" s="9" t="e">
        <f>J2097+#REF!</f>
        <v>#REF!</v>
      </c>
      <c r="L2097" s="10" t="s">
        <v>41</v>
      </c>
      <c r="M2097" s="11">
        <v>44647.718425925923</v>
      </c>
      <c r="N2097" s="5" t="s">
        <v>42</v>
      </c>
      <c r="O2097" s="5" t="s">
        <v>113</v>
      </c>
      <c r="P2097" s="9"/>
      <c r="Q2097" s="5"/>
      <c r="R2097" s="5"/>
      <c r="S2097" s="5"/>
      <c r="T2097" s="9"/>
      <c r="U2097" s="5"/>
      <c r="V2097" s="5">
        <v>0</v>
      </c>
      <c r="W2097" s="5"/>
      <c r="X2097" s="5"/>
      <c r="Y2097" s="5"/>
      <c r="Z2097" s="5"/>
      <c r="AA2097" s="5" t="s">
        <v>44</v>
      </c>
      <c r="AC2097">
        <f t="shared" si="289"/>
        <v>5</v>
      </c>
      <c r="AD2097" t="str">
        <f t="shared" si="290"/>
        <v/>
      </c>
      <c r="AE2097" t="str">
        <f t="shared" si="291"/>
        <v/>
      </c>
      <c r="AF2097" t="str">
        <f t="shared" si="292"/>
        <v/>
      </c>
      <c r="AG2097" t="str">
        <f t="shared" si="293"/>
        <v/>
      </c>
      <c r="AH2097">
        <f t="shared" si="294"/>
        <v>1</v>
      </c>
      <c r="AI2097" t="str">
        <f t="shared" si="295"/>
        <v/>
      </c>
      <c r="AJ2097" t="str">
        <f t="shared" si="296"/>
        <v/>
      </c>
    </row>
    <row r="2098" spans="1:36">
      <c r="A2098" s="5">
        <v>2573</v>
      </c>
      <c r="B2098" s="5" t="s">
        <v>1470</v>
      </c>
      <c r="C2098" s="5" t="s">
        <v>1332</v>
      </c>
      <c r="D2098" s="5" t="s">
        <v>1448</v>
      </c>
      <c r="E2098" s="5" t="s">
        <v>597</v>
      </c>
      <c r="F2098" s="5" t="str">
        <f t="shared" si="288"/>
        <v>Fundraising-Business Partner</v>
      </c>
      <c r="G2098" s="5" t="s">
        <v>40</v>
      </c>
      <c r="H2098" s="9">
        <v>44636.718425925923</v>
      </c>
      <c r="I2098" s="9">
        <v>44640.718425925923</v>
      </c>
      <c r="J2098" s="9" t="e">
        <f>I2098+#REF!</f>
        <v>#REF!</v>
      </c>
      <c r="K2098" s="9" t="e">
        <f>J2098+#REF!</f>
        <v>#REF!</v>
      </c>
      <c r="L2098" s="10" t="s">
        <v>41</v>
      </c>
      <c r="M2098" s="11">
        <v>44658.718425925923</v>
      </c>
      <c r="N2098" s="5" t="s">
        <v>64</v>
      </c>
      <c r="O2098" s="5"/>
      <c r="P2098" s="9">
        <v>44664.718425925923</v>
      </c>
      <c r="Q2098" s="5" t="s">
        <v>64</v>
      </c>
      <c r="R2098" s="9">
        <v>44659.718425925923</v>
      </c>
      <c r="S2098" s="9">
        <v>44663.718425925923</v>
      </c>
      <c r="T2098" s="9">
        <v>44661.718425925923</v>
      </c>
      <c r="U2098" s="9">
        <v>44665.718425925923</v>
      </c>
      <c r="V2098" s="12">
        <v>1</v>
      </c>
      <c r="W2098" s="9">
        <v>44667.718425925923</v>
      </c>
      <c r="X2098" s="9">
        <v>44668.718425925923</v>
      </c>
      <c r="Y2098" s="9">
        <v>44669.718425925923</v>
      </c>
      <c r="Z2098" s="5"/>
      <c r="AA2098" s="5"/>
      <c r="AB2098" s="13">
        <v>44682.718425925923</v>
      </c>
      <c r="AC2098">
        <f t="shared" si="289"/>
        <v>18</v>
      </c>
      <c r="AD2098">
        <f t="shared" si="290"/>
        <v>23</v>
      </c>
      <c r="AE2098">
        <f t="shared" si="291"/>
        <v>3</v>
      </c>
      <c r="AF2098">
        <f t="shared" si="292"/>
        <v>3</v>
      </c>
      <c r="AG2098">
        <f t="shared" si="293"/>
        <v>2</v>
      </c>
      <c r="AH2098">
        <f t="shared" si="294"/>
        <v>4</v>
      </c>
      <c r="AI2098" t="str">
        <f t="shared" si="295"/>
        <v/>
      </c>
      <c r="AJ2098" t="str">
        <f t="shared" si="296"/>
        <v/>
      </c>
    </row>
    <row r="2099" spans="1:36">
      <c r="A2099" s="5">
        <v>2574</v>
      </c>
      <c r="B2099" s="5" t="s">
        <v>1378</v>
      </c>
      <c r="C2099" s="5" t="s">
        <v>1332</v>
      </c>
      <c r="D2099" s="5" t="s">
        <v>1359</v>
      </c>
      <c r="E2099" s="5" t="s">
        <v>1360</v>
      </c>
      <c r="F2099" s="5" t="str">
        <f t="shared" si="288"/>
        <v>Fundraising-Fund Administrator</v>
      </c>
      <c r="G2099" s="5" t="s">
        <v>147</v>
      </c>
      <c r="H2099" s="9">
        <v>44638.718425925923</v>
      </c>
      <c r="I2099" s="9">
        <v>44641.718425925923</v>
      </c>
      <c r="J2099" s="9" t="e">
        <f>I2099+#REF!</f>
        <v>#REF!</v>
      </c>
      <c r="K2099" s="9" t="e">
        <f>J2099+#REF!</f>
        <v>#REF!</v>
      </c>
      <c r="L2099" s="10" t="s">
        <v>41</v>
      </c>
      <c r="M2099" s="11">
        <v>44650.718425925923</v>
      </c>
      <c r="N2099" s="5" t="s">
        <v>42</v>
      </c>
      <c r="O2099" s="5" t="s">
        <v>73</v>
      </c>
      <c r="P2099" s="9"/>
      <c r="Q2099" s="5"/>
      <c r="R2099" s="5"/>
      <c r="S2099" s="5"/>
      <c r="T2099" s="9">
        <v>44654.718425925923</v>
      </c>
      <c r="U2099" s="5"/>
      <c r="V2099" s="5">
        <v>0</v>
      </c>
      <c r="W2099" s="5"/>
      <c r="X2099" s="5"/>
      <c r="Y2099" s="5"/>
      <c r="Z2099" s="5"/>
      <c r="AA2099" s="5" t="s">
        <v>44</v>
      </c>
      <c r="AC2099">
        <f t="shared" si="289"/>
        <v>9</v>
      </c>
      <c r="AD2099" t="str">
        <f t="shared" si="290"/>
        <v/>
      </c>
      <c r="AE2099">
        <f t="shared" si="291"/>
        <v>4</v>
      </c>
      <c r="AF2099" t="str">
        <f t="shared" si="292"/>
        <v/>
      </c>
      <c r="AG2099" t="str">
        <f t="shared" si="293"/>
        <v/>
      </c>
      <c r="AH2099">
        <f t="shared" si="294"/>
        <v>3</v>
      </c>
      <c r="AI2099" t="str">
        <f t="shared" si="295"/>
        <v/>
      </c>
      <c r="AJ2099" t="str">
        <f t="shared" si="296"/>
        <v/>
      </c>
    </row>
    <row r="2100" spans="1:36">
      <c r="A2100" s="5">
        <v>2575</v>
      </c>
      <c r="B2100" s="5" t="s">
        <v>2310</v>
      </c>
      <c r="C2100" s="5" t="s">
        <v>2229</v>
      </c>
      <c r="D2100" s="5" t="s">
        <v>2302</v>
      </c>
      <c r="E2100" s="5" t="s">
        <v>269</v>
      </c>
      <c r="F2100" s="5" t="str">
        <f t="shared" si="288"/>
        <v>Capacity Building-Manager</v>
      </c>
      <c r="G2100" s="5" t="s">
        <v>270</v>
      </c>
      <c r="H2100" s="9">
        <v>44641.718425925923</v>
      </c>
      <c r="I2100" s="9">
        <v>44644.718425925923</v>
      </c>
      <c r="J2100" s="9" t="e">
        <f>I2100+#REF!</f>
        <v>#REF!</v>
      </c>
      <c r="K2100" s="9" t="e">
        <f>J2100+#REF!</f>
        <v>#REF!</v>
      </c>
      <c r="L2100" s="10" t="s">
        <v>41</v>
      </c>
      <c r="M2100" s="11">
        <v>44650.718425925923</v>
      </c>
      <c r="N2100" s="5" t="s">
        <v>64</v>
      </c>
      <c r="O2100" s="5"/>
      <c r="P2100" s="9">
        <v>44656.718425925923</v>
      </c>
      <c r="Q2100" s="5" t="s">
        <v>64</v>
      </c>
      <c r="R2100" s="9">
        <v>44651.718425925923</v>
      </c>
      <c r="S2100" s="9">
        <v>44655.718425925923</v>
      </c>
      <c r="T2100" s="9">
        <v>44654.718425925923</v>
      </c>
      <c r="U2100" s="9">
        <v>44655.718425925923</v>
      </c>
      <c r="V2100" s="12">
        <v>1</v>
      </c>
      <c r="W2100" s="9">
        <v>44659.718425925923</v>
      </c>
      <c r="X2100" s="9">
        <v>44661.718425925923</v>
      </c>
      <c r="Y2100" s="9">
        <v>44662.718425925923</v>
      </c>
      <c r="Z2100" s="5"/>
      <c r="AA2100" s="5"/>
      <c r="AB2100" s="13">
        <v>44673.718425925923</v>
      </c>
      <c r="AC2100">
        <f t="shared" si="289"/>
        <v>6</v>
      </c>
      <c r="AD2100">
        <f t="shared" si="290"/>
        <v>11</v>
      </c>
      <c r="AE2100">
        <f t="shared" si="291"/>
        <v>4</v>
      </c>
      <c r="AF2100">
        <f t="shared" si="292"/>
        <v>6</v>
      </c>
      <c r="AG2100">
        <f t="shared" si="293"/>
        <v>4</v>
      </c>
      <c r="AH2100">
        <f t="shared" si="294"/>
        <v>3</v>
      </c>
      <c r="AI2100" t="str">
        <f t="shared" si="295"/>
        <v/>
      </c>
      <c r="AJ2100" t="str">
        <f t="shared" si="296"/>
        <v/>
      </c>
    </row>
    <row r="2101" spans="1:36">
      <c r="A2101" s="5">
        <v>2576</v>
      </c>
      <c r="B2101" s="5" t="s">
        <v>2406</v>
      </c>
      <c r="C2101" s="5" t="s">
        <v>2229</v>
      </c>
      <c r="D2101" s="5" t="s">
        <v>2403</v>
      </c>
      <c r="E2101" s="5" t="s">
        <v>1039</v>
      </c>
      <c r="F2101" s="5" t="str">
        <f t="shared" si="288"/>
        <v>Capacity Building-Associate Director</v>
      </c>
      <c r="G2101" s="5" t="s">
        <v>56</v>
      </c>
      <c r="H2101" s="9">
        <v>44637.718425925923</v>
      </c>
      <c r="I2101" s="9">
        <v>44641.718425925923</v>
      </c>
      <c r="J2101" s="9" t="e">
        <f>I2101+#REF!</f>
        <v>#REF!</v>
      </c>
      <c r="K2101" s="9" t="e">
        <f>J2101+#REF!</f>
        <v>#REF!</v>
      </c>
      <c r="L2101" s="10" t="s">
        <v>52</v>
      </c>
      <c r="M2101" s="11"/>
      <c r="N2101" s="5"/>
      <c r="O2101" s="5"/>
      <c r="P2101" s="9"/>
      <c r="Q2101" s="5"/>
      <c r="R2101" s="5"/>
      <c r="S2101" s="5"/>
      <c r="T2101" s="9"/>
      <c r="U2101" s="5"/>
      <c r="V2101" s="5">
        <v>0</v>
      </c>
      <c r="W2101" s="5"/>
      <c r="X2101" s="5"/>
      <c r="Y2101" s="5"/>
      <c r="Z2101" s="5"/>
      <c r="AA2101" s="5"/>
      <c r="AC2101" t="str">
        <f t="shared" si="289"/>
        <v/>
      </c>
      <c r="AD2101" t="str">
        <f t="shared" si="290"/>
        <v/>
      </c>
      <c r="AE2101" t="str">
        <f t="shared" si="291"/>
        <v/>
      </c>
      <c r="AF2101" t="str">
        <f t="shared" si="292"/>
        <v/>
      </c>
      <c r="AG2101" t="str">
        <f t="shared" si="293"/>
        <v/>
      </c>
      <c r="AH2101">
        <f t="shared" si="294"/>
        <v>4</v>
      </c>
      <c r="AI2101" t="str">
        <f t="shared" si="295"/>
        <v/>
      </c>
      <c r="AJ2101" t="str">
        <f t="shared" si="296"/>
        <v/>
      </c>
    </row>
    <row r="2102" spans="1:36">
      <c r="A2102" s="5">
        <v>2578</v>
      </c>
      <c r="B2102" s="5" t="s">
        <v>2362</v>
      </c>
      <c r="C2102" s="5" t="s">
        <v>2229</v>
      </c>
      <c r="D2102" s="5" t="s">
        <v>2350</v>
      </c>
      <c r="E2102" s="5" t="s">
        <v>2351</v>
      </c>
      <c r="F2102" s="5" t="str">
        <f t="shared" si="288"/>
        <v>Capacity Building-Training Associate</v>
      </c>
      <c r="G2102" s="5" t="s">
        <v>40</v>
      </c>
      <c r="H2102" s="9">
        <v>44642.718425925923</v>
      </c>
      <c r="I2102" s="9">
        <v>44644.718425925923</v>
      </c>
      <c r="J2102" s="9" t="e">
        <f>I2102+#REF!</f>
        <v>#REF!</v>
      </c>
      <c r="K2102" s="9" t="e">
        <f>J2102+#REF!</f>
        <v>#REF!</v>
      </c>
      <c r="L2102" s="10" t="s">
        <v>41</v>
      </c>
      <c r="M2102" s="11">
        <v>44660.718425925923</v>
      </c>
      <c r="N2102" s="5" t="s">
        <v>64</v>
      </c>
      <c r="O2102" s="5"/>
      <c r="P2102" s="9">
        <v>44664.718425925923</v>
      </c>
      <c r="Q2102" s="5" t="s">
        <v>64</v>
      </c>
      <c r="R2102" s="9">
        <v>44661.718425925923</v>
      </c>
      <c r="S2102" s="9">
        <v>44662.718425925923</v>
      </c>
      <c r="T2102" s="9">
        <v>44661.718425925923</v>
      </c>
      <c r="U2102" s="9">
        <v>44664.718425925923</v>
      </c>
      <c r="V2102" s="12">
        <v>1</v>
      </c>
      <c r="W2102" s="9">
        <v>44667.718425925923</v>
      </c>
      <c r="X2102" s="9">
        <v>44670.718425925923</v>
      </c>
      <c r="Y2102" s="9">
        <v>44671.718425925923</v>
      </c>
      <c r="Z2102" s="5"/>
      <c r="AA2102" s="5"/>
      <c r="AB2102" s="13">
        <v>44684.718425925923</v>
      </c>
      <c r="AC2102">
        <f t="shared" si="289"/>
        <v>16</v>
      </c>
      <c r="AD2102">
        <f t="shared" si="290"/>
        <v>18</v>
      </c>
      <c r="AE2102">
        <f t="shared" si="291"/>
        <v>1</v>
      </c>
      <c r="AF2102">
        <f t="shared" si="292"/>
        <v>6</v>
      </c>
      <c r="AG2102">
        <f t="shared" si="293"/>
        <v>3</v>
      </c>
      <c r="AH2102">
        <f t="shared" si="294"/>
        <v>2</v>
      </c>
      <c r="AI2102" t="str">
        <f t="shared" si="295"/>
        <v/>
      </c>
      <c r="AJ2102" t="str">
        <f t="shared" si="296"/>
        <v/>
      </c>
    </row>
    <row r="2103" spans="1:36">
      <c r="A2103" s="5">
        <v>2580</v>
      </c>
      <c r="B2103" s="5" t="s">
        <v>2256</v>
      </c>
      <c r="C2103" s="5" t="s">
        <v>2229</v>
      </c>
      <c r="D2103" s="5" t="s">
        <v>2250</v>
      </c>
      <c r="E2103" s="5" t="s">
        <v>388</v>
      </c>
      <c r="F2103" s="5" t="str">
        <f t="shared" si="288"/>
        <v>Capacity Building-Extension Officer</v>
      </c>
      <c r="G2103" s="5" t="s">
        <v>147</v>
      </c>
      <c r="H2103" s="9">
        <v>44641.718425925923</v>
      </c>
      <c r="I2103" s="9">
        <v>44644.718425925923</v>
      </c>
      <c r="J2103" s="9" t="e">
        <f>I2103+#REF!</f>
        <v>#REF!</v>
      </c>
      <c r="K2103" s="9" t="e">
        <f>J2103+#REF!</f>
        <v>#REF!</v>
      </c>
      <c r="L2103" s="10" t="s">
        <v>41</v>
      </c>
      <c r="M2103" s="11">
        <v>44648.718425925923</v>
      </c>
      <c r="N2103" s="5" t="s">
        <v>64</v>
      </c>
      <c r="O2103" s="5"/>
      <c r="P2103" s="9">
        <v>44655.718425925923</v>
      </c>
      <c r="Q2103" s="5" t="s">
        <v>64</v>
      </c>
      <c r="R2103" s="9">
        <v>44649.718425925923</v>
      </c>
      <c r="S2103" s="9">
        <v>44653.718425925923</v>
      </c>
      <c r="T2103" s="9">
        <v>44652.718425925923</v>
      </c>
      <c r="U2103" s="9">
        <v>44660.718425925923</v>
      </c>
      <c r="V2103" s="12">
        <v>1</v>
      </c>
      <c r="W2103" s="9">
        <v>44662.718425925923</v>
      </c>
      <c r="X2103" s="9">
        <v>44664.718425925923</v>
      </c>
      <c r="Y2103" s="9">
        <v>44666.718425925923</v>
      </c>
      <c r="Z2103" s="5"/>
      <c r="AA2103" s="5"/>
      <c r="AB2103" s="13">
        <v>44677.718425925923</v>
      </c>
      <c r="AC2103">
        <f t="shared" si="289"/>
        <v>4</v>
      </c>
      <c r="AD2103">
        <f t="shared" si="290"/>
        <v>9</v>
      </c>
      <c r="AE2103">
        <f t="shared" si="291"/>
        <v>4</v>
      </c>
      <c r="AF2103">
        <f t="shared" si="292"/>
        <v>4</v>
      </c>
      <c r="AG2103">
        <f t="shared" si="293"/>
        <v>2</v>
      </c>
      <c r="AH2103">
        <f t="shared" si="294"/>
        <v>3</v>
      </c>
      <c r="AI2103" t="str">
        <f t="shared" si="295"/>
        <v/>
      </c>
      <c r="AJ2103" t="str">
        <f t="shared" si="296"/>
        <v/>
      </c>
    </row>
    <row r="2104" spans="1:36">
      <c r="A2104" s="5">
        <v>2581</v>
      </c>
      <c r="B2104" s="5" t="s">
        <v>1128</v>
      </c>
      <c r="C2104" s="10" t="s">
        <v>1122</v>
      </c>
      <c r="D2104" s="5" t="s">
        <v>1123</v>
      </c>
      <c r="E2104" s="5" t="s">
        <v>102</v>
      </c>
      <c r="F2104" s="5" t="str">
        <f t="shared" si="288"/>
        <v>IT-Senior Manager</v>
      </c>
      <c r="G2104" s="5" t="s">
        <v>103</v>
      </c>
      <c r="H2104" s="9">
        <v>44787.038506944446</v>
      </c>
      <c r="I2104" s="9">
        <v>44789.038506944446</v>
      </c>
      <c r="J2104" s="9" t="e">
        <f>I2104+#REF!</f>
        <v>#REF!</v>
      </c>
      <c r="K2104" s="9" t="e">
        <f>J2104+#REF!</f>
        <v>#REF!</v>
      </c>
      <c r="L2104" s="10" t="s">
        <v>41</v>
      </c>
      <c r="M2104" s="11">
        <v>44805.038506944446</v>
      </c>
      <c r="N2104" s="5" t="s">
        <v>42</v>
      </c>
      <c r="O2104" s="5" t="s">
        <v>98</v>
      </c>
      <c r="P2104" s="9"/>
      <c r="Q2104" s="5"/>
      <c r="R2104" s="5"/>
      <c r="S2104" s="5"/>
      <c r="T2104" s="9">
        <v>44807.038506944446</v>
      </c>
      <c r="U2104" s="5"/>
      <c r="V2104" s="5">
        <v>0</v>
      </c>
      <c r="W2104" s="5"/>
      <c r="X2104" s="5"/>
      <c r="Y2104" s="5"/>
      <c r="Z2104" s="5"/>
      <c r="AA2104" s="5" t="s">
        <v>62</v>
      </c>
      <c r="AC2104">
        <f t="shared" si="289"/>
        <v>16</v>
      </c>
      <c r="AD2104" t="str">
        <f t="shared" si="290"/>
        <v/>
      </c>
      <c r="AE2104">
        <f t="shared" si="291"/>
        <v>2</v>
      </c>
      <c r="AF2104" t="str">
        <f t="shared" si="292"/>
        <v/>
      </c>
      <c r="AG2104" t="str">
        <f t="shared" si="293"/>
        <v/>
      </c>
      <c r="AH2104">
        <f t="shared" si="294"/>
        <v>2</v>
      </c>
      <c r="AI2104" t="str">
        <f t="shared" si="295"/>
        <v/>
      </c>
      <c r="AJ2104" t="str">
        <f t="shared" si="296"/>
        <v/>
      </c>
    </row>
    <row r="2105" spans="1:36">
      <c r="A2105" s="5">
        <v>2582</v>
      </c>
      <c r="B2105" s="5" t="s">
        <v>1149</v>
      </c>
      <c r="C2105" s="10" t="s">
        <v>1122</v>
      </c>
      <c r="D2105" s="5" t="s">
        <v>1145</v>
      </c>
      <c r="E2105" s="5" t="s">
        <v>1146</v>
      </c>
      <c r="F2105" s="5" t="str">
        <f t="shared" si="288"/>
        <v>IT-Quality Assurance</v>
      </c>
      <c r="G2105" s="5" t="s">
        <v>147</v>
      </c>
      <c r="H2105" s="9">
        <v>44786.038506944446</v>
      </c>
      <c r="I2105" s="9">
        <v>44788.038506944446</v>
      </c>
      <c r="J2105" s="9" t="e">
        <f>I2105+#REF!</f>
        <v>#REF!</v>
      </c>
      <c r="K2105" s="9" t="e">
        <f>J2105+#REF!</f>
        <v>#REF!</v>
      </c>
      <c r="L2105" s="10" t="s">
        <v>41</v>
      </c>
      <c r="M2105" s="11">
        <v>44806.038506944446</v>
      </c>
      <c r="N2105" s="5" t="s">
        <v>48</v>
      </c>
      <c r="O2105" s="5"/>
      <c r="P2105" s="9">
        <v>44812.038506944446</v>
      </c>
      <c r="Q2105" s="5" t="s">
        <v>48</v>
      </c>
      <c r="R2105" s="5"/>
      <c r="S2105" s="5"/>
      <c r="T2105" s="9">
        <v>44808.038506944446</v>
      </c>
      <c r="U2105" s="5"/>
      <c r="V2105" s="5">
        <v>0</v>
      </c>
      <c r="W2105" s="5"/>
      <c r="X2105" s="5"/>
      <c r="Y2105" s="5"/>
      <c r="Z2105" s="5"/>
      <c r="AA2105" s="5"/>
      <c r="AC2105">
        <f t="shared" si="289"/>
        <v>18</v>
      </c>
      <c r="AD2105" t="str">
        <f t="shared" si="290"/>
        <v/>
      </c>
      <c r="AE2105">
        <f t="shared" si="291"/>
        <v>2</v>
      </c>
      <c r="AF2105" t="str">
        <f t="shared" si="292"/>
        <v/>
      </c>
      <c r="AG2105" t="str">
        <f t="shared" si="293"/>
        <v/>
      </c>
      <c r="AH2105">
        <f t="shared" si="294"/>
        <v>2</v>
      </c>
      <c r="AI2105" t="str">
        <f t="shared" si="295"/>
        <v/>
      </c>
      <c r="AJ2105" t="str">
        <f t="shared" si="296"/>
        <v/>
      </c>
    </row>
    <row r="2106" spans="1:36">
      <c r="A2106" s="5">
        <v>2583</v>
      </c>
      <c r="B2106" s="5" t="s">
        <v>1127</v>
      </c>
      <c r="C2106" s="10" t="s">
        <v>1122</v>
      </c>
      <c r="D2106" s="5" t="s">
        <v>1123</v>
      </c>
      <c r="E2106" s="5" t="s">
        <v>102</v>
      </c>
      <c r="F2106" s="5" t="str">
        <f t="shared" si="288"/>
        <v>IT-Senior Manager</v>
      </c>
      <c r="G2106" s="5" t="s">
        <v>103</v>
      </c>
      <c r="H2106" s="9">
        <v>44784.038506944446</v>
      </c>
      <c r="I2106" s="9">
        <v>44786.038506944446</v>
      </c>
      <c r="J2106" s="9" t="e">
        <f>I2106+#REF!</f>
        <v>#REF!</v>
      </c>
      <c r="K2106" s="9" t="e">
        <f>J2106+#REF!</f>
        <v>#REF!</v>
      </c>
      <c r="L2106" s="10" t="s">
        <v>41</v>
      </c>
      <c r="M2106" s="11">
        <v>44800.038506944446</v>
      </c>
      <c r="N2106" s="5" t="s">
        <v>42</v>
      </c>
      <c r="O2106" s="5" t="s">
        <v>58</v>
      </c>
      <c r="P2106" s="9"/>
      <c r="Q2106" s="5"/>
      <c r="R2106" s="5"/>
      <c r="S2106" s="5"/>
      <c r="T2106" s="9"/>
      <c r="U2106" s="5"/>
      <c r="V2106" s="5">
        <v>0</v>
      </c>
      <c r="W2106" s="5"/>
      <c r="X2106" s="5"/>
      <c r="Y2106" s="5"/>
      <c r="Z2106" s="5"/>
      <c r="AA2106" s="5" t="s">
        <v>44</v>
      </c>
      <c r="AC2106">
        <f t="shared" si="289"/>
        <v>14</v>
      </c>
      <c r="AD2106" t="str">
        <f t="shared" si="290"/>
        <v/>
      </c>
      <c r="AE2106" t="str">
        <f t="shared" si="291"/>
        <v/>
      </c>
      <c r="AF2106" t="str">
        <f t="shared" si="292"/>
        <v/>
      </c>
      <c r="AG2106" t="str">
        <f t="shared" si="293"/>
        <v/>
      </c>
      <c r="AH2106">
        <f t="shared" si="294"/>
        <v>2</v>
      </c>
      <c r="AI2106" t="str">
        <f t="shared" si="295"/>
        <v/>
      </c>
      <c r="AJ2106" t="str">
        <f t="shared" si="296"/>
        <v/>
      </c>
    </row>
    <row r="2107" spans="1:36">
      <c r="A2107" s="5">
        <v>2584</v>
      </c>
      <c r="B2107" s="5" t="s">
        <v>1148</v>
      </c>
      <c r="C2107" s="10" t="s">
        <v>1122</v>
      </c>
      <c r="D2107" s="5" t="s">
        <v>1145</v>
      </c>
      <c r="E2107" s="5" t="s">
        <v>1146</v>
      </c>
      <c r="F2107" s="5" t="str">
        <f t="shared" si="288"/>
        <v>IT-Quality Assurance</v>
      </c>
      <c r="G2107" s="5" t="s">
        <v>147</v>
      </c>
      <c r="H2107" s="9">
        <v>44785.038506944446</v>
      </c>
      <c r="I2107" s="9">
        <v>44787.038506944446</v>
      </c>
      <c r="J2107" s="9" t="e">
        <f>I2107+#REF!</f>
        <v>#REF!</v>
      </c>
      <c r="K2107" s="9" t="e">
        <f>J2107+#REF!</f>
        <v>#REF!</v>
      </c>
      <c r="L2107" s="10" t="s">
        <v>41</v>
      </c>
      <c r="M2107" s="11">
        <v>44798.038506944446</v>
      </c>
      <c r="N2107" s="5" t="s">
        <v>42</v>
      </c>
      <c r="O2107" s="5" t="s">
        <v>98</v>
      </c>
      <c r="P2107" s="9"/>
      <c r="Q2107" s="5"/>
      <c r="R2107" s="5"/>
      <c r="S2107" s="5"/>
      <c r="T2107" s="9"/>
      <c r="U2107" s="5"/>
      <c r="V2107" s="5">
        <v>0</v>
      </c>
      <c r="W2107" s="5"/>
      <c r="X2107" s="5"/>
      <c r="Y2107" s="5"/>
      <c r="Z2107" s="5"/>
      <c r="AA2107" s="5" t="s">
        <v>62</v>
      </c>
      <c r="AC2107">
        <f t="shared" si="289"/>
        <v>11</v>
      </c>
      <c r="AD2107" t="str">
        <f t="shared" si="290"/>
        <v/>
      </c>
      <c r="AE2107" t="str">
        <f t="shared" si="291"/>
        <v/>
      </c>
      <c r="AF2107" t="str">
        <f t="shared" si="292"/>
        <v/>
      </c>
      <c r="AG2107" t="str">
        <f t="shared" si="293"/>
        <v/>
      </c>
      <c r="AH2107">
        <f t="shared" si="294"/>
        <v>2</v>
      </c>
      <c r="AI2107" t="str">
        <f t="shared" si="295"/>
        <v/>
      </c>
      <c r="AJ2107" t="str">
        <f t="shared" si="296"/>
        <v/>
      </c>
    </row>
    <row r="2108" spans="1:36">
      <c r="A2108" s="5">
        <v>2586</v>
      </c>
      <c r="B2108" s="5" t="s">
        <v>1258</v>
      </c>
      <c r="C2108" s="10" t="s">
        <v>1215</v>
      </c>
      <c r="D2108" s="5" t="s">
        <v>1249</v>
      </c>
      <c r="E2108" s="5" t="s">
        <v>1250</v>
      </c>
      <c r="F2108" s="5" t="str">
        <f t="shared" si="288"/>
        <v>HR-Screening Associate</v>
      </c>
      <c r="G2108" s="5" t="s">
        <v>40</v>
      </c>
      <c r="H2108" s="9">
        <v>44784.038506944446</v>
      </c>
      <c r="I2108" s="9">
        <v>44786.038506944446</v>
      </c>
      <c r="J2108" s="9" t="e">
        <f>I2108+#REF!</f>
        <v>#REF!</v>
      </c>
      <c r="K2108" s="9" t="e">
        <f>J2108+#REF!</f>
        <v>#REF!</v>
      </c>
      <c r="L2108" s="10" t="s">
        <v>41</v>
      </c>
      <c r="M2108" s="11">
        <v>44797.038506944446</v>
      </c>
      <c r="N2108" s="5" t="s">
        <v>42</v>
      </c>
      <c r="O2108" s="5" t="s">
        <v>58</v>
      </c>
      <c r="P2108" s="9"/>
      <c r="Q2108" s="5"/>
      <c r="R2108" s="5"/>
      <c r="S2108" s="5"/>
      <c r="T2108" s="9">
        <v>44800.038506944446</v>
      </c>
      <c r="U2108" s="5"/>
      <c r="V2108" s="5">
        <v>0</v>
      </c>
      <c r="W2108" s="5"/>
      <c r="X2108" s="5"/>
      <c r="Y2108" s="5"/>
      <c r="Z2108" s="5"/>
      <c r="AA2108" s="5" t="s">
        <v>62</v>
      </c>
      <c r="AC2108">
        <f t="shared" si="289"/>
        <v>11</v>
      </c>
      <c r="AD2108" t="str">
        <f t="shared" si="290"/>
        <v/>
      </c>
      <c r="AE2108">
        <f t="shared" si="291"/>
        <v>3</v>
      </c>
      <c r="AF2108" t="str">
        <f t="shared" si="292"/>
        <v/>
      </c>
      <c r="AG2108" t="str">
        <f t="shared" si="293"/>
        <v/>
      </c>
      <c r="AH2108">
        <f t="shared" si="294"/>
        <v>2</v>
      </c>
      <c r="AI2108" t="str">
        <f t="shared" si="295"/>
        <v/>
      </c>
      <c r="AJ2108" t="str">
        <f t="shared" si="296"/>
        <v/>
      </c>
    </row>
    <row r="2109" spans="1:36">
      <c r="A2109" s="5">
        <v>2588</v>
      </c>
      <c r="B2109" s="5" t="s">
        <v>1193</v>
      </c>
      <c r="C2109" s="10" t="s">
        <v>1122</v>
      </c>
      <c r="D2109" s="5" t="s">
        <v>1191</v>
      </c>
      <c r="E2109" s="5" t="s">
        <v>269</v>
      </c>
      <c r="F2109" s="5" t="str">
        <f t="shared" si="288"/>
        <v>IT-Manager</v>
      </c>
      <c r="G2109" s="5" t="s">
        <v>270</v>
      </c>
      <c r="H2109" s="9">
        <v>44782.038506944446</v>
      </c>
      <c r="I2109" s="9">
        <v>44786.038506944446</v>
      </c>
      <c r="J2109" s="9" t="e">
        <f>I2109+#REF!</f>
        <v>#REF!</v>
      </c>
      <c r="K2109" s="9" t="e">
        <f>J2109+#REF!</f>
        <v>#REF!</v>
      </c>
      <c r="L2109" s="10" t="s">
        <v>41</v>
      </c>
      <c r="M2109" s="11">
        <v>44796.038506944446</v>
      </c>
      <c r="N2109" s="5" t="s">
        <v>48</v>
      </c>
      <c r="O2109" s="5"/>
      <c r="P2109" s="9">
        <v>44801.038506944446</v>
      </c>
      <c r="Q2109" s="5" t="s">
        <v>48</v>
      </c>
      <c r="R2109" s="5"/>
      <c r="S2109" s="5"/>
      <c r="T2109" s="9">
        <v>44797.038506944446</v>
      </c>
      <c r="U2109" s="5"/>
      <c r="V2109" s="5">
        <v>0</v>
      </c>
      <c r="W2109" s="5"/>
      <c r="X2109" s="5"/>
      <c r="Y2109" s="5"/>
      <c r="Z2109" s="5"/>
      <c r="AA2109" s="5"/>
      <c r="AC2109">
        <f t="shared" si="289"/>
        <v>10</v>
      </c>
      <c r="AD2109" t="str">
        <f t="shared" si="290"/>
        <v/>
      </c>
      <c r="AE2109">
        <f t="shared" si="291"/>
        <v>1</v>
      </c>
      <c r="AF2109" t="str">
        <f t="shared" si="292"/>
        <v/>
      </c>
      <c r="AG2109" t="str">
        <f t="shared" si="293"/>
        <v/>
      </c>
      <c r="AH2109">
        <f t="shared" si="294"/>
        <v>4</v>
      </c>
      <c r="AI2109" t="str">
        <f t="shared" si="295"/>
        <v/>
      </c>
      <c r="AJ2109" t="str">
        <f t="shared" si="296"/>
        <v/>
      </c>
    </row>
    <row r="2110" spans="1:36">
      <c r="A2110" s="5">
        <v>2592</v>
      </c>
      <c r="B2110" s="5" t="s">
        <v>1420</v>
      </c>
      <c r="C2110" s="5" t="s">
        <v>1332</v>
      </c>
      <c r="D2110" s="5" t="s">
        <v>1413</v>
      </c>
      <c r="E2110" s="5" t="s">
        <v>269</v>
      </c>
      <c r="F2110" s="5" t="str">
        <f t="shared" si="288"/>
        <v>Fundraising-Manager</v>
      </c>
      <c r="G2110" s="5" t="s">
        <v>270</v>
      </c>
      <c r="H2110" s="9">
        <v>44949.403136574074</v>
      </c>
      <c r="I2110" s="9">
        <v>44950.403136574074</v>
      </c>
      <c r="J2110" s="9" t="e">
        <f>I2110+#REF!</f>
        <v>#REF!</v>
      </c>
      <c r="K2110" s="9" t="e">
        <f>J2110+#REF!</f>
        <v>#REF!</v>
      </c>
      <c r="L2110" s="10" t="s">
        <v>41</v>
      </c>
      <c r="M2110" s="11">
        <v>44958.403136574074</v>
      </c>
      <c r="N2110" s="5" t="s">
        <v>42</v>
      </c>
      <c r="O2110" s="5" t="s">
        <v>43</v>
      </c>
      <c r="P2110" s="9"/>
      <c r="Q2110" s="5"/>
      <c r="R2110" s="5"/>
      <c r="S2110" s="5"/>
      <c r="T2110" s="9">
        <v>44960.403136574074</v>
      </c>
      <c r="U2110" s="5"/>
      <c r="V2110" s="5">
        <v>0</v>
      </c>
      <c r="W2110" s="5"/>
      <c r="X2110" s="5"/>
      <c r="Y2110" s="5"/>
      <c r="Z2110" s="5"/>
      <c r="AA2110" s="5" t="s">
        <v>62</v>
      </c>
      <c r="AC2110">
        <f t="shared" si="289"/>
        <v>8</v>
      </c>
      <c r="AD2110" t="str">
        <f t="shared" si="290"/>
        <v/>
      </c>
      <c r="AE2110">
        <f t="shared" si="291"/>
        <v>2</v>
      </c>
      <c r="AF2110" t="str">
        <f t="shared" si="292"/>
        <v/>
      </c>
      <c r="AG2110" t="str">
        <f t="shared" si="293"/>
        <v/>
      </c>
      <c r="AH2110">
        <f t="shared" si="294"/>
        <v>1</v>
      </c>
      <c r="AI2110" t="str">
        <f t="shared" si="295"/>
        <v/>
      </c>
      <c r="AJ2110" t="str">
        <f t="shared" si="296"/>
        <v/>
      </c>
    </row>
    <row r="2111" spans="1:36">
      <c r="A2111" s="5">
        <v>2593</v>
      </c>
      <c r="B2111" s="5" t="s">
        <v>1377</v>
      </c>
      <c r="C2111" s="5" t="s">
        <v>1332</v>
      </c>
      <c r="D2111" s="5" t="s">
        <v>1359</v>
      </c>
      <c r="E2111" s="5" t="s">
        <v>1360</v>
      </c>
      <c r="F2111" s="5" t="str">
        <f t="shared" si="288"/>
        <v>Fundraising-Fund Administrator</v>
      </c>
      <c r="G2111" s="5" t="s">
        <v>147</v>
      </c>
      <c r="H2111" s="9">
        <v>44945.403136574074</v>
      </c>
      <c r="I2111" s="9">
        <v>44949.403136574074</v>
      </c>
      <c r="J2111" s="9" t="e">
        <f>I2111+#REF!</f>
        <v>#REF!</v>
      </c>
      <c r="K2111" s="9" t="e">
        <f>J2111+#REF!</f>
        <v>#REF!</v>
      </c>
      <c r="L2111" s="10" t="s">
        <v>41</v>
      </c>
      <c r="M2111" s="11">
        <v>44956.403136574074</v>
      </c>
      <c r="N2111" s="5" t="s">
        <v>42</v>
      </c>
      <c r="O2111" s="5" t="s">
        <v>43</v>
      </c>
      <c r="P2111" s="9"/>
      <c r="Q2111" s="5"/>
      <c r="R2111" s="5"/>
      <c r="S2111" s="5"/>
      <c r="T2111" s="9">
        <v>44958.403136574074</v>
      </c>
      <c r="U2111" s="5"/>
      <c r="V2111" s="5">
        <v>0</v>
      </c>
      <c r="W2111" s="5"/>
      <c r="X2111" s="5"/>
      <c r="Y2111" s="5"/>
      <c r="Z2111" s="5"/>
      <c r="AA2111" s="5" t="s">
        <v>44</v>
      </c>
      <c r="AC2111">
        <f t="shared" si="289"/>
        <v>7</v>
      </c>
      <c r="AD2111" t="str">
        <f t="shared" si="290"/>
        <v/>
      </c>
      <c r="AE2111">
        <f t="shared" si="291"/>
        <v>2</v>
      </c>
      <c r="AF2111" t="str">
        <f t="shared" si="292"/>
        <v/>
      </c>
      <c r="AG2111" t="str">
        <f t="shared" si="293"/>
        <v/>
      </c>
      <c r="AH2111">
        <f t="shared" si="294"/>
        <v>4</v>
      </c>
      <c r="AI2111" t="str">
        <f t="shared" si="295"/>
        <v/>
      </c>
      <c r="AJ2111" t="str">
        <f t="shared" si="296"/>
        <v/>
      </c>
    </row>
    <row r="2112" spans="1:36">
      <c r="A2112" s="5">
        <v>2594</v>
      </c>
      <c r="B2112" s="5" t="s">
        <v>1512</v>
      </c>
      <c r="C2112" s="5" t="s">
        <v>1332</v>
      </c>
      <c r="D2112" s="5" t="s">
        <v>1500</v>
      </c>
      <c r="E2112" s="5" t="s">
        <v>39</v>
      </c>
      <c r="F2112" s="5" t="str">
        <f t="shared" si="288"/>
        <v>Fundraising-Analyst</v>
      </c>
      <c r="G2112" s="5" t="s">
        <v>47</v>
      </c>
      <c r="H2112" s="9">
        <v>44946.403136574074</v>
      </c>
      <c r="I2112" s="9">
        <v>44947.403136574074</v>
      </c>
      <c r="J2112" s="9" t="e">
        <f>I2112+#REF!</f>
        <v>#REF!</v>
      </c>
      <c r="K2112" s="9" t="e">
        <f>J2112+#REF!</f>
        <v>#REF!</v>
      </c>
      <c r="L2112" s="10" t="s">
        <v>41</v>
      </c>
      <c r="M2112" s="11">
        <v>44959.403136574074</v>
      </c>
      <c r="N2112" s="5" t="s">
        <v>42</v>
      </c>
      <c r="O2112" s="5" t="s">
        <v>98</v>
      </c>
      <c r="P2112" s="9"/>
      <c r="Q2112" s="5"/>
      <c r="R2112" s="5"/>
      <c r="S2112" s="5"/>
      <c r="T2112" s="9"/>
      <c r="U2112" s="5"/>
      <c r="V2112" s="5">
        <v>0</v>
      </c>
      <c r="W2112" s="5"/>
      <c r="X2112" s="5"/>
      <c r="Y2112" s="5"/>
      <c r="Z2112" s="5"/>
      <c r="AA2112" s="5" t="s">
        <v>62</v>
      </c>
      <c r="AC2112">
        <f t="shared" si="289"/>
        <v>12</v>
      </c>
      <c r="AD2112" t="str">
        <f t="shared" si="290"/>
        <v/>
      </c>
      <c r="AE2112" t="str">
        <f t="shared" si="291"/>
        <v/>
      </c>
      <c r="AF2112" t="str">
        <f t="shared" si="292"/>
        <v/>
      </c>
      <c r="AG2112" t="str">
        <f t="shared" si="293"/>
        <v/>
      </c>
      <c r="AH2112">
        <f t="shared" si="294"/>
        <v>1</v>
      </c>
      <c r="AI2112" t="str">
        <f t="shared" si="295"/>
        <v/>
      </c>
      <c r="AJ2112" t="str">
        <f t="shared" si="296"/>
        <v/>
      </c>
    </row>
    <row r="2113" spans="1:36">
      <c r="A2113" s="5">
        <v>2595</v>
      </c>
      <c r="B2113" s="5" t="s">
        <v>2361</v>
      </c>
      <c r="C2113" s="5" t="s">
        <v>2229</v>
      </c>
      <c r="D2113" s="5" t="s">
        <v>2350</v>
      </c>
      <c r="E2113" s="5" t="s">
        <v>2351</v>
      </c>
      <c r="F2113" s="5" t="str">
        <f t="shared" si="288"/>
        <v>Capacity Building-Training Associate</v>
      </c>
      <c r="G2113" s="5" t="s">
        <v>40</v>
      </c>
      <c r="H2113" s="9">
        <v>44945.403136574074</v>
      </c>
      <c r="I2113" s="9">
        <v>44946.403136574074</v>
      </c>
      <c r="J2113" s="9" t="e">
        <f>I2113+#REF!</f>
        <v>#REF!</v>
      </c>
      <c r="K2113" s="9" t="e">
        <f>J2113+#REF!</f>
        <v>#REF!</v>
      </c>
      <c r="L2113" s="10" t="s">
        <v>52</v>
      </c>
      <c r="M2113" s="11"/>
      <c r="N2113" s="5"/>
      <c r="O2113" s="5"/>
      <c r="P2113" s="9"/>
      <c r="Q2113" s="5"/>
      <c r="R2113" s="5"/>
      <c r="S2113" s="5"/>
      <c r="T2113" s="9"/>
      <c r="U2113" s="5"/>
      <c r="V2113" s="5">
        <v>0</v>
      </c>
      <c r="W2113" s="5"/>
      <c r="X2113" s="5"/>
      <c r="Y2113" s="5"/>
      <c r="Z2113" s="5"/>
      <c r="AA2113" s="5"/>
      <c r="AC2113" t="str">
        <f t="shared" si="289"/>
        <v/>
      </c>
      <c r="AD2113" t="str">
        <f t="shared" si="290"/>
        <v/>
      </c>
      <c r="AE2113" t="str">
        <f t="shared" si="291"/>
        <v/>
      </c>
      <c r="AF2113" t="str">
        <f t="shared" si="292"/>
        <v/>
      </c>
      <c r="AG2113" t="str">
        <f t="shared" si="293"/>
        <v/>
      </c>
      <c r="AH2113">
        <f t="shared" si="294"/>
        <v>1</v>
      </c>
      <c r="AI2113" t="str">
        <f t="shared" si="295"/>
        <v/>
      </c>
      <c r="AJ2113" t="str">
        <f t="shared" si="296"/>
        <v/>
      </c>
    </row>
    <row r="2114" spans="1:36">
      <c r="A2114" s="5">
        <v>2596</v>
      </c>
      <c r="B2114" s="5" t="s">
        <v>1511</v>
      </c>
      <c r="C2114" s="5" t="s">
        <v>1332</v>
      </c>
      <c r="D2114" s="5" t="s">
        <v>1500</v>
      </c>
      <c r="E2114" s="5" t="s">
        <v>39</v>
      </c>
      <c r="F2114" s="5" t="str">
        <f t="shared" ref="F2114:F2177" si="297">_xlfn.CONCAT(C2114,"-",E2114)</f>
        <v>Fundraising-Analyst</v>
      </c>
      <c r="G2114" s="5" t="s">
        <v>47</v>
      </c>
      <c r="H2114" s="9">
        <v>44945.403136574074</v>
      </c>
      <c r="I2114" s="9">
        <v>44946.403136574074</v>
      </c>
      <c r="J2114" s="9" t="e">
        <f>I2114+#REF!</f>
        <v>#REF!</v>
      </c>
      <c r="K2114" s="9" t="e">
        <f>J2114+#REF!</f>
        <v>#REF!</v>
      </c>
      <c r="L2114" s="10" t="s">
        <v>41</v>
      </c>
      <c r="M2114" s="11">
        <v>44962.403136574074</v>
      </c>
      <c r="N2114" s="5" t="s">
        <v>42</v>
      </c>
      <c r="O2114" s="5" t="s">
        <v>98</v>
      </c>
      <c r="P2114" s="9"/>
      <c r="Q2114" s="5"/>
      <c r="R2114" s="5"/>
      <c r="S2114" s="5"/>
      <c r="T2114" s="9"/>
      <c r="U2114" s="5"/>
      <c r="V2114" s="5">
        <v>0</v>
      </c>
      <c r="W2114" s="5"/>
      <c r="X2114" s="5"/>
      <c r="Y2114" s="5"/>
      <c r="Z2114" s="5"/>
      <c r="AA2114" s="5" t="s">
        <v>62</v>
      </c>
      <c r="AC2114">
        <f t="shared" ref="AC2114:AC2177" si="298">IF(AND(ISNUMBER(M2114), ISNUMBER(I2114)), M2114 - I2114, "")</f>
        <v>16</v>
      </c>
      <c r="AD2114" t="str">
        <f t="shared" si="290"/>
        <v/>
      </c>
      <c r="AE2114" t="str">
        <f t="shared" si="291"/>
        <v/>
      </c>
      <c r="AF2114" t="str">
        <f t="shared" si="292"/>
        <v/>
      </c>
      <c r="AG2114" t="str">
        <f t="shared" si="293"/>
        <v/>
      </c>
      <c r="AH2114">
        <f t="shared" si="294"/>
        <v>1</v>
      </c>
      <c r="AI2114" t="str">
        <f t="shared" si="295"/>
        <v/>
      </c>
      <c r="AJ2114" t="str">
        <f t="shared" si="296"/>
        <v/>
      </c>
    </row>
    <row r="2115" spans="1:36">
      <c r="A2115" s="5">
        <v>2597</v>
      </c>
      <c r="B2115" s="5" t="s">
        <v>1376</v>
      </c>
      <c r="C2115" s="5" t="s">
        <v>1332</v>
      </c>
      <c r="D2115" s="5" t="s">
        <v>1359</v>
      </c>
      <c r="E2115" s="5" t="s">
        <v>1360</v>
      </c>
      <c r="F2115" s="5" t="str">
        <f t="shared" si="297"/>
        <v>Fundraising-Fund Administrator</v>
      </c>
      <c r="G2115" s="5" t="s">
        <v>147</v>
      </c>
      <c r="H2115" s="9">
        <v>44944.403136574074</v>
      </c>
      <c r="I2115" s="9">
        <v>44947.403136574074</v>
      </c>
      <c r="J2115" s="9" t="e">
        <f>I2115+#REF!</f>
        <v>#REF!</v>
      </c>
      <c r="K2115" s="9" t="e">
        <f>J2115+#REF!</f>
        <v>#REF!</v>
      </c>
      <c r="L2115" s="10" t="s">
        <v>41</v>
      </c>
      <c r="M2115" s="11">
        <v>44967.403136574074</v>
      </c>
      <c r="N2115" s="5" t="s">
        <v>42</v>
      </c>
      <c r="O2115" s="5" t="s">
        <v>43</v>
      </c>
      <c r="P2115" s="9"/>
      <c r="Q2115" s="5"/>
      <c r="R2115" s="5"/>
      <c r="S2115" s="5"/>
      <c r="T2115" s="9"/>
      <c r="U2115" s="5"/>
      <c r="V2115" s="5">
        <v>0</v>
      </c>
      <c r="W2115" s="5"/>
      <c r="X2115" s="5"/>
      <c r="Y2115" s="5"/>
      <c r="Z2115" s="5"/>
      <c r="AA2115" s="5" t="s">
        <v>62</v>
      </c>
      <c r="AC2115">
        <f t="shared" si="298"/>
        <v>20</v>
      </c>
      <c r="AD2115" t="str">
        <f t="shared" ref="AD2115:AD2178" si="299">IF(AND(ISNUMBER(S2115), ISNUMBER(I2115)), S2115 - I2115, "")</f>
        <v/>
      </c>
      <c r="AE2115" t="str">
        <f t="shared" ref="AE2115:AE2178" si="300">IF(AND(ISNUMBER(T2115), ISNUMBER(M2115)), T2115-M2115, "")</f>
        <v/>
      </c>
      <c r="AF2115" t="str">
        <f t="shared" ref="AF2115:AF2178" si="301">IF(AND(ISNUMBER(X2115), ISNUMBER(U2115)), X2115-U2115,"")</f>
        <v/>
      </c>
      <c r="AG2115" t="str">
        <f t="shared" ref="AG2115:AG2178" si="302">IF(AND(ISNUMBER(W2115), ISNUMBER(U2115)), W2115-U2115, "")</f>
        <v/>
      </c>
      <c r="AH2115">
        <f t="shared" ref="AH2115:AH2178" si="303">IF(AND(ISNUMBER(I2115), ISNUMBER(H2115)), I2115-H2115,"")</f>
        <v>3</v>
      </c>
      <c r="AI2115" t="str">
        <f t="shared" ref="AI2115:AI2178" si="304">IF(AND(ISNUMBER(J2115),ISNUMBER(K2115)),K2115-J2115,"")</f>
        <v/>
      </c>
      <c r="AJ2115" t="str">
        <f t="shared" ref="AJ2115:AJ2178" si="305">IF(AND(ISNUMBER(J2115),ISNUMBER(I2115)), J2115-I2115,"")</f>
        <v/>
      </c>
    </row>
    <row r="2116" spans="1:36">
      <c r="A2116" s="5">
        <v>2599</v>
      </c>
      <c r="B2116" s="5" t="s">
        <v>1510</v>
      </c>
      <c r="C2116" s="5" t="s">
        <v>1332</v>
      </c>
      <c r="D2116" s="5" t="s">
        <v>1500</v>
      </c>
      <c r="E2116" s="5" t="s">
        <v>39</v>
      </c>
      <c r="F2116" s="5" t="str">
        <f t="shared" si="297"/>
        <v>Fundraising-Analyst</v>
      </c>
      <c r="G2116" s="5" t="s">
        <v>47</v>
      </c>
      <c r="H2116" s="9">
        <v>44944.403136574074</v>
      </c>
      <c r="I2116" s="9">
        <v>44947.403136574074</v>
      </c>
      <c r="J2116" s="9" t="e">
        <f>I2116+#REF!</f>
        <v>#REF!</v>
      </c>
      <c r="K2116" s="9" t="e">
        <f>J2116+#REF!</f>
        <v>#REF!</v>
      </c>
      <c r="L2116" s="10" t="s">
        <v>41</v>
      </c>
      <c r="M2116" s="11">
        <v>44962.403136574074</v>
      </c>
      <c r="N2116" s="5" t="s">
        <v>42</v>
      </c>
      <c r="O2116" s="5" t="s">
        <v>73</v>
      </c>
      <c r="P2116" s="9"/>
      <c r="Q2116" s="5"/>
      <c r="R2116" s="5"/>
      <c r="S2116" s="5"/>
      <c r="T2116" s="9">
        <v>44965.403136574074</v>
      </c>
      <c r="U2116" s="5"/>
      <c r="V2116" s="5">
        <v>0</v>
      </c>
      <c r="W2116" s="5"/>
      <c r="X2116" s="5"/>
      <c r="Y2116" s="5"/>
      <c r="Z2116" s="5"/>
      <c r="AA2116" s="5" t="s">
        <v>62</v>
      </c>
      <c r="AC2116">
        <f t="shared" si="298"/>
        <v>15</v>
      </c>
      <c r="AD2116" t="str">
        <f t="shared" si="299"/>
        <v/>
      </c>
      <c r="AE2116">
        <f t="shared" si="300"/>
        <v>3</v>
      </c>
      <c r="AF2116" t="str">
        <f t="shared" si="301"/>
        <v/>
      </c>
      <c r="AG2116" t="str">
        <f t="shared" si="302"/>
        <v/>
      </c>
      <c r="AH2116">
        <f t="shared" si="303"/>
        <v>3</v>
      </c>
      <c r="AI2116" t="str">
        <f t="shared" si="304"/>
        <v/>
      </c>
      <c r="AJ2116" t="str">
        <f t="shared" si="305"/>
        <v/>
      </c>
    </row>
    <row r="2117" spans="1:36">
      <c r="A2117" s="5">
        <v>2601</v>
      </c>
      <c r="B2117" s="5" t="s">
        <v>1059</v>
      </c>
      <c r="C2117" s="5" t="s">
        <v>796</v>
      </c>
      <c r="D2117" s="5" t="s">
        <v>1046</v>
      </c>
      <c r="E2117" s="5" t="s">
        <v>473</v>
      </c>
      <c r="F2117" s="5" t="str">
        <f t="shared" si="297"/>
        <v>M and E-Officer</v>
      </c>
      <c r="G2117" s="5" t="s">
        <v>47</v>
      </c>
      <c r="H2117" s="9">
        <v>45039.692673611113</v>
      </c>
      <c r="I2117" s="9">
        <v>45043.692673611113</v>
      </c>
      <c r="J2117" s="9" t="e">
        <f>I2117+#REF!</f>
        <v>#REF!</v>
      </c>
      <c r="K2117" s="9" t="e">
        <f>J2117+#REF!</f>
        <v>#REF!</v>
      </c>
      <c r="L2117" s="10" t="s">
        <v>41</v>
      </c>
      <c r="M2117" s="11">
        <v>45051.692673611113</v>
      </c>
      <c r="N2117" s="5" t="s">
        <v>64</v>
      </c>
      <c r="O2117" s="5"/>
      <c r="P2117" s="9">
        <v>45057.692673611113</v>
      </c>
      <c r="Q2117" s="5" t="s">
        <v>64</v>
      </c>
      <c r="R2117" s="9">
        <v>45053.692673611113</v>
      </c>
      <c r="S2117" s="9">
        <v>45054.692673611113</v>
      </c>
      <c r="T2117" s="9">
        <v>45053.692673611113</v>
      </c>
      <c r="U2117" s="9">
        <v>45057.692673611113</v>
      </c>
      <c r="V2117" s="12">
        <v>1</v>
      </c>
      <c r="W2117" s="9">
        <v>45058.692673611113</v>
      </c>
      <c r="X2117" s="9">
        <v>45061.692673611113</v>
      </c>
      <c r="Y2117" s="9">
        <v>45063.692673611113</v>
      </c>
      <c r="Z2117" s="5"/>
      <c r="AA2117" s="5"/>
      <c r="AB2117" s="13">
        <v>45082.692673611113</v>
      </c>
      <c r="AC2117">
        <f t="shared" si="298"/>
        <v>8</v>
      </c>
      <c r="AD2117">
        <f t="shared" si="299"/>
        <v>11</v>
      </c>
      <c r="AE2117">
        <f t="shared" si="300"/>
        <v>2</v>
      </c>
      <c r="AF2117">
        <f t="shared" si="301"/>
        <v>4</v>
      </c>
      <c r="AG2117">
        <f t="shared" si="302"/>
        <v>1</v>
      </c>
      <c r="AH2117">
        <f t="shared" si="303"/>
        <v>4</v>
      </c>
      <c r="AI2117" t="str">
        <f t="shared" si="304"/>
        <v/>
      </c>
      <c r="AJ2117" t="str">
        <f t="shared" si="305"/>
        <v/>
      </c>
    </row>
    <row r="2118" spans="1:36">
      <c r="A2118" s="5">
        <v>2602</v>
      </c>
      <c r="B2118" s="5" t="s">
        <v>972</v>
      </c>
      <c r="C2118" s="5" t="s">
        <v>796</v>
      </c>
      <c r="D2118" s="5" t="s">
        <v>957</v>
      </c>
      <c r="E2118" s="5" t="s">
        <v>388</v>
      </c>
      <c r="F2118" s="5" t="str">
        <f t="shared" si="297"/>
        <v>M and E-Extension Officer</v>
      </c>
      <c r="G2118" s="5" t="s">
        <v>40</v>
      </c>
      <c r="H2118" s="9">
        <v>45039.692673611113</v>
      </c>
      <c r="I2118" s="9">
        <v>45041.692673611113</v>
      </c>
      <c r="J2118" s="9" t="e">
        <f>I2118+#REF!</f>
        <v>#REF!</v>
      </c>
      <c r="K2118" s="9" t="e">
        <f>J2118+#REF!</f>
        <v>#REF!</v>
      </c>
      <c r="L2118" s="10" t="s">
        <v>41</v>
      </c>
      <c r="M2118" s="11">
        <v>45055.692673611113</v>
      </c>
      <c r="N2118" s="5" t="s">
        <v>167</v>
      </c>
      <c r="O2118" s="5"/>
      <c r="P2118" s="9">
        <v>45059.692673611113</v>
      </c>
      <c r="Q2118" s="5" t="s">
        <v>167</v>
      </c>
      <c r="R2118" s="5"/>
      <c r="S2118" s="5"/>
      <c r="T2118" s="9">
        <v>45058.692673611113</v>
      </c>
      <c r="U2118" s="5"/>
      <c r="V2118" s="5">
        <v>0</v>
      </c>
      <c r="W2118" s="5"/>
      <c r="X2118" s="5"/>
      <c r="Y2118" s="5"/>
      <c r="Z2118" s="5"/>
      <c r="AA2118" s="5"/>
      <c r="AC2118">
        <f t="shared" si="298"/>
        <v>14</v>
      </c>
      <c r="AD2118" t="str">
        <f t="shared" si="299"/>
        <v/>
      </c>
      <c r="AE2118">
        <f t="shared" si="300"/>
        <v>3</v>
      </c>
      <c r="AF2118" t="str">
        <f t="shared" si="301"/>
        <v/>
      </c>
      <c r="AG2118" t="str">
        <f t="shared" si="302"/>
        <v/>
      </c>
      <c r="AH2118">
        <f t="shared" si="303"/>
        <v>2</v>
      </c>
      <c r="AI2118" t="str">
        <f t="shared" si="304"/>
        <v/>
      </c>
      <c r="AJ2118" t="str">
        <f t="shared" si="305"/>
        <v/>
      </c>
    </row>
    <row r="2119" spans="1:36">
      <c r="A2119" s="5">
        <v>2603</v>
      </c>
      <c r="B2119" s="5" t="s">
        <v>971</v>
      </c>
      <c r="C2119" s="5" t="s">
        <v>796</v>
      </c>
      <c r="D2119" s="5" t="s">
        <v>957</v>
      </c>
      <c r="E2119" s="5" t="s">
        <v>388</v>
      </c>
      <c r="F2119" s="5" t="str">
        <f t="shared" si="297"/>
        <v>M and E-Extension Officer</v>
      </c>
      <c r="G2119" s="5" t="s">
        <v>40</v>
      </c>
      <c r="H2119" s="9">
        <v>45041.692673611113</v>
      </c>
      <c r="I2119" s="9">
        <v>45045.692673611113</v>
      </c>
      <c r="J2119" s="9" t="e">
        <f>I2119+#REF!</f>
        <v>#REF!</v>
      </c>
      <c r="K2119" s="9" t="e">
        <f>J2119+#REF!</f>
        <v>#REF!</v>
      </c>
      <c r="L2119" s="10" t="s">
        <v>41</v>
      </c>
      <c r="M2119" s="11">
        <v>45059.692673611113</v>
      </c>
      <c r="N2119" s="5" t="s">
        <v>42</v>
      </c>
      <c r="O2119" s="5" t="s">
        <v>113</v>
      </c>
      <c r="P2119" s="9"/>
      <c r="Q2119" s="5"/>
      <c r="R2119" s="5"/>
      <c r="S2119" s="5"/>
      <c r="T2119" s="9">
        <v>45060.692673611113</v>
      </c>
      <c r="U2119" s="5"/>
      <c r="V2119" s="5">
        <v>0</v>
      </c>
      <c r="W2119" s="5"/>
      <c r="X2119" s="5"/>
      <c r="Y2119" s="5"/>
      <c r="Z2119" s="5"/>
      <c r="AA2119" s="5" t="s">
        <v>62</v>
      </c>
      <c r="AC2119">
        <f t="shared" si="298"/>
        <v>14</v>
      </c>
      <c r="AD2119" t="str">
        <f t="shared" si="299"/>
        <v/>
      </c>
      <c r="AE2119">
        <f t="shared" si="300"/>
        <v>1</v>
      </c>
      <c r="AF2119" t="str">
        <f t="shared" si="301"/>
        <v/>
      </c>
      <c r="AG2119" t="str">
        <f t="shared" si="302"/>
        <v/>
      </c>
      <c r="AH2119">
        <f t="shared" si="303"/>
        <v>4</v>
      </c>
      <c r="AI2119" t="str">
        <f t="shared" si="304"/>
        <v/>
      </c>
      <c r="AJ2119" t="str">
        <f t="shared" si="305"/>
        <v/>
      </c>
    </row>
    <row r="2120" spans="1:36">
      <c r="A2120" s="5">
        <v>2604</v>
      </c>
      <c r="B2120" s="5" t="s">
        <v>1058</v>
      </c>
      <c r="C2120" s="5" t="s">
        <v>796</v>
      </c>
      <c r="D2120" s="5" t="s">
        <v>1046</v>
      </c>
      <c r="E2120" s="5" t="s">
        <v>473</v>
      </c>
      <c r="F2120" s="5" t="str">
        <f t="shared" si="297"/>
        <v>M and E-Officer</v>
      </c>
      <c r="G2120" s="5" t="s">
        <v>47</v>
      </c>
      <c r="H2120" s="9">
        <v>45036.692673611113</v>
      </c>
      <c r="I2120" s="9">
        <v>45040.692673611113</v>
      </c>
      <c r="J2120" s="9" t="e">
        <f>I2120+#REF!</f>
        <v>#REF!</v>
      </c>
      <c r="K2120" s="9" t="e">
        <f>J2120+#REF!</f>
        <v>#REF!</v>
      </c>
      <c r="L2120" s="10" t="s">
        <v>41</v>
      </c>
      <c r="M2120" s="11">
        <v>45056.692673611113</v>
      </c>
      <c r="N2120" s="5" t="s">
        <v>42</v>
      </c>
      <c r="O2120" s="5" t="s">
        <v>58</v>
      </c>
      <c r="P2120" s="9"/>
      <c r="Q2120" s="5"/>
      <c r="R2120" s="5"/>
      <c r="S2120" s="5"/>
      <c r="T2120" s="9">
        <v>45057.692673611113</v>
      </c>
      <c r="U2120" s="5"/>
      <c r="V2120" s="5">
        <v>0</v>
      </c>
      <c r="W2120" s="5"/>
      <c r="X2120" s="5"/>
      <c r="Y2120" s="5"/>
      <c r="Z2120" s="5"/>
      <c r="AA2120" s="5" t="s">
        <v>44</v>
      </c>
      <c r="AC2120">
        <f t="shared" si="298"/>
        <v>16</v>
      </c>
      <c r="AD2120" t="str">
        <f t="shared" si="299"/>
        <v/>
      </c>
      <c r="AE2120">
        <f t="shared" si="300"/>
        <v>1</v>
      </c>
      <c r="AF2120" t="str">
        <f t="shared" si="301"/>
        <v/>
      </c>
      <c r="AG2120" t="str">
        <f t="shared" si="302"/>
        <v/>
      </c>
      <c r="AH2120">
        <f t="shared" si="303"/>
        <v>4</v>
      </c>
      <c r="AI2120" t="str">
        <f t="shared" si="304"/>
        <v/>
      </c>
      <c r="AJ2120" t="str">
        <f t="shared" si="305"/>
        <v/>
      </c>
    </row>
    <row r="2121" spans="1:36">
      <c r="A2121" s="5">
        <v>2605</v>
      </c>
      <c r="B2121" s="5" t="s">
        <v>904</v>
      </c>
      <c r="C2121" s="5" t="s">
        <v>796</v>
      </c>
      <c r="D2121" s="5" t="s">
        <v>893</v>
      </c>
      <c r="E2121" s="5" t="s">
        <v>269</v>
      </c>
      <c r="F2121" s="5" t="str">
        <f t="shared" si="297"/>
        <v>M and E-Manager</v>
      </c>
      <c r="G2121" s="5" t="s">
        <v>270</v>
      </c>
      <c r="H2121" s="9">
        <v>45042.692673611113</v>
      </c>
      <c r="I2121" s="9">
        <v>45043.692673611113</v>
      </c>
      <c r="J2121" s="9" t="e">
        <f>I2121+#REF!</f>
        <v>#REF!</v>
      </c>
      <c r="K2121" s="9" t="e">
        <f>J2121+#REF!</f>
        <v>#REF!</v>
      </c>
      <c r="L2121" s="10" t="s">
        <v>41</v>
      </c>
      <c r="M2121" s="11">
        <v>45062.692673611113</v>
      </c>
      <c r="N2121" s="5" t="s">
        <v>42</v>
      </c>
      <c r="O2121" s="5" t="s">
        <v>73</v>
      </c>
      <c r="P2121" s="9"/>
      <c r="Q2121" s="5"/>
      <c r="R2121" s="5"/>
      <c r="S2121" s="5"/>
      <c r="T2121" s="9"/>
      <c r="U2121" s="5"/>
      <c r="V2121" s="5">
        <v>0</v>
      </c>
      <c r="W2121" s="5"/>
      <c r="X2121" s="5"/>
      <c r="Y2121" s="5"/>
      <c r="Z2121" s="5"/>
      <c r="AA2121" s="5" t="s">
        <v>62</v>
      </c>
      <c r="AC2121">
        <f t="shared" si="298"/>
        <v>19</v>
      </c>
      <c r="AD2121" t="str">
        <f t="shared" si="299"/>
        <v/>
      </c>
      <c r="AE2121" t="str">
        <f t="shared" si="300"/>
        <v/>
      </c>
      <c r="AF2121" t="str">
        <f t="shared" si="301"/>
        <v/>
      </c>
      <c r="AG2121" t="str">
        <f t="shared" si="302"/>
        <v/>
      </c>
      <c r="AH2121">
        <f t="shared" si="303"/>
        <v>1</v>
      </c>
      <c r="AI2121" t="str">
        <f t="shared" si="304"/>
        <v/>
      </c>
      <c r="AJ2121" t="str">
        <f t="shared" si="305"/>
        <v/>
      </c>
    </row>
    <row r="2122" spans="1:36">
      <c r="A2122" s="5">
        <v>2606</v>
      </c>
      <c r="B2122" s="5" t="s">
        <v>970</v>
      </c>
      <c r="C2122" s="5" t="s">
        <v>796</v>
      </c>
      <c r="D2122" s="5" t="s">
        <v>957</v>
      </c>
      <c r="E2122" s="5" t="s">
        <v>388</v>
      </c>
      <c r="F2122" s="5" t="str">
        <f t="shared" si="297"/>
        <v>M and E-Extension Officer</v>
      </c>
      <c r="G2122" s="5" t="s">
        <v>40</v>
      </c>
      <c r="H2122" s="9">
        <v>45040.692673611113</v>
      </c>
      <c r="I2122" s="9">
        <v>45043.692673611113</v>
      </c>
      <c r="J2122" s="9" t="e">
        <f>I2122+#REF!</f>
        <v>#REF!</v>
      </c>
      <c r="K2122" s="9" t="e">
        <f>J2122+#REF!</f>
        <v>#REF!</v>
      </c>
      <c r="L2122" s="10" t="s">
        <v>41</v>
      </c>
      <c r="M2122" s="11">
        <v>45052.692673611113</v>
      </c>
      <c r="N2122" s="5" t="s">
        <v>48</v>
      </c>
      <c r="O2122" s="5"/>
      <c r="P2122" s="9">
        <v>45056.692673611113</v>
      </c>
      <c r="Q2122" s="5" t="s">
        <v>48</v>
      </c>
      <c r="R2122" s="5"/>
      <c r="S2122" s="5"/>
      <c r="T2122" s="9">
        <v>45055.692673611113</v>
      </c>
      <c r="U2122" s="5"/>
      <c r="V2122" s="5">
        <v>0</v>
      </c>
      <c r="W2122" s="5"/>
      <c r="X2122" s="5"/>
      <c r="Y2122" s="5"/>
      <c r="Z2122" s="5"/>
      <c r="AA2122" s="5"/>
      <c r="AC2122">
        <f t="shared" si="298"/>
        <v>9</v>
      </c>
      <c r="AD2122" t="str">
        <f t="shared" si="299"/>
        <v/>
      </c>
      <c r="AE2122">
        <f t="shared" si="300"/>
        <v>3</v>
      </c>
      <c r="AF2122" t="str">
        <f t="shared" si="301"/>
        <v/>
      </c>
      <c r="AG2122" t="str">
        <f t="shared" si="302"/>
        <v/>
      </c>
      <c r="AH2122">
        <f t="shared" si="303"/>
        <v>3</v>
      </c>
      <c r="AI2122" t="str">
        <f t="shared" si="304"/>
        <v/>
      </c>
      <c r="AJ2122" t="str">
        <f t="shared" si="305"/>
        <v/>
      </c>
    </row>
    <row r="2123" spans="1:36">
      <c r="A2123" s="5">
        <v>2608</v>
      </c>
      <c r="B2123" s="5" t="s">
        <v>903</v>
      </c>
      <c r="C2123" s="5" t="s">
        <v>796</v>
      </c>
      <c r="D2123" s="5" t="s">
        <v>893</v>
      </c>
      <c r="E2123" s="5" t="s">
        <v>269</v>
      </c>
      <c r="F2123" s="5" t="str">
        <f t="shared" si="297"/>
        <v>M and E-Manager</v>
      </c>
      <c r="G2123" s="5" t="s">
        <v>270</v>
      </c>
      <c r="H2123" s="9">
        <v>45041.692673611113</v>
      </c>
      <c r="I2123" s="9">
        <v>45044.692673611113</v>
      </c>
      <c r="J2123" s="9" t="e">
        <f>I2123+#REF!</f>
        <v>#REF!</v>
      </c>
      <c r="K2123" s="9" t="e">
        <f>J2123+#REF!</f>
        <v>#REF!</v>
      </c>
      <c r="L2123" s="10" t="s">
        <v>41</v>
      </c>
      <c r="M2123" s="11">
        <v>45060.692673611113</v>
      </c>
      <c r="N2123" s="5" t="s">
        <v>42</v>
      </c>
      <c r="O2123" s="5" t="s">
        <v>58</v>
      </c>
      <c r="P2123" s="9"/>
      <c r="Q2123" s="5"/>
      <c r="R2123" s="5"/>
      <c r="S2123" s="5"/>
      <c r="T2123" s="9"/>
      <c r="U2123" s="5"/>
      <c r="V2123" s="5">
        <v>0</v>
      </c>
      <c r="W2123" s="5"/>
      <c r="X2123" s="5"/>
      <c r="Y2123" s="5"/>
      <c r="Z2123" s="5"/>
      <c r="AA2123" s="5" t="s">
        <v>62</v>
      </c>
      <c r="AC2123">
        <f t="shared" si="298"/>
        <v>16</v>
      </c>
      <c r="AD2123" t="str">
        <f t="shared" si="299"/>
        <v/>
      </c>
      <c r="AE2123" t="str">
        <f t="shared" si="300"/>
        <v/>
      </c>
      <c r="AF2123" t="str">
        <f t="shared" si="301"/>
        <v/>
      </c>
      <c r="AG2123" t="str">
        <f t="shared" si="302"/>
        <v/>
      </c>
      <c r="AH2123">
        <f t="shared" si="303"/>
        <v>3</v>
      </c>
      <c r="AI2123" t="str">
        <f t="shared" si="304"/>
        <v/>
      </c>
      <c r="AJ2123" t="str">
        <f t="shared" si="305"/>
        <v/>
      </c>
    </row>
    <row r="2124" spans="1:36">
      <c r="A2124" s="5">
        <v>2609</v>
      </c>
      <c r="B2124" s="5" t="s">
        <v>969</v>
      </c>
      <c r="C2124" s="5" t="s">
        <v>796</v>
      </c>
      <c r="D2124" s="5" t="s">
        <v>957</v>
      </c>
      <c r="E2124" s="5" t="s">
        <v>388</v>
      </c>
      <c r="F2124" s="5" t="str">
        <f t="shared" si="297"/>
        <v>M and E-Extension Officer</v>
      </c>
      <c r="G2124" s="5" t="s">
        <v>40</v>
      </c>
      <c r="H2124" s="9">
        <v>45037.692673611113</v>
      </c>
      <c r="I2124" s="9">
        <v>45040.692673611113</v>
      </c>
      <c r="J2124" s="9" t="e">
        <f>I2124+#REF!</f>
        <v>#REF!</v>
      </c>
      <c r="K2124" s="9" t="e">
        <f>J2124+#REF!</f>
        <v>#REF!</v>
      </c>
      <c r="L2124" s="10" t="s">
        <v>41</v>
      </c>
      <c r="M2124" s="11">
        <v>45056.692673611113</v>
      </c>
      <c r="N2124" s="5" t="s">
        <v>48</v>
      </c>
      <c r="O2124" s="5"/>
      <c r="P2124" s="9">
        <v>45061.692673611113</v>
      </c>
      <c r="Q2124" s="5" t="s">
        <v>48</v>
      </c>
      <c r="R2124" s="5"/>
      <c r="S2124" s="5"/>
      <c r="T2124" s="9">
        <v>45057.692673611113</v>
      </c>
      <c r="U2124" s="5"/>
      <c r="V2124" s="5">
        <v>0</v>
      </c>
      <c r="W2124" s="5"/>
      <c r="X2124" s="5"/>
      <c r="Y2124" s="5"/>
      <c r="Z2124" s="5"/>
      <c r="AA2124" s="5"/>
      <c r="AC2124">
        <f t="shared" si="298"/>
        <v>16</v>
      </c>
      <c r="AD2124" t="str">
        <f t="shared" si="299"/>
        <v/>
      </c>
      <c r="AE2124">
        <f t="shared" si="300"/>
        <v>1</v>
      </c>
      <c r="AF2124" t="str">
        <f t="shared" si="301"/>
        <v/>
      </c>
      <c r="AG2124" t="str">
        <f t="shared" si="302"/>
        <v/>
      </c>
      <c r="AH2124">
        <f t="shared" si="303"/>
        <v>3</v>
      </c>
      <c r="AI2124" t="str">
        <f t="shared" si="304"/>
        <v/>
      </c>
      <c r="AJ2124" t="str">
        <f t="shared" si="305"/>
        <v/>
      </c>
    </row>
    <row r="2125" spans="1:36">
      <c r="A2125" s="5">
        <v>2610</v>
      </c>
      <c r="B2125" s="5" t="s">
        <v>968</v>
      </c>
      <c r="C2125" s="5" t="s">
        <v>796</v>
      </c>
      <c r="D2125" s="5" t="s">
        <v>957</v>
      </c>
      <c r="E2125" s="5" t="s">
        <v>388</v>
      </c>
      <c r="F2125" s="5" t="str">
        <f t="shared" si="297"/>
        <v>M and E-Extension Officer</v>
      </c>
      <c r="G2125" s="5" t="s">
        <v>40</v>
      </c>
      <c r="H2125" s="9">
        <v>45041.692673611113</v>
      </c>
      <c r="I2125" s="9">
        <v>45042.692673611113</v>
      </c>
      <c r="J2125" s="9" t="e">
        <f>I2125+#REF!</f>
        <v>#REF!</v>
      </c>
      <c r="K2125" s="9" t="e">
        <f>J2125+#REF!</f>
        <v>#REF!</v>
      </c>
      <c r="L2125" s="10" t="s">
        <v>41</v>
      </c>
      <c r="M2125" s="11">
        <v>45058.692673611113</v>
      </c>
      <c r="N2125" s="5" t="s">
        <v>48</v>
      </c>
      <c r="O2125" s="5"/>
      <c r="P2125" s="9">
        <v>45064.692673611113</v>
      </c>
      <c r="Q2125" s="5" t="s">
        <v>48</v>
      </c>
      <c r="R2125" s="5"/>
      <c r="S2125" s="5"/>
      <c r="T2125" s="9">
        <v>45062.692673611113</v>
      </c>
      <c r="U2125" s="5"/>
      <c r="V2125" s="5">
        <v>0</v>
      </c>
      <c r="W2125" s="5"/>
      <c r="X2125" s="5"/>
      <c r="Y2125" s="5"/>
      <c r="Z2125" s="5"/>
      <c r="AA2125" s="5"/>
      <c r="AC2125">
        <f t="shared" si="298"/>
        <v>16</v>
      </c>
      <c r="AD2125" t="str">
        <f t="shared" si="299"/>
        <v/>
      </c>
      <c r="AE2125">
        <f t="shared" si="300"/>
        <v>4</v>
      </c>
      <c r="AF2125" t="str">
        <f t="shared" si="301"/>
        <v/>
      </c>
      <c r="AG2125" t="str">
        <f t="shared" si="302"/>
        <v/>
      </c>
      <c r="AH2125">
        <f t="shared" si="303"/>
        <v>1</v>
      </c>
      <c r="AI2125" t="str">
        <f t="shared" si="304"/>
        <v/>
      </c>
      <c r="AJ2125" t="str">
        <f t="shared" si="305"/>
        <v/>
      </c>
    </row>
    <row r="2126" spans="1:36">
      <c r="A2126" s="5">
        <v>2611</v>
      </c>
      <c r="B2126" s="5" t="s">
        <v>2309</v>
      </c>
      <c r="C2126" s="5" t="s">
        <v>2229</v>
      </c>
      <c r="D2126" s="5" t="s">
        <v>2302</v>
      </c>
      <c r="E2126" s="5" t="s">
        <v>269</v>
      </c>
      <c r="F2126" s="5" t="str">
        <f t="shared" si="297"/>
        <v>Capacity Building-Manager</v>
      </c>
      <c r="G2126" s="5" t="s">
        <v>270</v>
      </c>
      <c r="H2126" s="9">
        <v>44933.379525462966</v>
      </c>
      <c r="I2126" s="9">
        <v>44935.379525462966</v>
      </c>
      <c r="J2126" s="9" t="e">
        <f>I2126+#REF!</f>
        <v>#REF!</v>
      </c>
      <c r="K2126" s="9" t="e">
        <f>J2126+#REF!</f>
        <v>#REF!</v>
      </c>
      <c r="L2126" s="10" t="s">
        <v>52</v>
      </c>
      <c r="M2126" s="11"/>
      <c r="N2126" s="5"/>
      <c r="O2126" s="5"/>
      <c r="P2126" s="9"/>
      <c r="Q2126" s="5"/>
      <c r="R2126" s="5"/>
      <c r="S2126" s="5"/>
      <c r="T2126" s="9"/>
      <c r="U2126" s="5"/>
      <c r="V2126" s="5">
        <v>0</v>
      </c>
      <c r="W2126" s="5"/>
      <c r="X2126" s="5"/>
      <c r="Y2126" s="5"/>
      <c r="Z2126" s="5"/>
      <c r="AA2126" s="5"/>
      <c r="AC2126" t="str">
        <f t="shared" si="298"/>
        <v/>
      </c>
      <c r="AD2126" t="str">
        <f t="shared" si="299"/>
        <v/>
      </c>
      <c r="AE2126" t="str">
        <f t="shared" si="300"/>
        <v/>
      </c>
      <c r="AF2126" t="str">
        <f t="shared" si="301"/>
        <v/>
      </c>
      <c r="AG2126" t="str">
        <f t="shared" si="302"/>
        <v/>
      </c>
      <c r="AH2126">
        <f t="shared" si="303"/>
        <v>2</v>
      </c>
      <c r="AI2126" t="str">
        <f t="shared" si="304"/>
        <v/>
      </c>
      <c r="AJ2126" t="str">
        <f t="shared" si="305"/>
        <v/>
      </c>
    </row>
    <row r="2127" spans="1:36">
      <c r="A2127" s="5">
        <v>2615</v>
      </c>
      <c r="B2127" s="5" t="s">
        <v>2308</v>
      </c>
      <c r="C2127" s="5" t="s">
        <v>2229</v>
      </c>
      <c r="D2127" s="5" t="s">
        <v>2302</v>
      </c>
      <c r="E2127" s="5" t="s">
        <v>269</v>
      </c>
      <c r="F2127" s="5" t="str">
        <f t="shared" si="297"/>
        <v>Capacity Building-Manager</v>
      </c>
      <c r="G2127" s="5" t="s">
        <v>270</v>
      </c>
      <c r="H2127" s="9">
        <v>44931.379525462966</v>
      </c>
      <c r="I2127" s="9">
        <v>44933.379525462966</v>
      </c>
      <c r="J2127" s="9" t="e">
        <f>I2127+#REF!</f>
        <v>#REF!</v>
      </c>
      <c r="K2127" s="9" t="e">
        <f>J2127+#REF!</f>
        <v>#REF!</v>
      </c>
      <c r="L2127" s="10" t="s">
        <v>52</v>
      </c>
      <c r="M2127" s="11"/>
      <c r="N2127" s="5"/>
      <c r="O2127" s="5"/>
      <c r="P2127" s="9"/>
      <c r="Q2127" s="5"/>
      <c r="R2127" s="5"/>
      <c r="S2127" s="5"/>
      <c r="T2127" s="9"/>
      <c r="U2127" s="5"/>
      <c r="V2127" s="5">
        <v>0</v>
      </c>
      <c r="W2127" s="5"/>
      <c r="X2127" s="5"/>
      <c r="Y2127" s="5"/>
      <c r="Z2127" s="5"/>
      <c r="AA2127" s="5"/>
      <c r="AC2127" t="str">
        <f t="shared" si="298"/>
        <v/>
      </c>
      <c r="AD2127" t="str">
        <f t="shared" si="299"/>
        <v/>
      </c>
      <c r="AE2127" t="str">
        <f t="shared" si="300"/>
        <v/>
      </c>
      <c r="AF2127" t="str">
        <f t="shared" si="301"/>
        <v/>
      </c>
      <c r="AG2127" t="str">
        <f t="shared" si="302"/>
        <v/>
      </c>
      <c r="AH2127">
        <f t="shared" si="303"/>
        <v>2</v>
      </c>
      <c r="AI2127" t="str">
        <f t="shared" si="304"/>
        <v/>
      </c>
      <c r="AJ2127" t="str">
        <f t="shared" si="305"/>
        <v/>
      </c>
    </row>
    <row r="2128" spans="1:36">
      <c r="A2128" s="5">
        <v>2617</v>
      </c>
      <c r="B2128" s="5" t="s">
        <v>1375</v>
      </c>
      <c r="C2128" s="5" t="s">
        <v>1332</v>
      </c>
      <c r="D2128" s="5" t="s">
        <v>1359</v>
      </c>
      <c r="E2128" s="5" t="s">
        <v>1360</v>
      </c>
      <c r="F2128" s="5" t="str">
        <f t="shared" si="297"/>
        <v>Fundraising-Fund Administrator</v>
      </c>
      <c r="G2128" s="5" t="s">
        <v>147</v>
      </c>
      <c r="H2128" s="9">
        <v>44931.379525462966</v>
      </c>
      <c r="I2128" s="9">
        <v>44935.379525462966</v>
      </c>
      <c r="J2128" s="9" t="e">
        <f>I2128+#REF!</f>
        <v>#REF!</v>
      </c>
      <c r="K2128" s="9" t="e">
        <f>J2128+#REF!</f>
        <v>#REF!</v>
      </c>
      <c r="L2128" s="10" t="s">
        <v>41</v>
      </c>
      <c r="M2128" s="11">
        <v>44952.379525462966</v>
      </c>
      <c r="N2128" s="5" t="s">
        <v>48</v>
      </c>
      <c r="O2128" s="5"/>
      <c r="P2128" s="9">
        <v>44957.379525462966</v>
      </c>
      <c r="Q2128" s="5" t="s">
        <v>48</v>
      </c>
      <c r="R2128" s="5"/>
      <c r="S2128" s="5"/>
      <c r="T2128" s="9">
        <v>44956.379525462966</v>
      </c>
      <c r="U2128" s="5"/>
      <c r="V2128" s="5">
        <v>0</v>
      </c>
      <c r="W2128" s="5"/>
      <c r="X2128" s="5"/>
      <c r="Y2128" s="5"/>
      <c r="Z2128" s="5"/>
      <c r="AA2128" s="5"/>
      <c r="AC2128">
        <f t="shared" si="298"/>
        <v>17</v>
      </c>
      <c r="AD2128" t="str">
        <f t="shared" si="299"/>
        <v/>
      </c>
      <c r="AE2128">
        <f t="shared" si="300"/>
        <v>4</v>
      </c>
      <c r="AF2128" t="str">
        <f t="shared" si="301"/>
        <v/>
      </c>
      <c r="AG2128" t="str">
        <f t="shared" si="302"/>
        <v/>
      </c>
      <c r="AH2128">
        <f t="shared" si="303"/>
        <v>4</v>
      </c>
      <c r="AI2128" t="str">
        <f t="shared" si="304"/>
        <v/>
      </c>
      <c r="AJ2128" t="str">
        <f t="shared" si="305"/>
        <v/>
      </c>
    </row>
    <row r="2129" spans="1:36">
      <c r="A2129" s="5">
        <v>2618</v>
      </c>
      <c r="B2129" s="5" t="s">
        <v>1374</v>
      </c>
      <c r="C2129" s="5" t="s">
        <v>1332</v>
      </c>
      <c r="D2129" s="5" t="s">
        <v>1359</v>
      </c>
      <c r="E2129" s="5" t="s">
        <v>1360</v>
      </c>
      <c r="F2129" s="5" t="str">
        <f t="shared" si="297"/>
        <v>Fundraising-Fund Administrator</v>
      </c>
      <c r="G2129" s="5" t="s">
        <v>147</v>
      </c>
      <c r="H2129" s="9">
        <v>44930.379525462966</v>
      </c>
      <c r="I2129" s="9">
        <v>44932.379525462966</v>
      </c>
      <c r="J2129" s="9" t="e">
        <f>I2129+#REF!</f>
        <v>#REF!</v>
      </c>
      <c r="K2129" s="9" t="e">
        <f>J2129+#REF!</f>
        <v>#REF!</v>
      </c>
      <c r="L2129" s="10" t="s">
        <v>41</v>
      </c>
      <c r="M2129" s="11">
        <v>44942.379525462966</v>
      </c>
      <c r="N2129" s="5" t="s">
        <v>48</v>
      </c>
      <c r="O2129" s="5"/>
      <c r="P2129" s="9">
        <v>44948.379525462966</v>
      </c>
      <c r="Q2129" s="5" t="s">
        <v>48</v>
      </c>
      <c r="R2129" s="5"/>
      <c r="S2129" s="5"/>
      <c r="T2129" s="9">
        <v>44946.379525462966</v>
      </c>
      <c r="U2129" s="5"/>
      <c r="V2129" s="5">
        <v>0</v>
      </c>
      <c r="W2129" s="5"/>
      <c r="X2129" s="5"/>
      <c r="Y2129" s="5"/>
      <c r="Z2129" s="5"/>
      <c r="AA2129" s="5"/>
      <c r="AC2129">
        <f t="shared" si="298"/>
        <v>10</v>
      </c>
      <c r="AD2129" t="str">
        <f t="shared" si="299"/>
        <v/>
      </c>
      <c r="AE2129">
        <f t="shared" si="300"/>
        <v>4</v>
      </c>
      <c r="AF2129" t="str">
        <f t="shared" si="301"/>
        <v/>
      </c>
      <c r="AG2129" t="str">
        <f t="shared" si="302"/>
        <v/>
      </c>
      <c r="AH2129">
        <f t="shared" si="303"/>
        <v>2</v>
      </c>
      <c r="AI2129" t="str">
        <f t="shared" si="304"/>
        <v/>
      </c>
      <c r="AJ2129" t="str">
        <f t="shared" si="305"/>
        <v/>
      </c>
    </row>
    <row r="2130" spans="1:36">
      <c r="A2130" s="5">
        <v>2619</v>
      </c>
      <c r="B2130" s="5" t="s">
        <v>1419</v>
      </c>
      <c r="C2130" s="5" t="s">
        <v>1332</v>
      </c>
      <c r="D2130" s="5" t="s">
        <v>1413</v>
      </c>
      <c r="E2130" s="5" t="s">
        <v>269</v>
      </c>
      <c r="F2130" s="5" t="str">
        <f t="shared" si="297"/>
        <v>Fundraising-Manager</v>
      </c>
      <c r="G2130" s="5" t="s">
        <v>270</v>
      </c>
      <c r="H2130" s="9">
        <v>44930.379525462966</v>
      </c>
      <c r="I2130" s="9">
        <v>44932.379525462966</v>
      </c>
      <c r="J2130" s="9" t="e">
        <f>I2130+#REF!</f>
        <v>#REF!</v>
      </c>
      <c r="K2130" s="9" t="e">
        <f>J2130+#REF!</f>
        <v>#REF!</v>
      </c>
      <c r="L2130" s="10" t="s">
        <v>41</v>
      </c>
      <c r="M2130" s="11">
        <v>44941.379525462966</v>
      </c>
      <c r="N2130" s="5" t="s">
        <v>42</v>
      </c>
      <c r="O2130" s="5" t="s">
        <v>73</v>
      </c>
      <c r="P2130" s="9"/>
      <c r="Q2130" s="5"/>
      <c r="R2130" s="5"/>
      <c r="S2130" s="5"/>
      <c r="T2130" s="9">
        <v>44944.379525462966</v>
      </c>
      <c r="U2130" s="5"/>
      <c r="V2130" s="5">
        <v>0</v>
      </c>
      <c r="W2130" s="5"/>
      <c r="X2130" s="5"/>
      <c r="Y2130" s="5"/>
      <c r="Z2130" s="5"/>
      <c r="AA2130" s="5" t="s">
        <v>44</v>
      </c>
      <c r="AC2130">
        <f t="shared" si="298"/>
        <v>9</v>
      </c>
      <c r="AD2130" t="str">
        <f t="shared" si="299"/>
        <v/>
      </c>
      <c r="AE2130">
        <f t="shared" si="300"/>
        <v>3</v>
      </c>
      <c r="AF2130" t="str">
        <f t="shared" si="301"/>
        <v/>
      </c>
      <c r="AG2130" t="str">
        <f t="shared" si="302"/>
        <v/>
      </c>
      <c r="AH2130">
        <f t="shared" si="303"/>
        <v>2</v>
      </c>
      <c r="AI2130" t="str">
        <f t="shared" si="304"/>
        <v/>
      </c>
      <c r="AJ2130" t="str">
        <f t="shared" si="305"/>
        <v/>
      </c>
    </row>
    <row r="2131" spans="1:36">
      <c r="A2131" s="5">
        <v>2620</v>
      </c>
      <c r="B2131" s="5" t="s">
        <v>1469</v>
      </c>
      <c r="C2131" s="5" t="s">
        <v>1332</v>
      </c>
      <c r="D2131" s="5" t="s">
        <v>1448</v>
      </c>
      <c r="E2131" s="5" t="s">
        <v>597</v>
      </c>
      <c r="F2131" s="5" t="str">
        <f t="shared" si="297"/>
        <v>Fundraising-Business Partner</v>
      </c>
      <c r="G2131" s="5" t="s">
        <v>40</v>
      </c>
      <c r="H2131" s="9">
        <v>44928.379525462966</v>
      </c>
      <c r="I2131" s="9">
        <v>44931.379525462966</v>
      </c>
      <c r="J2131" s="9" t="e">
        <f>I2131+#REF!</f>
        <v>#REF!</v>
      </c>
      <c r="K2131" s="9" t="e">
        <f>J2131+#REF!</f>
        <v>#REF!</v>
      </c>
      <c r="L2131" s="10" t="s">
        <v>41</v>
      </c>
      <c r="M2131" s="11">
        <v>44946.379525462966</v>
      </c>
      <c r="N2131" s="5" t="s">
        <v>42</v>
      </c>
      <c r="O2131" s="5" t="s">
        <v>73</v>
      </c>
      <c r="P2131" s="9"/>
      <c r="Q2131" s="5"/>
      <c r="R2131" s="5"/>
      <c r="S2131" s="5"/>
      <c r="T2131" s="9">
        <v>44950.379525462966</v>
      </c>
      <c r="U2131" s="5"/>
      <c r="V2131" s="5">
        <v>0</v>
      </c>
      <c r="W2131" s="5"/>
      <c r="X2131" s="5"/>
      <c r="Y2131" s="5"/>
      <c r="Z2131" s="5"/>
      <c r="AA2131" s="5" t="s">
        <v>44</v>
      </c>
      <c r="AC2131">
        <f t="shared" si="298"/>
        <v>15</v>
      </c>
      <c r="AD2131" t="str">
        <f t="shared" si="299"/>
        <v/>
      </c>
      <c r="AE2131">
        <f t="shared" si="300"/>
        <v>4</v>
      </c>
      <c r="AF2131" t="str">
        <f t="shared" si="301"/>
        <v/>
      </c>
      <c r="AG2131" t="str">
        <f t="shared" si="302"/>
        <v/>
      </c>
      <c r="AH2131">
        <f t="shared" si="303"/>
        <v>3</v>
      </c>
      <c r="AI2131" t="str">
        <f t="shared" si="304"/>
        <v/>
      </c>
      <c r="AJ2131" t="str">
        <f t="shared" si="305"/>
        <v/>
      </c>
    </row>
    <row r="2132" spans="1:36">
      <c r="A2132" s="5">
        <v>2621</v>
      </c>
      <c r="B2132" s="5" t="s">
        <v>1509</v>
      </c>
      <c r="C2132" s="5" t="s">
        <v>1332</v>
      </c>
      <c r="D2132" s="5" t="s">
        <v>1500</v>
      </c>
      <c r="E2132" s="5" t="s">
        <v>39</v>
      </c>
      <c r="F2132" s="5" t="str">
        <f t="shared" si="297"/>
        <v>Fundraising-Analyst</v>
      </c>
      <c r="G2132" s="5" t="s">
        <v>47</v>
      </c>
      <c r="H2132" s="9">
        <v>45100.668356481481</v>
      </c>
      <c r="I2132" s="9">
        <v>45101.668356481481</v>
      </c>
      <c r="J2132" s="9" t="e">
        <f>I2132+#REF!</f>
        <v>#REF!</v>
      </c>
      <c r="K2132" s="9" t="e">
        <f>J2132+#REF!</f>
        <v>#REF!</v>
      </c>
      <c r="L2132" s="10" t="s">
        <v>41</v>
      </c>
      <c r="M2132" s="11">
        <v>45118.668356481481</v>
      </c>
      <c r="N2132" s="5" t="s">
        <v>42</v>
      </c>
      <c r="O2132" s="5" t="s">
        <v>43</v>
      </c>
      <c r="P2132" s="9"/>
      <c r="Q2132" s="5"/>
      <c r="R2132" s="5"/>
      <c r="S2132" s="5"/>
      <c r="T2132" s="9">
        <v>45119.668356481481</v>
      </c>
      <c r="U2132" s="5"/>
      <c r="V2132" s="5">
        <v>0</v>
      </c>
      <c r="W2132" s="5"/>
      <c r="X2132" s="5"/>
      <c r="Y2132" s="5"/>
      <c r="Z2132" s="5"/>
      <c r="AA2132" s="5" t="s">
        <v>62</v>
      </c>
      <c r="AC2132">
        <f t="shared" si="298"/>
        <v>17</v>
      </c>
      <c r="AD2132" t="str">
        <f t="shared" si="299"/>
        <v/>
      </c>
      <c r="AE2132">
        <f t="shared" si="300"/>
        <v>1</v>
      </c>
      <c r="AF2132" t="str">
        <f t="shared" si="301"/>
        <v/>
      </c>
      <c r="AG2132" t="str">
        <f t="shared" si="302"/>
        <v/>
      </c>
      <c r="AH2132">
        <f t="shared" si="303"/>
        <v>1</v>
      </c>
      <c r="AI2132" t="str">
        <f t="shared" si="304"/>
        <v/>
      </c>
      <c r="AJ2132" t="str">
        <f t="shared" si="305"/>
        <v/>
      </c>
    </row>
    <row r="2133" spans="1:36">
      <c r="A2133" s="5">
        <v>2622</v>
      </c>
      <c r="B2133" s="5" t="s">
        <v>1418</v>
      </c>
      <c r="C2133" s="5" t="s">
        <v>1332</v>
      </c>
      <c r="D2133" s="5" t="s">
        <v>1413</v>
      </c>
      <c r="E2133" s="5" t="s">
        <v>269</v>
      </c>
      <c r="F2133" s="5" t="str">
        <f t="shared" si="297"/>
        <v>Fundraising-Manager</v>
      </c>
      <c r="G2133" s="5" t="s">
        <v>270</v>
      </c>
      <c r="H2133" s="9">
        <v>45096.668356481481</v>
      </c>
      <c r="I2133" s="9">
        <v>45099.668356481481</v>
      </c>
      <c r="J2133" s="9" t="e">
        <f>I2133+#REF!</f>
        <v>#REF!</v>
      </c>
      <c r="K2133" s="9" t="e">
        <f>J2133+#REF!</f>
        <v>#REF!</v>
      </c>
      <c r="L2133" s="10" t="s">
        <v>41</v>
      </c>
      <c r="M2133" s="11">
        <v>45110.668356481481</v>
      </c>
      <c r="N2133" s="5" t="s">
        <v>42</v>
      </c>
      <c r="O2133" s="5" t="s">
        <v>58</v>
      </c>
      <c r="P2133" s="9"/>
      <c r="Q2133" s="5"/>
      <c r="R2133" s="5"/>
      <c r="S2133" s="5"/>
      <c r="T2133" s="9">
        <v>45113.668356481481</v>
      </c>
      <c r="U2133" s="5"/>
      <c r="V2133" s="5">
        <v>0</v>
      </c>
      <c r="W2133" s="5"/>
      <c r="X2133" s="5"/>
      <c r="Y2133" s="5"/>
      <c r="Z2133" s="5"/>
      <c r="AA2133" s="5" t="s">
        <v>62</v>
      </c>
      <c r="AC2133">
        <f t="shared" si="298"/>
        <v>11</v>
      </c>
      <c r="AD2133" t="str">
        <f t="shared" si="299"/>
        <v/>
      </c>
      <c r="AE2133">
        <f t="shared" si="300"/>
        <v>3</v>
      </c>
      <c r="AF2133" t="str">
        <f t="shared" si="301"/>
        <v/>
      </c>
      <c r="AG2133" t="str">
        <f t="shared" si="302"/>
        <v/>
      </c>
      <c r="AH2133">
        <f t="shared" si="303"/>
        <v>3</v>
      </c>
      <c r="AI2133" t="str">
        <f t="shared" si="304"/>
        <v/>
      </c>
      <c r="AJ2133" t="str">
        <f t="shared" si="305"/>
        <v/>
      </c>
    </row>
    <row r="2134" spans="1:36">
      <c r="A2134" s="5">
        <v>2624</v>
      </c>
      <c r="B2134" s="5" t="s">
        <v>1373</v>
      </c>
      <c r="C2134" s="5" t="s">
        <v>1332</v>
      </c>
      <c r="D2134" s="5" t="s">
        <v>1359</v>
      </c>
      <c r="E2134" s="5" t="s">
        <v>1360</v>
      </c>
      <c r="F2134" s="5" t="str">
        <f t="shared" si="297"/>
        <v>Fundraising-Fund Administrator</v>
      </c>
      <c r="G2134" s="5" t="s">
        <v>147</v>
      </c>
      <c r="H2134" s="9">
        <v>45097.668356481481</v>
      </c>
      <c r="I2134" s="9">
        <v>45101.668356481481</v>
      </c>
      <c r="J2134" s="9" t="e">
        <f>I2134+#REF!</f>
        <v>#REF!</v>
      </c>
      <c r="K2134" s="9" t="e">
        <f>J2134+#REF!</f>
        <v>#REF!</v>
      </c>
      <c r="L2134" s="10" t="s">
        <v>41</v>
      </c>
      <c r="M2134" s="11">
        <v>45106.668356481481</v>
      </c>
      <c r="N2134" s="5" t="s">
        <v>42</v>
      </c>
      <c r="O2134" s="5" t="s">
        <v>113</v>
      </c>
      <c r="P2134" s="9"/>
      <c r="Q2134" s="5"/>
      <c r="R2134" s="5"/>
      <c r="S2134" s="5"/>
      <c r="T2134" s="9">
        <v>45109.668356481481</v>
      </c>
      <c r="U2134" s="5"/>
      <c r="V2134" s="5">
        <v>0</v>
      </c>
      <c r="W2134" s="5"/>
      <c r="X2134" s="5"/>
      <c r="Y2134" s="5"/>
      <c r="Z2134" s="5"/>
      <c r="AA2134" s="5" t="s">
        <v>62</v>
      </c>
      <c r="AC2134">
        <f t="shared" si="298"/>
        <v>5</v>
      </c>
      <c r="AD2134" t="str">
        <f t="shared" si="299"/>
        <v/>
      </c>
      <c r="AE2134">
        <f t="shared" si="300"/>
        <v>3</v>
      </c>
      <c r="AF2134" t="str">
        <f t="shared" si="301"/>
        <v/>
      </c>
      <c r="AG2134" t="str">
        <f t="shared" si="302"/>
        <v/>
      </c>
      <c r="AH2134">
        <f t="shared" si="303"/>
        <v>4</v>
      </c>
      <c r="AI2134" t="str">
        <f t="shared" si="304"/>
        <v/>
      </c>
      <c r="AJ2134" t="str">
        <f t="shared" si="305"/>
        <v/>
      </c>
    </row>
    <row r="2135" spans="1:36">
      <c r="A2135" s="5">
        <v>2626</v>
      </c>
      <c r="B2135" s="5" t="s">
        <v>1468</v>
      </c>
      <c r="C2135" s="5" t="s">
        <v>1332</v>
      </c>
      <c r="D2135" s="5" t="s">
        <v>1448</v>
      </c>
      <c r="E2135" s="5" t="s">
        <v>597</v>
      </c>
      <c r="F2135" s="5" t="str">
        <f t="shared" si="297"/>
        <v>Fundraising-Business Partner</v>
      </c>
      <c r="G2135" s="5" t="s">
        <v>40</v>
      </c>
      <c r="H2135" s="9">
        <v>45096.668356481481</v>
      </c>
      <c r="I2135" s="9">
        <v>45099.668356481481</v>
      </c>
      <c r="J2135" s="9" t="e">
        <f>I2135+#REF!</f>
        <v>#REF!</v>
      </c>
      <c r="K2135" s="9" t="e">
        <f>J2135+#REF!</f>
        <v>#REF!</v>
      </c>
      <c r="L2135" s="10" t="s">
        <v>41</v>
      </c>
      <c r="M2135" s="11">
        <v>45105.668356481481</v>
      </c>
      <c r="N2135" s="5" t="s">
        <v>42</v>
      </c>
      <c r="O2135" s="5" t="s">
        <v>43</v>
      </c>
      <c r="P2135" s="9"/>
      <c r="Q2135" s="5"/>
      <c r="R2135" s="5"/>
      <c r="S2135" s="5"/>
      <c r="T2135" s="9">
        <v>45108.668356481481</v>
      </c>
      <c r="U2135" s="5"/>
      <c r="V2135" s="5">
        <v>0</v>
      </c>
      <c r="W2135" s="5"/>
      <c r="X2135" s="5"/>
      <c r="Y2135" s="5"/>
      <c r="Z2135" s="5"/>
      <c r="AA2135" s="5" t="s">
        <v>44</v>
      </c>
      <c r="AC2135">
        <f t="shared" si="298"/>
        <v>6</v>
      </c>
      <c r="AD2135" t="str">
        <f t="shared" si="299"/>
        <v/>
      </c>
      <c r="AE2135">
        <f t="shared" si="300"/>
        <v>3</v>
      </c>
      <c r="AF2135" t="str">
        <f t="shared" si="301"/>
        <v/>
      </c>
      <c r="AG2135" t="str">
        <f t="shared" si="302"/>
        <v/>
      </c>
      <c r="AH2135">
        <f t="shared" si="303"/>
        <v>3</v>
      </c>
      <c r="AI2135" t="str">
        <f t="shared" si="304"/>
        <v/>
      </c>
      <c r="AJ2135" t="str">
        <f t="shared" si="305"/>
        <v/>
      </c>
    </row>
    <row r="2136" spans="1:36">
      <c r="A2136" s="5">
        <v>2627</v>
      </c>
      <c r="B2136" s="5" t="s">
        <v>2360</v>
      </c>
      <c r="C2136" s="5" t="s">
        <v>2229</v>
      </c>
      <c r="D2136" s="5" t="s">
        <v>2350</v>
      </c>
      <c r="E2136" s="5" t="s">
        <v>2351</v>
      </c>
      <c r="F2136" s="5" t="str">
        <f t="shared" si="297"/>
        <v>Capacity Building-Training Associate</v>
      </c>
      <c r="G2136" s="5" t="s">
        <v>40</v>
      </c>
      <c r="H2136" s="9">
        <v>45098.668356481481</v>
      </c>
      <c r="I2136" s="9">
        <v>45099.668356481481</v>
      </c>
      <c r="J2136" s="9" t="e">
        <f>I2136+#REF!</f>
        <v>#REF!</v>
      </c>
      <c r="K2136" s="9" t="e">
        <f>J2136+#REF!</f>
        <v>#REF!</v>
      </c>
      <c r="L2136" s="10" t="s">
        <v>52</v>
      </c>
      <c r="M2136" s="11"/>
      <c r="N2136" s="5"/>
      <c r="O2136" s="5"/>
      <c r="P2136" s="9"/>
      <c r="Q2136" s="5"/>
      <c r="R2136" s="5"/>
      <c r="S2136" s="5"/>
      <c r="T2136" s="9"/>
      <c r="U2136" s="5"/>
      <c r="V2136" s="5">
        <v>0</v>
      </c>
      <c r="W2136" s="5"/>
      <c r="X2136" s="5"/>
      <c r="Y2136" s="5"/>
      <c r="Z2136" s="5"/>
      <c r="AA2136" s="5"/>
      <c r="AC2136" t="str">
        <f t="shared" si="298"/>
        <v/>
      </c>
      <c r="AD2136" t="str">
        <f t="shared" si="299"/>
        <v/>
      </c>
      <c r="AE2136" t="str">
        <f t="shared" si="300"/>
        <v/>
      </c>
      <c r="AF2136" t="str">
        <f t="shared" si="301"/>
        <v/>
      </c>
      <c r="AG2136" t="str">
        <f t="shared" si="302"/>
        <v/>
      </c>
      <c r="AH2136">
        <f t="shared" si="303"/>
        <v>1</v>
      </c>
      <c r="AI2136" t="str">
        <f t="shared" si="304"/>
        <v/>
      </c>
      <c r="AJ2136" t="str">
        <f t="shared" si="305"/>
        <v/>
      </c>
    </row>
    <row r="2137" spans="1:36">
      <c r="A2137" s="5">
        <v>2628</v>
      </c>
      <c r="B2137" s="5" t="s">
        <v>2450</v>
      </c>
      <c r="C2137" s="5" t="s">
        <v>2229</v>
      </c>
      <c r="D2137" s="5" t="s">
        <v>2445</v>
      </c>
      <c r="E2137" s="5" t="s">
        <v>55</v>
      </c>
      <c r="F2137" s="5" t="str">
        <f t="shared" si="297"/>
        <v>Capacity Building-Director</v>
      </c>
      <c r="G2137" s="5" t="s">
        <v>47</v>
      </c>
      <c r="H2137" s="9">
        <v>45099.668356481481</v>
      </c>
      <c r="I2137" s="9">
        <v>45100.668356481481</v>
      </c>
      <c r="J2137" s="9" t="e">
        <f>I2137+#REF!</f>
        <v>#REF!</v>
      </c>
      <c r="K2137" s="9" t="e">
        <f>J2137+#REF!</f>
        <v>#REF!</v>
      </c>
      <c r="L2137" s="10" t="s">
        <v>41</v>
      </c>
      <c r="M2137" s="11">
        <v>45111.668356481481</v>
      </c>
      <c r="N2137" s="5" t="s">
        <v>64</v>
      </c>
      <c r="O2137" s="5"/>
      <c r="P2137" s="9">
        <v>45114.668356481481</v>
      </c>
      <c r="Q2137" s="5" t="s">
        <v>64</v>
      </c>
      <c r="R2137" s="9">
        <v>45113.668356481481</v>
      </c>
      <c r="S2137" s="9">
        <v>45115.668356481481</v>
      </c>
      <c r="T2137" s="9">
        <v>45113.668356481481</v>
      </c>
      <c r="U2137" s="9">
        <v>45116.668356481481</v>
      </c>
      <c r="V2137" s="12">
        <v>1</v>
      </c>
      <c r="W2137" s="9">
        <v>45119.668356481481</v>
      </c>
      <c r="X2137" s="9">
        <v>45120.668356481481</v>
      </c>
      <c r="Y2137" s="9">
        <v>45121.668356481481</v>
      </c>
      <c r="Z2137" s="5"/>
      <c r="AA2137" s="5"/>
      <c r="AB2137" s="13">
        <v>45130.668356481481</v>
      </c>
      <c r="AC2137">
        <f t="shared" si="298"/>
        <v>11</v>
      </c>
      <c r="AD2137">
        <f t="shared" si="299"/>
        <v>15</v>
      </c>
      <c r="AE2137">
        <f t="shared" si="300"/>
        <v>2</v>
      </c>
      <c r="AF2137">
        <f t="shared" si="301"/>
        <v>4</v>
      </c>
      <c r="AG2137">
        <f t="shared" si="302"/>
        <v>3</v>
      </c>
      <c r="AH2137">
        <f t="shared" si="303"/>
        <v>1</v>
      </c>
      <c r="AI2137" t="str">
        <f t="shared" si="304"/>
        <v/>
      </c>
      <c r="AJ2137" t="str">
        <f t="shared" si="305"/>
        <v/>
      </c>
    </row>
    <row r="2138" spans="1:36">
      <c r="A2138" s="5">
        <v>2629</v>
      </c>
      <c r="B2138" s="5" t="s">
        <v>1338</v>
      </c>
      <c r="C2138" s="5" t="s">
        <v>1332</v>
      </c>
      <c r="D2138" s="5" t="s">
        <v>1333</v>
      </c>
      <c r="E2138" s="5" t="s">
        <v>102</v>
      </c>
      <c r="F2138" s="5" t="str">
        <f t="shared" si="297"/>
        <v>Fundraising-Senior Manager</v>
      </c>
      <c r="G2138" s="5" t="s">
        <v>103</v>
      </c>
      <c r="H2138" s="9">
        <v>45097.668356481481</v>
      </c>
      <c r="I2138" s="9">
        <v>45100.668356481481</v>
      </c>
      <c r="J2138" s="9" t="e">
        <f>I2138+#REF!</f>
        <v>#REF!</v>
      </c>
      <c r="K2138" s="9" t="e">
        <f>J2138+#REF!</f>
        <v>#REF!</v>
      </c>
      <c r="L2138" s="10" t="s">
        <v>41</v>
      </c>
      <c r="M2138" s="11">
        <v>45119.668356481481</v>
      </c>
      <c r="N2138" s="5" t="s">
        <v>42</v>
      </c>
      <c r="O2138" s="5" t="s">
        <v>43</v>
      </c>
      <c r="P2138" s="9"/>
      <c r="Q2138" s="5"/>
      <c r="R2138" s="5"/>
      <c r="S2138" s="5"/>
      <c r="T2138" s="9">
        <v>45121.668356481481</v>
      </c>
      <c r="U2138" s="5"/>
      <c r="V2138" s="5">
        <v>0</v>
      </c>
      <c r="W2138" s="5"/>
      <c r="X2138" s="5"/>
      <c r="Y2138" s="5"/>
      <c r="Z2138" s="5"/>
      <c r="AA2138" s="5" t="s">
        <v>44</v>
      </c>
      <c r="AC2138">
        <f t="shared" si="298"/>
        <v>19</v>
      </c>
      <c r="AD2138" t="str">
        <f t="shared" si="299"/>
        <v/>
      </c>
      <c r="AE2138">
        <f t="shared" si="300"/>
        <v>2</v>
      </c>
      <c r="AF2138" t="str">
        <f t="shared" si="301"/>
        <v/>
      </c>
      <c r="AG2138" t="str">
        <f t="shared" si="302"/>
        <v/>
      </c>
      <c r="AH2138">
        <f t="shared" si="303"/>
        <v>3</v>
      </c>
      <c r="AI2138" t="str">
        <f t="shared" si="304"/>
        <v/>
      </c>
      <c r="AJ2138" t="str">
        <f t="shared" si="305"/>
        <v/>
      </c>
    </row>
    <row r="2139" spans="1:36">
      <c r="A2139" s="5">
        <v>2631</v>
      </c>
      <c r="B2139" s="5" t="s">
        <v>1467</v>
      </c>
      <c r="C2139" s="5" t="s">
        <v>1332</v>
      </c>
      <c r="D2139" s="5" t="s">
        <v>1448</v>
      </c>
      <c r="E2139" s="5" t="s">
        <v>597</v>
      </c>
      <c r="F2139" s="5" t="str">
        <f t="shared" si="297"/>
        <v>Fundraising-Business Partner</v>
      </c>
      <c r="G2139" s="5" t="s">
        <v>40</v>
      </c>
      <c r="H2139" s="9">
        <v>44581.196851851855</v>
      </c>
      <c r="I2139" s="9">
        <v>44585.196851851855</v>
      </c>
      <c r="J2139" s="9" t="e">
        <f>I2139+#REF!</f>
        <v>#REF!</v>
      </c>
      <c r="K2139" s="9" t="e">
        <f>J2139+#REF!</f>
        <v>#REF!</v>
      </c>
      <c r="L2139" s="10" t="s">
        <v>41</v>
      </c>
      <c r="M2139" s="11">
        <v>44599.196851851855</v>
      </c>
      <c r="N2139" s="5" t="s">
        <v>42</v>
      </c>
      <c r="O2139" s="5" t="s">
        <v>43</v>
      </c>
      <c r="P2139" s="9"/>
      <c r="Q2139" s="5"/>
      <c r="R2139" s="5"/>
      <c r="S2139" s="5"/>
      <c r="T2139" s="9">
        <v>44602.196851851855</v>
      </c>
      <c r="U2139" s="5"/>
      <c r="V2139" s="5">
        <v>0</v>
      </c>
      <c r="W2139" s="5"/>
      <c r="X2139" s="5"/>
      <c r="Y2139" s="5"/>
      <c r="Z2139" s="5"/>
      <c r="AA2139" s="5" t="s">
        <v>44</v>
      </c>
      <c r="AC2139">
        <f t="shared" si="298"/>
        <v>14</v>
      </c>
      <c r="AD2139" t="str">
        <f t="shared" si="299"/>
        <v/>
      </c>
      <c r="AE2139">
        <f t="shared" si="300"/>
        <v>3</v>
      </c>
      <c r="AF2139" t="str">
        <f t="shared" si="301"/>
        <v/>
      </c>
      <c r="AG2139" t="str">
        <f t="shared" si="302"/>
        <v/>
      </c>
      <c r="AH2139">
        <f t="shared" si="303"/>
        <v>4</v>
      </c>
      <c r="AI2139" t="str">
        <f t="shared" si="304"/>
        <v/>
      </c>
      <c r="AJ2139" t="str">
        <f t="shared" si="305"/>
        <v/>
      </c>
    </row>
    <row r="2140" spans="1:36">
      <c r="A2140" s="5">
        <v>2632</v>
      </c>
      <c r="B2140" s="5" t="s">
        <v>1466</v>
      </c>
      <c r="C2140" s="5" t="s">
        <v>1332</v>
      </c>
      <c r="D2140" s="5" t="s">
        <v>1448</v>
      </c>
      <c r="E2140" s="5" t="s">
        <v>597</v>
      </c>
      <c r="F2140" s="5" t="str">
        <f t="shared" si="297"/>
        <v>Fundraising-Business Partner</v>
      </c>
      <c r="G2140" s="5" t="s">
        <v>40</v>
      </c>
      <c r="H2140" s="9">
        <v>44585.196851851855</v>
      </c>
      <c r="I2140" s="9">
        <v>44587.196851851855</v>
      </c>
      <c r="J2140" s="9" t="e">
        <f>I2140+#REF!</f>
        <v>#REF!</v>
      </c>
      <c r="K2140" s="9" t="e">
        <f>J2140+#REF!</f>
        <v>#REF!</v>
      </c>
      <c r="L2140" s="10" t="s">
        <v>41</v>
      </c>
      <c r="M2140" s="11">
        <v>44603.196851851855</v>
      </c>
      <c r="N2140" s="5" t="s">
        <v>48</v>
      </c>
      <c r="O2140" s="5"/>
      <c r="P2140" s="9">
        <v>44610.196851851855</v>
      </c>
      <c r="Q2140" s="5" t="s">
        <v>48</v>
      </c>
      <c r="R2140" s="5"/>
      <c r="S2140" s="5"/>
      <c r="T2140" s="9">
        <v>44607.196851851855</v>
      </c>
      <c r="U2140" s="5"/>
      <c r="V2140" s="5">
        <v>0</v>
      </c>
      <c r="W2140" s="5"/>
      <c r="X2140" s="5"/>
      <c r="Y2140" s="5"/>
      <c r="Z2140" s="5"/>
      <c r="AA2140" s="5"/>
      <c r="AC2140">
        <f t="shared" si="298"/>
        <v>16</v>
      </c>
      <c r="AD2140" t="str">
        <f t="shared" si="299"/>
        <v/>
      </c>
      <c r="AE2140">
        <f t="shared" si="300"/>
        <v>4</v>
      </c>
      <c r="AF2140" t="str">
        <f t="shared" si="301"/>
        <v/>
      </c>
      <c r="AG2140" t="str">
        <f t="shared" si="302"/>
        <v/>
      </c>
      <c r="AH2140">
        <f t="shared" si="303"/>
        <v>2</v>
      </c>
      <c r="AI2140" t="str">
        <f t="shared" si="304"/>
        <v/>
      </c>
      <c r="AJ2140" t="str">
        <f t="shared" si="305"/>
        <v/>
      </c>
    </row>
    <row r="2141" spans="1:36">
      <c r="A2141" s="5">
        <v>2633</v>
      </c>
      <c r="B2141" s="5" t="s">
        <v>2405</v>
      </c>
      <c r="C2141" s="5" t="s">
        <v>2229</v>
      </c>
      <c r="D2141" s="5" t="s">
        <v>2403</v>
      </c>
      <c r="E2141" s="5" t="s">
        <v>1039</v>
      </c>
      <c r="F2141" s="5" t="str">
        <f t="shared" si="297"/>
        <v>Capacity Building-Associate Director</v>
      </c>
      <c r="G2141" s="5" t="s">
        <v>56</v>
      </c>
      <c r="H2141" s="9">
        <v>44581.196851851855</v>
      </c>
      <c r="I2141" s="9">
        <v>44584.196851851855</v>
      </c>
      <c r="J2141" s="9" t="e">
        <f>I2141+#REF!</f>
        <v>#REF!</v>
      </c>
      <c r="K2141" s="9" t="e">
        <f>J2141+#REF!</f>
        <v>#REF!</v>
      </c>
      <c r="L2141" s="10" t="s">
        <v>52</v>
      </c>
      <c r="M2141" s="11"/>
      <c r="N2141" s="5"/>
      <c r="O2141" s="5"/>
      <c r="P2141" s="9"/>
      <c r="Q2141" s="5"/>
      <c r="R2141" s="5"/>
      <c r="S2141" s="5"/>
      <c r="T2141" s="9"/>
      <c r="U2141" s="5"/>
      <c r="V2141" s="5">
        <v>0</v>
      </c>
      <c r="W2141" s="5"/>
      <c r="X2141" s="5"/>
      <c r="Y2141" s="5"/>
      <c r="Z2141" s="5"/>
      <c r="AA2141" s="5"/>
      <c r="AC2141" t="str">
        <f t="shared" si="298"/>
        <v/>
      </c>
      <c r="AD2141" t="str">
        <f t="shared" si="299"/>
        <v/>
      </c>
      <c r="AE2141" t="str">
        <f t="shared" si="300"/>
        <v/>
      </c>
      <c r="AF2141" t="str">
        <f t="shared" si="301"/>
        <v/>
      </c>
      <c r="AG2141" t="str">
        <f t="shared" si="302"/>
        <v/>
      </c>
      <c r="AH2141">
        <f t="shared" si="303"/>
        <v>3</v>
      </c>
      <c r="AI2141" t="str">
        <f t="shared" si="304"/>
        <v/>
      </c>
      <c r="AJ2141" t="str">
        <f t="shared" si="305"/>
        <v/>
      </c>
    </row>
    <row r="2142" spans="1:36">
      <c r="A2142" s="5">
        <v>2634</v>
      </c>
      <c r="B2142" s="5" t="s">
        <v>1465</v>
      </c>
      <c r="C2142" s="5" t="s">
        <v>1332</v>
      </c>
      <c r="D2142" s="5" t="s">
        <v>1448</v>
      </c>
      <c r="E2142" s="5" t="s">
        <v>597</v>
      </c>
      <c r="F2142" s="5" t="str">
        <f t="shared" si="297"/>
        <v>Fundraising-Business Partner</v>
      </c>
      <c r="G2142" s="5" t="s">
        <v>40</v>
      </c>
      <c r="H2142" s="9">
        <v>44579.196851851855</v>
      </c>
      <c r="I2142" s="9">
        <v>44582.196851851855</v>
      </c>
      <c r="J2142" s="9" t="e">
        <f>I2142+#REF!</f>
        <v>#REF!</v>
      </c>
      <c r="K2142" s="9" t="e">
        <f>J2142+#REF!</f>
        <v>#REF!</v>
      </c>
      <c r="L2142" s="10" t="s">
        <v>41</v>
      </c>
      <c r="M2142" s="11">
        <v>44595.196851851855</v>
      </c>
      <c r="N2142" s="5" t="s">
        <v>42</v>
      </c>
      <c r="O2142" s="5" t="s">
        <v>98</v>
      </c>
      <c r="P2142" s="9"/>
      <c r="Q2142" s="5"/>
      <c r="R2142" s="5"/>
      <c r="S2142" s="5"/>
      <c r="T2142" s="9"/>
      <c r="U2142" s="5"/>
      <c r="V2142" s="5">
        <v>0</v>
      </c>
      <c r="W2142" s="5"/>
      <c r="X2142" s="5"/>
      <c r="Y2142" s="5"/>
      <c r="Z2142" s="5"/>
      <c r="AA2142" s="5" t="s">
        <v>62</v>
      </c>
      <c r="AC2142">
        <f t="shared" si="298"/>
        <v>13</v>
      </c>
      <c r="AD2142" t="str">
        <f t="shared" si="299"/>
        <v/>
      </c>
      <c r="AE2142" t="str">
        <f t="shared" si="300"/>
        <v/>
      </c>
      <c r="AF2142" t="str">
        <f t="shared" si="301"/>
        <v/>
      </c>
      <c r="AG2142" t="str">
        <f t="shared" si="302"/>
        <v/>
      </c>
      <c r="AH2142">
        <f t="shared" si="303"/>
        <v>3</v>
      </c>
      <c r="AI2142" t="str">
        <f t="shared" si="304"/>
        <v/>
      </c>
      <c r="AJ2142" t="str">
        <f t="shared" si="305"/>
        <v/>
      </c>
    </row>
    <row r="2143" spans="1:36">
      <c r="A2143" s="5">
        <v>2635</v>
      </c>
      <c r="B2143" s="5" t="s">
        <v>1372</v>
      </c>
      <c r="C2143" s="5" t="s">
        <v>1332</v>
      </c>
      <c r="D2143" s="5" t="s">
        <v>1359</v>
      </c>
      <c r="E2143" s="5" t="s">
        <v>1360</v>
      </c>
      <c r="F2143" s="5" t="str">
        <f t="shared" si="297"/>
        <v>Fundraising-Fund Administrator</v>
      </c>
      <c r="G2143" s="5" t="s">
        <v>147</v>
      </c>
      <c r="H2143" s="9">
        <v>44585.196851851855</v>
      </c>
      <c r="I2143" s="9">
        <v>44587.196851851855</v>
      </c>
      <c r="J2143" s="9" t="e">
        <f>I2143+#REF!</f>
        <v>#REF!</v>
      </c>
      <c r="K2143" s="9" t="e">
        <f>J2143+#REF!</f>
        <v>#REF!</v>
      </c>
      <c r="L2143" s="10" t="s">
        <v>41</v>
      </c>
      <c r="M2143" s="11">
        <v>44591.196851851855</v>
      </c>
      <c r="N2143" s="5" t="s">
        <v>48</v>
      </c>
      <c r="O2143" s="5"/>
      <c r="P2143" s="9">
        <v>44596.196851851855</v>
      </c>
      <c r="Q2143" s="5" t="s">
        <v>48</v>
      </c>
      <c r="R2143" s="5"/>
      <c r="S2143" s="5"/>
      <c r="T2143" s="9">
        <v>44594.196851851855</v>
      </c>
      <c r="U2143" s="5"/>
      <c r="V2143" s="5">
        <v>0</v>
      </c>
      <c r="W2143" s="5"/>
      <c r="X2143" s="5"/>
      <c r="Y2143" s="5"/>
      <c r="Z2143" s="5"/>
      <c r="AA2143" s="5"/>
      <c r="AC2143">
        <f t="shared" si="298"/>
        <v>4</v>
      </c>
      <c r="AD2143" t="str">
        <f t="shared" si="299"/>
        <v/>
      </c>
      <c r="AE2143">
        <f t="shared" si="300"/>
        <v>3</v>
      </c>
      <c r="AF2143" t="str">
        <f t="shared" si="301"/>
        <v/>
      </c>
      <c r="AG2143" t="str">
        <f t="shared" si="302"/>
        <v/>
      </c>
      <c r="AH2143">
        <f t="shared" si="303"/>
        <v>2</v>
      </c>
      <c r="AI2143" t="str">
        <f t="shared" si="304"/>
        <v/>
      </c>
      <c r="AJ2143" t="str">
        <f t="shared" si="305"/>
        <v/>
      </c>
    </row>
    <row r="2144" spans="1:36">
      <c r="A2144" s="5">
        <v>2636</v>
      </c>
      <c r="B2144" s="5" t="s">
        <v>2255</v>
      </c>
      <c r="C2144" s="5" t="s">
        <v>2229</v>
      </c>
      <c r="D2144" s="5" t="s">
        <v>2250</v>
      </c>
      <c r="E2144" s="5" t="s">
        <v>388</v>
      </c>
      <c r="F2144" s="5" t="str">
        <f t="shared" si="297"/>
        <v>Capacity Building-Extension Officer</v>
      </c>
      <c r="G2144" s="5" t="s">
        <v>147</v>
      </c>
      <c r="H2144" s="9">
        <v>44584.196851851855</v>
      </c>
      <c r="I2144" s="9">
        <v>44585.196851851855</v>
      </c>
      <c r="J2144" s="9" t="e">
        <f>I2144+#REF!</f>
        <v>#REF!</v>
      </c>
      <c r="K2144" s="9" t="e">
        <f>J2144+#REF!</f>
        <v>#REF!</v>
      </c>
      <c r="L2144" s="10" t="s">
        <v>52</v>
      </c>
      <c r="M2144" s="11"/>
      <c r="N2144" s="5"/>
      <c r="O2144" s="5"/>
      <c r="P2144" s="9"/>
      <c r="Q2144" s="5"/>
      <c r="R2144" s="5"/>
      <c r="S2144" s="5"/>
      <c r="T2144" s="9"/>
      <c r="U2144" s="5"/>
      <c r="V2144" s="5">
        <v>0</v>
      </c>
      <c r="W2144" s="5"/>
      <c r="X2144" s="5"/>
      <c r="Y2144" s="5"/>
      <c r="Z2144" s="5"/>
      <c r="AA2144" s="5"/>
      <c r="AC2144" t="str">
        <f t="shared" si="298"/>
        <v/>
      </c>
      <c r="AD2144" t="str">
        <f t="shared" si="299"/>
        <v/>
      </c>
      <c r="AE2144" t="str">
        <f t="shared" si="300"/>
        <v/>
      </c>
      <c r="AF2144" t="str">
        <f t="shared" si="301"/>
        <v/>
      </c>
      <c r="AG2144" t="str">
        <f t="shared" si="302"/>
        <v/>
      </c>
      <c r="AH2144">
        <f t="shared" si="303"/>
        <v>1</v>
      </c>
      <c r="AI2144" t="str">
        <f t="shared" si="304"/>
        <v/>
      </c>
      <c r="AJ2144" t="str">
        <f t="shared" si="305"/>
        <v/>
      </c>
    </row>
    <row r="2145" spans="1:36">
      <c r="A2145" s="5">
        <v>2638</v>
      </c>
      <c r="B2145" s="5" t="s">
        <v>2359</v>
      </c>
      <c r="C2145" s="5" t="s">
        <v>2229</v>
      </c>
      <c r="D2145" s="5" t="s">
        <v>2350</v>
      </c>
      <c r="E2145" s="5" t="s">
        <v>2351</v>
      </c>
      <c r="F2145" s="5" t="str">
        <f t="shared" si="297"/>
        <v>Capacity Building-Training Associate</v>
      </c>
      <c r="G2145" s="5" t="s">
        <v>40</v>
      </c>
      <c r="H2145" s="9">
        <v>44584.196851851855</v>
      </c>
      <c r="I2145" s="9">
        <v>44587.196851851855</v>
      </c>
      <c r="J2145" s="9" t="e">
        <f>I2145+#REF!</f>
        <v>#REF!</v>
      </c>
      <c r="K2145" s="9" t="e">
        <f>J2145+#REF!</f>
        <v>#REF!</v>
      </c>
      <c r="L2145" s="10" t="s">
        <v>52</v>
      </c>
      <c r="M2145" s="11"/>
      <c r="N2145" s="5"/>
      <c r="O2145" s="5"/>
      <c r="P2145" s="9"/>
      <c r="Q2145" s="5"/>
      <c r="R2145" s="5"/>
      <c r="S2145" s="5"/>
      <c r="T2145" s="9"/>
      <c r="U2145" s="5"/>
      <c r="V2145" s="5">
        <v>0</v>
      </c>
      <c r="W2145" s="5"/>
      <c r="X2145" s="5"/>
      <c r="Y2145" s="5"/>
      <c r="Z2145" s="5"/>
      <c r="AA2145" s="5"/>
      <c r="AC2145" t="str">
        <f t="shared" si="298"/>
        <v/>
      </c>
      <c r="AD2145" t="str">
        <f t="shared" si="299"/>
        <v/>
      </c>
      <c r="AE2145" t="str">
        <f t="shared" si="300"/>
        <v/>
      </c>
      <c r="AF2145" t="str">
        <f t="shared" si="301"/>
        <v/>
      </c>
      <c r="AG2145" t="str">
        <f t="shared" si="302"/>
        <v/>
      </c>
      <c r="AH2145">
        <f t="shared" si="303"/>
        <v>3</v>
      </c>
      <c r="AI2145" t="str">
        <f t="shared" si="304"/>
        <v/>
      </c>
      <c r="AJ2145" t="str">
        <f t="shared" si="305"/>
        <v/>
      </c>
    </row>
    <row r="2146" spans="1:36">
      <c r="A2146" s="5">
        <v>2640</v>
      </c>
      <c r="B2146" s="5" t="s">
        <v>2358</v>
      </c>
      <c r="C2146" s="5" t="s">
        <v>2229</v>
      </c>
      <c r="D2146" s="5" t="s">
        <v>2350</v>
      </c>
      <c r="E2146" s="5" t="s">
        <v>2351</v>
      </c>
      <c r="F2146" s="5" t="str">
        <f t="shared" si="297"/>
        <v>Capacity Building-Training Associate</v>
      </c>
      <c r="G2146" s="5" t="s">
        <v>40</v>
      </c>
      <c r="H2146" s="9">
        <v>44581.196851851855</v>
      </c>
      <c r="I2146" s="9">
        <v>44584.196851851855</v>
      </c>
      <c r="J2146" s="9" t="e">
        <f>I2146+#REF!</f>
        <v>#REF!</v>
      </c>
      <c r="K2146" s="9" t="e">
        <f>J2146+#REF!</f>
        <v>#REF!</v>
      </c>
      <c r="L2146" s="10" t="s">
        <v>41</v>
      </c>
      <c r="M2146" s="11">
        <v>44600.196851851855</v>
      </c>
      <c r="N2146" s="5" t="s">
        <v>64</v>
      </c>
      <c r="O2146" s="5"/>
      <c r="P2146" s="9">
        <v>44607.196851851855</v>
      </c>
      <c r="Q2146" s="5" t="s">
        <v>64</v>
      </c>
      <c r="R2146" s="9">
        <v>44601.196851851855</v>
      </c>
      <c r="S2146" s="9">
        <v>44605.196851851855</v>
      </c>
      <c r="T2146" s="9">
        <v>44603.196851851855</v>
      </c>
      <c r="U2146" s="9">
        <v>44613.196851851855</v>
      </c>
      <c r="V2146" s="12">
        <v>1</v>
      </c>
      <c r="W2146" s="9">
        <v>44614.196851851855</v>
      </c>
      <c r="X2146" s="9">
        <v>44615.196851851855</v>
      </c>
      <c r="Y2146" s="9">
        <v>44616.196851851855</v>
      </c>
      <c r="Z2146" s="5"/>
      <c r="AA2146" s="5"/>
      <c r="AB2146" s="13">
        <v>44628.196851851855</v>
      </c>
      <c r="AC2146">
        <f t="shared" si="298"/>
        <v>16</v>
      </c>
      <c r="AD2146">
        <f t="shared" si="299"/>
        <v>21</v>
      </c>
      <c r="AE2146">
        <f t="shared" si="300"/>
        <v>3</v>
      </c>
      <c r="AF2146">
        <f t="shared" si="301"/>
        <v>2</v>
      </c>
      <c r="AG2146">
        <f t="shared" si="302"/>
        <v>1</v>
      </c>
      <c r="AH2146">
        <f t="shared" si="303"/>
        <v>3</v>
      </c>
      <c r="AI2146" t="str">
        <f t="shared" si="304"/>
        <v/>
      </c>
      <c r="AJ2146" t="str">
        <f t="shared" si="305"/>
        <v/>
      </c>
    </row>
    <row r="2147" spans="1:36">
      <c r="A2147" s="5">
        <v>2641</v>
      </c>
      <c r="B2147" s="5" t="s">
        <v>746</v>
      </c>
      <c r="C2147" s="10" t="s">
        <v>671</v>
      </c>
      <c r="D2147" s="5" t="s">
        <v>747</v>
      </c>
      <c r="E2147" s="5" t="s">
        <v>55</v>
      </c>
      <c r="F2147" s="5" t="str">
        <f t="shared" si="297"/>
        <v>Operations-Director</v>
      </c>
      <c r="G2147" s="5" t="s">
        <v>47</v>
      </c>
      <c r="H2147" s="9">
        <v>44585.587569444448</v>
      </c>
      <c r="I2147" s="9">
        <v>44589.587569444448</v>
      </c>
      <c r="J2147" s="9" t="e">
        <f>I2147+#REF!</f>
        <v>#REF!</v>
      </c>
      <c r="K2147" s="9" t="e">
        <f>J2147+#REF!</f>
        <v>#REF!</v>
      </c>
      <c r="L2147" s="10" t="s">
        <v>41</v>
      </c>
      <c r="M2147" s="11">
        <v>44606.587569444448</v>
      </c>
      <c r="N2147" s="5" t="s">
        <v>64</v>
      </c>
      <c r="O2147" s="5"/>
      <c r="P2147" s="9">
        <v>44610.587569444448</v>
      </c>
      <c r="Q2147" s="5" t="s">
        <v>64</v>
      </c>
      <c r="R2147" s="9">
        <v>44607.587569444448</v>
      </c>
      <c r="S2147" s="9">
        <v>44610.587569444448</v>
      </c>
      <c r="T2147" s="9">
        <v>44608.587569444448</v>
      </c>
      <c r="U2147" s="9">
        <v>44610.587569444448</v>
      </c>
      <c r="V2147" s="12">
        <v>1</v>
      </c>
      <c r="W2147" s="9">
        <v>44613.587569444448</v>
      </c>
      <c r="X2147" s="9">
        <v>44616.587569444448</v>
      </c>
      <c r="Y2147" s="9">
        <v>44618.587569444448</v>
      </c>
      <c r="Z2147" s="5"/>
      <c r="AA2147" s="5"/>
      <c r="AB2147" s="13">
        <v>44631.587569444448</v>
      </c>
      <c r="AC2147">
        <f t="shared" si="298"/>
        <v>17</v>
      </c>
      <c r="AD2147">
        <f t="shared" si="299"/>
        <v>21</v>
      </c>
      <c r="AE2147">
        <f t="shared" si="300"/>
        <v>2</v>
      </c>
      <c r="AF2147">
        <f t="shared" si="301"/>
        <v>6</v>
      </c>
      <c r="AG2147">
        <f t="shared" si="302"/>
        <v>3</v>
      </c>
      <c r="AH2147">
        <f t="shared" si="303"/>
        <v>4</v>
      </c>
      <c r="AI2147" t="str">
        <f t="shared" si="304"/>
        <v/>
      </c>
      <c r="AJ2147" t="str">
        <f t="shared" si="305"/>
        <v/>
      </c>
    </row>
    <row r="2148" spans="1:36">
      <c r="A2148" s="5">
        <v>2642</v>
      </c>
      <c r="B2148" s="5" t="s">
        <v>1220</v>
      </c>
      <c r="C2148" s="10" t="s">
        <v>1215</v>
      </c>
      <c r="D2148" s="5" t="s">
        <v>1216</v>
      </c>
      <c r="E2148" s="5" t="s">
        <v>1217</v>
      </c>
      <c r="F2148" s="5" t="str">
        <f t="shared" si="297"/>
        <v>HR-Specialist</v>
      </c>
      <c r="G2148" s="5" t="s">
        <v>270</v>
      </c>
      <c r="H2148" s="9">
        <v>44586.587569444448</v>
      </c>
      <c r="I2148" s="9">
        <v>44588.587569444448</v>
      </c>
      <c r="J2148" s="9" t="e">
        <f>I2148+#REF!</f>
        <v>#REF!</v>
      </c>
      <c r="K2148" s="9" t="e">
        <f>J2148+#REF!</f>
        <v>#REF!</v>
      </c>
      <c r="L2148" s="10" t="s">
        <v>41</v>
      </c>
      <c r="M2148" s="11">
        <v>44597.587569444448</v>
      </c>
      <c r="N2148" s="5" t="s">
        <v>42</v>
      </c>
      <c r="O2148" s="5" t="s">
        <v>43</v>
      </c>
      <c r="P2148" s="9"/>
      <c r="Q2148" s="5"/>
      <c r="R2148" s="5"/>
      <c r="S2148" s="5"/>
      <c r="T2148" s="9">
        <v>44599.587569444448</v>
      </c>
      <c r="U2148" s="5"/>
      <c r="V2148" s="5">
        <v>0</v>
      </c>
      <c r="W2148" s="5"/>
      <c r="X2148" s="5"/>
      <c r="Y2148" s="5"/>
      <c r="Z2148" s="5"/>
      <c r="AA2148" s="5" t="s">
        <v>62</v>
      </c>
      <c r="AC2148">
        <f t="shared" si="298"/>
        <v>9</v>
      </c>
      <c r="AD2148" t="str">
        <f t="shared" si="299"/>
        <v/>
      </c>
      <c r="AE2148">
        <f t="shared" si="300"/>
        <v>2</v>
      </c>
      <c r="AF2148" t="str">
        <f t="shared" si="301"/>
        <v/>
      </c>
      <c r="AG2148" t="str">
        <f t="shared" si="302"/>
        <v/>
      </c>
      <c r="AH2148">
        <f t="shared" si="303"/>
        <v>2</v>
      </c>
      <c r="AI2148" t="str">
        <f t="shared" si="304"/>
        <v/>
      </c>
      <c r="AJ2148" t="str">
        <f t="shared" si="305"/>
        <v/>
      </c>
    </row>
    <row r="2149" spans="1:36">
      <c r="A2149" s="5">
        <v>2643</v>
      </c>
      <c r="B2149" s="5" t="s">
        <v>1219</v>
      </c>
      <c r="C2149" s="10" t="s">
        <v>1215</v>
      </c>
      <c r="D2149" s="5" t="s">
        <v>1216</v>
      </c>
      <c r="E2149" s="5" t="s">
        <v>1217</v>
      </c>
      <c r="F2149" s="5" t="str">
        <f t="shared" si="297"/>
        <v>HR-Specialist</v>
      </c>
      <c r="G2149" s="5" t="s">
        <v>270</v>
      </c>
      <c r="H2149" s="9">
        <v>44585.587569444448</v>
      </c>
      <c r="I2149" s="9">
        <v>44587.587569444448</v>
      </c>
      <c r="J2149" s="9" t="e">
        <f>I2149+#REF!</f>
        <v>#REF!</v>
      </c>
      <c r="K2149" s="9" t="e">
        <f>J2149+#REF!</f>
        <v>#REF!</v>
      </c>
      <c r="L2149" s="10" t="s">
        <v>41</v>
      </c>
      <c r="M2149" s="11">
        <v>44607.587569444448</v>
      </c>
      <c r="N2149" s="5" t="s">
        <v>42</v>
      </c>
      <c r="O2149" s="5" t="s">
        <v>43</v>
      </c>
      <c r="P2149" s="9"/>
      <c r="Q2149" s="5"/>
      <c r="R2149" s="5"/>
      <c r="S2149" s="5"/>
      <c r="T2149" s="9"/>
      <c r="U2149" s="5"/>
      <c r="V2149" s="5">
        <v>0</v>
      </c>
      <c r="W2149" s="5"/>
      <c r="X2149" s="5"/>
      <c r="Y2149" s="5"/>
      <c r="Z2149" s="5"/>
      <c r="AA2149" s="5" t="s">
        <v>44</v>
      </c>
      <c r="AC2149">
        <f t="shared" si="298"/>
        <v>20</v>
      </c>
      <c r="AD2149" t="str">
        <f t="shared" si="299"/>
        <v/>
      </c>
      <c r="AE2149" t="str">
        <f t="shared" si="300"/>
        <v/>
      </c>
      <c r="AF2149" t="str">
        <f t="shared" si="301"/>
        <v/>
      </c>
      <c r="AG2149" t="str">
        <f t="shared" si="302"/>
        <v/>
      </c>
      <c r="AH2149">
        <f t="shared" si="303"/>
        <v>2</v>
      </c>
      <c r="AI2149" t="str">
        <f t="shared" si="304"/>
        <v/>
      </c>
      <c r="AJ2149" t="str">
        <f t="shared" si="305"/>
        <v/>
      </c>
    </row>
    <row r="2150" spans="1:36">
      <c r="A2150" s="5">
        <v>2646</v>
      </c>
      <c r="B2150" s="5" t="s">
        <v>1257</v>
      </c>
      <c r="C2150" s="10" t="s">
        <v>1215</v>
      </c>
      <c r="D2150" s="5" t="s">
        <v>1249</v>
      </c>
      <c r="E2150" s="5" t="s">
        <v>1250</v>
      </c>
      <c r="F2150" s="5" t="str">
        <f t="shared" si="297"/>
        <v>HR-Screening Associate</v>
      </c>
      <c r="G2150" s="5" t="s">
        <v>40</v>
      </c>
      <c r="H2150" s="9">
        <v>44586.587569444448</v>
      </c>
      <c r="I2150" s="9">
        <v>44587.587569444448</v>
      </c>
      <c r="J2150" s="9" t="e">
        <f>I2150+#REF!</f>
        <v>#REF!</v>
      </c>
      <c r="K2150" s="9" t="e">
        <f>J2150+#REF!</f>
        <v>#REF!</v>
      </c>
      <c r="L2150" s="10" t="s">
        <v>41</v>
      </c>
      <c r="M2150" s="11">
        <v>44601.587569444448</v>
      </c>
      <c r="N2150" s="5" t="s">
        <v>64</v>
      </c>
      <c r="O2150" s="5"/>
      <c r="P2150" s="9">
        <v>44607.587569444448</v>
      </c>
      <c r="Q2150" s="5" t="s">
        <v>64</v>
      </c>
      <c r="R2150" s="9">
        <v>44603.587569444448</v>
      </c>
      <c r="S2150" s="9">
        <v>44606.587569444448</v>
      </c>
      <c r="T2150" s="9">
        <v>44603.587569444448</v>
      </c>
      <c r="U2150" s="9">
        <v>44607.587569444448</v>
      </c>
      <c r="V2150" s="12">
        <v>1</v>
      </c>
      <c r="W2150" s="9">
        <v>44608.587569444448</v>
      </c>
      <c r="X2150" s="9">
        <v>44610.587569444448</v>
      </c>
      <c r="Y2150" s="9">
        <v>44612.587569444448</v>
      </c>
      <c r="Z2150" s="5"/>
      <c r="AA2150" s="5"/>
      <c r="AB2150" s="13">
        <v>44624.587569444448</v>
      </c>
      <c r="AC2150">
        <f t="shared" si="298"/>
        <v>14</v>
      </c>
      <c r="AD2150">
        <f t="shared" si="299"/>
        <v>19</v>
      </c>
      <c r="AE2150">
        <f t="shared" si="300"/>
        <v>2</v>
      </c>
      <c r="AF2150">
        <f t="shared" si="301"/>
        <v>3</v>
      </c>
      <c r="AG2150">
        <f t="shared" si="302"/>
        <v>1</v>
      </c>
      <c r="AH2150">
        <f t="shared" si="303"/>
        <v>1</v>
      </c>
      <c r="AI2150" t="str">
        <f t="shared" si="304"/>
        <v/>
      </c>
      <c r="AJ2150" t="str">
        <f t="shared" si="305"/>
        <v/>
      </c>
    </row>
    <row r="2151" spans="1:36">
      <c r="A2151" s="5">
        <v>2648</v>
      </c>
      <c r="B2151" s="5" t="s">
        <v>2115</v>
      </c>
      <c r="C2151" s="10" t="s">
        <v>2089</v>
      </c>
      <c r="D2151" s="5" t="s">
        <v>2114</v>
      </c>
      <c r="E2151" s="5" t="s">
        <v>388</v>
      </c>
      <c r="F2151" s="5" t="str">
        <f t="shared" si="297"/>
        <v>Communication and Advocacy-Extension Officer</v>
      </c>
      <c r="G2151" s="5" t="s">
        <v>147</v>
      </c>
      <c r="H2151" s="9">
        <v>44589.587569444448</v>
      </c>
      <c r="I2151" s="9">
        <v>44590.587569444448</v>
      </c>
      <c r="J2151" s="9" t="e">
        <f>I2151+#REF!</f>
        <v>#REF!</v>
      </c>
      <c r="K2151" s="9" t="e">
        <f>J2151+#REF!</f>
        <v>#REF!</v>
      </c>
      <c r="L2151" s="10" t="s">
        <v>41</v>
      </c>
      <c r="M2151" s="11">
        <v>44605.587569444448</v>
      </c>
      <c r="N2151" s="5" t="s">
        <v>64</v>
      </c>
      <c r="O2151" s="5"/>
      <c r="P2151" s="9">
        <v>44610.587569444448</v>
      </c>
      <c r="Q2151" s="5" t="s">
        <v>64</v>
      </c>
      <c r="R2151" s="9">
        <v>44607.587569444448</v>
      </c>
      <c r="S2151" s="9">
        <v>44609.587569444448</v>
      </c>
      <c r="T2151" s="9">
        <v>44606.587569444448</v>
      </c>
      <c r="U2151" s="9">
        <v>44616.587569444448</v>
      </c>
      <c r="V2151" s="12">
        <v>1</v>
      </c>
      <c r="W2151" s="9">
        <v>44619.587569444448</v>
      </c>
      <c r="X2151" s="9">
        <v>44620.587569444448</v>
      </c>
      <c r="Y2151" s="9">
        <v>44622.587569444448</v>
      </c>
      <c r="Z2151" s="5"/>
      <c r="AA2151" s="5"/>
      <c r="AB2151" s="13">
        <v>44640.587569444448</v>
      </c>
      <c r="AC2151">
        <f t="shared" si="298"/>
        <v>15</v>
      </c>
      <c r="AD2151">
        <f t="shared" si="299"/>
        <v>19</v>
      </c>
      <c r="AE2151">
        <f t="shared" si="300"/>
        <v>1</v>
      </c>
      <c r="AF2151">
        <f t="shared" si="301"/>
        <v>4</v>
      </c>
      <c r="AG2151">
        <f t="shared" si="302"/>
        <v>3</v>
      </c>
      <c r="AH2151">
        <f t="shared" si="303"/>
        <v>1</v>
      </c>
      <c r="AI2151" t="str">
        <f t="shared" si="304"/>
        <v/>
      </c>
      <c r="AJ2151" t="str">
        <f t="shared" si="305"/>
        <v/>
      </c>
    </row>
    <row r="2152" spans="1:36">
      <c r="A2152" s="5">
        <v>2649</v>
      </c>
      <c r="B2152" s="5" t="s">
        <v>1218</v>
      </c>
      <c r="C2152" s="10" t="s">
        <v>1215</v>
      </c>
      <c r="D2152" s="5" t="s">
        <v>1216</v>
      </c>
      <c r="E2152" s="5" t="s">
        <v>1217</v>
      </c>
      <c r="F2152" s="5" t="str">
        <f t="shared" si="297"/>
        <v>HR-Specialist</v>
      </c>
      <c r="G2152" s="5" t="s">
        <v>270</v>
      </c>
      <c r="H2152" s="9">
        <v>44587.587569444448</v>
      </c>
      <c r="I2152" s="9">
        <v>44588.587569444448</v>
      </c>
      <c r="J2152" s="9" t="e">
        <f>I2152+#REF!</f>
        <v>#REF!</v>
      </c>
      <c r="K2152" s="9" t="e">
        <f>J2152+#REF!</f>
        <v>#REF!</v>
      </c>
      <c r="L2152" s="10" t="s">
        <v>41</v>
      </c>
      <c r="M2152" s="11">
        <v>44604.587569444448</v>
      </c>
      <c r="N2152" s="5" t="s">
        <v>42</v>
      </c>
      <c r="O2152" s="5" t="s">
        <v>113</v>
      </c>
      <c r="P2152" s="9"/>
      <c r="Q2152" s="5"/>
      <c r="R2152" s="5"/>
      <c r="S2152" s="5"/>
      <c r="T2152" s="9">
        <v>44607.587569444448</v>
      </c>
      <c r="U2152" s="5"/>
      <c r="V2152" s="5">
        <v>0</v>
      </c>
      <c r="W2152" s="5"/>
      <c r="X2152" s="5"/>
      <c r="Y2152" s="5"/>
      <c r="Z2152" s="5"/>
      <c r="AA2152" s="5" t="s">
        <v>62</v>
      </c>
      <c r="AC2152">
        <f t="shared" si="298"/>
        <v>16</v>
      </c>
      <c r="AD2152" t="str">
        <f t="shared" si="299"/>
        <v/>
      </c>
      <c r="AE2152">
        <f t="shared" si="300"/>
        <v>3</v>
      </c>
      <c r="AF2152" t="str">
        <f t="shared" si="301"/>
        <v/>
      </c>
      <c r="AG2152" t="str">
        <f t="shared" si="302"/>
        <v/>
      </c>
      <c r="AH2152">
        <f t="shared" si="303"/>
        <v>1</v>
      </c>
      <c r="AI2152" t="str">
        <f t="shared" si="304"/>
        <v/>
      </c>
      <c r="AJ2152" t="str">
        <f t="shared" si="305"/>
        <v/>
      </c>
    </row>
    <row r="2153" spans="1:36">
      <c r="A2153" s="5">
        <v>2650</v>
      </c>
      <c r="B2153" s="5" t="s">
        <v>1292</v>
      </c>
      <c r="C2153" s="10" t="s">
        <v>1215</v>
      </c>
      <c r="D2153" s="5" t="s">
        <v>1287</v>
      </c>
      <c r="E2153" s="5" t="s">
        <v>1146</v>
      </c>
      <c r="F2153" s="5" t="str">
        <f t="shared" si="297"/>
        <v>HR-Quality Assurance</v>
      </c>
      <c r="G2153" s="5" t="s">
        <v>47</v>
      </c>
      <c r="H2153" s="9">
        <v>44583.587569444448</v>
      </c>
      <c r="I2153" s="9">
        <v>44587.587569444448</v>
      </c>
      <c r="J2153" s="9" t="e">
        <f>I2153+#REF!</f>
        <v>#REF!</v>
      </c>
      <c r="K2153" s="9" t="e">
        <f>J2153+#REF!</f>
        <v>#REF!</v>
      </c>
      <c r="L2153" s="10" t="s">
        <v>41</v>
      </c>
      <c r="M2153" s="11">
        <v>44605.587569444448</v>
      </c>
      <c r="N2153" s="5" t="s">
        <v>42</v>
      </c>
      <c r="O2153" s="5" t="s">
        <v>98</v>
      </c>
      <c r="P2153" s="9"/>
      <c r="Q2153" s="5"/>
      <c r="R2153" s="5"/>
      <c r="S2153" s="5"/>
      <c r="T2153" s="9"/>
      <c r="U2153" s="5"/>
      <c r="V2153" s="5">
        <v>0</v>
      </c>
      <c r="W2153" s="5"/>
      <c r="X2153" s="5"/>
      <c r="Y2153" s="5"/>
      <c r="Z2153" s="5"/>
      <c r="AA2153" s="5" t="s">
        <v>62</v>
      </c>
      <c r="AC2153">
        <f t="shared" si="298"/>
        <v>18</v>
      </c>
      <c r="AD2153" t="str">
        <f t="shared" si="299"/>
        <v/>
      </c>
      <c r="AE2153" t="str">
        <f t="shared" si="300"/>
        <v/>
      </c>
      <c r="AF2153" t="str">
        <f t="shared" si="301"/>
        <v/>
      </c>
      <c r="AG2153" t="str">
        <f t="shared" si="302"/>
        <v/>
      </c>
      <c r="AH2153">
        <f t="shared" si="303"/>
        <v>4</v>
      </c>
      <c r="AI2153" t="str">
        <f t="shared" si="304"/>
        <v/>
      </c>
      <c r="AJ2153" t="str">
        <f t="shared" si="305"/>
        <v/>
      </c>
    </row>
    <row r="2154" spans="1:36">
      <c r="A2154" s="5">
        <v>2651</v>
      </c>
      <c r="B2154" s="5" t="s">
        <v>828</v>
      </c>
      <c r="C2154" s="5" t="s">
        <v>796</v>
      </c>
      <c r="D2154" s="5" t="s">
        <v>814</v>
      </c>
      <c r="E2154" s="5" t="s">
        <v>815</v>
      </c>
      <c r="F2154" s="5" t="str">
        <f t="shared" si="297"/>
        <v>M and E-Auditor</v>
      </c>
      <c r="G2154" s="5" t="s">
        <v>147</v>
      </c>
      <c r="H2154" s="9">
        <v>44596.417025462964</v>
      </c>
      <c r="I2154" s="9">
        <v>44599.417025462964</v>
      </c>
      <c r="J2154" s="9" t="e">
        <f>I2154+#REF!</f>
        <v>#REF!</v>
      </c>
      <c r="K2154" s="9" t="e">
        <f>J2154+#REF!</f>
        <v>#REF!</v>
      </c>
      <c r="L2154" s="10" t="s">
        <v>41</v>
      </c>
      <c r="M2154" s="11">
        <v>44619.417025462964</v>
      </c>
      <c r="N2154" s="5" t="s">
        <v>42</v>
      </c>
      <c r="O2154" s="5" t="s">
        <v>98</v>
      </c>
      <c r="P2154" s="9"/>
      <c r="Q2154" s="5"/>
      <c r="R2154" s="5"/>
      <c r="S2154" s="5"/>
      <c r="T2154" s="9">
        <v>44623.417025462964</v>
      </c>
      <c r="U2154" s="5"/>
      <c r="V2154" s="5">
        <v>0</v>
      </c>
      <c r="W2154" s="5"/>
      <c r="X2154" s="5"/>
      <c r="Y2154" s="5"/>
      <c r="Z2154" s="5"/>
      <c r="AA2154" s="5" t="s">
        <v>44</v>
      </c>
      <c r="AC2154">
        <f t="shared" si="298"/>
        <v>20</v>
      </c>
      <c r="AD2154" t="str">
        <f t="shared" si="299"/>
        <v/>
      </c>
      <c r="AE2154">
        <f t="shared" si="300"/>
        <v>4</v>
      </c>
      <c r="AF2154" t="str">
        <f t="shared" si="301"/>
        <v/>
      </c>
      <c r="AG2154" t="str">
        <f t="shared" si="302"/>
        <v/>
      </c>
      <c r="AH2154">
        <f t="shared" si="303"/>
        <v>3</v>
      </c>
      <c r="AI2154" t="str">
        <f t="shared" si="304"/>
        <v/>
      </c>
      <c r="AJ2154" t="str">
        <f t="shared" si="305"/>
        <v/>
      </c>
    </row>
    <row r="2155" spans="1:36">
      <c r="A2155" s="5">
        <v>2652</v>
      </c>
      <c r="B2155" s="5" t="s">
        <v>902</v>
      </c>
      <c r="C2155" s="5" t="s">
        <v>796</v>
      </c>
      <c r="D2155" s="5" t="s">
        <v>893</v>
      </c>
      <c r="E2155" s="5" t="s">
        <v>269</v>
      </c>
      <c r="F2155" s="5" t="str">
        <f t="shared" si="297"/>
        <v>M and E-Manager</v>
      </c>
      <c r="G2155" s="5" t="s">
        <v>270</v>
      </c>
      <c r="H2155" s="9">
        <v>44600.417025462964</v>
      </c>
      <c r="I2155" s="9">
        <v>44602.417025462964</v>
      </c>
      <c r="J2155" s="9" t="e">
        <f>I2155+#REF!</f>
        <v>#REF!</v>
      </c>
      <c r="K2155" s="9" t="e">
        <f>J2155+#REF!</f>
        <v>#REF!</v>
      </c>
      <c r="L2155" s="10" t="s">
        <v>41</v>
      </c>
      <c r="M2155" s="11">
        <v>44623.417025462964</v>
      </c>
      <c r="N2155" s="5" t="s">
        <v>42</v>
      </c>
      <c r="O2155" s="5" t="s">
        <v>58</v>
      </c>
      <c r="P2155" s="9"/>
      <c r="Q2155" s="5"/>
      <c r="R2155" s="5"/>
      <c r="S2155" s="5"/>
      <c r="T2155" s="9"/>
      <c r="U2155" s="5"/>
      <c r="V2155" s="5">
        <v>0</v>
      </c>
      <c r="W2155" s="5"/>
      <c r="X2155" s="5"/>
      <c r="Y2155" s="5"/>
      <c r="Z2155" s="5"/>
      <c r="AA2155" s="5" t="s">
        <v>44</v>
      </c>
      <c r="AC2155">
        <f t="shared" si="298"/>
        <v>21</v>
      </c>
      <c r="AD2155" t="str">
        <f t="shared" si="299"/>
        <v/>
      </c>
      <c r="AE2155" t="str">
        <f t="shared" si="300"/>
        <v/>
      </c>
      <c r="AF2155" t="str">
        <f t="shared" si="301"/>
        <v/>
      </c>
      <c r="AG2155" t="str">
        <f t="shared" si="302"/>
        <v/>
      </c>
      <c r="AH2155">
        <f t="shared" si="303"/>
        <v>2</v>
      </c>
      <c r="AI2155" t="str">
        <f t="shared" si="304"/>
        <v/>
      </c>
      <c r="AJ2155" t="str">
        <f t="shared" si="305"/>
        <v/>
      </c>
    </row>
    <row r="2156" spans="1:36">
      <c r="A2156" s="5">
        <v>2653</v>
      </c>
      <c r="B2156" s="5" t="s">
        <v>1057</v>
      </c>
      <c r="C2156" s="5" t="s">
        <v>796</v>
      </c>
      <c r="D2156" s="5" t="s">
        <v>1046</v>
      </c>
      <c r="E2156" s="5" t="s">
        <v>473</v>
      </c>
      <c r="F2156" s="5" t="str">
        <f t="shared" si="297"/>
        <v>M and E-Officer</v>
      </c>
      <c r="G2156" s="5" t="s">
        <v>47</v>
      </c>
      <c r="H2156" s="9">
        <v>44599.417025462964</v>
      </c>
      <c r="I2156" s="9">
        <v>44600.417025462964</v>
      </c>
      <c r="J2156" s="9" t="e">
        <f>I2156+#REF!</f>
        <v>#REF!</v>
      </c>
      <c r="K2156" s="9" t="e">
        <f>J2156+#REF!</f>
        <v>#REF!</v>
      </c>
      <c r="L2156" s="10" t="s">
        <v>41</v>
      </c>
      <c r="M2156" s="11">
        <v>44620.417025462964</v>
      </c>
      <c r="N2156" s="5" t="s">
        <v>64</v>
      </c>
      <c r="O2156" s="5"/>
      <c r="P2156" s="9">
        <v>44625.417025462964</v>
      </c>
      <c r="Q2156" s="5" t="s">
        <v>64</v>
      </c>
      <c r="R2156" s="9">
        <v>44621.417025462964</v>
      </c>
      <c r="S2156" s="9">
        <v>44623.417025462964</v>
      </c>
      <c r="T2156" s="9">
        <v>44624.417025462964</v>
      </c>
      <c r="U2156" s="9">
        <v>44629.417025462964</v>
      </c>
      <c r="V2156" s="12">
        <v>1</v>
      </c>
      <c r="W2156" s="9">
        <v>44633.417025462964</v>
      </c>
      <c r="X2156" s="9">
        <v>44634.417025462964</v>
      </c>
      <c r="Y2156" s="9">
        <v>44637.417025462964</v>
      </c>
      <c r="Z2156" s="5"/>
      <c r="AA2156" s="5"/>
      <c r="AB2156" s="13">
        <v>44656.417025462964</v>
      </c>
      <c r="AC2156">
        <f t="shared" si="298"/>
        <v>20</v>
      </c>
      <c r="AD2156">
        <f t="shared" si="299"/>
        <v>23</v>
      </c>
      <c r="AE2156">
        <f t="shared" si="300"/>
        <v>4</v>
      </c>
      <c r="AF2156">
        <f t="shared" si="301"/>
        <v>5</v>
      </c>
      <c r="AG2156">
        <f t="shared" si="302"/>
        <v>4</v>
      </c>
      <c r="AH2156">
        <f t="shared" si="303"/>
        <v>1</v>
      </c>
      <c r="AI2156" t="str">
        <f t="shared" si="304"/>
        <v/>
      </c>
      <c r="AJ2156" t="str">
        <f t="shared" si="305"/>
        <v/>
      </c>
    </row>
    <row r="2157" spans="1:36">
      <c r="A2157" s="5">
        <v>2654</v>
      </c>
      <c r="B2157" s="5" t="s">
        <v>827</v>
      </c>
      <c r="C2157" s="5" t="s">
        <v>796</v>
      </c>
      <c r="D2157" s="5" t="s">
        <v>814</v>
      </c>
      <c r="E2157" s="5" t="s">
        <v>815</v>
      </c>
      <c r="F2157" s="5" t="str">
        <f t="shared" si="297"/>
        <v>M and E-Auditor</v>
      </c>
      <c r="G2157" s="5" t="s">
        <v>147</v>
      </c>
      <c r="H2157" s="9">
        <v>44597.417025462964</v>
      </c>
      <c r="I2157" s="9">
        <v>44600.417025462964</v>
      </c>
      <c r="J2157" s="9" t="e">
        <f>I2157+#REF!</f>
        <v>#REF!</v>
      </c>
      <c r="K2157" s="9" t="e">
        <f>J2157+#REF!</f>
        <v>#REF!</v>
      </c>
      <c r="L2157" s="10" t="s">
        <v>41</v>
      </c>
      <c r="M2157" s="11">
        <v>44609.417025462964</v>
      </c>
      <c r="N2157" s="5" t="s">
        <v>48</v>
      </c>
      <c r="O2157" s="5"/>
      <c r="P2157" s="9">
        <v>44613.417025462964</v>
      </c>
      <c r="Q2157" s="5" t="s">
        <v>48</v>
      </c>
      <c r="R2157" s="5"/>
      <c r="S2157" s="5"/>
      <c r="T2157" s="9">
        <v>44611.417025462964</v>
      </c>
      <c r="U2157" s="5"/>
      <c r="V2157" s="5">
        <v>0</v>
      </c>
      <c r="W2157" s="5"/>
      <c r="X2157" s="5"/>
      <c r="Y2157" s="5"/>
      <c r="Z2157" s="5"/>
      <c r="AA2157" s="5"/>
      <c r="AC2157">
        <f t="shared" si="298"/>
        <v>9</v>
      </c>
      <c r="AD2157" t="str">
        <f t="shared" si="299"/>
        <v/>
      </c>
      <c r="AE2157">
        <f t="shared" si="300"/>
        <v>2</v>
      </c>
      <c r="AF2157" t="str">
        <f t="shared" si="301"/>
        <v/>
      </c>
      <c r="AG2157" t="str">
        <f t="shared" si="302"/>
        <v/>
      </c>
      <c r="AH2157">
        <f t="shared" si="303"/>
        <v>3</v>
      </c>
      <c r="AI2157" t="str">
        <f t="shared" si="304"/>
        <v/>
      </c>
      <c r="AJ2157" t="str">
        <f t="shared" si="305"/>
        <v/>
      </c>
    </row>
    <row r="2158" spans="1:36">
      <c r="A2158" s="5">
        <v>2655</v>
      </c>
      <c r="B2158" s="5" t="s">
        <v>967</v>
      </c>
      <c r="C2158" s="5" t="s">
        <v>796</v>
      </c>
      <c r="D2158" s="5" t="s">
        <v>957</v>
      </c>
      <c r="E2158" s="5" t="s">
        <v>39</v>
      </c>
      <c r="F2158" s="5" t="str">
        <f t="shared" si="297"/>
        <v>M and E-Analyst</v>
      </c>
      <c r="G2158" s="5" t="s">
        <v>40</v>
      </c>
      <c r="H2158" s="9">
        <v>44599.417025462964</v>
      </c>
      <c r="I2158" s="9">
        <v>44601.417025462964</v>
      </c>
      <c r="J2158" s="9" t="e">
        <f>I2158+#REF!</f>
        <v>#REF!</v>
      </c>
      <c r="K2158" s="9" t="e">
        <f>J2158+#REF!</f>
        <v>#REF!</v>
      </c>
      <c r="L2158" s="10" t="s">
        <v>41</v>
      </c>
      <c r="M2158" s="11">
        <v>44609.417025462964</v>
      </c>
      <c r="N2158" s="5" t="s">
        <v>64</v>
      </c>
      <c r="O2158" s="5"/>
      <c r="P2158" s="9">
        <v>44613.417025462964</v>
      </c>
      <c r="Q2158" s="5" t="s">
        <v>64</v>
      </c>
      <c r="R2158" s="9">
        <v>44610.417025462964</v>
      </c>
      <c r="S2158" s="9">
        <v>44611.417025462964</v>
      </c>
      <c r="T2158" s="9">
        <v>44610.417025462964</v>
      </c>
      <c r="U2158" s="9">
        <v>44620.417025462964</v>
      </c>
      <c r="V2158" s="12">
        <v>1</v>
      </c>
      <c r="W2158" s="9">
        <v>44623.417025462964</v>
      </c>
      <c r="X2158" s="9">
        <v>44626.417025462964</v>
      </c>
      <c r="Y2158" s="9">
        <v>44629.417025462964</v>
      </c>
      <c r="Z2158" s="5"/>
      <c r="AA2158" s="5"/>
      <c r="AB2158" s="13">
        <v>44639.417025462964</v>
      </c>
      <c r="AC2158">
        <f t="shared" si="298"/>
        <v>8</v>
      </c>
      <c r="AD2158">
        <f t="shared" si="299"/>
        <v>10</v>
      </c>
      <c r="AE2158">
        <f t="shared" si="300"/>
        <v>1</v>
      </c>
      <c r="AF2158">
        <f t="shared" si="301"/>
        <v>6</v>
      </c>
      <c r="AG2158">
        <f t="shared" si="302"/>
        <v>3</v>
      </c>
      <c r="AH2158">
        <f t="shared" si="303"/>
        <v>2</v>
      </c>
      <c r="AI2158" t="str">
        <f t="shared" si="304"/>
        <v/>
      </c>
      <c r="AJ2158" t="str">
        <f t="shared" si="305"/>
        <v/>
      </c>
    </row>
    <row r="2159" spans="1:36">
      <c r="A2159" s="5">
        <v>2656</v>
      </c>
      <c r="B2159" s="5" t="s">
        <v>966</v>
      </c>
      <c r="C2159" s="5" t="s">
        <v>796</v>
      </c>
      <c r="D2159" s="5" t="s">
        <v>957</v>
      </c>
      <c r="E2159" s="5" t="s">
        <v>39</v>
      </c>
      <c r="F2159" s="5" t="str">
        <f t="shared" si="297"/>
        <v>M and E-Analyst</v>
      </c>
      <c r="G2159" s="5" t="s">
        <v>40</v>
      </c>
      <c r="H2159" s="9">
        <v>44601.417025462964</v>
      </c>
      <c r="I2159" s="9">
        <v>44603.417025462964</v>
      </c>
      <c r="J2159" s="9" t="e">
        <f>I2159+#REF!</f>
        <v>#REF!</v>
      </c>
      <c r="K2159" s="9" t="e">
        <f>J2159+#REF!</f>
        <v>#REF!</v>
      </c>
      <c r="L2159" s="10" t="s">
        <v>41</v>
      </c>
      <c r="M2159" s="11">
        <v>44612.417025462964</v>
      </c>
      <c r="N2159" s="5" t="s">
        <v>64</v>
      </c>
      <c r="O2159" s="5"/>
      <c r="P2159" s="9">
        <v>44618.417025462964</v>
      </c>
      <c r="Q2159" s="5" t="s">
        <v>64</v>
      </c>
      <c r="R2159" s="9">
        <v>44613.417025462964</v>
      </c>
      <c r="S2159" s="9">
        <v>44615.417025462964</v>
      </c>
      <c r="T2159" s="9">
        <v>44614.417025462964</v>
      </c>
      <c r="U2159" s="9">
        <v>44617.417025462964</v>
      </c>
      <c r="V2159" s="12">
        <v>1</v>
      </c>
      <c r="W2159" s="9">
        <v>44618.417025462964</v>
      </c>
      <c r="X2159" s="9">
        <v>44619.417025462964</v>
      </c>
      <c r="Y2159" s="9">
        <v>44622.417025462964</v>
      </c>
      <c r="Z2159" s="5"/>
      <c r="AA2159" s="5"/>
      <c r="AB2159" s="13">
        <v>44637.417025462964</v>
      </c>
      <c r="AC2159">
        <f t="shared" si="298"/>
        <v>9</v>
      </c>
      <c r="AD2159">
        <f t="shared" si="299"/>
        <v>12</v>
      </c>
      <c r="AE2159">
        <f t="shared" si="300"/>
        <v>2</v>
      </c>
      <c r="AF2159">
        <f t="shared" si="301"/>
        <v>2</v>
      </c>
      <c r="AG2159">
        <f t="shared" si="302"/>
        <v>1</v>
      </c>
      <c r="AH2159">
        <f t="shared" si="303"/>
        <v>2</v>
      </c>
      <c r="AI2159" t="str">
        <f t="shared" si="304"/>
        <v/>
      </c>
      <c r="AJ2159" t="str">
        <f t="shared" si="305"/>
        <v/>
      </c>
    </row>
    <row r="2160" spans="1:36">
      <c r="A2160" s="5">
        <v>2657</v>
      </c>
      <c r="B2160" s="5" t="s">
        <v>1056</v>
      </c>
      <c r="C2160" s="5" t="s">
        <v>796</v>
      </c>
      <c r="D2160" s="5" t="s">
        <v>1046</v>
      </c>
      <c r="E2160" s="5" t="s">
        <v>473</v>
      </c>
      <c r="F2160" s="5" t="str">
        <f t="shared" si="297"/>
        <v>M and E-Officer</v>
      </c>
      <c r="G2160" s="5" t="s">
        <v>47</v>
      </c>
      <c r="H2160" s="9">
        <v>44600.417025462964</v>
      </c>
      <c r="I2160" s="9">
        <v>44601.417025462964</v>
      </c>
      <c r="J2160" s="9" t="e">
        <f>I2160+#REF!</f>
        <v>#REF!</v>
      </c>
      <c r="K2160" s="9" t="e">
        <f>J2160+#REF!</f>
        <v>#REF!</v>
      </c>
      <c r="L2160" s="10" t="s">
        <v>41</v>
      </c>
      <c r="M2160" s="11">
        <v>44615.417025462964</v>
      </c>
      <c r="N2160" s="5" t="s">
        <v>42</v>
      </c>
      <c r="O2160" s="5" t="s">
        <v>43</v>
      </c>
      <c r="P2160" s="9"/>
      <c r="Q2160" s="5"/>
      <c r="R2160" s="5"/>
      <c r="S2160" s="5"/>
      <c r="T2160" s="9">
        <v>44618.417025462964</v>
      </c>
      <c r="U2160" s="5"/>
      <c r="V2160" s="5">
        <v>0</v>
      </c>
      <c r="W2160" s="5"/>
      <c r="X2160" s="5"/>
      <c r="Y2160" s="5"/>
      <c r="Z2160" s="5"/>
      <c r="AA2160" s="5" t="s">
        <v>44</v>
      </c>
      <c r="AC2160">
        <f t="shared" si="298"/>
        <v>14</v>
      </c>
      <c r="AD2160" t="str">
        <f t="shared" si="299"/>
        <v/>
      </c>
      <c r="AE2160">
        <f t="shared" si="300"/>
        <v>3</v>
      </c>
      <c r="AF2160" t="str">
        <f t="shared" si="301"/>
        <v/>
      </c>
      <c r="AG2160" t="str">
        <f t="shared" si="302"/>
        <v/>
      </c>
      <c r="AH2160">
        <f t="shared" si="303"/>
        <v>1</v>
      </c>
      <c r="AI2160" t="str">
        <f t="shared" si="304"/>
        <v/>
      </c>
      <c r="AJ2160" t="str">
        <f t="shared" si="305"/>
        <v/>
      </c>
    </row>
    <row r="2161" spans="1:36">
      <c r="A2161" s="5">
        <v>2658</v>
      </c>
      <c r="B2161" s="5" t="s">
        <v>965</v>
      </c>
      <c r="C2161" s="5" t="s">
        <v>796</v>
      </c>
      <c r="D2161" s="5" t="s">
        <v>957</v>
      </c>
      <c r="E2161" s="5" t="s">
        <v>39</v>
      </c>
      <c r="F2161" s="5" t="str">
        <f t="shared" si="297"/>
        <v>M and E-Analyst</v>
      </c>
      <c r="G2161" s="5" t="s">
        <v>40</v>
      </c>
      <c r="H2161" s="9">
        <v>44600.417025462964</v>
      </c>
      <c r="I2161" s="9">
        <v>44602.417025462964</v>
      </c>
      <c r="J2161" s="9" t="e">
        <f>I2161+#REF!</f>
        <v>#REF!</v>
      </c>
      <c r="K2161" s="9" t="e">
        <f>J2161+#REF!</f>
        <v>#REF!</v>
      </c>
      <c r="L2161" s="10" t="s">
        <v>41</v>
      </c>
      <c r="M2161" s="11">
        <v>44606.417025462964</v>
      </c>
      <c r="N2161" s="5" t="s">
        <v>64</v>
      </c>
      <c r="O2161" s="5"/>
      <c r="P2161" s="9">
        <v>44611.417025462964</v>
      </c>
      <c r="Q2161" s="5" t="s">
        <v>64</v>
      </c>
      <c r="R2161" s="9">
        <v>44608.417025462964</v>
      </c>
      <c r="S2161" s="9">
        <v>44612.417025462964</v>
      </c>
      <c r="T2161" s="9">
        <v>44608.417025462964</v>
      </c>
      <c r="U2161" s="9">
        <v>44617.417025462964</v>
      </c>
      <c r="V2161" s="12">
        <v>1</v>
      </c>
      <c r="W2161" s="9">
        <v>44621.417025462964</v>
      </c>
      <c r="X2161" s="9">
        <v>44622.417025462964</v>
      </c>
      <c r="Y2161" s="9">
        <v>44625.417025462964</v>
      </c>
      <c r="Z2161" s="5"/>
      <c r="AA2161" s="5"/>
      <c r="AB2161" s="13">
        <v>44638.417025462964</v>
      </c>
      <c r="AC2161">
        <f t="shared" si="298"/>
        <v>4</v>
      </c>
      <c r="AD2161">
        <f t="shared" si="299"/>
        <v>10</v>
      </c>
      <c r="AE2161">
        <f t="shared" si="300"/>
        <v>2</v>
      </c>
      <c r="AF2161">
        <f t="shared" si="301"/>
        <v>5</v>
      </c>
      <c r="AG2161">
        <f t="shared" si="302"/>
        <v>4</v>
      </c>
      <c r="AH2161">
        <f t="shared" si="303"/>
        <v>2</v>
      </c>
      <c r="AI2161" t="str">
        <f t="shared" si="304"/>
        <v/>
      </c>
      <c r="AJ2161" t="str">
        <f t="shared" si="305"/>
        <v/>
      </c>
    </row>
    <row r="2162" spans="1:36">
      <c r="A2162" s="5">
        <v>2659</v>
      </c>
      <c r="B2162" s="5" t="s">
        <v>964</v>
      </c>
      <c r="C2162" s="5" t="s">
        <v>796</v>
      </c>
      <c r="D2162" s="5" t="s">
        <v>957</v>
      </c>
      <c r="E2162" s="5" t="s">
        <v>39</v>
      </c>
      <c r="F2162" s="5" t="str">
        <f t="shared" si="297"/>
        <v>M and E-Analyst</v>
      </c>
      <c r="G2162" s="5" t="s">
        <v>40</v>
      </c>
      <c r="H2162" s="9">
        <v>44599.417025462964</v>
      </c>
      <c r="I2162" s="9">
        <v>44600.417025462964</v>
      </c>
      <c r="J2162" s="9" t="e">
        <f>I2162+#REF!</f>
        <v>#REF!</v>
      </c>
      <c r="K2162" s="9" t="e">
        <f>J2162+#REF!</f>
        <v>#REF!</v>
      </c>
      <c r="L2162" s="10" t="s">
        <v>41</v>
      </c>
      <c r="M2162" s="11">
        <v>44618.417025462964</v>
      </c>
      <c r="N2162" s="5" t="s">
        <v>48</v>
      </c>
      <c r="O2162" s="5"/>
      <c r="P2162" s="9">
        <v>44624.417025462964</v>
      </c>
      <c r="Q2162" s="5" t="s">
        <v>48</v>
      </c>
      <c r="R2162" s="5"/>
      <c r="S2162" s="5"/>
      <c r="T2162" s="9">
        <v>44622.417025462964</v>
      </c>
      <c r="U2162" s="5"/>
      <c r="V2162" s="5">
        <v>0</v>
      </c>
      <c r="W2162" s="5"/>
      <c r="X2162" s="5"/>
      <c r="Y2162" s="5"/>
      <c r="Z2162" s="5"/>
      <c r="AA2162" s="5"/>
      <c r="AC2162">
        <f t="shared" si="298"/>
        <v>18</v>
      </c>
      <c r="AD2162" t="str">
        <f t="shared" si="299"/>
        <v/>
      </c>
      <c r="AE2162">
        <f t="shared" si="300"/>
        <v>4</v>
      </c>
      <c r="AF2162" t="str">
        <f t="shared" si="301"/>
        <v/>
      </c>
      <c r="AG2162" t="str">
        <f t="shared" si="302"/>
        <v/>
      </c>
      <c r="AH2162">
        <f t="shared" si="303"/>
        <v>1</v>
      </c>
      <c r="AI2162" t="str">
        <f t="shared" si="304"/>
        <v/>
      </c>
      <c r="AJ2162" t="str">
        <f t="shared" si="305"/>
        <v/>
      </c>
    </row>
    <row r="2163" spans="1:36">
      <c r="A2163" s="5">
        <v>2660</v>
      </c>
      <c r="B2163" s="5" t="s">
        <v>1055</v>
      </c>
      <c r="C2163" s="5" t="s">
        <v>796</v>
      </c>
      <c r="D2163" s="5" t="s">
        <v>1046</v>
      </c>
      <c r="E2163" s="5" t="s">
        <v>473</v>
      </c>
      <c r="F2163" s="5" t="str">
        <f t="shared" si="297"/>
        <v>M and E-Officer</v>
      </c>
      <c r="G2163" s="5" t="s">
        <v>47</v>
      </c>
      <c r="H2163" s="9">
        <v>44595.417025462964</v>
      </c>
      <c r="I2163" s="9">
        <v>44599.417025462964</v>
      </c>
      <c r="J2163" s="9" t="e">
        <f>I2163+#REF!</f>
        <v>#REF!</v>
      </c>
      <c r="K2163" s="9" t="e">
        <f>J2163+#REF!</f>
        <v>#REF!</v>
      </c>
      <c r="L2163" s="10" t="s">
        <v>41</v>
      </c>
      <c r="M2163" s="11">
        <v>44620.417025462964</v>
      </c>
      <c r="N2163" s="5" t="s">
        <v>42</v>
      </c>
      <c r="O2163" s="5" t="s">
        <v>98</v>
      </c>
      <c r="P2163" s="9"/>
      <c r="Q2163" s="5"/>
      <c r="R2163" s="5"/>
      <c r="S2163" s="5"/>
      <c r="T2163" s="9">
        <v>44624.417025462964</v>
      </c>
      <c r="U2163" s="5"/>
      <c r="V2163" s="5">
        <v>0</v>
      </c>
      <c r="W2163" s="5"/>
      <c r="X2163" s="5"/>
      <c r="Y2163" s="5"/>
      <c r="Z2163" s="5"/>
      <c r="AA2163" s="5" t="s">
        <v>62</v>
      </c>
      <c r="AC2163">
        <f t="shared" si="298"/>
        <v>21</v>
      </c>
      <c r="AD2163" t="str">
        <f t="shared" si="299"/>
        <v/>
      </c>
      <c r="AE2163">
        <f t="shared" si="300"/>
        <v>4</v>
      </c>
      <c r="AF2163" t="str">
        <f t="shared" si="301"/>
        <v/>
      </c>
      <c r="AG2163" t="str">
        <f t="shared" si="302"/>
        <v/>
      </c>
      <c r="AH2163">
        <f t="shared" si="303"/>
        <v>4</v>
      </c>
      <c r="AI2163" t="str">
        <f t="shared" si="304"/>
        <v/>
      </c>
      <c r="AJ2163" t="str">
        <f t="shared" si="305"/>
        <v/>
      </c>
    </row>
    <row r="2164" spans="1:36">
      <c r="A2164" s="5">
        <v>2661</v>
      </c>
      <c r="B2164" s="5" t="s">
        <v>1214</v>
      </c>
      <c r="C2164" s="10" t="s">
        <v>1215</v>
      </c>
      <c r="D2164" s="5" t="s">
        <v>1216</v>
      </c>
      <c r="E2164" s="5" t="s">
        <v>1217</v>
      </c>
      <c r="F2164" s="5" t="str">
        <f t="shared" si="297"/>
        <v>HR-Specialist</v>
      </c>
      <c r="G2164" s="5" t="s">
        <v>270</v>
      </c>
      <c r="H2164" s="9">
        <v>44894.903680555559</v>
      </c>
      <c r="I2164" s="9">
        <v>44897.903680555559</v>
      </c>
      <c r="J2164" s="9" t="e">
        <f>I2164+#REF!</f>
        <v>#REF!</v>
      </c>
      <c r="K2164" s="9" t="e">
        <f>J2164+#REF!</f>
        <v>#REF!</v>
      </c>
      <c r="L2164" s="10" t="s">
        <v>41</v>
      </c>
      <c r="M2164" s="11">
        <v>44916.903680555559</v>
      </c>
      <c r="N2164" s="5" t="s">
        <v>42</v>
      </c>
      <c r="O2164" s="5" t="s">
        <v>73</v>
      </c>
      <c r="P2164" s="9"/>
      <c r="Q2164" s="5"/>
      <c r="R2164" s="5"/>
      <c r="S2164" s="5"/>
      <c r="T2164" s="9">
        <v>44920.903680555559</v>
      </c>
      <c r="U2164" s="5"/>
      <c r="V2164" s="5">
        <v>0</v>
      </c>
      <c r="W2164" s="5"/>
      <c r="X2164" s="5"/>
      <c r="Y2164" s="5"/>
      <c r="Z2164" s="5"/>
      <c r="AA2164" s="5" t="s">
        <v>62</v>
      </c>
      <c r="AC2164">
        <f t="shared" si="298"/>
        <v>19</v>
      </c>
      <c r="AD2164" t="str">
        <f t="shared" si="299"/>
        <v/>
      </c>
      <c r="AE2164">
        <f t="shared" si="300"/>
        <v>4</v>
      </c>
      <c r="AF2164" t="str">
        <f t="shared" si="301"/>
        <v/>
      </c>
      <c r="AG2164" t="str">
        <f t="shared" si="302"/>
        <v/>
      </c>
      <c r="AH2164">
        <f t="shared" si="303"/>
        <v>3</v>
      </c>
      <c r="AI2164" t="str">
        <f t="shared" si="304"/>
        <v/>
      </c>
      <c r="AJ2164" t="str">
        <f t="shared" si="305"/>
        <v/>
      </c>
    </row>
    <row r="2165" spans="1:36">
      <c r="A2165" s="5">
        <v>2662</v>
      </c>
      <c r="B2165" s="5" t="s">
        <v>1291</v>
      </c>
      <c r="C2165" s="10" t="s">
        <v>1215</v>
      </c>
      <c r="D2165" s="5" t="s">
        <v>1287</v>
      </c>
      <c r="E2165" s="5" t="s">
        <v>1146</v>
      </c>
      <c r="F2165" s="5" t="str">
        <f t="shared" si="297"/>
        <v>HR-Quality Assurance</v>
      </c>
      <c r="G2165" s="5" t="s">
        <v>47</v>
      </c>
      <c r="H2165" s="9">
        <v>44900.903680555559</v>
      </c>
      <c r="I2165" s="9">
        <v>44901.903680555559</v>
      </c>
      <c r="J2165" s="9" t="e">
        <f>I2165+#REF!</f>
        <v>#REF!</v>
      </c>
      <c r="K2165" s="9" t="e">
        <f>J2165+#REF!</f>
        <v>#REF!</v>
      </c>
      <c r="L2165" s="10" t="s">
        <v>41</v>
      </c>
      <c r="M2165" s="11">
        <v>44906.903680555559</v>
      </c>
      <c r="N2165" s="5" t="s">
        <v>42</v>
      </c>
      <c r="O2165" s="5" t="s">
        <v>43</v>
      </c>
      <c r="P2165" s="9"/>
      <c r="Q2165" s="5"/>
      <c r="R2165" s="5"/>
      <c r="S2165" s="5"/>
      <c r="T2165" s="9">
        <v>44907.903680555559</v>
      </c>
      <c r="U2165" s="5"/>
      <c r="V2165" s="5">
        <v>0</v>
      </c>
      <c r="W2165" s="5"/>
      <c r="X2165" s="5"/>
      <c r="Y2165" s="5"/>
      <c r="Z2165" s="5"/>
      <c r="AA2165" s="5" t="s">
        <v>62</v>
      </c>
      <c r="AC2165">
        <f t="shared" si="298"/>
        <v>5</v>
      </c>
      <c r="AD2165" t="str">
        <f t="shared" si="299"/>
        <v/>
      </c>
      <c r="AE2165">
        <f t="shared" si="300"/>
        <v>1</v>
      </c>
      <c r="AF2165" t="str">
        <f t="shared" si="301"/>
        <v/>
      </c>
      <c r="AG2165" t="str">
        <f t="shared" si="302"/>
        <v/>
      </c>
      <c r="AH2165">
        <f t="shared" si="303"/>
        <v>1</v>
      </c>
      <c r="AI2165" t="str">
        <f t="shared" si="304"/>
        <v/>
      </c>
      <c r="AJ2165" t="str">
        <f t="shared" si="305"/>
        <v/>
      </c>
    </row>
    <row r="2166" spans="1:36">
      <c r="A2166" s="5">
        <v>2663</v>
      </c>
      <c r="B2166" s="5" t="s">
        <v>710</v>
      </c>
      <c r="C2166" s="10" t="s">
        <v>671</v>
      </c>
      <c r="D2166" s="5" t="s">
        <v>708</v>
      </c>
      <c r="E2166" s="5" t="s">
        <v>709</v>
      </c>
      <c r="F2166" s="5" t="str">
        <f t="shared" si="297"/>
        <v>Operations-Lead</v>
      </c>
      <c r="G2166" s="5" t="s">
        <v>56</v>
      </c>
      <c r="H2166" s="9">
        <v>44899.903680555559</v>
      </c>
      <c r="I2166" s="9">
        <v>44900.903680555559</v>
      </c>
      <c r="J2166" s="9" t="e">
        <f>I2166+#REF!</f>
        <v>#REF!</v>
      </c>
      <c r="K2166" s="9" t="e">
        <f>J2166+#REF!</f>
        <v>#REF!</v>
      </c>
      <c r="L2166" s="10" t="s">
        <v>52</v>
      </c>
      <c r="M2166" s="11"/>
      <c r="N2166" s="5"/>
      <c r="O2166" s="5"/>
      <c r="P2166" s="9"/>
      <c r="Q2166" s="5"/>
      <c r="R2166" s="5"/>
      <c r="S2166" s="5"/>
      <c r="T2166" s="9"/>
      <c r="U2166" s="5"/>
      <c r="V2166" s="5">
        <v>0</v>
      </c>
      <c r="W2166" s="5"/>
      <c r="X2166" s="5"/>
      <c r="Y2166" s="5"/>
      <c r="Z2166" s="5"/>
      <c r="AA2166" s="5"/>
      <c r="AC2166" t="str">
        <f t="shared" si="298"/>
        <v/>
      </c>
      <c r="AD2166" t="str">
        <f t="shared" si="299"/>
        <v/>
      </c>
      <c r="AE2166" t="str">
        <f t="shared" si="300"/>
        <v/>
      </c>
      <c r="AF2166" t="str">
        <f t="shared" si="301"/>
        <v/>
      </c>
      <c r="AG2166" t="str">
        <f t="shared" si="302"/>
        <v/>
      </c>
      <c r="AH2166">
        <f t="shared" si="303"/>
        <v>1</v>
      </c>
      <c r="AI2166" t="str">
        <f t="shared" si="304"/>
        <v/>
      </c>
      <c r="AJ2166" t="str">
        <f t="shared" si="305"/>
        <v/>
      </c>
    </row>
    <row r="2167" spans="1:36">
      <c r="A2167" s="5">
        <v>2668</v>
      </c>
      <c r="B2167" s="5" t="s">
        <v>1290</v>
      </c>
      <c r="C2167" s="10" t="s">
        <v>1215</v>
      </c>
      <c r="D2167" s="5" t="s">
        <v>1287</v>
      </c>
      <c r="E2167" s="5" t="s">
        <v>1146</v>
      </c>
      <c r="F2167" s="5" t="str">
        <f t="shared" si="297"/>
        <v>HR-Quality Assurance</v>
      </c>
      <c r="G2167" s="5" t="s">
        <v>47</v>
      </c>
      <c r="H2167" s="9">
        <v>44897.903680555559</v>
      </c>
      <c r="I2167" s="9">
        <v>44899.903680555559</v>
      </c>
      <c r="J2167" s="9" t="e">
        <f>I2167+#REF!</f>
        <v>#REF!</v>
      </c>
      <c r="K2167" s="9" t="e">
        <f>J2167+#REF!</f>
        <v>#REF!</v>
      </c>
      <c r="L2167" s="10" t="s">
        <v>41</v>
      </c>
      <c r="M2167" s="11">
        <v>44915.903680555559</v>
      </c>
      <c r="N2167" s="5" t="s">
        <v>42</v>
      </c>
      <c r="O2167" s="5" t="s">
        <v>98</v>
      </c>
      <c r="P2167" s="9"/>
      <c r="Q2167" s="5"/>
      <c r="R2167" s="5"/>
      <c r="S2167" s="5"/>
      <c r="T2167" s="9"/>
      <c r="U2167" s="5"/>
      <c r="V2167" s="5">
        <v>0</v>
      </c>
      <c r="W2167" s="5"/>
      <c r="X2167" s="5"/>
      <c r="Y2167" s="5"/>
      <c r="Z2167" s="5"/>
      <c r="AA2167" s="5" t="s">
        <v>44</v>
      </c>
      <c r="AC2167">
        <f t="shared" si="298"/>
        <v>16</v>
      </c>
      <c r="AD2167" t="str">
        <f t="shared" si="299"/>
        <v/>
      </c>
      <c r="AE2167" t="str">
        <f t="shared" si="300"/>
        <v/>
      </c>
      <c r="AF2167" t="str">
        <f t="shared" si="301"/>
        <v/>
      </c>
      <c r="AG2167" t="str">
        <f t="shared" si="302"/>
        <v/>
      </c>
      <c r="AH2167">
        <f t="shared" si="303"/>
        <v>2</v>
      </c>
      <c r="AI2167" t="str">
        <f t="shared" si="304"/>
        <v/>
      </c>
      <c r="AJ2167" t="str">
        <f t="shared" si="305"/>
        <v/>
      </c>
    </row>
    <row r="2168" spans="1:36">
      <c r="A2168" s="5">
        <v>2671</v>
      </c>
      <c r="B2168" s="5" t="s">
        <v>1598</v>
      </c>
      <c r="C2168" s="5" t="s">
        <v>1540</v>
      </c>
      <c r="D2168" s="5" t="s">
        <v>1588</v>
      </c>
      <c r="E2168" s="5" t="s">
        <v>1360</v>
      </c>
      <c r="F2168" s="5" t="str">
        <f t="shared" si="297"/>
        <v>Finance-Fund Administrator</v>
      </c>
      <c r="G2168" s="5" t="s">
        <v>147</v>
      </c>
      <c r="H2168" s="9">
        <v>44605.141087962962</v>
      </c>
      <c r="I2168" s="9">
        <v>44607.141087962962</v>
      </c>
      <c r="J2168" s="9" t="e">
        <f>I2168+#REF!</f>
        <v>#REF!</v>
      </c>
      <c r="K2168" s="9" t="e">
        <f>J2168+#REF!</f>
        <v>#REF!</v>
      </c>
      <c r="L2168" s="10" t="s">
        <v>41</v>
      </c>
      <c r="M2168" s="11">
        <v>44610.141087962962</v>
      </c>
      <c r="N2168" s="5" t="s">
        <v>167</v>
      </c>
      <c r="O2168" s="5"/>
      <c r="P2168" s="9">
        <v>44612.141087962962</v>
      </c>
      <c r="Q2168" s="5" t="s">
        <v>167</v>
      </c>
      <c r="R2168" s="5"/>
      <c r="S2168" s="5"/>
      <c r="T2168" s="9">
        <v>44611.141087962962</v>
      </c>
      <c r="U2168" s="5"/>
      <c r="V2168" s="5">
        <v>0</v>
      </c>
      <c r="W2168" s="5"/>
      <c r="X2168" s="5"/>
      <c r="Y2168" s="5"/>
      <c r="Z2168" s="5"/>
      <c r="AA2168" s="5"/>
      <c r="AC2168">
        <f t="shared" si="298"/>
        <v>3</v>
      </c>
      <c r="AD2168" t="str">
        <f t="shared" si="299"/>
        <v/>
      </c>
      <c r="AE2168">
        <f t="shared" si="300"/>
        <v>1</v>
      </c>
      <c r="AF2168" t="str">
        <f t="shared" si="301"/>
        <v/>
      </c>
      <c r="AG2168" t="str">
        <f t="shared" si="302"/>
        <v/>
      </c>
      <c r="AH2168">
        <f t="shared" si="303"/>
        <v>2</v>
      </c>
      <c r="AI2168" t="str">
        <f t="shared" si="304"/>
        <v/>
      </c>
      <c r="AJ2168" t="str">
        <f t="shared" si="305"/>
        <v/>
      </c>
    </row>
    <row r="2169" spans="1:36">
      <c r="A2169" s="5">
        <v>2672</v>
      </c>
      <c r="B2169" s="5" t="s">
        <v>1989</v>
      </c>
      <c r="C2169" s="5" t="s">
        <v>1540</v>
      </c>
      <c r="D2169" s="5" t="s">
        <v>1985</v>
      </c>
      <c r="E2169" s="5" t="s">
        <v>1986</v>
      </c>
      <c r="F2169" s="5" t="str">
        <f t="shared" si="297"/>
        <v>Finance-Revenue Recorgnition</v>
      </c>
      <c r="G2169" s="5" t="s">
        <v>47</v>
      </c>
      <c r="H2169" s="9">
        <v>44604.141087962962</v>
      </c>
      <c r="I2169" s="9">
        <v>44607.141087962962</v>
      </c>
      <c r="J2169" s="9" t="e">
        <f>I2169+#REF!</f>
        <v>#REF!</v>
      </c>
      <c r="K2169" s="9" t="e">
        <f>J2169+#REF!</f>
        <v>#REF!</v>
      </c>
      <c r="L2169" s="10" t="s">
        <v>41</v>
      </c>
      <c r="M2169" s="11">
        <v>44613.141087962962</v>
      </c>
      <c r="N2169" s="5" t="s">
        <v>42</v>
      </c>
      <c r="O2169" s="5" t="s">
        <v>43</v>
      </c>
      <c r="P2169" s="9"/>
      <c r="Q2169" s="5"/>
      <c r="R2169" s="5"/>
      <c r="S2169" s="5"/>
      <c r="T2169" s="9">
        <v>44616.141087962962</v>
      </c>
      <c r="U2169" s="5"/>
      <c r="V2169" s="5">
        <v>0</v>
      </c>
      <c r="W2169" s="5"/>
      <c r="X2169" s="5"/>
      <c r="Y2169" s="5"/>
      <c r="Z2169" s="5"/>
      <c r="AA2169" s="5" t="s">
        <v>44</v>
      </c>
      <c r="AC2169">
        <f t="shared" si="298"/>
        <v>6</v>
      </c>
      <c r="AD2169" t="str">
        <f t="shared" si="299"/>
        <v/>
      </c>
      <c r="AE2169">
        <f t="shared" si="300"/>
        <v>3</v>
      </c>
      <c r="AF2169" t="str">
        <f t="shared" si="301"/>
        <v/>
      </c>
      <c r="AG2169" t="str">
        <f t="shared" si="302"/>
        <v/>
      </c>
      <c r="AH2169">
        <f t="shared" si="303"/>
        <v>3</v>
      </c>
      <c r="AI2169" t="str">
        <f t="shared" si="304"/>
        <v/>
      </c>
      <c r="AJ2169" t="str">
        <f t="shared" si="305"/>
        <v/>
      </c>
    </row>
    <row r="2170" spans="1:36">
      <c r="A2170" s="5">
        <v>2673</v>
      </c>
      <c r="B2170" s="5" t="s">
        <v>1713</v>
      </c>
      <c r="C2170" s="5" t="s">
        <v>1540</v>
      </c>
      <c r="D2170" s="5" t="s">
        <v>1706</v>
      </c>
      <c r="E2170" s="5" t="s">
        <v>269</v>
      </c>
      <c r="F2170" s="5" t="str">
        <f t="shared" si="297"/>
        <v>Finance-Manager</v>
      </c>
      <c r="G2170" s="5" t="s">
        <v>270</v>
      </c>
      <c r="H2170" s="9">
        <v>44602.141087962962</v>
      </c>
      <c r="I2170" s="9">
        <v>44604.141087962962</v>
      </c>
      <c r="J2170" s="9" t="e">
        <f>I2170+#REF!</f>
        <v>#REF!</v>
      </c>
      <c r="K2170" s="9" t="e">
        <f>J2170+#REF!</f>
        <v>#REF!</v>
      </c>
      <c r="L2170" s="10" t="s">
        <v>52</v>
      </c>
      <c r="M2170" s="11"/>
      <c r="N2170" s="5"/>
      <c r="O2170" s="5"/>
      <c r="P2170" s="9"/>
      <c r="Q2170" s="5"/>
      <c r="R2170" s="5"/>
      <c r="S2170" s="5"/>
      <c r="T2170" s="9"/>
      <c r="U2170" s="5"/>
      <c r="V2170" s="5">
        <v>0</v>
      </c>
      <c r="W2170" s="5"/>
      <c r="X2170" s="5"/>
      <c r="Y2170" s="5"/>
      <c r="Z2170" s="5"/>
      <c r="AA2170" s="5"/>
      <c r="AC2170" t="str">
        <f t="shared" si="298"/>
        <v/>
      </c>
      <c r="AD2170" t="str">
        <f t="shared" si="299"/>
        <v/>
      </c>
      <c r="AE2170" t="str">
        <f t="shared" si="300"/>
        <v/>
      </c>
      <c r="AF2170" t="str">
        <f t="shared" si="301"/>
        <v/>
      </c>
      <c r="AG2170" t="str">
        <f t="shared" si="302"/>
        <v/>
      </c>
      <c r="AH2170">
        <f t="shared" si="303"/>
        <v>2</v>
      </c>
      <c r="AI2170" t="str">
        <f t="shared" si="304"/>
        <v/>
      </c>
      <c r="AJ2170" t="str">
        <f t="shared" si="305"/>
        <v/>
      </c>
    </row>
    <row r="2171" spans="1:36">
      <c r="A2171" s="5">
        <v>2674</v>
      </c>
      <c r="B2171" s="5" t="s">
        <v>1597</v>
      </c>
      <c r="C2171" s="5" t="s">
        <v>1540</v>
      </c>
      <c r="D2171" s="5" t="s">
        <v>1588</v>
      </c>
      <c r="E2171" s="5" t="s">
        <v>1360</v>
      </c>
      <c r="F2171" s="5" t="str">
        <f t="shared" si="297"/>
        <v>Finance-Fund Administrator</v>
      </c>
      <c r="G2171" s="5" t="s">
        <v>147</v>
      </c>
      <c r="H2171" s="9">
        <v>44601.141087962962</v>
      </c>
      <c r="I2171" s="9">
        <v>44604.141087962962</v>
      </c>
      <c r="J2171" s="9" t="e">
        <f>I2171+#REF!</f>
        <v>#REF!</v>
      </c>
      <c r="K2171" s="9" t="e">
        <f>J2171+#REF!</f>
        <v>#REF!</v>
      </c>
      <c r="L2171" s="10" t="s">
        <v>41</v>
      </c>
      <c r="M2171" s="11">
        <v>44622.141087962962</v>
      </c>
      <c r="N2171" s="5" t="s">
        <v>42</v>
      </c>
      <c r="O2171" s="5" t="s">
        <v>113</v>
      </c>
      <c r="P2171" s="9"/>
      <c r="Q2171" s="5"/>
      <c r="R2171" s="5"/>
      <c r="S2171" s="5"/>
      <c r="T2171" s="9">
        <v>44626.141087962962</v>
      </c>
      <c r="U2171" s="5"/>
      <c r="V2171" s="5">
        <v>0</v>
      </c>
      <c r="W2171" s="5"/>
      <c r="X2171" s="5"/>
      <c r="Y2171" s="5"/>
      <c r="Z2171" s="5"/>
      <c r="AA2171" s="5" t="s">
        <v>62</v>
      </c>
      <c r="AC2171">
        <f t="shared" si="298"/>
        <v>18</v>
      </c>
      <c r="AD2171" t="str">
        <f t="shared" si="299"/>
        <v/>
      </c>
      <c r="AE2171">
        <f t="shared" si="300"/>
        <v>4</v>
      </c>
      <c r="AF2171" t="str">
        <f t="shared" si="301"/>
        <v/>
      </c>
      <c r="AG2171" t="str">
        <f t="shared" si="302"/>
        <v/>
      </c>
      <c r="AH2171">
        <f t="shared" si="303"/>
        <v>3</v>
      </c>
      <c r="AI2171" t="str">
        <f t="shared" si="304"/>
        <v/>
      </c>
      <c r="AJ2171" t="str">
        <f t="shared" si="305"/>
        <v/>
      </c>
    </row>
    <row r="2172" spans="1:36">
      <c r="A2172" s="5">
        <v>2675</v>
      </c>
      <c r="B2172" s="5" t="s">
        <v>1712</v>
      </c>
      <c r="C2172" s="5" t="s">
        <v>1540</v>
      </c>
      <c r="D2172" s="5" t="s">
        <v>1706</v>
      </c>
      <c r="E2172" s="5" t="s">
        <v>269</v>
      </c>
      <c r="F2172" s="5" t="str">
        <f t="shared" si="297"/>
        <v>Finance-Manager</v>
      </c>
      <c r="G2172" s="5" t="s">
        <v>270</v>
      </c>
      <c r="H2172" s="9">
        <v>44601.141087962962</v>
      </c>
      <c r="I2172" s="9">
        <v>44604.141087962962</v>
      </c>
      <c r="J2172" s="9" t="e">
        <f>I2172+#REF!</f>
        <v>#REF!</v>
      </c>
      <c r="K2172" s="9" t="e">
        <f>J2172+#REF!</f>
        <v>#REF!</v>
      </c>
      <c r="L2172" s="10" t="s">
        <v>52</v>
      </c>
      <c r="M2172" s="11"/>
      <c r="N2172" s="5"/>
      <c r="O2172" s="5"/>
      <c r="P2172" s="9"/>
      <c r="Q2172" s="5"/>
      <c r="R2172" s="5"/>
      <c r="S2172" s="5"/>
      <c r="T2172" s="9"/>
      <c r="U2172" s="5"/>
      <c r="V2172" s="5">
        <v>0</v>
      </c>
      <c r="W2172" s="5"/>
      <c r="X2172" s="5"/>
      <c r="Y2172" s="5"/>
      <c r="Z2172" s="5"/>
      <c r="AA2172" s="5"/>
      <c r="AC2172" t="str">
        <f t="shared" si="298"/>
        <v/>
      </c>
      <c r="AD2172" t="str">
        <f t="shared" si="299"/>
        <v/>
      </c>
      <c r="AE2172" t="str">
        <f t="shared" si="300"/>
        <v/>
      </c>
      <c r="AF2172" t="str">
        <f t="shared" si="301"/>
        <v/>
      </c>
      <c r="AG2172" t="str">
        <f t="shared" si="302"/>
        <v/>
      </c>
      <c r="AH2172">
        <f t="shared" si="303"/>
        <v>3</v>
      </c>
      <c r="AI2172" t="str">
        <f t="shared" si="304"/>
        <v/>
      </c>
      <c r="AJ2172" t="str">
        <f t="shared" si="305"/>
        <v/>
      </c>
    </row>
    <row r="2173" spans="1:36">
      <c r="A2173" s="5">
        <v>2676</v>
      </c>
      <c r="B2173" s="5" t="s">
        <v>1711</v>
      </c>
      <c r="C2173" s="5" t="s">
        <v>1540</v>
      </c>
      <c r="D2173" s="5" t="s">
        <v>1706</v>
      </c>
      <c r="E2173" s="5" t="s">
        <v>269</v>
      </c>
      <c r="F2173" s="5" t="str">
        <f t="shared" si="297"/>
        <v>Finance-Manager</v>
      </c>
      <c r="G2173" s="5" t="s">
        <v>270</v>
      </c>
      <c r="H2173" s="9">
        <v>44602.141087962962</v>
      </c>
      <c r="I2173" s="9">
        <v>44604.141087962962</v>
      </c>
      <c r="J2173" s="9" t="e">
        <f>I2173+#REF!</f>
        <v>#REF!</v>
      </c>
      <c r="K2173" s="9" t="e">
        <f>J2173+#REF!</f>
        <v>#REF!</v>
      </c>
      <c r="L2173" s="10" t="s">
        <v>41</v>
      </c>
      <c r="M2173" s="11">
        <v>44626.141087962962</v>
      </c>
      <c r="N2173" s="5" t="s">
        <v>48</v>
      </c>
      <c r="O2173" s="5"/>
      <c r="P2173" s="9">
        <v>44631.141087962962</v>
      </c>
      <c r="Q2173" s="5" t="s">
        <v>48</v>
      </c>
      <c r="R2173" s="5"/>
      <c r="S2173" s="5"/>
      <c r="T2173" s="9">
        <v>44628.141087962962</v>
      </c>
      <c r="U2173" s="5"/>
      <c r="V2173" s="5">
        <v>0</v>
      </c>
      <c r="W2173" s="5"/>
      <c r="X2173" s="5"/>
      <c r="Y2173" s="5"/>
      <c r="Z2173" s="5"/>
      <c r="AA2173" s="5"/>
      <c r="AC2173">
        <f t="shared" si="298"/>
        <v>22</v>
      </c>
      <c r="AD2173" t="str">
        <f t="shared" si="299"/>
        <v/>
      </c>
      <c r="AE2173">
        <f t="shared" si="300"/>
        <v>2</v>
      </c>
      <c r="AF2173" t="str">
        <f t="shared" si="301"/>
        <v/>
      </c>
      <c r="AG2173" t="str">
        <f t="shared" si="302"/>
        <v/>
      </c>
      <c r="AH2173">
        <f t="shared" si="303"/>
        <v>2</v>
      </c>
      <c r="AI2173" t="str">
        <f t="shared" si="304"/>
        <v/>
      </c>
      <c r="AJ2173" t="str">
        <f t="shared" si="305"/>
        <v/>
      </c>
    </row>
    <row r="2174" spans="1:36">
      <c r="A2174" s="5">
        <v>2677</v>
      </c>
      <c r="B2174" s="5" t="s">
        <v>1710</v>
      </c>
      <c r="C2174" s="5" t="s">
        <v>1540</v>
      </c>
      <c r="D2174" s="5" t="s">
        <v>1706</v>
      </c>
      <c r="E2174" s="5" t="s">
        <v>269</v>
      </c>
      <c r="F2174" s="5" t="str">
        <f t="shared" si="297"/>
        <v>Finance-Manager</v>
      </c>
      <c r="G2174" s="5" t="s">
        <v>270</v>
      </c>
      <c r="H2174" s="9">
        <v>44604.141087962962</v>
      </c>
      <c r="I2174" s="9">
        <v>44607.141087962962</v>
      </c>
      <c r="J2174" s="9" t="e">
        <f>I2174+#REF!</f>
        <v>#REF!</v>
      </c>
      <c r="K2174" s="9" t="e">
        <f>J2174+#REF!</f>
        <v>#REF!</v>
      </c>
      <c r="L2174" s="10" t="s">
        <v>41</v>
      </c>
      <c r="M2174" s="11">
        <v>44611.141087962962</v>
      </c>
      <c r="N2174" s="5" t="s">
        <v>48</v>
      </c>
      <c r="O2174" s="5"/>
      <c r="P2174" s="9">
        <v>44616.141087962962</v>
      </c>
      <c r="Q2174" s="5" t="s">
        <v>48</v>
      </c>
      <c r="R2174" s="5"/>
      <c r="S2174" s="5"/>
      <c r="T2174" s="9">
        <v>44613.141087962962</v>
      </c>
      <c r="U2174" s="5"/>
      <c r="V2174" s="5">
        <v>0</v>
      </c>
      <c r="W2174" s="5"/>
      <c r="X2174" s="5"/>
      <c r="Y2174" s="5"/>
      <c r="Z2174" s="5"/>
      <c r="AA2174" s="5"/>
      <c r="AC2174">
        <f t="shared" si="298"/>
        <v>4</v>
      </c>
      <c r="AD2174" t="str">
        <f t="shared" si="299"/>
        <v/>
      </c>
      <c r="AE2174">
        <f t="shared" si="300"/>
        <v>2</v>
      </c>
      <c r="AF2174" t="str">
        <f t="shared" si="301"/>
        <v/>
      </c>
      <c r="AG2174" t="str">
        <f t="shared" si="302"/>
        <v/>
      </c>
      <c r="AH2174">
        <f t="shared" si="303"/>
        <v>3</v>
      </c>
      <c r="AI2174" t="str">
        <f t="shared" si="304"/>
        <v/>
      </c>
      <c r="AJ2174" t="str">
        <f t="shared" si="305"/>
        <v/>
      </c>
    </row>
    <row r="2175" spans="1:36">
      <c r="A2175" s="5">
        <v>2678</v>
      </c>
      <c r="B2175" s="5" t="s">
        <v>1830</v>
      </c>
      <c r="C2175" s="5" t="s">
        <v>1540</v>
      </c>
      <c r="D2175" s="5" t="s">
        <v>1820</v>
      </c>
      <c r="E2175" s="5" t="s">
        <v>39</v>
      </c>
      <c r="F2175" s="5" t="str">
        <f t="shared" si="297"/>
        <v>Finance-Analyst</v>
      </c>
      <c r="G2175" s="5" t="s">
        <v>40</v>
      </c>
      <c r="H2175" s="9">
        <v>44605.141087962962</v>
      </c>
      <c r="I2175" s="9">
        <v>44606.141087962962</v>
      </c>
      <c r="J2175" s="9" t="e">
        <f>I2175+#REF!</f>
        <v>#REF!</v>
      </c>
      <c r="K2175" s="9" t="e">
        <f>J2175+#REF!</f>
        <v>#REF!</v>
      </c>
      <c r="L2175" s="10" t="s">
        <v>41</v>
      </c>
      <c r="M2175" s="11">
        <v>44612.141087962962</v>
      </c>
      <c r="N2175" s="5" t="s">
        <v>64</v>
      </c>
      <c r="O2175" s="5"/>
      <c r="P2175" s="9">
        <v>44615.141087962962</v>
      </c>
      <c r="Q2175" s="5" t="s">
        <v>64</v>
      </c>
      <c r="R2175" s="9">
        <v>44614.141087962962</v>
      </c>
      <c r="S2175" s="9">
        <v>44615.141087962962</v>
      </c>
      <c r="T2175" s="9">
        <v>44614.141087962962</v>
      </c>
      <c r="U2175" s="9">
        <v>44621.141087962962</v>
      </c>
      <c r="V2175" s="12">
        <v>1</v>
      </c>
      <c r="W2175" s="9">
        <v>44624.141087962962</v>
      </c>
      <c r="X2175" s="9">
        <v>44625.141087962962</v>
      </c>
      <c r="Y2175" s="9">
        <v>44628.141087962962</v>
      </c>
      <c r="Z2175" s="5"/>
      <c r="AA2175" s="5"/>
      <c r="AB2175" s="13">
        <v>44647.141087962962</v>
      </c>
      <c r="AC2175">
        <f t="shared" si="298"/>
        <v>6</v>
      </c>
      <c r="AD2175">
        <f t="shared" si="299"/>
        <v>9</v>
      </c>
      <c r="AE2175">
        <f t="shared" si="300"/>
        <v>2</v>
      </c>
      <c r="AF2175">
        <f t="shared" si="301"/>
        <v>4</v>
      </c>
      <c r="AG2175">
        <f t="shared" si="302"/>
        <v>3</v>
      </c>
      <c r="AH2175">
        <f t="shared" si="303"/>
        <v>1</v>
      </c>
      <c r="AI2175" t="str">
        <f t="shared" si="304"/>
        <v/>
      </c>
      <c r="AJ2175" t="str">
        <f t="shared" si="305"/>
        <v/>
      </c>
    </row>
    <row r="2176" spans="1:36">
      <c r="A2176" s="5">
        <v>2679</v>
      </c>
      <c r="B2176" s="5" t="s">
        <v>1988</v>
      </c>
      <c r="C2176" s="5" t="s">
        <v>1540</v>
      </c>
      <c r="D2176" s="5" t="s">
        <v>1985</v>
      </c>
      <c r="E2176" s="5" t="s">
        <v>1986</v>
      </c>
      <c r="F2176" s="5" t="str">
        <f t="shared" si="297"/>
        <v>Finance-Revenue Recorgnition</v>
      </c>
      <c r="G2176" s="5" t="s">
        <v>47</v>
      </c>
      <c r="H2176" s="9">
        <v>44600.141087962962</v>
      </c>
      <c r="I2176" s="9">
        <v>44603.141087962962</v>
      </c>
      <c r="J2176" s="9" t="e">
        <f>I2176+#REF!</f>
        <v>#REF!</v>
      </c>
      <c r="K2176" s="9" t="e">
        <f>J2176+#REF!</f>
        <v>#REF!</v>
      </c>
      <c r="L2176" s="10" t="s">
        <v>41</v>
      </c>
      <c r="M2176" s="11">
        <v>44623.141087962962</v>
      </c>
      <c r="N2176" s="5" t="s">
        <v>64</v>
      </c>
      <c r="O2176" s="5"/>
      <c r="P2176" s="9">
        <v>44627.141087962962</v>
      </c>
      <c r="Q2176" s="5" t="s">
        <v>64</v>
      </c>
      <c r="R2176" s="9">
        <v>44625.141087962962</v>
      </c>
      <c r="S2176" s="9">
        <v>44627.141087962962</v>
      </c>
      <c r="T2176" s="9">
        <v>44626.141087962962</v>
      </c>
      <c r="U2176" s="9">
        <v>44630.141087962962</v>
      </c>
      <c r="V2176" s="12">
        <v>1</v>
      </c>
      <c r="W2176" s="9">
        <v>44634.141087962962</v>
      </c>
      <c r="X2176" s="9">
        <v>44637.141087962962</v>
      </c>
      <c r="Y2176" s="9">
        <v>44638.141087962962</v>
      </c>
      <c r="Z2176" s="5"/>
      <c r="AA2176" s="5"/>
      <c r="AB2176" s="13">
        <v>44649.141087962962</v>
      </c>
      <c r="AC2176">
        <f t="shared" si="298"/>
        <v>20</v>
      </c>
      <c r="AD2176">
        <f t="shared" si="299"/>
        <v>24</v>
      </c>
      <c r="AE2176">
        <f t="shared" si="300"/>
        <v>3</v>
      </c>
      <c r="AF2176">
        <f t="shared" si="301"/>
        <v>7</v>
      </c>
      <c r="AG2176">
        <f t="shared" si="302"/>
        <v>4</v>
      </c>
      <c r="AH2176">
        <f t="shared" si="303"/>
        <v>3</v>
      </c>
      <c r="AI2176" t="str">
        <f t="shared" si="304"/>
        <v/>
      </c>
      <c r="AJ2176" t="str">
        <f t="shared" si="305"/>
        <v/>
      </c>
    </row>
    <row r="2177" spans="1:36">
      <c r="A2177" s="5">
        <v>2680</v>
      </c>
      <c r="B2177" s="5" t="s">
        <v>1829</v>
      </c>
      <c r="C2177" s="5" t="s">
        <v>1540</v>
      </c>
      <c r="D2177" s="5" t="s">
        <v>1820</v>
      </c>
      <c r="E2177" s="5" t="s">
        <v>39</v>
      </c>
      <c r="F2177" s="5" t="str">
        <f t="shared" si="297"/>
        <v>Finance-Analyst</v>
      </c>
      <c r="G2177" s="5" t="s">
        <v>40</v>
      </c>
      <c r="H2177" s="9">
        <v>44599.141087962962</v>
      </c>
      <c r="I2177" s="9">
        <v>44602.141087962962</v>
      </c>
      <c r="J2177" s="9" t="e">
        <f>I2177+#REF!</f>
        <v>#REF!</v>
      </c>
      <c r="K2177" s="9" t="e">
        <f>J2177+#REF!</f>
        <v>#REF!</v>
      </c>
      <c r="L2177" s="10" t="s">
        <v>41</v>
      </c>
      <c r="M2177" s="11">
        <v>44625.141087962962</v>
      </c>
      <c r="N2177" s="5" t="s">
        <v>64</v>
      </c>
      <c r="O2177" s="5"/>
      <c r="P2177" s="9">
        <v>44632.141087962962</v>
      </c>
      <c r="Q2177" s="5" t="s">
        <v>64</v>
      </c>
      <c r="R2177" s="9">
        <v>44627.141087962962</v>
      </c>
      <c r="S2177" s="9">
        <v>44628.141087962962</v>
      </c>
      <c r="T2177" s="9">
        <v>44628.141087962962</v>
      </c>
      <c r="U2177" s="9">
        <v>44636.141087962962</v>
      </c>
      <c r="V2177" s="12">
        <v>1</v>
      </c>
      <c r="W2177" s="9">
        <v>44639.141087962962</v>
      </c>
      <c r="X2177" s="9">
        <v>44642.141087962962</v>
      </c>
      <c r="Y2177" s="9">
        <v>44644.141087962962</v>
      </c>
      <c r="Z2177" s="5"/>
      <c r="AA2177" s="5"/>
      <c r="AB2177" s="13">
        <v>44653.141087962962</v>
      </c>
      <c r="AC2177">
        <f t="shared" si="298"/>
        <v>23</v>
      </c>
      <c r="AD2177">
        <f t="shared" si="299"/>
        <v>26</v>
      </c>
      <c r="AE2177">
        <f t="shared" si="300"/>
        <v>3</v>
      </c>
      <c r="AF2177">
        <f t="shared" si="301"/>
        <v>6</v>
      </c>
      <c r="AG2177">
        <f t="shared" si="302"/>
        <v>3</v>
      </c>
      <c r="AH2177">
        <f t="shared" si="303"/>
        <v>3</v>
      </c>
      <c r="AI2177" t="str">
        <f t="shared" si="304"/>
        <v/>
      </c>
      <c r="AJ2177" t="str">
        <f t="shared" si="305"/>
        <v/>
      </c>
    </row>
    <row r="2178" spans="1:36">
      <c r="A2178" s="5">
        <v>2681</v>
      </c>
      <c r="B2178" s="5" t="s">
        <v>1596</v>
      </c>
      <c r="C2178" s="5" t="s">
        <v>1540</v>
      </c>
      <c r="D2178" s="5" t="s">
        <v>1588</v>
      </c>
      <c r="E2178" s="5" t="s">
        <v>1360</v>
      </c>
      <c r="F2178" s="5" t="str">
        <f t="shared" ref="F2178:F2241" si="306">_xlfn.CONCAT(C2178,"-",E2178)</f>
        <v>Finance-Fund Administrator</v>
      </c>
      <c r="G2178" s="5" t="s">
        <v>147</v>
      </c>
      <c r="H2178" s="9">
        <v>45139.716412037036</v>
      </c>
      <c r="I2178" s="9">
        <v>45141.716412037036</v>
      </c>
      <c r="J2178" s="9" t="e">
        <f>I2178+#REF!</f>
        <v>#REF!</v>
      </c>
      <c r="K2178" s="9" t="e">
        <f>J2178+#REF!</f>
        <v>#REF!</v>
      </c>
      <c r="L2178" s="10" t="s">
        <v>41</v>
      </c>
      <c r="M2178" s="11">
        <v>45150.716412037036</v>
      </c>
      <c r="N2178" s="5" t="s">
        <v>167</v>
      </c>
      <c r="O2178" s="5"/>
      <c r="P2178" s="9">
        <v>45155.716412037036</v>
      </c>
      <c r="Q2178" s="5" t="s">
        <v>167</v>
      </c>
      <c r="R2178" s="5"/>
      <c r="S2178" s="5"/>
      <c r="T2178" s="9">
        <v>45152.716412037036</v>
      </c>
      <c r="U2178" s="5"/>
      <c r="V2178" s="5">
        <v>0</v>
      </c>
      <c r="W2178" s="5"/>
      <c r="X2178" s="5"/>
      <c r="Y2178" s="5"/>
      <c r="Z2178" s="5"/>
      <c r="AA2178" s="5"/>
      <c r="AC2178">
        <f t="shared" ref="AC2178:AC2241" si="307">IF(AND(ISNUMBER(M2178), ISNUMBER(I2178)), M2178 - I2178, "")</f>
        <v>9</v>
      </c>
      <c r="AD2178" t="str">
        <f t="shared" si="299"/>
        <v/>
      </c>
      <c r="AE2178">
        <f t="shared" si="300"/>
        <v>2</v>
      </c>
      <c r="AF2178" t="str">
        <f t="shared" si="301"/>
        <v/>
      </c>
      <c r="AG2178" t="str">
        <f t="shared" si="302"/>
        <v/>
      </c>
      <c r="AH2178">
        <f t="shared" si="303"/>
        <v>2</v>
      </c>
      <c r="AI2178" t="str">
        <f t="shared" si="304"/>
        <v/>
      </c>
      <c r="AJ2178" t="str">
        <f t="shared" si="305"/>
        <v/>
      </c>
    </row>
    <row r="2179" spans="1:36">
      <c r="A2179" s="5">
        <v>2682</v>
      </c>
      <c r="B2179" s="5" t="s">
        <v>1828</v>
      </c>
      <c r="C2179" s="5" t="s">
        <v>1540</v>
      </c>
      <c r="D2179" s="5" t="s">
        <v>1820</v>
      </c>
      <c r="E2179" s="5" t="s">
        <v>39</v>
      </c>
      <c r="F2179" s="5" t="str">
        <f t="shared" si="306"/>
        <v>Finance-Analyst</v>
      </c>
      <c r="G2179" s="5" t="s">
        <v>40</v>
      </c>
      <c r="H2179" s="9">
        <v>45138.716412037036</v>
      </c>
      <c r="I2179" s="9">
        <v>45139.716412037036</v>
      </c>
      <c r="J2179" s="9" t="e">
        <f>I2179+#REF!</f>
        <v>#REF!</v>
      </c>
      <c r="K2179" s="9" t="e">
        <f>J2179+#REF!</f>
        <v>#REF!</v>
      </c>
      <c r="L2179" s="10" t="s">
        <v>52</v>
      </c>
      <c r="M2179" s="11"/>
      <c r="N2179" s="5"/>
      <c r="O2179" s="5"/>
      <c r="P2179" s="9"/>
      <c r="Q2179" s="5"/>
      <c r="R2179" s="5"/>
      <c r="S2179" s="5"/>
      <c r="T2179" s="9"/>
      <c r="U2179" s="5"/>
      <c r="V2179" s="5">
        <v>0</v>
      </c>
      <c r="W2179" s="5"/>
      <c r="X2179" s="5"/>
      <c r="Y2179" s="5"/>
      <c r="Z2179" s="5"/>
      <c r="AA2179" s="5"/>
      <c r="AC2179" t="str">
        <f t="shared" si="307"/>
        <v/>
      </c>
      <c r="AD2179" t="str">
        <f t="shared" ref="AD2179:AD2242" si="308">IF(AND(ISNUMBER(S2179), ISNUMBER(I2179)), S2179 - I2179, "")</f>
        <v/>
      </c>
      <c r="AE2179" t="str">
        <f t="shared" ref="AE2179:AE2242" si="309">IF(AND(ISNUMBER(T2179), ISNUMBER(M2179)), T2179-M2179, "")</f>
        <v/>
      </c>
      <c r="AF2179" t="str">
        <f t="shared" ref="AF2179:AF2242" si="310">IF(AND(ISNUMBER(X2179), ISNUMBER(U2179)), X2179-U2179,"")</f>
        <v/>
      </c>
      <c r="AG2179" t="str">
        <f t="shared" ref="AG2179:AG2242" si="311">IF(AND(ISNUMBER(W2179), ISNUMBER(U2179)), W2179-U2179, "")</f>
        <v/>
      </c>
      <c r="AH2179">
        <f t="shared" ref="AH2179:AH2242" si="312">IF(AND(ISNUMBER(I2179), ISNUMBER(H2179)), I2179-H2179,"")</f>
        <v>1</v>
      </c>
      <c r="AI2179" t="str">
        <f t="shared" ref="AI2179:AI2242" si="313">IF(AND(ISNUMBER(J2179),ISNUMBER(K2179)),K2179-J2179,"")</f>
        <v/>
      </c>
      <c r="AJ2179" t="str">
        <f t="shared" ref="AJ2179:AJ2242" si="314">IF(AND(ISNUMBER(J2179),ISNUMBER(I2179)), J2179-I2179,"")</f>
        <v/>
      </c>
    </row>
    <row r="2180" spans="1:36">
      <c r="A2180" s="5">
        <v>2683</v>
      </c>
      <c r="B2180" s="5" t="s">
        <v>1827</v>
      </c>
      <c r="C2180" s="5" t="s">
        <v>1540</v>
      </c>
      <c r="D2180" s="5" t="s">
        <v>1820</v>
      </c>
      <c r="E2180" s="5" t="s">
        <v>39</v>
      </c>
      <c r="F2180" s="5" t="str">
        <f t="shared" si="306"/>
        <v>Finance-Analyst</v>
      </c>
      <c r="G2180" s="5" t="s">
        <v>40</v>
      </c>
      <c r="H2180" s="9">
        <v>45139.716412037036</v>
      </c>
      <c r="I2180" s="9">
        <v>45141.716412037036</v>
      </c>
      <c r="J2180" s="9" t="e">
        <f>I2180+#REF!</f>
        <v>#REF!</v>
      </c>
      <c r="K2180" s="9" t="e">
        <f>J2180+#REF!</f>
        <v>#REF!</v>
      </c>
      <c r="L2180" s="10" t="s">
        <v>41</v>
      </c>
      <c r="M2180" s="11">
        <v>45156.716412037036</v>
      </c>
      <c r="N2180" s="5" t="s">
        <v>64</v>
      </c>
      <c r="O2180" s="5"/>
      <c r="P2180" s="9">
        <v>45164.716412037036</v>
      </c>
      <c r="Q2180" s="5" t="s">
        <v>64</v>
      </c>
      <c r="R2180" s="9">
        <v>45157.716412037036</v>
      </c>
      <c r="S2180" s="9">
        <v>45161.716412037036</v>
      </c>
      <c r="T2180" s="9">
        <v>45160.716412037036</v>
      </c>
      <c r="U2180" s="9">
        <v>45167.716412037036</v>
      </c>
      <c r="V2180" s="12">
        <v>1</v>
      </c>
      <c r="W2180" s="9">
        <v>45169.716412037036</v>
      </c>
      <c r="X2180" s="9">
        <v>45170.716412037036</v>
      </c>
      <c r="Y2180" s="9">
        <v>45172.716412037036</v>
      </c>
      <c r="Z2180" s="5"/>
      <c r="AA2180" s="5"/>
      <c r="AB2180" s="13">
        <v>45194.716412037036</v>
      </c>
      <c r="AC2180">
        <f t="shared" si="307"/>
        <v>15</v>
      </c>
      <c r="AD2180">
        <f t="shared" si="308"/>
        <v>20</v>
      </c>
      <c r="AE2180">
        <f t="shared" si="309"/>
        <v>4</v>
      </c>
      <c r="AF2180">
        <f t="shared" si="310"/>
        <v>3</v>
      </c>
      <c r="AG2180">
        <f t="shared" si="311"/>
        <v>2</v>
      </c>
      <c r="AH2180">
        <f t="shared" si="312"/>
        <v>2</v>
      </c>
      <c r="AI2180" t="str">
        <f t="shared" si="313"/>
        <v/>
      </c>
      <c r="AJ2180" t="str">
        <f t="shared" si="314"/>
        <v/>
      </c>
    </row>
    <row r="2181" spans="1:36">
      <c r="A2181" s="5">
        <v>2684</v>
      </c>
      <c r="B2181" s="5" t="s">
        <v>1987</v>
      </c>
      <c r="C2181" s="5" t="s">
        <v>1540</v>
      </c>
      <c r="D2181" s="5" t="s">
        <v>1985</v>
      </c>
      <c r="E2181" s="5" t="s">
        <v>1986</v>
      </c>
      <c r="F2181" s="5" t="str">
        <f t="shared" si="306"/>
        <v>Finance-Revenue Recorgnition</v>
      </c>
      <c r="G2181" s="5" t="s">
        <v>47</v>
      </c>
      <c r="H2181" s="9">
        <v>45136.716412037036</v>
      </c>
      <c r="I2181" s="9">
        <v>45138.716412037036</v>
      </c>
      <c r="J2181" s="9" t="e">
        <f>I2181+#REF!</f>
        <v>#REF!</v>
      </c>
      <c r="K2181" s="9" t="e">
        <f>J2181+#REF!</f>
        <v>#REF!</v>
      </c>
      <c r="L2181" s="10" t="s">
        <v>52</v>
      </c>
      <c r="M2181" s="11"/>
      <c r="N2181" s="5"/>
      <c r="O2181" s="5"/>
      <c r="P2181" s="9"/>
      <c r="Q2181" s="5"/>
      <c r="R2181" s="5"/>
      <c r="S2181" s="5"/>
      <c r="T2181" s="9"/>
      <c r="U2181" s="5"/>
      <c r="V2181" s="5">
        <v>0</v>
      </c>
      <c r="W2181" s="5"/>
      <c r="X2181" s="5"/>
      <c r="Y2181" s="5"/>
      <c r="Z2181" s="5"/>
      <c r="AA2181" s="5"/>
      <c r="AC2181" t="str">
        <f t="shared" si="307"/>
        <v/>
      </c>
      <c r="AD2181" t="str">
        <f t="shared" si="308"/>
        <v/>
      </c>
      <c r="AE2181" t="str">
        <f t="shared" si="309"/>
        <v/>
      </c>
      <c r="AF2181" t="str">
        <f t="shared" si="310"/>
        <v/>
      </c>
      <c r="AG2181" t="str">
        <f t="shared" si="311"/>
        <v/>
      </c>
      <c r="AH2181">
        <f t="shared" si="312"/>
        <v>2</v>
      </c>
      <c r="AI2181" t="str">
        <f t="shared" si="313"/>
        <v/>
      </c>
      <c r="AJ2181" t="str">
        <f t="shared" si="314"/>
        <v/>
      </c>
    </row>
    <row r="2182" spans="1:36">
      <c r="A2182" s="5">
        <v>2685</v>
      </c>
      <c r="B2182" s="5" t="s">
        <v>1544</v>
      </c>
      <c r="C2182" s="5" t="s">
        <v>1540</v>
      </c>
      <c r="D2182" s="5" t="s">
        <v>1541</v>
      </c>
      <c r="E2182" s="5" t="s">
        <v>102</v>
      </c>
      <c r="F2182" s="5" t="str">
        <f t="shared" si="306"/>
        <v>Finance-Senior Manager</v>
      </c>
      <c r="G2182" s="5" t="s">
        <v>103</v>
      </c>
      <c r="H2182" s="9">
        <v>45137.716412037036</v>
      </c>
      <c r="I2182" s="9">
        <v>45141.716412037036</v>
      </c>
      <c r="J2182" s="9" t="e">
        <f>I2182+#REF!</f>
        <v>#REF!</v>
      </c>
      <c r="K2182" s="9" t="e">
        <f>J2182+#REF!</f>
        <v>#REF!</v>
      </c>
      <c r="L2182" s="10" t="s">
        <v>41</v>
      </c>
      <c r="M2182" s="11">
        <v>45154.716412037036</v>
      </c>
      <c r="N2182" s="5" t="s">
        <v>42</v>
      </c>
      <c r="O2182" s="5" t="s">
        <v>113</v>
      </c>
      <c r="P2182" s="9"/>
      <c r="Q2182" s="5"/>
      <c r="R2182" s="5"/>
      <c r="S2182" s="5"/>
      <c r="T2182" s="9"/>
      <c r="U2182" s="5"/>
      <c r="V2182" s="5">
        <v>0</v>
      </c>
      <c r="W2182" s="5"/>
      <c r="X2182" s="5"/>
      <c r="Y2182" s="5"/>
      <c r="Z2182" s="5"/>
      <c r="AA2182" s="5" t="s">
        <v>62</v>
      </c>
      <c r="AC2182">
        <f t="shared" si="307"/>
        <v>13</v>
      </c>
      <c r="AD2182" t="str">
        <f t="shared" si="308"/>
        <v/>
      </c>
      <c r="AE2182" t="str">
        <f t="shared" si="309"/>
        <v/>
      </c>
      <c r="AF2182" t="str">
        <f t="shared" si="310"/>
        <v/>
      </c>
      <c r="AG2182" t="str">
        <f t="shared" si="311"/>
        <v/>
      </c>
      <c r="AH2182">
        <f t="shared" si="312"/>
        <v>4</v>
      </c>
      <c r="AI2182" t="str">
        <f t="shared" si="313"/>
        <v/>
      </c>
      <c r="AJ2182" t="str">
        <f t="shared" si="314"/>
        <v/>
      </c>
    </row>
    <row r="2183" spans="1:36">
      <c r="A2183" s="5">
        <v>2687</v>
      </c>
      <c r="B2183" s="5" t="s">
        <v>1826</v>
      </c>
      <c r="C2183" s="5" t="s">
        <v>1540</v>
      </c>
      <c r="D2183" s="5" t="s">
        <v>1820</v>
      </c>
      <c r="E2183" s="5" t="s">
        <v>39</v>
      </c>
      <c r="F2183" s="5" t="str">
        <f t="shared" si="306"/>
        <v>Finance-Analyst</v>
      </c>
      <c r="G2183" s="5" t="s">
        <v>40</v>
      </c>
      <c r="H2183" s="9">
        <v>45134.716412037036</v>
      </c>
      <c r="I2183" s="9">
        <v>45137.716412037036</v>
      </c>
      <c r="J2183" s="9" t="e">
        <f>I2183+#REF!</f>
        <v>#REF!</v>
      </c>
      <c r="K2183" s="9" t="e">
        <f>J2183+#REF!</f>
        <v>#REF!</v>
      </c>
      <c r="L2183" s="10" t="s">
        <v>41</v>
      </c>
      <c r="M2183" s="11">
        <v>45146.716412037036</v>
      </c>
      <c r="N2183" s="5" t="s">
        <v>42</v>
      </c>
      <c r="O2183" s="5" t="s">
        <v>73</v>
      </c>
      <c r="P2183" s="9"/>
      <c r="Q2183" s="5"/>
      <c r="R2183" s="5"/>
      <c r="S2183" s="5"/>
      <c r="T2183" s="9">
        <v>45150.716412037036</v>
      </c>
      <c r="U2183" s="5"/>
      <c r="V2183" s="5">
        <v>0</v>
      </c>
      <c r="W2183" s="5"/>
      <c r="X2183" s="5"/>
      <c r="Y2183" s="5"/>
      <c r="Z2183" s="5"/>
      <c r="AA2183" s="5" t="s">
        <v>44</v>
      </c>
      <c r="AC2183">
        <f t="shared" si="307"/>
        <v>9</v>
      </c>
      <c r="AD2183" t="str">
        <f t="shared" si="308"/>
        <v/>
      </c>
      <c r="AE2183">
        <f t="shared" si="309"/>
        <v>4</v>
      </c>
      <c r="AF2183" t="str">
        <f t="shared" si="310"/>
        <v/>
      </c>
      <c r="AG2183" t="str">
        <f t="shared" si="311"/>
        <v/>
      </c>
      <c r="AH2183">
        <f t="shared" si="312"/>
        <v>3</v>
      </c>
      <c r="AI2183" t="str">
        <f t="shared" si="313"/>
        <v/>
      </c>
      <c r="AJ2183" t="str">
        <f t="shared" si="314"/>
        <v/>
      </c>
    </row>
    <row r="2184" spans="1:36">
      <c r="A2184" s="5">
        <v>2688</v>
      </c>
      <c r="B2184" s="5" t="s">
        <v>1595</v>
      </c>
      <c r="C2184" s="5" t="s">
        <v>1540</v>
      </c>
      <c r="D2184" s="5" t="s">
        <v>1588</v>
      </c>
      <c r="E2184" s="5" t="s">
        <v>1360</v>
      </c>
      <c r="F2184" s="5" t="str">
        <f t="shared" si="306"/>
        <v>Finance-Fund Administrator</v>
      </c>
      <c r="G2184" s="5" t="s">
        <v>147</v>
      </c>
      <c r="H2184" s="9">
        <v>45137.716412037036</v>
      </c>
      <c r="I2184" s="9">
        <v>45141.716412037036</v>
      </c>
      <c r="J2184" s="9" t="e">
        <f>I2184+#REF!</f>
        <v>#REF!</v>
      </c>
      <c r="K2184" s="9" t="e">
        <f>J2184+#REF!</f>
        <v>#REF!</v>
      </c>
      <c r="L2184" s="10" t="s">
        <v>41</v>
      </c>
      <c r="M2184" s="11">
        <v>45151.716412037036</v>
      </c>
      <c r="N2184" s="5" t="s">
        <v>48</v>
      </c>
      <c r="O2184" s="5"/>
      <c r="P2184" s="9">
        <v>45156.716412037036</v>
      </c>
      <c r="Q2184" s="5" t="s">
        <v>48</v>
      </c>
      <c r="R2184" s="5"/>
      <c r="S2184" s="5"/>
      <c r="T2184" s="9">
        <v>45155.716412037036</v>
      </c>
      <c r="U2184" s="5"/>
      <c r="V2184" s="5">
        <v>0</v>
      </c>
      <c r="W2184" s="5"/>
      <c r="X2184" s="5"/>
      <c r="Y2184" s="5"/>
      <c r="Z2184" s="5"/>
      <c r="AA2184" s="5"/>
      <c r="AC2184">
        <f t="shared" si="307"/>
        <v>10</v>
      </c>
      <c r="AD2184" t="str">
        <f t="shared" si="308"/>
        <v/>
      </c>
      <c r="AE2184">
        <f t="shared" si="309"/>
        <v>4</v>
      </c>
      <c r="AF2184" t="str">
        <f t="shared" si="310"/>
        <v/>
      </c>
      <c r="AG2184" t="str">
        <f t="shared" si="311"/>
        <v/>
      </c>
      <c r="AH2184">
        <f t="shared" si="312"/>
        <v>4</v>
      </c>
      <c r="AI2184" t="str">
        <f t="shared" si="313"/>
        <v/>
      </c>
      <c r="AJ2184" t="str">
        <f t="shared" si="314"/>
        <v/>
      </c>
    </row>
    <row r="2185" spans="1:36">
      <c r="A2185" s="5">
        <v>2689</v>
      </c>
      <c r="B2185" s="5" t="s">
        <v>1825</v>
      </c>
      <c r="C2185" s="5" t="s">
        <v>1540</v>
      </c>
      <c r="D2185" s="5" t="s">
        <v>1820</v>
      </c>
      <c r="E2185" s="5" t="s">
        <v>39</v>
      </c>
      <c r="F2185" s="5" t="str">
        <f t="shared" si="306"/>
        <v>Finance-Analyst</v>
      </c>
      <c r="G2185" s="5" t="s">
        <v>40</v>
      </c>
      <c r="H2185" s="9">
        <v>45135.716412037036</v>
      </c>
      <c r="I2185" s="9">
        <v>45138.716412037036</v>
      </c>
      <c r="J2185" s="9" t="e">
        <f>I2185+#REF!</f>
        <v>#REF!</v>
      </c>
      <c r="K2185" s="9" t="e">
        <f>J2185+#REF!</f>
        <v>#REF!</v>
      </c>
      <c r="L2185" s="10" t="s">
        <v>41</v>
      </c>
      <c r="M2185" s="11">
        <v>45156.716412037036</v>
      </c>
      <c r="N2185" s="5" t="s">
        <v>64</v>
      </c>
      <c r="O2185" s="5"/>
      <c r="P2185" s="9">
        <v>45164.716412037036</v>
      </c>
      <c r="Q2185" s="5" t="s">
        <v>64</v>
      </c>
      <c r="R2185" s="9">
        <v>45158.716412037036</v>
      </c>
      <c r="S2185" s="9">
        <v>45162.716412037036</v>
      </c>
      <c r="T2185" s="9">
        <v>45160.716412037036</v>
      </c>
      <c r="U2185" s="9">
        <v>45166.716412037036</v>
      </c>
      <c r="V2185" s="12">
        <v>1</v>
      </c>
      <c r="W2185" s="9">
        <v>45169.716412037036</v>
      </c>
      <c r="X2185" s="9">
        <v>45170.716412037036</v>
      </c>
      <c r="Y2185" s="9">
        <v>45171.716412037036</v>
      </c>
      <c r="Z2185" s="5"/>
      <c r="AA2185" s="5"/>
      <c r="AB2185" s="13">
        <v>45185.716412037036</v>
      </c>
      <c r="AC2185">
        <f t="shared" si="307"/>
        <v>18</v>
      </c>
      <c r="AD2185">
        <f t="shared" si="308"/>
        <v>24</v>
      </c>
      <c r="AE2185">
        <f t="shared" si="309"/>
        <v>4</v>
      </c>
      <c r="AF2185">
        <f t="shared" si="310"/>
        <v>4</v>
      </c>
      <c r="AG2185">
        <f t="shared" si="311"/>
        <v>3</v>
      </c>
      <c r="AH2185">
        <f t="shared" si="312"/>
        <v>3</v>
      </c>
      <c r="AI2185" t="str">
        <f t="shared" si="313"/>
        <v/>
      </c>
      <c r="AJ2185" t="str">
        <f t="shared" si="314"/>
        <v/>
      </c>
    </row>
    <row r="2186" spans="1:36">
      <c r="A2186" s="5">
        <v>2690</v>
      </c>
      <c r="B2186" s="5" t="s">
        <v>1543</v>
      </c>
      <c r="C2186" s="5" t="s">
        <v>1540</v>
      </c>
      <c r="D2186" s="5" t="s">
        <v>1541</v>
      </c>
      <c r="E2186" s="5" t="s">
        <v>102</v>
      </c>
      <c r="F2186" s="5" t="str">
        <f t="shared" si="306"/>
        <v>Finance-Senior Manager</v>
      </c>
      <c r="G2186" s="5" t="s">
        <v>103</v>
      </c>
      <c r="H2186" s="9">
        <v>45134.716412037036</v>
      </c>
      <c r="I2186" s="9">
        <v>45137.716412037036</v>
      </c>
      <c r="J2186" s="9" t="e">
        <f>I2186+#REF!</f>
        <v>#REF!</v>
      </c>
      <c r="K2186" s="9" t="e">
        <f>J2186+#REF!</f>
        <v>#REF!</v>
      </c>
      <c r="L2186" s="10" t="s">
        <v>41</v>
      </c>
      <c r="M2186" s="11">
        <v>45160.716412037036</v>
      </c>
      <c r="N2186" s="5" t="s">
        <v>42</v>
      </c>
      <c r="O2186" s="5" t="s">
        <v>43</v>
      </c>
      <c r="P2186" s="9"/>
      <c r="Q2186" s="5"/>
      <c r="R2186" s="5"/>
      <c r="S2186" s="5"/>
      <c r="T2186" s="9"/>
      <c r="U2186" s="5"/>
      <c r="V2186" s="5">
        <v>0</v>
      </c>
      <c r="W2186" s="5"/>
      <c r="X2186" s="5"/>
      <c r="Y2186" s="5"/>
      <c r="Z2186" s="5"/>
      <c r="AA2186" s="5" t="s">
        <v>62</v>
      </c>
      <c r="AC2186">
        <f t="shared" si="307"/>
        <v>23</v>
      </c>
      <c r="AD2186" t="str">
        <f t="shared" si="308"/>
        <v/>
      </c>
      <c r="AE2186" t="str">
        <f t="shared" si="309"/>
        <v/>
      </c>
      <c r="AF2186" t="str">
        <f t="shared" si="310"/>
        <v/>
      </c>
      <c r="AG2186" t="str">
        <f t="shared" si="311"/>
        <v/>
      </c>
      <c r="AH2186">
        <f t="shared" si="312"/>
        <v>3</v>
      </c>
      <c r="AI2186" t="str">
        <f t="shared" si="313"/>
        <v/>
      </c>
      <c r="AJ2186" t="str">
        <f t="shared" si="314"/>
        <v/>
      </c>
    </row>
    <row r="2187" spans="1:36">
      <c r="A2187" s="5">
        <v>2693</v>
      </c>
      <c r="B2187" s="5" t="s">
        <v>963</v>
      </c>
      <c r="C2187" s="5" t="s">
        <v>796</v>
      </c>
      <c r="D2187" s="5" t="s">
        <v>957</v>
      </c>
      <c r="E2187" s="5" t="s">
        <v>39</v>
      </c>
      <c r="F2187" s="5" t="str">
        <f t="shared" si="306"/>
        <v>M and E-Analyst</v>
      </c>
      <c r="G2187" s="5" t="s">
        <v>40</v>
      </c>
      <c r="H2187" s="9">
        <v>45017.99291666667</v>
      </c>
      <c r="I2187" s="9">
        <v>45019.99291666667</v>
      </c>
      <c r="J2187" s="9" t="e">
        <f>I2187+#REF!</f>
        <v>#REF!</v>
      </c>
      <c r="K2187" s="9" t="e">
        <f>J2187+#REF!</f>
        <v>#REF!</v>
      </c>
      <c r="L2187" s="10" t="s">
        <v>41</v>
      </c>
      <c r="M2187" s="11">
        <v>45035.99291666667</v>
      </c>
      <c r="N2187" s="5" t="s">
        <v>167</v>
      </c>
      <c r="O2187" s="5"/>
      <c r="P2187" s="9">
        <v>45039.99291666667</v>
      </c>
      <c r="Q2187" s="5" t="s">
        <v>167</v>
      </c>
      <c r="R2187" s="5"/>
      <c r="S2187" s="5"/>
      <c r="T2187" s="9">
        <v>45036.99291666667</v>
      </c>
      <c r="U2187" s="5"/>
      <c r="V2187" s="5">
        <v>0</v>
      </c>
      <c r="W2187" s="5"/>
      <c r="X2187" s="5"/>
      <c r="Y2187" s="5"/>
      <c r="Z2187" s="5"/>
      <c r="AA2187" s="5"/>
      <c r="AC2187">
        <f t="shared" si="307"/>
        <v>16</v>
      </c>
      <c r="AD2187" t="str">
        <f t="shared" si="308"/>
        <v/>
      </c>
      <c r="AE2187">
        <f t="shared" si="309"/>
        <v>1</v>
      </c>
      <c r="AF2187" t="str">
        <f t="shared" si="310"/>
        <v/>
      </c>
      <c r="AG2187" t="str">
        <f t="shared" si="311"/>
        <v/>
      </c>
      <c r="AH2187">
        <f t="shared" si="312"/>
        <v>2</v>
      </c>
      <c r="AI2187" t="str">
        <f t="shared" si="313"/>
        <v/>
      </c>
      <c r="AJ2187" t="str">
        <f t="shared" si="314"/>
        <v/>
      </c>
    </row>
    <row r="2188" spans="1:36">
      <c r="A2188" s="5">
        <v>2694</v>
      </c>
      <c r="B2188" s="5" t="s">
        <v>1054</v>
      </c>
      <c r="C2188" s="5" t="s">
        <v>796</v>
      </c>
      <c r="D2188" s="5" t="s">
        <v>1046</v>
      </c>
      <c r="E2188" s="5" t="s">
        <v>388</v>
      </c>
      <c r="F2188" s="5" t="str">
        <f t="shared" si="306"/>
        <v>M and E-Extension Officer</v>
      </c>
      <c r="G2188" s="5" t="s">
        <v>47</v>
      </c>
      <c r="H2188" s="9">
        <v>45015.99291666667</v>
      </c>
      <c r="I2188" s="9">
        <v>45019.99291666667</v>
      </c>
      <c r="J2188" s="9" t="e">
        <f>I2188+#REF!</f>
        <v>#REF!</v>
      </c>
      <c r="K2188" s="9" t="e">
        <f>J2188+#REF!</f>
        <v>#REF!</v>
      </c>
      <c r="L2188" s="10" t="s">
        <v>41</v>
      </c>
      <c r="M2188" s="11">
        <v>45026.99291666667</v>
      </c>
      <c r="N2188" s="5" t="s">
        <v>48</v>
      </c>
      <c r="O2188" s="5"/>
      <c r="P2188" s="9">
        <v>45032.99291666667</v>
      </c>
      <c r="Q2188" s="5" t="s">
        <v>48</v>
      </c>
      <c r="R2188" s="5"/>
      <c r="S2188" s="5"/>
      <c r="T2188" s="9">
        <v>45028.99291666667</v>
      </c>
      <c r="U2188" s="5"/>
      <c r="V2188" s="5">
        <v>0</v>
      </c>
      <c r="W2188" s="5"/>
      <c r="X2188" s="5"/>
      <c r="Y2188" s="5"/>
      <c r="Z2188" s="5"/>
      <c r="AA2188" s="5"/>
      <c r="AC2188">
        <f t="shared" si="307"/>
        <v>7</v>
      </c>
      <c r="AD2188" t="str">
        <f t="shared" si="308"/>
        <v/>
      </c>
      <c r="AE2188">
        <f t="shared" si="309"/>
        <v>2</v>
      </c>
      <c r="AF2188" t="str">
        <f t="shared" si="310"/>
        <v/>
      </c>
      <c r="AG2188" t="str">
        <f t="shared" si="311"/>
        <v/>
      </c>
      <c r="AH2188">
        <f t="shared" si="312"/>
        <v>4</v>
      </c>
      <c r="AI2188" t="str">
        <f t="shared" si="313"/>
        <v/>
      </c>
      <c r="AJ2188" t="str">
        <f t="shared" si="314"/>
        <v/>
      </c>
    </row>
    <row r="2189" spans="1:36">
      <c r="A2189" s="5">
        <v>2696</v>
      </c>
      <c r="B2189" s="5" t="s">
        <v>802</v>
      </c>
      <c r="C2189" s="5" t="s">
        <v>796</v>
      </c>
      <c r="D2189" s="5" t="s">
        <v>797</v>
      </c>
      <c r="E2189" s="5" t="s">
        <v>709</v>
      </c>
      <c r="F2189" s="5" t="str">
        <f t="shared" si="306"/>
        <v>M and E-Lead</v>
      </c>
      <c r="G2189" s="5" t="s">
        <v>103</v>
      </c>
      <c r="H2189" s="9">
        <v>45017.99291666667</v>
      </c>
      <c r="I2189" s="9">
        <v>45021.99291666667</v>
      </c>
      <c r="J2189" s="9" t="e">
        <f>I2189+#REF!</f>
        <v>#REF!</v>
      </c>
      <c r="K2189" s="9" t="e">
        <f>J2189+#REF!</f>
        <v>#REF!</v>
      </c>
      <c r="L2189" s="10" t="s">
        <v>41</v>
      </c>
      <c r="M2189" s="11">
        <v>45034.99291666667</v>
      </c>
      <c r="N2189" s="5" t="s">
        <v>42</v>
      </c>
      <c r="O2189" s="5" t="s">
        <v>58</v>
      </c>
      <c r="P2189" s="9"/>
      <c r="Q2189" s="5"/>
      <c r="R2189" s="5"/>
      <c r="S2189" s="5"/>
      <c r="T2189" s="9"/>
      <c r="U2189" s="5"/>
      <c r="V2189" s="5">
        <v>0</v>
      </c>
      <c r="W2189" s="5"/>
      <c r="X2189" s="5"/>
      <c r="Y2189" s="5"/>
      <c r="Z2189" s="5"/>
      <c r="AA2189" s="5" t="s">
        <v>44</v>
      </c>
      <c r="AC2189">
        <f t="shared" si="307"/>
        <v>13</v>
      </c>
      <c r="AD2189" t="str">
        <f t="shared" si="308"/>
        <v/>
      </c>
      <c r="AE2189" t="str">
        <f t="shared" si="309"/>
        <v/>
      </c>
      <c r="AF2189" t="str">
        <f t="shared" si="310"/>
        <v/>
      </c>
      <c r="AG2189" t="str">
        <f t="shared" si="311"/>
        <v/>
      </c>
      <c r="AH2189">
        <f t="shared" si="312"/>
        <v>4</v>
      </c>
      <c r="AI2189" t="str">
        <f t="shared" si="313"/>
        <v/>
      </c>
      <c r="AJ2189" t="str">
        <f t="shared" si="314"/>
        <v/>
      </c>
    </row>
    <row r="2190" spans="1:36">
      <c r="A2190" s="5">
        <v>2697</v>
      </c>
      <c r="B2190" s="5" t="s">
        <v>826</v>
      </c>
      <c r="C2190" s="5" t="s">
        <v>796</v>
      </c>
      <c r="D2190" s="5" t="s">
        <v>814</v>
      </c>
      <c r="E2190" s="5" t="s">
        <v>815</v>
      </c>
      <c r="F2190" s="5" t="str">
        <f t="shared" si="306"/>
        <v>M and E-Auditor</v>
      </c>
      <c r="G2190" s="5" t="s">
        <v>147</v>
      </c>
      <c r="H2190" s="9">
        <v>45020.99291666667</v>
      </c>
      <c r="I2190" s="9">
        <v>45022.99291666667</v>
      </c>
      <c r="J2190" s="9" t="e">
        <f>I2190+#REF!</f>
        <v>#REF!</v>
      </c>
      <c r="K2190" s="9" t="e">
        <f>J2190+#REF!</f>
        <v>#REF!</v>
      </c>
      <c r="L2190" s="10" t="s">
        <v>41</v>
      </c>
      <c r="M2190" s="11">
        <v>45029.99291666667</v>
      </c>
      <c r="N2190" s="5" t="s">
        <v>42</v>
      </c>
      <c r="O2190" s="5" t="s">
        <v>98</v>
      </c>
      <c r="P2190" s="9"/>
      <c r="Q2190" s="5"/>
      <c r="R2190" s="5"/>
      <c r="S2190" s="5"/>
      <c r="T2190" s="9"/>
      <c r="U2190" s="5"/>
      <c r="V2190" s="5">
        <v>0</v>
      </c>
      <c r="W2190" s="5"/>
      <c r="X2190" s="5"/>
      <c r="Y2190" s="5"/>
      <c r="Z2190" s="5"/>
      <c r="AA2190" s="5" t="s">
        <v>44</v>
      </c>
      <c r="AC2190">
        <f t="shared" si="307"/>
        <v>7</v>
      </c>
      <c r="AD2190" t="str">
        <f t="shared" si="308"/>
        <v/>
      </c>
      <c r="AE2190" t="str">
        <f t="shared" si="309"/>
        <v/>
      </c>
      <c r="AF2190" t="str">
        <f t="shared" si="310"/>
        <v/>
      </c>
      <c r="AG2190" t="str">
        <f t="shared" si="311"/>
        <v/>
      </c>
      <c r="AH2190">
        <f t="shared" si="312"/>
        <v>2</v>
      </c>
      <c r="AI2190" t="str">
        <f t="shared" si="313"/>
        <v/>
      </c>
      <c r="AJ2190" t="str">
        <f t="shared" si="314"/>
        <v/>
      </c>
    </row>
    <row r="2191" spans="1:36">
      <c r="A2191" s="5">
        <v>2698</v>
      </c>
      <c r="B2191" s="5" t="s">
        <v>825</v>
      </c>
      <c r="C2191" s="5" t="s">
        <v>796</v>
      </c>
      <c r="D2191" s="5" t="s">
        <v>814</v>
      </c>
      <c r="E2191" s="5" t="s">
        <v>815</v>
      </c>
      <c r="F2191" s="5" t="str">
        <f t="shared" si="306"/>
        <v>M and E-Auditor</v>
      </c>
      <c r="G2191" s="5" t="s">
        <v>147</v>
      </c>
      <c r="H2191" s="9">
        <v>45016.99291666667</v>
      </c>
      <c r="I2191" s="9">
        <v>45018.99291666667</v>
      </c>
      <c r="J2191" s="9" t="e">
        <f>I2191+#REF!</f>
        <v>#REF!</v>
      </c>
      <c r="K2191" s="9" t="e">
        <f>J2191+#REF!</f>
        <v>#REF!</v>
      </c>
      <c r="L2191" s="10" t="s">
        <v>52</v>
      </c>
      <c r="M2191" s="11"/>
      <c r="N2191" s="5"/>
      <c r="O2191" s="5"/>
      <c r="P2191" s="9"/>
      <c r="Q2191" s="5"/>
      <c r="R2191" s="5"/>
      <c r="S2191" s="5"/>
      <c r="T2191" s="9"/>
      <c r="U2191" s="5"/>
      <c r="V2191" s="5">
        <v>0</v>
      </c>
      <c r="W2191" s="5"/>
      <c r="X2191" s="5"/>
      <c r="Y2191" s="5"/>
      <c r="Z2191" s="5"/>
      <c r="AA2191" s="5"/>
      <c r="AC2191" t="str">
        <f t="shared" si="307"/>
        <v/>
      </c>
      <c r="AD2191" t="str">
        <f t="shared" si="308"/>
        <v/>
      </c>
      <c r="AE2191" t="str">
        <f t="shared" si="309"/>
        <v/>
      </c>
      <c r="AF2191" t="str">
        <f t="shared" si="310"/>
        <v/>
      </c>
      <c r="AG2191" t="str">
        <f t="shared" si="311"/>
        <v/>
      </c>
      <c r="AH2191">
        <f t="shared" si="312"/>
        <v>2</v>
      </c>
      <c r="AI2191" t="str">
        <f t="shared" si="313"/>
        <v/>
      </c>
      <c r="AJ2191" t="str">
        <f t="shared" si="314"/>
        <v/>
      </c>
    </row>
    <row r="2192" spans="1:36">
      <c r="A2192" s="5">
        <v>2699</v>
      </c>
      <c r="B2192" s="5" t="s">
        <v>1053</v>
      </c>
      <c r="C2192" s="5" t="s">
        <v>796</v>
      </c>
      <c r="D2192" s="5" t="s">
        <v>1046</v>
      </c>
      <c r="E2192" s="5" t="s">
        <v>388</v>
      </c>
      <c r="F2192" s="5" t="str">
        <f t="shared" si="306"/>
        <v>M and E-Extension Officer</v>
      </c>
      <c r="G2192" s="5" t="s">
        <v>47</v>
      </c>
      <c r="H2192" s="9">
        <v>45021.99291666667</v>
      </c>
      <c r="I2192" s="9">
        <v>45022.99291666667</v>
      </c>
      <c r="J2192" s="9" t="e">
        <f>I2192+#REF!</f>
        <v>#REF!</v>
      </c>
      <c r="K2192" s="9" t="e">
        <f>J2192+#REF!</f>
        <v>#REF!</v>
      </c>
      <c r="L2192" s="10" t="s">
        <v>41</v>
      </c>
      <c r="M2192" s="11">
        <v>45033.99291666667</v>
      </c>
      <c r="N2192" s="5" t="s">
        <v>48</v>
      </c>
      <c r="O2192" s="5"/>
      <c r="P2192" s="9">
        <v>45039.99291666667</v>
      </c>
      <c r="Q2192" s="5" t="s">
        <v>48</v>
      </c>
      <c r="R2192" s="5"/>
      <c r="S2192" s="5"/>
      <c r="T2192" s="9">
        <v>45035.99291666667</v>
      </c>
      <c r="U2192" s="5"/>
      <c r="V2192" s="5">
        <v>0</v>
      </c>
      <c r="W2192" s="5"/>
      <c r="X2192" s="5"/>
      <c r="Y2192" s="5"/>
      <c r="Z2192" s="5"/>
      <c r="AA2192" s="5"/>
      <c r="AC2192">
        <f t="shared" si="307"/>
        <v>11</v>
      </c>
      <c r="AD2192" t="str">
        <f t="shared" si="308"/>
        <v/>
      </c>
      <c r="AE2192">
        <f t="shared" si="309"/>
        <v>2</v>
      </c>
      <c r="AF2192" t="str">
        <f t="shared" si="310"/>
        <v/>
      </c>
      <c r="AG2192" t="str">
        <f t="shared" si="311"/>
        <v/>
      </c>
      <c r="AH2192">
        <f t="shared" si="312"/>
        <v>1</v>
      </c>
      <c r="AI2192" t="str">
        <f t="shared" si="313"/>
        <v/>
      </c>
      <c r="AJ2192" t="str">
        <f t="shared" si="314"/>
        <v/>
      </c>
    </row>
    <row r="2193" spans="1:36">
      <c r="A2193" s="5">
        <v>2700</v>
      </c>
      <c r="B2193" s="5" t="s">
        <v>824</v>
      </c>
      <c r="C2193" s="5" t="s">
        <v>796</v>
      </c>
      <c r="D2193" s="5" t="s">
        <v>814</v>
      </c>
      <c r="E2193" s="5" t="s">
        <v>815</v>
      </c>
      <c r="F2193" s="5" t="str">
        <f t="shared" si="306"/>
        <v>M and E-Auditor</v>
      </c>
      <c r="G2193" s="5" t="s">
        <v>147</v>
      </c>
      <c r="H2193" s="9">
        <v>45016.99291666667</v>
      </c>
      <c r="I2193" s="9">
        <v>45019.99291666667</v>
      </c>
      <c r="J2193" s="9" t="e">
        <f>I2193+#REF!</f>
        <v>#REF!</v>
      </c>
      <c r="K2193" s="9" t="e">
        <f>J2193+#REF!</f>
        <v>#REF!</v>
      </c>
      <c r="L2193" s="10" t="s">
        <v>41</v>
      </c>
      <c r="M2193" s="11">
        <v>45028.99291666667</v>
      </c>
      <c r="N2193" s="5" t="s">
        <v>64</v>
      </c>
      <c r="O2193" s="5"/>
      <c r="P2193" s="9">
        <v>45035.99291666667</v>
      </c>
      <c r="Q2193" s="5" t="s">
        <v>64</v>
      </c>
      <c r="R2193" s="9">
        <v>45029.99291666667</v>
      </c>
      <c r="S2193" s="9">
        <v>45031.99291666667</v>
      </c>
      <c r="T2193" s="9">
        <v>45032.99291666667</v>
      </c>
      <c r="U2193" s="9">
        <v>45036.99291666667</v>
      </c>
      <c r="V2193" s="12">
        <v>1</v>
      </c>
      <c r="W2193" s="9">
        <v>45038.99291666667</v>
      </c>
      <c r="X2193" s="9">
        <v>45041.99291666667</v>
      </c>
      <c r="Y2193" s="9">
        <v>45042.99291666667</v>
      </c>
      <c r="Z2193" s="5"/>
      <c r="AA2193" s="5"/>
      <c r="AB2193" s="13">
        <v>45052.99291666667</v>
      </c>
      <c r="AC2193">
        <f t="shared" si="307"/>
        <v>9</v>
      </c>
      <c r="AD2193">
        <f t="shared" si="308"/>
        <v>12</v>
      </c>
      <c r="AE2193">
        <f t="shared" si="309"/>
        <v>4</v>
      </c>
      <c r="AF2193">
        <f t="shared" si="310"/>
        <v>5</v>
      </c>
      <c r="AG2193">
        <f t="shared" si="311"/>
        <v>2</v>
      </c>
      <c r="AH2193">
        <f t="shared" si="312"/>
        <v>3</v>
      </c>
      <c r="AI2193" t="str">
        <f t="shared" si="313"/>
        <v/>
      </c>
      <c r="AJ2193" t="str">
        <f t="shared" si="314"/>
        <v/>
      </c>
    </row>
    <row r="2194" spans="1:36">
      <c r="A2194" s="5">
        <v>2701</v>
      </c>
      <c r="B2194" s="5" t="s">
        <v>2357</v>
      </c>
      <c r="C2194" s="5" t="s">
        <v>2229</v>
      </c>
      <c r="D2194" s="5" t="s">
        <v>2350</v>
      </c>
      <c r="E2194" s="5" t="s">
        <v>2351</v>
      </c>
      <c r="F2194" s="5" t="str">
        <f t="shared" si="306"/>
        <v>Capacity Building-Training Associate</v>
      </c>
      <c r="G2194" s="5" t="s">
        <v>40</v>
      </c>
      <c r="H2194" s="9">
        <v>44832.495787037034</v>
      </c>
      <c r="I2194" s="9">
        <v>44833.495787037034</v>
      </c>
      <c r="J2194" s="9" t="e">
        <f>I2194+#REF!</f>
        <v>#REF!</v>
      </c>
      <c r="K2194" s="9" t="e">
        <f>J2194+#REF!</f>
        <v>#REF!</v>
      </c>
      <c r="L2194" s="10" t="s">
        <v>41</v>
      </c>
      <c r="M2194" s="11">
        <v>44841.495787037034</v>
      </c>
      <c r="N2194" s="5" t="s">
        <v>64</v>
      </c>
      <c r="O2194" s="5"/>
      <c r="P2194" s="9">
        <v>44846.495787037034</v>
      </c>
      <c r="Q2194" s="5" t="s">
        <v>64</v>
      </c>
      <c r="R2194" s="9">
        <v>44842.495787037034</v>
      </c>
      <c r="S2194" s="9">
        <v>44846.495787037034</v>
      </c>
      <c r="T2194" s="9">
        <v>44844.495787037034</v>
      </c>
      <c r="U2194" s="9">
        <v>44847.495787037034</v>
      </c>
      <c r="V2194" s="12">
        <v>1</v>
      </c>
      <c r="W2194" s="9">
        <v>44849.495787037034</v>
      </c>
      <c r="X2194" s="9">
        <v>44850.495787037034</v>
      </c>
      <c r="Y2194" s="9">
        <v>44853.495787037034</v>
      </c>
      <c r="Z2194" s="5"/>
      <c r="AA2194" s="5"/>
      <c r="AB2194" s="13">
        <v>44868.495787037034</v>
      </c>
      <c r="AC2194">
        <f t="shared" si="307"/>
        <v>8</v>
      </c>
      <c r="AD2194">
        <f t="shared" si="308"/>
        <v>13</v>
      </c>
      <c r="AE2194">
        <f t="shared" si="309"/>
        <v>3</v>
      </c>
      <c r="AF2194">
        <f t="shared" si="310"/>
        <v>3</v>
      </c>
      <c r="AG2194">
        <f t="shared" si="311"/>
        <v>2</v>
      </c>
      <c r="AH2194">
        <f t="shared" si="312"/>
        <v>1</v>
      </c>
      <c r="AI2194" t="str">
        <f t="shared" si="313"/>
        <v/>
      </c>
      <c r="AJ2194" t="str">
        <f t="shared" si="314"/>
        <v/>
      </c>
    </row>
    <row r="2195" spans="1:36">
      <c r="A2195" s="5">
        <v>2703</v>
      </c>
      <c r="B2195" s="5" t="s">
        <v>2254</v>
      </c>
      <c r="C2195" s="5" t="s">
        <v>2229</v>
      </c>
      <c r="D2195" s="5" t="s">
        <v>2250</v>
      </c>
      <c r="E2195" s="5" t="s">
        <v>388</v>
      </c>
      <c r="F2195" s="5" t="str">
        <f t="shared" si="306"/>
        <v>Capacity Building-Extension Officer</v>
      </c>
      <c r="G2195" s="5" t="s">
        <v>147</v>
      </c>
      <c r="H2195" s="9">
        <v>44829.495787037034</v>
      </c>
      <c r="I2195" s="9">
        <v>44832.495787037034</v>
      </c>
      <c r="J2195" s="9" t="e">
        <f>I2195+#REF!</f>
        <v>#REF!</v>
      </c>
      <c r="K2195" s="9" t="e">
        <f>J2195+#REF!</f>
        <v>#REF!</v>
      </c>
      <c r="L2195" s="10" t="s">
        <v>52</v>
      </c>
      <c r="M2195" s="11"/>
      <c r="N2195" s="5"/>
      <c r="O2195" s="5"/>
      <c r="P2195" s="9"/>
      <c r="Q2195" s="5"/>
      <c r="R2195" s="5"/>
      <c r="S2195" s="5"/>
      <c r="T2195" s="9"/>
      <c r="U2195" s="5"/>
      <c r="V2195" s="5">
        <v>0</v>
      </c>
      <c r="W2195" s="5"/>
      <c r="X2195" s="5"/>
      <c r="Y2195" s="5"/>
      <c r="Z2195" s="5"/>
      <c r="AA2195" s="5"/>
      <c r="AC2195" t="str">
        <f t="shared" si="307"/>
        <v/>
      </c>
      <c r="AD2195" t="str">
        <f t="shared" si="308"/>
        <v/>
      </c>
      <c r="AE2195" t="str">
        <f t="shared" si="309"/>
        <v/>
      </c>
      <c r="AF2195" t="str">
        <f t="shared" si="310"/>
        <v/>
      </c>
      <c r="AG2195" t="str">
        <f t="shared" si="311"/>
        <v/>
      </c>
      <c r="AH2195">
        <f t="shared" si="312"/>
        <v>3</v>
      </c>
      <c r="AI2195" t="str">
        <f t="shared" si="313"/>
        <v/>
      </c>
      <c r="AJ2195" t="str">
        <f t="shared" si="314"/>
        <v/>
      </c>
    </row>
    <row r="2196" spans="1:36">
      <c r="A2196" s="5">
        <v>2705</v>
      </c>
      <c r="B2196" s="5" t="s">
        <v>2307</v>
      </c>
      <c r="C2196" s="5" t="s">
        <v>2229</v>
      </c>
      <c r="D2196" s="5" t="s">
        <v>2302</v>
      </c>
      <c r="E2196" s="5" t="s">
        <v>269</v>
      </c>
      <c r="F2196" s="5" t="str">
        <f t="shared" si="306"/>
        <v>Capacity Building-Manager</v>
      </c>
      <c r="G2196" s="5" t="s">
        <v>270</v>
      </c>
      <c r="H2196" s="9">
        <v>44830.495787037034</v>
      </c>
      <c r="I2196" s="9">
        <v>44831.495787037034</v>
      </c>
      <c r="J2196" s="9" t="e">
        <f>I2196+#REF!</f>
        <v>#REF!</v>
      </c>
      <c r="K2196" s="9" t="e">
        <f>J2196+#REF!</f>
        <v>#REF!</v>
      </c>
      <c r="L2196" s="10" t="s">
        <v>52</v>
      </c>
      <c r="M2196" s="11"/>
      <c r="N2196" s="5"/>
      <c r="O2196" s="5"/>
      <c r="P2196" s="9"/>
      <c r="Q2196" s="5"/>
      <c r="R2196" s="5"/>
      <c r="S2196" s="5"/>
      <c r="T2196" s="9"/>
      <c r="U2196" s="5"/>
      <c r="V2196" s="5">
        <v>0</v>
      </c>
      <c r="W2196" s="5"/>
      <c r="X2196" s="5"/>
      <c r="Y2196" s="5"/>
      <c r="Z2196" s="5"/>
      <c r="AA2196" s="5"/>
      <c r="AC2196" t="str">
        <f t="shared" si="307"/>
        <v/>
      </c>
      <c r="AD2196" t="str">
        <f t="shared" si="308"/>
        <v/>
      </c>
      <c r="AE2196" t="str">
        <f t="shared" si="309"/>
        <v/>
      </c>
      <c r="AF2196" t="str">
        <f t="shared" si="310"/>
        <v/>
      </c>
      <c r="AG2196" t="str">
        <f t="shared" si="311"/>
        <v/>
      </c>
      <c r="AH2196">
        <f t="shared" si="312"/>
        <v>1</v>
      </c>
      <c r="AI2196" t="str">
        <f t="shared" si="313"/>
        <v/>
      </c>
      <c r="AJ2196" t="str">
        <f t="shared" si="314"/>
        <v/>
      </c>
    </row>
    <row r="2197" spans="1:36">
      <c r="A2197" s="5">
        <v>2706</v>
      </c>
      <c r="B2197" s="5" t="s">
        <v>1508</v>
      </c>
      <c r="C2197" s="5" t="s">
        <v>1332</v>
      </c>
      <c r="D2197" s="5" t="s">
        <v>1500</v>
      </c>
      <c r="E2197" s="5" t="s">
        <v>39</v>
      </c>
      <c r="F2197" s="5" t="str">
        <f t="shared" si="306"/>
        <v>Fundraising-Analyst</v>
      </c>
      <c r="G2197" s="5" t="s">
        <v>47</v>
      </c>
      <c r="H2197" s="9">
        <v>44829.495787037034</v>
      </c>
      <c r="I2197" s="9">
        <v>44831.495787037034</v>
      </c>
      <c r="J2197" s="9" t="e">
        <f>I2197+#REF!</f>
        <v>#REF!</v>
      </c>
      <c r="K2197" s="9" t="e">
        <f>J2197+#REF!</f>
        <v>#REF!</v>
      </c>
      <c r="L2197" s="10" t="s">
        <v>41</v>
      </c>
      <c r="M2197" s="11">
        <v>44850.495787037034</v>
      </c>
      <c r="N2197" s="5" t="s">
        <v>42</v>
      </c>
      <c r="O2197" s="5" t="s">
        <v>73</v>
      </c>
      <c r="P2197" s="9"/>
      <c r="Q2197" s="5"/>
      <c r="R2197" s="5"/>
      <c r="S2197" s="5"/>
      <c r="T2197" s="9">
        <v>44854.495787037034</v>
      </c>
      <c r="U2197" s="5"/>
      <c r="V2197" s="5">
        <v>0</v>
      </c>
      <c r="W2197" s="5"/>
      <c r="X2197" s="5"/>
      <c r="Y2197" s="5"/>
      <c r="Z2197" s="5"/>
      <c r="AA2197" s="5" t="s">
        <v>62</v>
      </c>
      <c r="AC2197">
        <f t="shared" si="307"/>
        <v>19</v>
      </c>
      <c r="AD2197" t="str">
        <f t="shared" si="308"/>
        <v/>
      </c>
      <c r="AE2197">
        <f t="shared" si="309"/>
        <v>4</v>
      </c>
      <c r="AF2197" t="str">
        <f t="shared" si="310"/>
        <v/>
      </c>
      <c r="AG2197" t="str">
        <f t="shared" si="311"/>
        <v/>
      </c>
      <c r="AH2197">
        <f t="shared" si="312"/>
        <v>2</v>
      </c>
      <c r="AI2197" t="str">
        <f t="shared" si="313"/>
        <v/>
      </c>
      <c r="AJ2197" t="str">
        <f t="shared" si="314"/>
        <v/>
      </c>
    </row>
    <row r="2198" spans="1:36">
      <c r="A2198" s="5">
        <v>2707</v>
      </c>
      <c r="B2198" s="5" t="s">
        <v>2356</v>
      </c>
      <c r="C2198" s="5" t="s">
        <v>2229</v>
      </c>
      <c r="D2198" s="5" t="s">
        <v>2350</v>
      </c>
      <c r="E2198" s="5" t="s">
        <v>2351</v>
      </c>
      <c r="F2198" s="5" t="str">
        <f t="shared" si="306"/>
        <v>Capacity Building-Training Associate</v>
      </c>
      <c r="G2198" s="5" t="s">
        <v>40</v>
      </c>
      <c r="H2198" s="9">
        <v>44829.495787037034</v>
      </c>
      <c r="I2198" s="9">
        <v>44831.495787037034</v>
      </c>
      <c r="J2198" s="9" t="e">
        <f>I2198+#REF!</f>
        <v>#REF!</v>
      </c>
      <c r="K2198" s="9" t="e">
        <f>J2198+#REF!</f>
        <v>#REF!</v>
      </c>
      <c r="L2198" s="10" t="s">
        <v>41</v>
      </c>
      <c r="M2198" s="11">
        <v>44847.495787037034</v>
      </c>
      <c r="N2198" s="5" t="s">
        <v>64</v>
      </c>
      <c r="O2198" s="5"/>
      <c r="P2198" s="9">
        <v>44851.495787037034</v>
      </c>
      <c r="Q2198" s="5" t="s">
        <v>64</v>
      </c>
      <c r="R2198" s="9">
        <v>44849.495787037034</v>
      </c>
      <c r="S2198" s="9">
        <v>44852.495787037034</v>
      </c>
      <c r="T2198" s="9">
        <v>44848.495787037034</v>
      </c>
      <c r="U2198" s="9">
        <v>44849.495787037034</v>
      </c>
      <c r="V2198" s="12">
        <v>1</v>
      </c>
      <c r="W2198" s="9">
        <v>44851.495787037034</v>
      </c>
      <c r="X2198" s="9">
        <v>44854.495787037034</v>
      </c>
      <c r="Y2198" s="9">
        <v>44857.495787037034</v>
      </c>
      <c r="Z2198" s="5"/>
      <c r="AA2198" s="5"/>
      <c r="AB2198" s="13">
        <v>44874.495787037034</v>
      </c>
      <c r="AC2198">
        <f t="shared" si="307"/>
        <v>16</v>
      </c>
      <c r="AD2198">
        <f t="shared" si="308"/>
        <v>21</v>
      </c>
      <c r="AE2198">
        <f t="shared" si="309"/>
        <v>1</v>
      </c>
      <c r="AF2198">
        <f t="shared" si="310"/>
        <v>5</v>
      </c>
      <c r="AG2198">
        <f t="shared" si="311"/>
        <v>2</v>
      </c>
      <c r="AH2198">
        <f t="shared" si="312"/>
        <v>2</v>
      </c>
      <c r="AI2198" t="str">
        <f t="shared" si="313"/>
        <v/>
      </c>
      <c r="AJ2198" t="str">
        <f t="shared" si="314"/>
        <v/>
      </c>
    </row>
    <row r="2199" spans="1:36">
      <c r="A2199" s="5">
        <v>2708</v>
      </c>
      <c r="B2199" s="5" t="s">
        <v>1507</v>
      </c>
      <c r="C2199" s="5" t="s">
        <v>1332</v>
      </c>
      <c r="D2199" s="5" t="s">
        <v>1500</v>
      </c>
      <c r="E2199" s="5" t="s">
        <v>39</v>
      </c>
      <c r="F2199" s="5" t="str">
        <f t="shared" si="306"/>
        <v>Fundraising-Analyst</v>
      </c>
      <c r="G2199" s="5" t="s">
        <v>47</v>
      </c>
      <c r="H2199" s="9">
        <v>44833.495787037034</v>
      </c>
      <c r="I2199" s="9">
        <v>44834.495787037034</v>
      </c>
      <c r="J2199" s="9" t="e">
        <f>I2199+#REF!</f>
        <v>#REF!</v>
      </c>
      <c r="K2199" s="9" t="e">
        <f>J2199+#REF!</f>
        <v>#REF!</v>
      </c>
      <c r="L2199" s="10" t="s">
        <v>41</v>
      </c>
      <c r="M2199" s="11">
        <v>44844.495787037034</v>
      </c>
      <c r="N2199" s="5" t="s">
        <v>42</v>
      </c>
      <c r="O2199" s="5" t="s">
        <v>113</v>
      </c>
      <c r="P2199" s="9"/>
      <c r="Q2199" s="5"/>
      <c r="R2199" s="5"/>
      <c r="S2199" s="5"/>
      <c r="T2199" s="9"/>
      <c r="U2199" s="5"/>
      <c r="V2199" s="5">
        <v>0</v>
      </c>
      <c r="W2199" s="5"/>
      <c r="X2199" s="5"/>
      <c r="Y2199" s="5"/>
      <c r="Z2199" s="5"/>
      <c r="AA2199" s="5" t="s">
        <v>44</v>
      </c>
      <c r="AC2199">
        <f t="shared" si="307"/>
        <v>10</v>
      </c>
      <c r="AD2199" t="str">
        <f t="shared" si="308"/>
        <v/>
      </c>
      <c r="AE2199" t="str">
        <f t="shared" si="309"/>
        <v/>
      </c>
      <c r="AF2199" t="str">
        <f t="shared" si="310"/>
        <v/>
      </c>
      <c r="AG2199" t="str">
        <f t="shared" si="311"/>
        <v/>
      </c>
      <c r="AH2199">
        <f t="shared" si="312"/>
        <v>1</v>
      </c>
      <c r="AI2199" t="str">
        <f t="shared" si="313"/>
        <v/>
      </c>
      <c r="AJ2199" t="str">
        <f t="shared" si="314"/>
        <v/>
      </c>
    </row>
    <row r="2200" spans="1:36">
      <c r="A2200" s="5">
        <v>2709</v>
      </c>
      <c r="B2200" s="5" t="s">
        <v>1464</v>
      </c>
      <c r="C2200" s="5" t="s">
        <v>1332</v>
      </c>
      <c r="D2200" s="5" t="s">
        <v>1448</v>
      </c>
      <c r="E2200" s="5" t="s">
        <v>597</v>
      </c>
      <c r="F2200" s="5" t="str">
        <f t="shared" si="306"/>
        <v>Fundraising-Business Partner</v>
      </c>
      <c r="G2200" s="5" t="s">
        <v>40</v>
      </c>
      <c r="H2200" s="9">
        <v>44832.495787037034</v>
      </c>
      <c r="I2200" s="9">
        <v>44834.495787037034</v>
      </c>
      <c r="J2200" s="9" t="e">
        <f>I2200+#REF!</f>
        <v>#REF!</v>
      </c>
      <c r="K2200" s="9" t="e">
        <f>J2200+#REF!</f>
        <v>#REF!</v>
      </c>
      <c r="L2200" s="10" t="s">
        <v>41</v>
      </c>
      <c r="M2200" s="11">
        <v>44846.495787037034</v>
      </c>
      <c r="N2200" s="5" t="s">
        <v>48</v>
      </c>
      <c r="O2200" s="5"/>
      <c r="P2200" s="9">
        <v>44853.495787037034</v>
      </c>
      <c r="Q2200" s="5" t="s">
        <v>48</v>
      </c>
      <c r="R2200" s="5"/>
      <c r="S2200" s="5"/>
      <c r="T2200" s="9">
        <v>44850.495787037034</v>
      </c>
      <c r="U2200" s="5"/>
      <c r="V2200" s="5">
        <v>0</v>
      </c>
      <c r="W2200" s="5"/>
      <c r="X2200" s="5"/>
      <c r="Y2200" s="5"/>
      <c r="Z2200" s="5"/>
      <c r="AA2200" s="5"/>
      <c r="AC2200">
        <f t="shared" si="307"/>
        <v>12</v>
      </c>
      <c r="AD2200" t="str">
        <f t="shared" si="308"/>
        <v/>
      </c>
      <c r="AE2200">
        <f t="shared" si="309"/>
        <v>4</v>
      </c>
      <c r="AF2200" t="str">
        <f t="shared" si="310"/>
        <v/>
      </c>
      <c r="AG2200" t="str">
        <f t="shared" si="311"/>
        <v/>
      </c>
      <c r="AH2200">
        <f t="shared" si="312"/>
        <v>2</v>
      </c>
      <c r="AI2200" t="str">
        <f t="shared" si="313"/>
        <v/>
      </c>
      <c r="AJ2200" t="str">
        <f t="shared" si="314"/>
        <v/>
      </c>
    </row>
    <row r="2201" spans="1:36">
      <c r="A2201" s="5">
        <v>2710</v>
      </c>
      <c r="B2201" s="5" t="s">
        <v>1506</v>
      </c>
      <c r="C2201" s="5" t="s">
        <v>1332</v>
      </c>
      <c r="D2201" s="5" t="s">
        <v>1500</v>
      </c>
      <c r="E2201" s="5" t="s">
        <v>39</v>
      </c>
      <c r="F2201" s="5" t="str">
        <f t="shared" si="306"/>
        <v>Fundraising-Analyst</v>
      </c>
      <c r="G2201" s="5" t="s">
        <v>47</v>
      </c>
      <c r="H2201" s="9">
        <v>44828.495787037034</v>
      </c>
      <c r="I2201" s="9">
        <v>44832.495787037034</v>
      </c>
      <c r="J2201" s="9" t="e">
        <f>I2201+#REF!</f>
        <v>#REF!</v>
      </c>
      <c r="K2201" s="9" t="e">
        <f>J2201+#REF!</f>
        <v>#REF!</v>
      </c>
      <c r="L2201" s="10" t="s">
        <v>41</v>
      </c>
      <c r="M2201" s="11">
        <v>44842.495787037034</v>
      </c>
      <c r="N2201" s="5" t="s">
        <v>48</v>
      </c>
      <c r="O2201" s="5"/>
      <c r="P2201" s="9">
        <v>44845.495787037034</v>
      </c>
      <c r="Q2201" s="5" t="s">
        <v>48</v>
      </c>
      <c r="R2201" s="5"/>
      <c r="S2201" s="5"/>
      <c r="T2201" s="9">
        <v>44843.495787037034</v>
      </c>
      <c r="U2201" s="5"/>
      <c r="V2201" s="5">
        <v>0</v>
      </c>
      <c r="W2201" s="5"/>
      <c r="X2201" s="5"/>
      <c r="Y2201" s="5"/>
      <c r="Z2201" s="5"/>
      <c r="AA2201" s="5"/>
      <c r="AC2201">
        <f t="shared" si="307"/>
        <v>10</v>
      </c>
      <c r="AD2201" t="str">
        <f t="shared" si="308"/>
        <v/>
      </c>
      <c r="AE2201">
        <f t="shared" si="309"/>
        <v>1</v>
      </c>
      <c r="AF2201" t="str">
        <f t="shared" si="310"/>
        <v/>
      </c>
      <c r="AG2201" t="str">
        <f t="shared" si="311"/>
        <v/>
      </c>
      <c r="AH2201">
        <f t="shared" si="312"/>
        <v>4</v>
      </c>
      <c r="AI2201" t="str">
        <f t="shared" si="313"/>
        <v/>
      </c>
      <c r="AJ2201" t="str">
        <f t="shared" si="314"/>
        <v/>
      </c>
    </row>
    <row r="2202" spans="1:36">
      <c r="A2202" s="5">
        <v>2711</v>
      </c>
      <c r="B2202" s="5" t="s">
        <v>823</v>
      </c>
      <c r="C2202" s="5" t="s">
        <v>796</v>
      </c>
      <c r="D2202" s="5" t="s">
        <v>814</v>
      </c>
      <c r="E2202" s="5" t="s">
        <v>815</v>
      </c>
      <c r="F2202" s="5" t="str">
        <f t="shared" si="306"/>
        <v>M and E-Auditor</v>
      </c>
      <c r="G2202" s="5" t="s">
        <v>147</v>
      </c>
      <c r="H2202" s="9">
        <v>44953.0546412037</v>
      </c>
      <c r="I2202" s="9">
        <v>44955.0546412037</v>
      </c>
      <c r="J2202" s="9" t="e">
        <f>I2202+#REF!</f>
        <v>#REF!</v>
      </c>
      <c r="K2202" s="9" t="e">
        <f>J2202+#REF!</f>
        <v>#REF!</v>
      </c>
      <c r="L2202" s="10" t="s">
        <v>41</v>
      </c>
      <c r="M2202" s="11">
        <v>44965.0546412037</v>
      </c>
      <c r="N2202" s="5" t="s">
        <v>42</v>
      </c>
      <c r="O2202" s="5" t="s">
        <v>43</v>
      </c>
      <c r="P2202" s="9"/>
      <c r="Q2202" s="5"/>
      <c r="R2202" s="5"/>
      <c r="S2202" s="5"/>
      <c r="T2202" s="9"/>
      <c r="U2202" s="5"/>
      <c r="V2202" s="5">
        <v>0</v>
      </c>
      <c r="W2202" s="5"/>
      <c r="X2202" s="5"/>
      <c r="Y2202" s="5"/>
      <c r="Z2202" s="5"/>
      <c r="AA2202" s="5" t="s">
        <v>62</v>
      </c>
      <c r="AC2202">
        <f t="shared" si="307"/>
        <v>10</v>
      </c>
      <c r="AD2202" t="str">
        <f t="shared" si="308"/>
        <v/>
      </c>
      <c r="AE2202" t="str">
        <f t="shared" si="309"/>
        <v/>
      </c>
      <c r="AF2202" t="str">
        <f t="shared" si="310"/>
        <v/>
      </c>
      <c r="AG2202" t="str">
        <f t="shared" si="311"/>
        <v/>
      </c>
      <c r="AH2202">
        <f t="shared" si="312"/>
        <v>2</v>
      </c>
      <c r="AI2202" t="str">
        <f t="shared" si="313"/>
        <v/>
      </c>
      <c r="AJ2202" t="str">
        <f t="shared" si="314"/>
        <v/>
      </c>
    </row>
    <row r="2203" spans="1:36">
      <c r="A2203" s="5">
        <v>2712</v>
      </c>
      <c r="B2203" s="5" t="s">
        <v>822</v>
      </c>
      <c r="C2203" s="5" t="s">
        <v>796</v>
      </c>
      <c r="D2203" s="5" t="s">
        <v>814</v>
      </c>
      <c r="E2203" s="5" t="s">
        <v>815</v>
      </c>
      <c r="F2203" s="5" t="str">
        <f t="shared" si="306"/>
        <v>M and E-Auditor</v>
      </c>
      <c r="G2203" s="5" t="s">
        <v>147</v>
      </c>
      <c r="H2203" s="9">
        <v>44952.0546412037</v>
      </c>
      <c r="I2203" s="9">
        <v>44953.0546412037</v>
      </c>
      <c r="J2203" s="9" t="e">
        <f>I2203+#REF!</f>
        <v>#REF!</v>
      </c>
      <c r="K2203" s="9" t="e">
        <f>J2203+#REF!</f>
        <v>#REF!</v>
      </c>
      <c r="L2203" s="10" t="s">
        <v>41</v>
      </c>
      <c r="M2203" s="11">
        <v>44971.0546412037</v>
      </c>
      <c r="N2203" s="5" t="s">
        <v>42</v>
      </c>
      <c r="O2203" s="5" t="s">
        <v>98</v>
      </c>
      <c r="P2203" s="9"/>
      <c r="Q2203" s="5"/>
      <c r="R2203" s="5"/>
      <c r="S2203" s="5"/>
      <c r="T2203" s="9">
        <v>44975.0546412037</v>
      </c>
      <c r="U2203" s="5"/>
      <c r="V2203" s="5">
        <v>0</v>
      </c>
      <c r="W2203" s="5"/>
      <c r="X2203" s="5"/>
      <c r="Y2203" s="5"/>
      <c r="Z2203" s="5"/>
      <c r="AA2203" s="5" t="s">
        <v>62</v>
      </c>
      <c r="AC2203">
        <f t="shared" si="307"/>
        <v>18</v>
      </c>
      <c r="AD2203" t="str">
        <f t="shared" si="308"/>
        <v/>
      </c>
      <c r="AE2203">
        <f t="shared" si="309"/>
        <v>4</v>
      </c>
      <c r="AF2203" t="str">
        <f t="shared" si="310"/>
        <v/>
      </c>
      <c r="AG2203" t="str">
        <f t="shared" si="311"/>
        <v/>
      </c>
      <c r="AH2203">
        <f t="shared" si="312"/>
        <v>1</v>
      </c>
      <c r="AI2203" t="str">
        <f t="shared" si="313"/>
        <v/>
      </c>
      <c r="AJ2203" t="str">
        <f t="shared" si="314"/>
        <v/>
      </c>
    </row>
    <row r="2204" spans="1:36">
      <c r="A2204" s="5">
        <v>2713</v>
      </c>
      <c r="B2204" s="5" t="s">
        <v>1052</v>
      </c>
      <c r="C2204" s="5" t="s">
        <v>796</v>
      </c>
      <c r="D2204" s="5" t="s">
        <v>1046</v>
      </c>
      <c r="E2204" s="5" t="s">
        <v>388</v>
      </c>
      <c r="F2204" s="5" t="str">
        <f t="shared" si="306"/>
        <v>M and E-Extension Officer</v>
      </c>
      <c r="G2204" s="5" t="s">
        <v>47</v>
      </c>
      <c r="H2204" s="9">
        <v>44954.0546412037</v>
      </c>
      <c r="I2204" s="9">
        <v>44957.0546412037</v>
      </c>
      <c r="J2204" s="9" t="e">
        <f>I2204+#REF!</f>
        <v>#REF!</v>
      </c>
      <c r="K2204" s="9" t="e">
        <f>J2204+#REF!</f>
        <v>#REF!</v>
      </c>
      <c r="L2204" s="10" t="s">
        <v>41</v>
      </c>
      <c r="M2204" s="11">
        <v>44961.0546412037</v>
      </c>
      <c r="N2204" s="5" t="s">
        <v>42</v>
      </c>
      <c r="O2204" s="5" t="s">
        <v>58</v>
      </c>
      <c r="P2204" s="9"/>
      <c r="Q2204" s="5"/>
      <c r="R2204" s="5"/>
      <c r="S2204" s="5"/>
      <c r="T2204" s="9"/>
      <c r="U2204" s="5"/>
      <c r="V2204" s="5">
        <v>0</v>
      </c>
      <c r="W2204" s="5"/>
      <c r="X2204" s="5"/>
      <c r="Y2204" s="5"/>
      <c r="Z2204" s="5"/>
      <c r="AA2204" s="5" t="s">
        <v>62</v>
      </c>
      <c r="AC2204">
        <f t="shared" si="307"/>
        <v>4</v>
      </c>
      <c r="AD2204" t="str">
        <f t="shared" si="308"/>
        <v/>
      </c>
      <c r="AE2204" t="str">
        <f t="shared" si="309"/>
        <v/>
      </c>
      <c r="AF2204" t="str">
        <f t="shared" si="310"/>
        <v/>
      </c>
      <c r="AG2204" t="str">
        <f t="shared" si="311"/>
        <v/>
      </c>
      <c r="AH2204">
        <f t="shared" si="312"/>
        <v>3</v>
      </c>
      <c r="AI2204" t="str">
        <f t="shared" si="313"/>
        <v/>
      </c>
      <c r="AJ2204" t="str">
        <f t="shared" si="314"/>
        <v/>
      </c>
    </row>
    <row r="2205" spans="1:36">
      <c r="A2205" s="5">
        <v>2714</v>
      </c>
      <c r="B2205" s="5" t="s">
        <v>901</v>
      </c>
      <c r="C2205" s="5" t="s">
        <v>796</v>
      </c>
      <c r="D2205" s="5" t="s">
        <v>893</v>
      </c>
      <c r="E2205" s="5" t="s">
        <v>269</v>
      </c>
      <c r="F2205" s="5" t="str">
        <f t="shared" si="306"/>
        <v>M and E-Manager</v>
      </c>
      <c r="G2205" s="5" t="s">
        <v>270</v>
      </c>
      <c r="H2205" s="9">
        <v>44955.0546412037</v>
      </c>
      <c r="I2205" s="9">
        <v>44957.0546412037</v>
      </c>
      <c r="J2205" s="9" t="e">
        <f>I2205+#REF!</f>
        <v>#REF!</v>
      </c>
      <c r="K2205" s="9" t="e">
        <f>J2205+#REF!</f>
        <v>#REF!</v>
      </c>
      <c r="L2205" s="10" t="s">
        <v>41</v>
      </c>
      <c r="M2205" s="11">
        <v>44966.0546412037</v>
      </c>
      <c r="N2205" s="5" t="s">
        <v>42</v>
      </c>
      <c r="O2205" s="5" t="s">
        <v>98</v>
      </c>
      <c r="P2205" s="9"/>
      <c r="Q2205" s="5"/>
      <c r="R2205" s="5"/>
      <c r="S2205" s="5"/>
      <c r="T2205" s="9"/>
      <c r="U2205" s="5"/>
      <c r="V2205" s="5">
        <v>0</v>
      </c>
      <c r="W2205" s="5"/>
      <c r="X2205" s="5"/>
      <c r="Y2205" s="5"/>
      <c r="Z2205" s="5"/>
      <c r="AA2205" s="5" t="s">
        <v>62</v>
      </c>
      <c r="AC2205">
        <f t="shared" si="307"/>
        <v>9</v>
      </c>
      <c r="AD2205" t="str">
        <f t="shared" si="308"/>
        <v/>
      </c>
      <c r="AE2205" t="str">
        <f t="shared" si="309"/>
        <v/>
      </c>
      <c r="AF2205" t="str">
        <f t="shared" si="310"/>
        <v/>
      </c>
      <c r="AG2205" t="str">
        <f t="shared" si="311"/>
        <v/>
      </c>
      <c r="AH2205">
        <f t="shared" si="312"/>
        <v>2</v>
      </c>
      <c r="AI2205" t="str">
        <f t="shared" si="313"/>
        <v/>
      </c>
      <c r="AJ2205" t="str">
        <f t="shared" si="314"/>
        <v/>
      </c>
    </row>
    <row r="2206" spans="1:36">
      <c r="A2206" s="5">
        <v>2715</v>
      </c>
      <c r="B2206" s="5" t="s">
        <v>821</v>
      </c>
      <c r="C2206" s="5" t="s">
        <v>796</v>
      </c>
      <c r="D2206" s="5" t="s">
        <v>814</v>
      </c>
      <c r="E2206" s="5" t="s">
        <v>815</v>
      </c>
      <c r="F2206" s="5" t="str">
        <f t="shared" si="306"/>
        <v>M and E-Auditor</v>
      </c>
      <c r="G2206" s="5" t="s">
        <v>147</v>
      </c>
      <c r="H2206" s="9">
        <v>44954.0546412037</v>
      </c>
      <c r="I2206" s="9">
        <v>44957.0546412037</v>
      </c>
      <c r="J2206" s="9" t="e">
        <f>I2206+#REF!</f>
        <v>#REF!</v>
      </c>
      <c r="K2206" s="9" t="e">
        <f>J2206+#REF!</f>
        <v>#REF!</v>
      </c>
      <c r="L2206" s="10" t="s">
        <v>41</v>
      </c>
      <c r="M2206" s="11">
        <v>44963.0546412037</v>
      </c>
      <c r="N2206" s="5" t="s">
        <v>48</v>
      </c>
      <c r="O2206" s="5"/>
      <c r="P2206" s="9">
        <v>44967.0546412037</v>
      </c>
      <c r="Q2206" s="5" t="s">
        <v>48</v>
      </c>
      <c r="R2206" s="5"/>
      <c r="S2206" s="5"/>
      <c r="T2206" s="9">
        <v>44964.0546412037</v>
      </c>
      <c r="U2206" s="5"/>
      <c r="V2206" s="5">
        <v>0</v>
      </c>
      <c r="W2206" s="5"/>
      <c r="X2206" s="5"/>
      <c r="Y2206" s="5"/>
      <c r="Z2206" s="5"/>
      <c r="AA2206" s="5"/>
      <c r="AC2206">
        <f t="shared" si="307"/>
        <v>6</v>
      </c>
      <c r="AD2206" t="str">
        <f t="shared" si="308"/>
        <v/>
      </c>
      <c r="AE2206">
        <f t="shared" si="309"/>
        <v>1</v>
      </c>
      <c r="AF2206" t="str">
        <f t="shared" si="310"/>
        <v/>
      </c>
      <c r="AG2206" t="str">
        <f t="shared" si="311"/>
        <v/>
      </c>
      <c r="AH2206">
        <f t="shared" si="312"/>
        <v>3</v>
      </c>
      <c r="AI2206" t="str">
        <f t="shared" si="313"/>
        <v/>
      </c>
      <c r="AJ2206" t="str">
        <f t="shared" si="314"/>
        <v/>
      </c>
    </row>
    <row r="2207" spans="1:36">
      <c r="A2207" s="5">
        <v>2716</v>
      </c>
      <c r="B2207" s="5" t="s">
        <v>1051</v>
      </c>
      <c r="C2207" s="5" t="s">
        <v>796</v>
      </c>
      <c r="D2207" s="5" t="s">
        <v>1046</v>
      </c>
      <c r="E2207" s="5" t="s">
        <v>388</v>
      </c>
      <c r="F2207" s="5" t="str">
        <f t="shared" si="306"/>
        <v>M and E-Extension Officer</v>
      </c>
      <c r="G2207" s="5" t="s">
        <v>47</v>
      </c>
      <c r="H2207" s="9">
        <v>44952.0546412037</v>
      </c>
      <c r="I2207" s="9">
        <v>44955.0546412037</v>
      </c>
      <c r="J2207" s="9" t="e">
        <f>I2207+#REF!</f>
        <v>#REF!</v>
      </c>
      <c r="K2207" s="9" t="e">
        <f>J2207+#REF!</f>
        <v>#REF!</v>
      </c>
      <c r="L2207" s="10" t="s">
        <v>41</v>
      </c>
      <c r="M2207" s="11">
        <v>44974.0546412037</v>
      </c>
      <c r="N2207" s="5" t="s">
        <v>42</v>
      </c>
      <c r="O2207" s="5" t="s">
        <v>58</v>
      </c>
      <c r="P2207" s="9"/>
      <c r="Q2207" s="5"/>
      <c r="R2207" s="5"/>
      <c r="S2207" s="5"/>
      <c r="T2207" s="9">
        <v>44976.0546412037</v>
      </c>
      <c r="U2207" s="5"/>
      <c r="V2207" s="5">
        <v>0</v>
      </c>
      <c r="W2207" s="5"/>
      <c r="X2207" s="5"/>
      <c r="Y2207" s="5"/>
      <c r="Z2207" s="5"/>
      <c r="AA2207" s="5" t="s">
        <v>44</v>
      </c>
      <c r="AC2207">
        <f t="shared" si="307"/>
        <v>19</v>
      </c>
      <c r="AD2207" t="str">
        <f t="shared" si="308"/>
        <v/>
      </c>
      <c r="AE2207">
        <f t="shared" si="309"/>
        <v>2</v>
      </c>
      <c r="AF2207" t="str">
        <f t="shared" si="310"/>
        <v/>
      </c>
      <c r="AG2207" t="str">
        <f t="shared" si="311"/>
        <v/>
      </c>
      <c r="AH2207">
        <f t="shared" si="312"/>
        <v>3</v>
      </c>
      <c r="AI2207" t="str">
        <f t="shared" si="313"/>
        <v/>
      </c>
      <c r="AJ2207" t="str">
        <f t="shared" si="314"/>
        <v/>
      </c>
    </row>
    <row r="2208" spans="1:36">
      <c r="A2208" s="5">
        <v>2717</v>
      </c>
      <c r="B2208" s="5" t="s">
        <v>1050</v>
      </c>
      <c r="C2208" s="5" t="s">
        <v>796</v>
      </c>
      <c r="D2208" s="5" t="s">
        <v>1046</v>
      </c>
      <c r="E2208" s="5" t="s">
        <v>388</v>
      </c>
      <c r="F2208" s="5" t="str">
        <f t="shared" si="306"/>
        <v>M and E-Extension Officer</v>
      </c>
      <c r="G2208" s="5" t="s">
        <v>47</v>
      </c>
      <c r="H2208" s="9">
        <v>44953.0546412037</v>
      </c>
      <c r="I2208" s="9">
        <v>44956.0546412037</v>
      </c>
      <c r="J2208" s="9" t="e">
        <f>I2208+#REF!</f>
        <v>#REF!</v>
      </c>
      <c r="K2208" s="9" t="e">
        <f>J2208+#REF!</f>
        <v>#REF!</v>
      </c>
      <c r="L2208" s="10" t="s">
        <v>41</v>
      </c>
      <c r="M2208" s="11">
        <v>44970.0546412037</v>
      </c>
      <c r="N2208" s="5" t="s">
        <v>167</v>
      </c>
      <c r="O2208" s="5"/>
      <c r="P2208" s="9">
        <v>44974.0546412037</v>
      </c>
      <c r="Q2208" s="5" t="s">
        <v>167</v>
      </c>
      <c r="R2208" s="5"/>
      <c r="S2208" s="5"/>
      <c r="T2208" s="9">
        <v>44973.0546412037</v>
      </c>
      <c r="U2208" s="5"/>
      <c r="V2208" s="5">
        <v>0</v>
      </c>
      <c r="W2208" s="5"/>
      <c r="X2208" s="5"/>
      <c r="Y2208" s="5"/>
      <c r="Z2208" s="5"/>
      <c r="AA2208" s="5"/>
      <c r="AC2208">
        <f t="shared" si="307"/>
        <v>14</v>
      </c>
      <c r="AD2208" t="str">
        <f t="shared" si="308"/>
        <v/>
      </c>
      <c r="AE2208">
        <f t="shared" si="309"/>
        <v>3</v>
      </c>
      <c r="AF2208" t="str">
        <f t="shared" si="310"/>
        <v/>
      </c>
      <c r="AG2208" t="str">
        <f t="shared" si="311"/>
        <v/>
      </c>
      <c r="AH2208">
        <f t="shared" si="312"/>
        <v>3</v>
      </c>
      <c r="AI2208" t="str">
        <f t="shared" si="313"/>
        <v/>
      </c>
      <c r="AJ2208" t="str">
        <f t="shared" si="314"/>
        <v/>
      </c>
    </row>
    <row r="2209" spans="1:36">
      <c r="A2209" s="5">
        <v>2718</v>
      </c>
      <c r="B2209" s="5" t="s">
        <v>900</v>
      </c>
      <c r="C2209" s="5" t="s">
        <v>796</v>
      </c>
      <c r="D2209" s="5" t="s">
        <v>893</v>
      </c>
      <c r="E2209" s="5" t="s">
        <v>269</v>
      </c>
      <c r="F2209" s="5" t="str">
        <f t="shared" si="306"/>
        <v>M and E-Manager</v>
      </c>
      <c r="G2209" s="5" t="s">
        <v>270</v>
      </c>
      <c r="H2209" s="9">
        <v>44954.0546412037</v>
      </c>
      <c r="I2209" s="9">
        <v>44957.0546412037</v>
      </c>
      <c r="J2209" s="9" t="e">
        <f>I2209+#REF!</f>
        <v>#REF!</v>
      </c>
      <c r="K2209" s="9" t="e">
        <f>J2209+#REF!</f>
        <v>#REF!</v>
      </c>
      <c r="L2209" s="10" t="s">
        <v>41</v>
      </c>
      <c r="M2209" s="11">
        <v>44967.0546412037</v>
      </c>
      <c r="N2209" s="5" t="s">
        <v>42</v>
      </c>
      <c r="O2209" s="5" t="s">
        <v>73</v>
      </c>
      <c r="P2209" s="9"/>
      <c r="Q2209" s="5"/>
      <c r="R2209" s="5"/>
      <c r="S2209" s="5"/>
      <c r="T2209" s="9">
        <v>44968.0546412037</v>
      </c>
      <c r="U2209" s="5"/>
      <c r="V2209" s="5">
        <v>0</v>
      </c>
      <c r="W2209" s="5"/>
      <c r="X2209" s="5"/>
      <c r="Y2209" s="5"/>
      <c r="Z2209" s="5"/>
      <c r="AA2209" s="5" t="s">
        <v>44</v>
      </c>
      <c r="AC2209">
        <f t="shared" si="307"/>
        <v>10</v>
      </c>
      <c r="AD2209" t="str">
        <f t="shared" si="308"/>
        <v/>
      </c>
      <c r="AE2209">
        <f t="shared" si="309"/>
        <v>1</v>
      </c>
      <c r="AF2209" t="str">
        <f t="shared" si="310"/>
        <v/>
      </c>
      <c r="AG2209" t="str">
        <f t="shared" si="311"/>
        <v/>
      </c>
      <c r="AH2209">
        <f t="shared" si="312"/>
        <v>3</v>
      </c>
      <c r="AI2209" t="str">
        <f t="shared" si="313"/>
        <v/>
      </c>
      <c r="AJ2209" t="str">
        <f t="shared" si="314"/>
        <v/>
      </c>
    </row>
    <row r="2210" spans="1:36">
      <c r="A2210" s="5">
        <v>2719</v>
      </c>
      <c r="B2210" s="5" t="s">
        <v>962</v>
      </c>
      <c r="C2210" s="5" t="s">
        <v>796</v>
      </c>
      <c r="D2210" s="5" t="s">
        <v>957</v>
      </c>
      <c r="E2210" s="5" t="s">
        <v>39</v>
      </c>
      <c r="F2210" s="5" t="str">
        <f t="shared" si="306"/>
        <v>M and E-Analyst</v>
      </c>
      <c r="G2210" s="5" t="s">
        <v>40</v>
      </c>
      <c r="H2210" s="9">
        <v>44952.0546412037</v>
      </c>
      <c r="I2210" s="9">
        <v>44956.0546412037</v>
      </c>
      <c r="J2210" s="9" t="e">
        <f>I2210+#REF!</f>
        <v>#REF!</v>
      </c>
      <c r="K2210" s="9" t="e">
        <f>J2210+#REF!</f>
        <v>#REF!</v>
      </c>
      <c r="L2210" s="10" t="s">
        <v>41</v>
      </c>
      <c r="M2210" s="11">
        <v>44962.0546412037</v>
      </c>
      <c r="N2210" s="5" t="s">
        <v>48</v>
      </c>
      <c r="O2210" s="5"/>
      <c r="P2210" s="9">
        <v>44964.0546412037</v>
      </c>
      <c r="Q2210" s="5" t="s">
        <v>48</v>
      </c>
      <c r="R2210" s="5"/>
      <c r="S2210" s="5"/>
      <c r="T2210" s="9">
        <v>44963.0546412037</v>
      </c>
      <c r="U2210" s="5"/>
      <c r="V2210" s="5">
        <v>0</v>
      </c>
      <c r="W2210" s="5"/>
      <c r="X2210" s="5"/>
      <c r="Y2210" s="5"/>
      <c r="Z2210" s="5"/>
      <c r="AA2210" s="5"/>
      <c r="AC2210">
        <f t="shared" si="307"/>
        <v>6</v>
      </c>
      <c r="AD2210" t="str">
        <f t="shared" si="308"/>
        <v/>
      </c>
      <c r="AE2210">
        <f t="shared" si="309"/>
        <v>1</v>
      </c>
      <c r="AF2210" t="str">
        <f t="shared" si="310"/>
        <v/>
      </c>
      <c r="AG2210" t="str">
        <f t="shared" si="311"/>
        <v/>
      </c>
      <c r="AH2210">
        <f t="shared" si="312"/>
        <v>4</v>
      </c>
      <c r="AI2210" t="str">
        <f t="shared" si="313"/>
        <v/>
      </c>
      <c r="AJ2210" t="str">
        <f t="shared" si="314"/>
        <v/>
      </c>
    </row>
    <row r="2211" spans="1:36">
      <c r="A2211" s="5">
        <v>2720</v>
      </c>
      <c r="B2211" s="5" t="s">
        <v>961</v>
      </c>
      <c r="C2211" s="5" t="s">
        <v>796</v>
      </c>
      <c r="D2211" s="5" t="s">
        <v>957</v>
      </c>
      <c r="E2211" s="5" t="s">
        <v>39</v>
      </c>
      <c r="F2211" s="5" t="str">
        <f t="shared" si="306"/>
        <v>M and E-Analyst</v>
      </c>
      <c r="G2211" s="5" t="s">
        <v>40</v>
      </c>
      <c r="H2211" s="9">
        <v>44952.0546412037</v>
      </c>
      <c r="I2211" s="9">
        <v>44956.0546412037</v>
      </c>
      <c r="J2211" s="9" t="e">
        <f>I2211+#REF!</f>
        <v>#REF!</v>
      </c>
      <c r="K2211" s="9" t="e">
        <f>J2211+#REF!</f>
        <v>#REF!</v>
      </c>
      <c r="L2211" s="10" t="s">
        <v>41</v>
      </c>
      <c r="M2211" s="11">
        <v>44973.0546412037</v>
      </c>
      <c r="N2211" s="5" t="s">
        <v>48</v>
      </c>
      <c r="O2211" s="5"/>
      <c r="P2211" s="9">
        <v>44980.0546412037</v>
      </c>
      <c r="Q2211" s="5" t="s">
        <v>48</v>
      </c>
      <c r="R2211" s="5"/>
      <c r="S2211" s="5"/>
      <c r="T2211" s="9">
        <v>44977.0546412037</v>
      </c>
      <c r="U2211" s="5"/>
      <c r="V2211" s="5">
        <v>0</v>
      </c>
      <c r="W2211" s="5"/>
      <c r="X2211" s="5"/>
      <c r="Y2211" s="5"/>
      <c r="Z2211" s="5"/>
      <c r="AA2211" s="5"/>
      <c r="AC2211">
        <f t="shared" si="307"/>
        <v>17</v>
      </c>
      <c r="AD2211" t="str">
        <f t="shared" si="308"/>
        <v/>
      </c>
      <c r="AE2211">
        <f t="shared" si="309"/>
        <v>4</v>
      </c>
      <c r="AF2211" t="str">
        <f t="shared" si="310"/>
        <v/>
      </c>
      <c r="AG2211" t="str">
        <f t="shared" si="311"/>
        <v/>
      </c>
      <c r="AH2211">
        <f t="shared" si="312"/>
        <v>4</v>
      </c>
      <c r="AI2211" t="str">
        <f t="shared" si="313"/>
        <v/>
      </c>
      <c r="AJ2211" t="str">
        <f t="shared" si="314"/>
        <v/>
      </c>
    </row>
    <row r="2212" spans="1:36">
      <c r="A2212" s="5">
        <v>2722</v>
      </c>
      <c r="B2212" s="5" t="s">
        <v>1256</v>
      </c>
      <c r="C2212" s="10" t="s">
        <v>1215</v>
      </c>
      <c r="D2212" s="5" t="s">
        <v>1249</v>
      </c>
      <c r="E2212" s="5" t="s">
        <v>1250</v>
      </c>
      <c r="F2212" s="5" t="str">
        <f t="shared" si="306"/>
        <v>HR-Screening Associate</v>
      </c>
      <c r="G2212" s="5" t="s">
        <v>40</v>
      </c>
      <c r="H2212" s="9">
        <v>45061.24894675926</v>
      </c>
      <c r="I2212" s="9">
        <v>45065.24894675926</v>
      </c>
      <c r="J2212" s="9" t="e">
        <f>I2212+#REF!</f>
        <v>#REF!</v>
      </c>
      <c r="K2212" s="9" t="e">
        <f>J2212+#REF!</f>
        <v>#REF!</v>
      </c>
      <c r="L2212" s="10" t="s">
        <v>41</v>
      </c>
      <c r="M2212" s="11">
        <v>45075.24894675926</v>
      </c>
      <c r="N2212" s="5" t="s">
        <v>42</v>
      </c>
      <c r="O2212" s="5" t="s">
        <v>58</v>
      </c>
      <c r="P2212" s="9"/>
      <c r="Q2212" s="5"/>
      <c r="R2212" s="5"/>
      <c r="S2212" s="5"/>
      <c r="T2212" s="9"/>
      <c r="U2212" s="5"/>
      <c r="V2212" s="5">
        <v>0</v>
      </c>
      <c r="W2212" s="5"/>
      <c r="X2212" s="5"/>
      <c r="Y2212" s="5"/>
      <c r="Z2212" s="5"/>
      <c r="AA2212" s="5" t="s">
        <v>44</v>
      </c>
      <c r="AC2212">
        <f t="shared" si="307"/>
        <v>10</v>
      </c>
      <c r="AD2212" t="str">
        <f t="shared" si="308"/>
        <v/>
      </c>
      <c r="AE2212" t="str">
        <f t="shared" si="309"/>
        <v/>
      </c>
      <c r="AF2212" t="str">
        <f t="shared" si="310"/>
        <v/>
      </c>
      <c r="AG2212" t="str">
        <f t="shared" si="311"/>
        <v/>
      </c>
      <c r="AH2212">
        <f t="shared" si="312"/>
        <v>4</v>
      </c>
      <c r="AI2212" t="str">
        <f t="shared" si="313"/>
        <v/>
      </c>
      <c r="AJ2212" t="str">
        <f t="shared" si="314"/>
        <v/>
      </c>
    </row>
    <row r="2213" spans="1:36">
      <c r="A2213" s="5">
        <v>2723</v>
      </c>
      <c r="B2213" s="5" t="s">
        <v>1126</v>
      </c>
      <c r="C2213" s="10" t="s">
        <v>1122</v>
      </c>
      <c r="D2213" s="5" t="s">
        <v>1123</v>
      </c>
      <c r="E2213" s="5" t="s">
        <v>102</v>
      </c>
      <c r="F2213" s="5" t="str">
        <f t="shared" si="306"/>
        <v>IT-Senior Manager</v>
      </c>
      <c r="G2213" s="5" t="s">
        <v>103</v>
      </c>
      <c r="H2213" s="9">
        <v>45067.24894675926</v>
      </c>
      <c r="I2213" s="9">
        <v>45069.24894675926</v>
      </c>
      <c r="J2213" s="9" t="e">
        <f>I2213+#REF!</f>
        <v>#REF!</v>
      </c>
      <c r="K2213" s="9" t="e">
        <f>J2213+#REF!</f>
        <v>#REF!</v>
      </c>
      <c r="L2213" s="10" t="s">
        <v>41</v>
      </c>
      <c r="M2213" s="11">
        <v>45072.24894675926</v>
      </c>
      <c r="N2213" s="5" t="s">
        <v>42</v>
      </c>
      <c r="O2213" s="5" t="s">
        <v>58</v>
      </c>
      <c r="P2213" s="9"/>
      <c r="Q2213" s="5"/>
      <c r="R2213" s="5"/>
      <c r="S2213" s="5"/>
      <c r="T2213" s="9">
        <v>45076.24894675926</v>
      </c>
      <c r="U2213" s="5"/>
      <c r="V2213" s="5">
        <v>0</v>
      </c>
      <c r="W2213" s="5"/>
      <c r="X2213" s="5"/>
      <c r="Y2213" s="5"/>
      <c r="Z2213" s="5"/>
      <c r="AA2213" s="5" t="s">
        <v>44</v>
      </c>
      <c r="AC2213">
        <f t="shared" si="307"/>
        <v>3</v>
      </c>
      <c r="AD2213" t="str">
        <f t="shared" si="308"/>
        <v/>
      </c>
      <c r="AE2213">
        <f t="shared" si="309"/>
        <v>4</v>
      </c>
      <c r="AF2213" t="str">
        <f t="shared" si="310"/>
        <v/>
      </c>
      <c r="AG2213" t="str">
        <f t="shared" si="311"/>
        <v/>
      </c>
      <c r="AH2213">
        <f t="shared" si="312"/>
        <v>2</v>
      </c>
      <c r="AI2213" t="str">
        <f t="shared" si="313"/>
        <v/>
      </c>
      <c r="AJ2213" t="str">
        <f t="shared" si="314"/>
        <v/>
      </c>
    </row>
    <row r="2214" spans="1:36">
      <c r="A2214" s="5">
        <v>2724</v>
      </c>
      <c r="B2214" s="5" t="s">
        <v>2113</v>
      </c>
      <c r="C2214" s="10" t="s">
        <v>2089</v>
      </c>
      <c r="D2214" s="5" t="s">
        <v>2114</v>
      </c>
      <c r="E2214" s="5" t="s">
        <v>388</v>
      </c>
      <c r="F2214" s="5" t="str">
        <f t="shared" si="306"/>
        <v>Communication and Advocacy-Extension Officer</v>
      </c>
      <c r="G2214" s="5" t="s">
        <v>147</v>
      </c>
      <c r="H2214" s="9">
        <v>45065.24894675926</v>
      </c>
      <c r="I2214" s="9">
        <v>45066.24894675926</v>
      </c>
      <c r="J2214" s="9" t="e">
        <f>I2214+#REF!</f>
        <v>#REF!</v>
      </c>
      <c r="K2214" s="9" t="e">
        <f>J2214+#REF!</f>
        <v>#REF!</v>
      </c>
      <c r="L2214" s="10" t="s">
        <v>52</v>
      </c>
      <c r="M2214" s="11"/>
      <c r="N2214" s="5"/>
      <c r="O2214" s="5"/>
      <c r="P2214" s="9"/>
      <c r="Q2214" s="5"/>
      <c r="R2214" s="5"/>
      <c r="S2214" s="5"/>
      <c r="T2214" s="9"/>
      <c r="U2214" s="5"/>
      <c r="V2214" s="5">
        <v>0</v>
      </c>
      <c r="W2214" s="5"/>
      <c r="X2214" s="5"/>
      <c r="Y2214" s="5"/>
      <c r="Z2214" s="5"/>
      <c r="AA2214" s="5"/>
      <c r="AC2214" t="str">
        <f t="shared" si="307"/>
        <v/>
      </c>
      <c r="AD2214" t="str">
        <f t="shared" si="308"/>
        <v/>
      </c>
      <c r="AE2214" t="str">
        <f t="shared" si="309"/>
        <v/>
      </c>
      <c r="AF2214" t="str">
        <f t="shared" si="310"/>
        <v/>
      </c>
      <c r="AG2214" t="str">
        <f t="shared" si="311"/>
        <v/>
      </c>
      <c r="AH2214">
        <f t="shared" si="312"/>
        <v>1</v>
      </c>
      <c r="AI2214" t="str">
        <f t="shared" si="313"/>
        <v/>
      </c>
      <c r="AJ2214" t="str">
        <f t="shared" si="314"/>
        <v/>
      </c>
    </row>
    <row r="2215" spans="1:36">
      <c r="A2215" s="5">
        <v>2727</v>
      </c>
      <c r="B2215" s="5" t="s">
        <v>1255</v>
      </c>
      <c r="C2215" s="10" t="s">
        <v>1215</v>
      </c>
      <c r="D2215" s="5" t="s">
        <v>1249</v>
      </c>
      <c r="E2215" s="5" t="s">
        <v>1250</v>
      </c>
      <c r="F2215" s="5" t="str">
        <f t="shared" si="306"/>
        <v>HR-Screening Associate</v>
      </c>
      <c r="G2215" s="5" t="s">
        <v>40</v>
      </c>
      <c r="H2215" s="9">
        <v>45063.24894675926</v>
      </c>
      <c r="I2215" s="9">
        <v>45065.24894675926</v>
      </c>
      <c r="J2215" s="9" t="e">
        <f>I2215+#REF!</f>
        <v>#REF!</v>
      </c>
      <c r="K2215" s="9" t="e">
        <f>J2215+#REF!</f>
        <v>#REF!</v>
      </c>
      <c r="L2215" s="10" t="s">
        <v>41</v>
      </c>
      <c r="M2215" s="11">
        <v>45084.24894675926</v>
      </c>
      <c r="N2215" s="5" t="s">
        <v>48</v>
      </c>
      <c r="O2215" s="5"/>
      <c r="P2215" s="9">
        <v>45087.24894675926</v>
      </c>
      <c r="Q2215" s="5" t="s">
        <v>48</v>
      </c>
      <c r="R2215" s="5"/>
      <c r="S2215" s="5"/>
      <c r="T2215" s="9">
        <v>45086.24894675926</v>
      </c>
      <c r="U2215" s="5"/>
      <c r="V2215" s="5">
        <v>0</v>
      </c>
      <c r="W2215" s="5"/>
      <c r="X2215" s="5"/>
      <c r="Y2215" s="5"/>
      <c r="Z2215" s="5"/>
      <c r="AA2215" s="5"/>
      <c r="AC2215">
        <f t="shared" si="307"/>
        <v>19</v>
      </c>
      <c r="AD2215" t="str">
        <f t="shared" si="308"/>
        <v/>
      </c>
      <c r="AE2215">
        <f t="shared" si="309"/>
        <v>2</v>
      </c>
      <c r="AF2215" t="str">
        <f t="shared" si="310"/>
        <v/>
      </c>
      <c r="AG2215" t="str">
        <f t="shared" si="311"/>
        <v/>
      </c>
      <c r="AH2215">
        <f t="shared" si="312"/>
        <v>2</v>
      </c>
      <c r="AI2215" t="str">
        <f t="shared" si="313"/>
        <v/>
      </c>
      <c r="AJ2215" t="str">
        <f t="shared" si="314"/>
        <v/>
      </c>
    </row>
    <row r="2216" spans="1:36">
      <c r="A2216" s="5">
        <v>2728</v>
      </c>
      <c r="B2216" s="5" t="s">
        <v>674</v>
      </c>
      <c r="C2216" s="10" t="s">
        <v>671</v>
      </c>
      <c r="D2216" s="5" t="s">
        <v>672</v>
      </c>
      <c r="E2216" s="5" t="s">
        <v>673</v>
      </c>
      <c r="F2216" s="5" t="str">
        <f t="shared" si="306"/>
        <v>Operations-Controller</v>
      </c>
      <c r="G2216" s="5" t="s">
        <v>40</v>
      </c>
      <c r="H2216" s="9">
        <v>45065.24894675926</v>
      </c>
      <c r="I2216" s="9">
        <v>45069.24894675926</v>
      </c>
      <c r="J2216" s="9" t="e">
        <f>I2216+#REF!</f>
        <v>#REF!</v>
      </c>
      <c r="K2216" s="9" t="e">
        <f>J2216+#REF!</f>
        <v>#REF!</v>
      </c>
      <c r="L2216" s="10" t="s">
        <v>52</v>
      </c>
      <c r="M2216" s="11"/>
      <c r="N2216" s="5"/>
      <c r="O2216" s="5"/>
      <c r="P2216" s="9"/>
      <c r="Q2216" s="5"/>
      <c r="R2216" s="5"/>
      <c r="S2216" s="5"/>
      <c r="T2216" s="9"/>
      <c r="U2216" s="5"/>
      <c r="V2216" s="5">
        <v>0</v>
      </c>
      <c r="W2216" s="5"/>
      <c r="X2216" s="5"/>
      <c r="Y2216" s="5"/>
      <c r="Z2216" s="5"/>
      <c r="AA2216" s="5"/>
      <c r="AC2216" t="str">
        <f t="shared" si="307"/>
        <v/>
      </c>
      <c r="AD2216" t="str">
        <f t="shared" si="308"/>
        <v/>
      </c>
      <c r="AE2216" t="str">
        <f t="shared" si="309"/>
        <v/>
      </c>
      <c r="AF2216" t="str">
        <f t="shared" si="310"/>
        <v/>
      </c>
      <c r="AG2216" t="str">
        <f t="shared" si="311"/>
        <v/>
      </c>
      <c r="AH2216">
        <f t="shared" si="312"/>
        <v>4</v>
      </c>
      <c r="AI2216" t="str">
        <f t="shared" si="313"/>
        <v/>
      </c>
      <c r="AJ2216" t="str">
        <f t="shared" si="314"/>
        <v/>
      </c>
    </row>
    <row r="2217" spans="1:36">
      <c r="A2217" s="5">
        <v>2729</v>
      </c>
      <c r="B2217" s="5" t="s">
        <v>1289</v>
      </c>
      <c r="C2217" s="10" t="s">
        <v>1215</v>
      </c>
      <c r="D2217" s="5" t="s">
        <v>1287</v>
      </c>
      <c r="E2217" s="5" t="s">
        <v>1146</v>
      </c>
      <c r="F2217" s="5" t="str">
        <f t="shared" si="306"/>
        <v>HR-Quality Assurance</v>
      </c>
      <c r="G2217" s="5" t="s">
        <v>47</v>
      </c>
      <c r="H2217" s="9">
        <v>45067.24894675926</v>
      </c>
      <c r="I2217" s="9">
        <v>45068.24894675926</v>
      </c>
      <c r="J2217" s="9" t="e">
        <f>I2217+#REF!</f>
        <v>#REF!</v>
      </c>
      <c r="K2217" s="9" t="e">
        <f>J2217+#REF!</f>
        <v>#REF!</v>
      </c>
      <c r="L2217" s="10" t="s">
        <v>41</v>
      </c>
      <c r="M2217" s="11">
        <v>45087.24894675926</v>
      </c>
      <c r="N2217" s="5" t="s">
        <v>42</v>
      </c>
      <c r="O2217" s="5" t="s">
        <v>58</v>
      </c>
      <c r="P2217" s="9"/>
      <c r="Q2217" s="5"/>
      <c r="R2217" s="5"/>
      <c r="S2217" s="5"/>
      <c r="T2217" s="9">
        <v>45089.24894675926</v>
      </c>
      <c r="U2217" s="5"/>
      <c r="V2217" s="5">
        <v>0</v>
      </c>
      <c r="W2217" s="5"/>
      <c r="X2217" s="5"/>
      <c r="Y2217" s="5"/>
      <c r="Z2217" s="5"/>
      <c r="AA2217" s="5" t="s">
        <v>44</v>
      </c>
      <c r="AC2217">
        <f t="shared" si="307"/>
        <v>19</v>
      </c>
      <c r="AD2217" t="str">
        <f t="shared" si="308"/>
        <v/>
      </c>
      <c r="AE2217">
        <f t="shared" si="309"/>
        <v>2</v>
      </c>
      <c r="AF2217" t="str">
        <f t="shared" si="310"/>
        <v/>
      </c>
      <c r="AG2217" t="str">
        <f t="shared" si="311"/>
        <v/>
      </c>
      <c r="AH2217">
        <f t="shared" si="312"/>
        <v>1</v>
      </c>
      <c r="AI2217" t="str">
        <f t="shared" si="313"/>
        <v/>
      </c>
      <c r="AJ2217" t="str">
        <f t="shared" si="314"/>
        <v/>
      </c>
    </row>
    <row r="2218" spans="1:36">
      <c r="A2218" s="5">
        <v>2731</v>
      </c>
      <c r="B2218" s="5" t="s">
        <v>108</v>
      </c>
      <c r="C2218" s="5" t="s">
        <v>100</v>
      </c>
      <c r="D2218" s="5" t="s">
        <v>101</v>
      </c>
      <c r="E2218" s="5" t="s">
        <v>102</v>
      </c>
      <c r="F2218" s="5" t="str">
        <f t="shared" si="306"/>
        <v>Program Office-Senior Manager</v>
      </c>
      <c r="G2218" s="5" t="s">
        <v>103</v>
      </c>
      <c r="H2218" s="9">
        <v>44753.981076388889</v>
      </c>
      <c r="I2218" s="9">
        <v>44756.981076388889</v>
      </c>
      <c r="J2218" s="9" t="e">
        <f>I2218+#REF!</f>
        <v>#REF!</v>
      </c>
      <c r="K2218" s="9" t="e">
        <f>J2218+#REF!</f>
        <v>#REF!</v>
      </c>
      <c r="L2218" s="10" t="s">
        <v>41</v>
      </c>
      <c r="M2218" s="11">
        <v>44770.981076388889</v>
      </c>
      <c r="N2218" s="5" t="s">
        <v>42</v>
      </c>
      <c r="O2218" s="5" t="s">
        <v>58</v>
      </c>
      <c r="P2218" s="9"/>
      <c r="Q2218" s="5"/>
      <c r="R2218" s="5"/>
      <c r="S2218" s="5"/>
      <c r="T2218" s="9">
        <v>44772.981076388889</v>
      </c>
      <c r="U2218" s="5"/>
      <c r="V2218" s="5">
        <v>0</v>
      </c>
      <c r="W2218" s="5"/>
      <c r="X2218" s="5"/>
      <c r="Y2218" s="5"/>
      <c r="Z2218" s="5"/>
      <c r="AA2218" s="5" t="s">
        <v>62</v>
      </c>
      <c r="AC2218">
        <f t="shared" si="307"/>
        <v>14</v>
      </c>
      <c r="AD2218" t="str">
        <f t="shared" si="308"/>
        <v/>
      </c>
      <c r="AE2218">
        <f t="shared" si="309"/>
        <v>2</v>
      </c>
      <c r="AF2218" t="str">
        <f t="shared" si="310"/>
        <v/>
      </c>
      <c r="AG2218" t="str">
        <f t="shared" si="311"/>
        <v/>
      </c>
      <c r="AH2218">
        <f t="shared" si="312"/>
        <v>3</v>
      </c>
      <c r="AI2218" t="str">
        <f t="shared" si="313"/>
        <v/>
      </c>
      <c r="AJ2218" t="str">
        <f t="shared" si="314"/>
        <v/>
      </c>
    </row>
    <row r="2219" spans="1:36">
      <c r="A2219" s="5">
        <v>2732</v>
      </c>
      <c r="B2219" s="5" t="s">
        <v>395</v>
      </c>
      <c r="C2219" s="5" t="s">
        <v>100</v>
      </c>
      <c r="D2219" s="5" t="s">
        <v>387</v>
      </c>
      <c r="E2219" s="5" t="s">
        <v>388</v>
      </c>
      <c r="F2219" s="5" t="str">
        <f t="shared" si="306"/>
        <v>Program Office-Extension Officer</v>
      </c>
      <c r="G2219" s="5" t="s">
        <v>40</v>
      </c>
      <c r="H2219" s="9">
        <v>44750.981076388889</v>
      </c>
      <c r="I2219" s="9">
        <v>44753.981076388889</v>
      </c>
      <c r="J2219" s="9" t="e">
        <f>I2219+#REF!</f>
        <v>#REF!</v>
      </c>
      <c r="K2219" s="9" t="e">
        <f>J2219+#REF!</f>
        <v>#REF!</v>
      </c>
      <c r="L2219" s="10" t="s">
        <v>41</v>
      </c>
      <c r="M2219" s="11">
        <v>44762.981076388889</v>
      </c>
      <c r="N2219" s="5" t="s">
        <v>42</v>
      </c>
      <c r="O2219" s="5" t="s">
        <v>73</v>
      </c>
      <c r="P2219" s="9"/>
      <c r="Q2219" s="5"/>
      <c r="R2219" s="5"/>
      <c r="S2219" s="5"/>
      <c r="T2219" s="9">
        <v>44764.981076388889</v>
      </c>
      <c r="U2219" s="5"/>
      <c r="V2219" s="5">
        <v>0</v>
      </c>
      <c r="W2219" s="5"/>
      <c r="X2219" s="5"/>
      <c r="Y2219" s="5"/>
      <c r="Z2219" s="5"/>
      <c r="AA2219" s="5" t="s">
        <v>44</v>
      </c>
      <c r="AC2219">
        <f t="shared" si="307"/>
        <v>9</v>
      </c>
      <c r="AD2219" t="str">
        <f t="shared" si="308"/>
        <v/>
      </c>
      <c r="AE2219">
        <f t="shared" si="309"/>
        <v>2</v>
      </c>
      <c r="AF2219" t="str">
        <f t="shared" si="310"/>
        <v/>
      </c>
      <c r="AG2219" t="str">
        <f t="shared" si="311"/>
        <v/>
      </c>
      <c r="AH2219">
        <f t="shared" si="312"/>
        <v>3</v>
      </c>
      <c r="AI2219" t="str">
        <f t="shared" si="313"/>
        <v/>
      </c>
      <c r="AJ2219" t="str">
        <f t="shared" si="314"/>
        <v/>
      </c>
    </row>
    <row r="2220" spans="1:36">
      <c r="A2220" s="5">
        <v>2734</v>
      </c>
      <c r="B2220" s="5" t="s">
        <v>394</v>
      </c>
      <c r="C2220" s="5" t="s">
        <v>100</v>
      </c>
      <c r="D2220" s="5" t="s">
        <v>387</v>
      </c>
      <c r="E2220" s="5" t="s">
        <v>388</v>
      </c>
      <c r="F2220" s="5" t="str">
        <f t="shared" si="306"/>
        <v>Program Office-Extension Officer</v>
      </c>
      <c r="G2220" s="5" t="s">
        <v>40</v>
      </c>
      <c r="H2220" s="9">
        <v>44749.981076388889</v>
      </c>
      <c r="I2220" s="9">
        <v>44752.981076388889</v>
      </c>
      <c r="J2220" s="9" t="e">
        <f>I2220+#REF!</f>
        <v>#REF!</v>
      </c>
      <c r="K2220" s="9" t="e">
        <f>J2220+#REF!</f>
        <v>#REF!</v>
      </c>
      <c r="L2220" s="10" t="s">
        <v>52</v>
      </c>
      <c r="M2220" s="11"/>
      <c r="N2220" s="5"/>
      <c r="O2220" s="5"/>
      <c r="P2220" s="9"/>
      <c r="Q2220" s="5"/>
      <c r="R2220" s="5"/>
      <c r="S2220" s="5"/>
      <c r="T2220" s="9"/>
      <c r="U2220" s="5"/>
      <c r="V2220" s="5">
        <v>0</v>
      </c>
      <c r="W2220" s="5"/>
      <c r="X2220" s="5"/>
      <c r="Y2220" s="5"/>
      <c r="Z2220" s="5"/>
      <c r="AA2220" s="5"/>
      <c r="AC2220" t="str">
        <f t="shared" si="307"/>
        <v/>
      </c>
      <c r="AD2220" t="str">
        <f t="shared" si="308"/>
        <v/>
      </c>
      <c r="AE2220" t="str">
        <f t="shared" si="309"/>
        <v/>
      </c>
      <c r="AF2220" t="str">
        <f t="shared" si="310"/>
        <v/>
      </c>
      <c r="AG2220" t="str">
        <f t="shared" si="311"/>
        <v/>
      </c>
      <c r="AH2220">
        <f t="shared" si="312"/>
        <v>3</v>
      </c>
      <c r="AI2220" t="str">
        <f t="shared" si="313"/>
        <v/>
      </c>
      <c r="AJ2220" t="str">
        <f t="shared" si="314"/>
        <v/>
      </c>
    </row>
    <row r="2221" spans="1:36">
      <c r="A2221" s="5">
        <v>2736</v>
      </c>
      <c r="B2221" s="5" t="s">
        <v>570</v>
      </c>
      <c r="C2221" s="5" t="s">
        <v>100</v>
      </c>
      <c r="D2221" s="5" t="s">
        <v>554</v>
      </c>
      <c r="E2221" s="5" t="s">
        <v>39</v>
      </c>
      <c r="F2221" s="5" t="str">
        <f t="shared" si="306"/>
        <v>Program Office-Analyst</v>
      </c>
      <c r="G2221" s="5" t="s">
        <v>47</v>
      </c>
      <c r="H2221" s="9">
        <v>44748.981076388889</v>
      </c>
      <c r="I2221" s="9">
        <v>44751.981076388889</v>
      </c>
      <c r="J2221" s="9" t="e">
        <f>I2221+#REF!</f>
        <v>#REF!</v>
      </c>
      <c r="K2221" s="9" t="e">
        <f>J2221+#REF!</f>
        <v>#REF!</v>
      </c>
      <c r="L2221" s="10" t="s">
        <v>41</v>
      </c>
      <c r="M2221" s="11">
        <v>44763.981076388889</v>
      </c>
      <c r="N2221" s="5" t="s">
        <v>64</v>
      </c>
      <c r="O2221" s="5"/>
      <c r="P2221" s="9">
        <v>44769.981076388889</v>
      </c>
      <c r="Q2221" s="5" t="s">
        <v>64</v>
      </c>
      <c r="R2221" s="9">
        <v>44764.981076388889</v>
      </c>
      <c r="S2221" s="9">
        <v>44768.981076388889</v>
      </c>
      <c r="T2221" s="9">
        <v>44766.981076388889</v>
      </c>
      <c r="U2221" s="9">
        <v>44774.981076388889</v>
      </c>
      <c r="V2221" s="12">
        <v>1</v>
      </c>
      <c r="W2221" s="9">
        <v>44776.981076388889</v>
      </c>
      <c r="X2221" s="9">
        <v>44777.981076388889</v>
      </c>
      <c r="Y2221" s="9">
        <v>44779.981076388889</v>
      </c>
      <c r="Z2221" s="5"/>
      <c r="AA2221" s="5"/>
      <c r="AB2221" s="13">
        <v>44800.981076388889</v>
      </c>
      <c r="AC2221">
        <f t="shared" si="307"/>
        <v>12</v>
      </c>
      <c r="AD2221">
        <f t="shared" si="308"/>
        <v>17</v>
      </c>
      <c r="AE2221">
        <f t="shared" si="309"/>
        <v>3</v>
      </c>
      <c r="AF2221">
        <f t="shared" si="310"/>
        <v>3</v>
      </c>
      <c r="AG2221">
        <f t="shared" si="311"/>
        <v>2</v>
      </c>
      <c r="AH2221">
        <f t="shared" si="312"/>
        <v>3</v>
      </c>
      <c r="AI2221" t="str">
        <f t="shared" si="313"/>
        <v/>
      </c>
      <c r="AJ2221" t="str">
        <f t="shared" si="314"/>
        <v/>
      </c>
    </row>
    <row r="2222" spans="1:36">
      <c r="A2222" s="5">
        <v>2740</v>
      </c>
      <c r="B2222" s="5" t="s">
        <v>162</v>
      </c>
      <c r="C2222" s="5" t="s">
        <v>100</v>
      </c>
      <c r="D2222" s="5" t="s">
        <v>146</v>
      </c>
      <c r="E2222" s="5" t="s">
        <v>39</v>
      </c>
      <c r="F2222" s="5" t="str">
        <f t="shared" si="306"/>
        <v>Program Office-Analyst</v>
      </c>
      <c r="G2222" s="5" t="s">
        <v>147</v>
      </c>
      <c r="H2222" s="9">
        <v>44751.981076388889</v>
      </c>
      <c r="I2222" s="9">
        <v>44752.981076388889</v>
      </c>
      <c r="J2222" s="9" t="e">
        <f>I2222+#REF!</f>
        <v>#REF!</v>
      </c>
      <c r="K2222" s="9" t="e">
        <f>J2222+#REF!</f>
        <v>#REF!</v>
      </c>
      <c r="L2222" s="10" t="s">
        <v>52</v>
      </c>
      <c r="M2222" s="11"/>
      <c r="N2222" s="5"/>
      <c r="O2222" s="5"/>
      <c r="P2222" s="9"/>
      <c r="Q2222" s="5"/>
      <c r="R2222" s="5"/>
      <c r="S2222" s="5"/>
      <c r="T2222" s="9"/>
      <c r="U2222" s="5"/>
      <c r="V2222" s="5">
        <v>0</v>
      </c>
      <c r="W2222" s="5"/>
      <c r="X2222" s="5"/>
      <c r="Y2222" s="5"/>
      <c r="Z2222" s="5"/>
      <c r="AA2222" s="5"/>
      <c r="AC2222" t="str">
        <f t="shared" si="307"/>
        <v/>
      </c>
      <c r="AD2222" t="str">
        <f t="shared" si="308"/>
        <v/>
      </c>
      <c r="AE2222" t="str">
        <f t="shared" si="309"/>
        <v/>
      </c>
      <c r="AF2222" t="str">
        <f t="shared" si="310"/>
        <v/>
      </c>
      <c r="AG2222" t="str">
        <f t="shared" si="311"/>
        <v/>
      </c>
      <c r="AH2222">
        <f t="shared" si="312"/>
        <v>1</v>
      </c>
      <c r="AI2222" t="str">
        <f t="shared" si="313"/>
        <v/>
      </c>
      <c r="AJ2222" t="str">
        <f t="shared" si="314"/>
        <v/>
      </c>
    </row>
    <row r="2223" spans="1:36">
      <c r="A2223" s="5">
        <v>2741</v>
      </c>
      <c r="B2223" s="5" t="s">
        <v>2355</v>
      </c>
      <c r="C2223" s="5" t="s">
        <v>2229</v>
      </c>
      <c r="D2223" s="5" t="s">
        <v>2350</v>
      </c>
      <c r="E2223" s="5" t="s">
        <v>2351</v>
      </c>
      <c r="F2223" s="5" t="str">
        <f t="shared" si="306"/>
        <v>Capacity Building-Training Associate</v>
      </c>
      <c r="G2223" s="5" t="s">
        <v>40</v>
      </c>
      <c r="H2223" s="9">
        <v>44667.561030092591</v>
      </c>
      <c r="I2223" s="9">
        <v>44669.561030092591</v>
      </c>
      <c r="J2223" s="9" t="e">
        <f>I2223+#REF!</f>
        <v>#REF!</v>
      </c>
      <c r="K2223" s="9" t="e">
        <f>J2223+#REF!</f>
        <v>#REF!</v>
      </c>
      <c r="L2223" s="10" t="s">
        <v>52</v>
      </c>
      <c r="M2223" s="11"/>
      <c r="N2223" s="5"/>
      <c r="O2223" s="5"/>
      <c r="P2223" s="9"/>
      <c r="Q2223" s="5"/>
      <c r="R2223" s="5"/>
      <c r="S2223" s="5"/>
      <c r="T2223" s="9"/>
      <c r="U2223" s="5"/>
      <c r="V2223" s="5">
        <v>0</v>
      </c>
      <c r="W2223" s="5"/>
      <c r="X2223" s="5"/>
      <c r="Y2223" s="5"/>
      <c r="Z2223" s="5"/>
      <c r="AA2223" s="5"/>
      <c r="AC2223" t="str">
        <f t="shared" si="307"/>
        <v/>
      </c>
      <c r="AD2223" t="str">
        <f t="shared" si="308"/>
        <v/>
      </c>
      <c r="AE2223" t="str">
        <f t="shared" si="309"/>
        <v/>
      </c>
      <c r="AF2223" t="str">
        <f t="shared" si="310"/>
        <v/>
      </c>
      <c r="AG2223" t="str">
        <f t="shared" si="311"/>
        <v/>
      </c>
      <c r="AH2223">
        <f t="shared" si="312"/>
        <v>2</v>
      </c>
      <c r="AI2223" t="str">
        <f t="shared" si="313"/>
        <v/>
      </c>
      <c r="AJ2223" t="str">
        <f t="shared" si="314"/>
        <v/>
      </c>
    </row>
    <row r="2224" spans="1:36">
      <c r="A2224" s="5">
        <v>2742</v>
      </c>
      <c r="B2224" s="5" t="s">
        <v>1417</v>
      </c>
      <c r="C2224" s="5" t="s">
        <v>1332</v>
      </c>
      <c r="D2224" s="5" t="s">
        <v>1413</v>
      </c>
      <c r="E2224" s="5" t="s">
        <v>269</v>
      </c>
      <c r="F2224" s="5" t="str">
        <f t="shared" si="306"/>
        <v>Fundraising-Manager</v>
      </c>
      <c r="G2224" s="5" t="s">
        <v>270</v>
      </c>
      <c r="H2224" s="9">
        <v>44668.561030092591</v>
      </c>
      <c r="I2224" s="9">
        <v>44672.561030092591</v>
      </c>
      <c r="J2224" s="9" t="e">
        <f>I2224+#REF!</f>
        <v>#REF!</v>
      </c>
      <c r="K2224" s="9" t="e">
        <f>J2224+#REF!</f>
        <v>#REF!</v>
      </c>
      <c r="L2224" s="10" t="s">
        <v>41</v>
      </c>
      <c r="M2224" s="11">
        <v>44679.561030092591</v>
      </c>
      <c r="N2224" s="5" t="s">
        <v>42</v>
      </c>
      <c r="O2224" s="5" t="s">
        <v>73</v>
      </c>
      <c r="P2224" s="9"/>
      <c r="Q2224" s="5"/>
      <c r="R2224" s="5"/>
      <c r="S2224" s="5"/>
      <c r="T2224" s="9">
        <v>44682.561030092591</v>
      </c>
      <c r="U2224" s="5"/>
      <c r="V2224" s="5">
        <v>0</v>
      </c>
      <c r="W2224" s="5"/>
      <c r="X2224" s="5"/>
      <c r="Y2224" s="5"/>
      <c r="Z2224" s="5"/>
      <c r="AA2224" s="5" t="s">
        <v>62</v>
      </c>
      <c r="AC2224">
        <f t="shared" si="307"/>
        <v>7</v>
      </c>
      <c r="AD2224" t="str">
        <f t="shared" si="308"/>
        <v/>
      </c>
      <c r="AE2224">
        <f t="shared" si="309"/>
        <v>3</v>
      </c>
      <c r="AF2224" t="str">
        <f t="shared" si="310"/>
        <v/>
      </c>
      <c r="AG2224" t="str">
        <f t="shared" si="311"/>
        <v/>
      </c>
      <c r="AH2224">
        <f t="shared" si="312"/>
        <v>4</v>
      </c>
      <c r="AI2224" t="str">
        <f t="shared" si="313"/>
        <v/>
      </c>
      <c r="AJ2224" t="str">
        <f t="shared" si="314"/>
        <v/>
      </c>
    </row>
    <row r="2225" spans="1:36">
      <c r="A2225" s="5">
        <v>2745</v>
      </c>
      <c r="B2225" s="5" t="s">
        <v>1371</v>
      </c>
      <c r="C2225" s="5" t="s">
        <v>1332</v>
      </c>
      <c r="D2225" s="5" t="s">
        <v>1359</v>
      </c>
      <c r="E2225" s="5" t="s">
        <v>1360</v>
      </c>
      <c r="F2225" s="5" t="str">
        <f t="shared" si="306"/>
        <v>Fundraising-Fund Administrator</v>
      </c>
      <c r="G2225" s="5" t="s">
        <v>147</v>
      </c>
      <c r="H2225" s="9">
        <v>44669.561030092591</v>
      </c>
      <c r="I2225" s="9">
        <v>44670.561030092591</v>
      </c>
      <c r="J2225" s="9" t="e">
        <f>I2225+#REF!</f>
        <v>#REF!</v>
      </c>
      <c r="K2225" s="9" t="e">
        <f>J2225+#REF!</f>
        <v>#REF!</v>
      </c>
      <c r="L2225" s="10" t="s">
        <v>41</v>
      </c>
      <c r="M2225" s="11">
        <v>44691.561030092591</v>
      </c>
      <c r="N2225" s="5" t="s">
        <v>48</v>
      </c>
      <c r="O2225" s="5"/>
      <c r="P2225" s="9">
        <v>44697.561030092591</v>
      </c>
      <c r="Q2225" s="5" t="s">
        <v>48</v>
      </c>
      <c r="R2225" s="5"/>
      <c r="S2225" s="5"/>
      <c r="T2225" s="9">
        <v>44693.561030092591</v>
      </c>
      <c r="U2225" s="5"/>
      <c r="V2225" s="5">
        <v>0</v>
      </c>
      <c r="W2225" s="5"/>
      <c r="X2225" s="5"/>
      <c r="Y2225" s="5"/>
      <c r="Z2225" s="5"/>
      <c r="AA2225" s="5"/>
      <c r="AC2225">
        <f t="shared" si="307"/>
        <v>21</v>
      </c>
      <c r="AD2225" t="str">
        <f t="shared" si="308"/>
        <v/>
      </c>
      <c r="AE2225">
        <f t="shared" si="309"/>
        <v>2</v>
      </c>
      <c r="AF2225" t="str">
        <f t="shared" si="310"/>
        <v/>
      </c>
      <c r="AG2225" t="str">
        <f t="shared" si="311"/>
        <v/>
      </c>
      <c r="AH2225">
        <f t="shared" si="312"/>
        <v>1</v>
      </c>
      <c r="AI2225" t="str">
        <f t="shared" si="313"/>
        <v/>
      </c>
      <c r="AJ2225" t="str">
        <f t="shared" si="314"/>
        <v/>
      </c>
    </row>
    <row r="2226" spans="1:36">
      <c r="A2226" s="5">
        <v>2746</v>
      </c>
      <c r="B2226" s="5" t="s">
        <v>1370</v>
      </c>
      <c r="C2226" s="5" t="s">
        <v>1332</v>
      </c>
      <c r="D2226" s="5" t="s">
        <v>1359</v>
      </c>
      <c r="E2226" s="5" t="s">
        <v>1360</v>
      </c>
      <c r="F2226" s="5" t="str">
        <f t="shared" si="306"/>
        <v>Fundraising-Fund Administrator</v>
      </c>
      <c r="G2226" s="5" t="s">
        <v>147</v>
      </c>
      <c r="H2226" s="9">
        <v>44668.561030092591</v>
      </c>
      <c r="I2226" s="9">
        <v>44672.561030092591</v>
      </c>
      <c r="J2226" s="9" t="e">
        <f>I2226+#REF!</f>
        <v>#REF!</v>
      </c>
      <c r="K2226" s="9" t="e">
        <f>J2226+#REF!</f>
        <v>#REF!</v>
      </c>
      <c r="L2226" s="10" t="s">
        <v>41</v>
      </c>
      <c r="M2226" s="11">
        <v>44680.561030092591</v>
      </c>
      <c r="N2226" s="5" t="s">
        <v>48</v>
      </c>
      <c r="O2226" s="5"/>
      <c r="P2226" s="9">
        <v>44684.561030092591</v>
      </c>
      <c r="Q2226" s="5" t="s">
        <v>48</v>
      </c>
      <c r="R2226" s="5"/>
      <c r="S2226" s="5"/>
      <c r="T2226" s="9">
        <v>44681.561030092591</v>
      </c>
      <c r="U2226" s="5"/>
      <c r="V2226" s="5">
        <v>0</v>
      </c>
      <c r="W2226" s="5"/>
      <c r="X2226" s="5"/>
      <c r="Y2226" s="5"/>
      <c r="Z2226" s="5"/>
      <c r="AA2226" s="5"/>
      <c r="AC2226">
        <f t="shared" si="307"/>
        <v>8</v>
      </c>
      <c r="AD2226" t="str">
        <f t="shared" si="308"/>
        <v/>
      </c>
      <c r="AE2226">
        <f t="shared" si="309"/>
        <v>1</v>
      </c>
      <c r="AF2226" t="str">
        <f t="shared" si="310"/>
        <v/>
      </c>
      <c r="AG2226" t="str">
        <f t="shared" si="311"/>
        <v/>
      </c>
      <c r="AH2226">
        <f t="shared" si="312"/>
        <v>4</v>
      </c>
      <c r="AI2226" t="str">
        <f t="shared" si="313"/>
        <v/>
      </c>
      <c r="AJ2226" t="str">
        <f t="shared" si="314"/>
        <v/>
      </c>
    </row>
    <row r="2227" spans="1:36">
      <c r="A2227" s="5">
        <v>2747</v>
      </c>
      <c r="B2227" s="5" t="s">
        <v>1463</v>
      </c>
      <c r="C2227" s="5" t="s">
        <v>1332</v>
      </c>
      <c r="D2227" s="5" t="s">
        <v>1448</v>
      </c>
      <c r="E2227" s="5" t="s">
        <v>597</v>
      </c>
      <c r="F2227" s="5" t="str">
        <f t="shared" si="306"/>
        <v>Fundraising-Business Partner</v>
      </c>
      <c r="G2227" s="5" t="s">
        <v>40</v>
      </c>
      <c r="H2227" s="9">
        <v>44670.561030092591</v>
      </c>
      <c r="I2227" s="9">
        <v>44674.561030092591</v>
      </c>
      <c r="J2227" s="9" t="e">
        <f>I2227+#REF!</f>
        <v>#REF!</v>
      </c>
      <c r="K2227" s="9" t="e">
        <f>J2227+#REF!</f>
        <v>#REF!</v>
      </c>
      <c r="L2227" s="10" t="s">
        <v>41</v>
      </c>
      <c r="M2227" s="11">
        <v>44680.561030092591</v>
      </c>
      <c r="N2227" s="5" t="s">
        <v>42</v>
      </c>
      <c r="O2227" s="5" t="s">
        <v>113</v>
      </c>
      <c r="P2227" s="9"/>
      <c r="Q2227" s="5"/>
      <c r="R2227" s="5"/>
      <c r="S2227" s="5"/>
      <c r="T2227" s="9"/>
      <c r="U2227" s="5"/>
      <c r="V2227" s="5">
        <v>0</v>
      </c>
      <c r="W2227" s="5"/>
      <c r="X2227" s="5"/>
      <c r="Y2227" s="5"/>
      <c r="Z2227" s="5"/>
      <c r="AA2227" s="5" t="s">
        <v>44</v>
      </c>
      <c r="AC2227">
        <f t="shared" si="307"/>
        <v>6</v>
      </c>
      <c r="AD2227" t="str">
        <f t="shared" si="308"/>
        <v/>
      </c>
      <c r="AE2227" t="str">
        <f t="shared" si="309"/>
        <v/>
      </c>
      <c r="AF2227" t="str">
        <f t="shared" si="310"/>
        <v/>
      </c>
      <c r="AG2227" t="str">
        <f t="shared" si="311"/>
        <v/>
      </c>
      <c r="AH2227">
        <f t="shared" si="312"/>
        <v>4</v>
      </c>
      <c r="AI2227" t="str">
        <f t="shared" si="313"/>
        <v/>
      </c>
      <c r="AJ2227" t="str">
        <f t="shared" si="314"/>
        <v/>
      </c>
    </row>
    <row r="2228" spans="1:36">
      <c r="A2228" s="5">
        <v>2751</v>
      </c>
      <c r="B2228" s="5" t="s">
        <v>1594</v>
      </c>
      <c r="C2228" s="5" t="s">
        <v>1540</v>
      </c>
      <c r="D2228" s="5" t="s">
        <v>1588</v>
      </c>
      <c r="E2228" s="5" t="s">
        <v>1360</v>
      </c>
      <c r="F2228" s="5" t="str">
        <f t="shared" si="306"/>
        <v>Finance-Fund Administrator</v>
      </c>
      <c r="G2228" s="5" t="s">
        <v>147</v>
      </c>
      <c r="H2228" s="9">
        <v>45028.765081018515</v>
      </c>
      <c r="I2228" s="9">
        <v>45029.765081018515</v>
      </c>
      <c r="J2228" s="9" t="e">
        <f>I2228+#REF!</f>
        <v>#REF!</v>
      </c>
      <c r="K2228" s="9" t="e">
        <f>J2228+#REF!</f>
        <v>#REF!</v>
      </c>
      <c r="L2228" s="10" t="s">
        <v>41</v>
      </c>
      <c r="M2228" s="11">
        <v>45033.765081018515</v>
      </c>
      <c r="N2228" s="5" t="s">
        <v>42</v>
      </c>
      <c r="O2228" s="5" t="s">
        <v>73</v>
      </c>
      <c r="P2228" s="9"/>
      <c r="Q2228" s="5"/>
      <c r="R2228" s="5"/>
      <c r="S2228" s="5"/>
      <c r="T2228" s="9">
        <v>45034.765081018515</v>
      </c>
      <c r="U2228" s="5"/>
      <c r="V2228" s="5">
        <v>0</v>
      </c>
      <c r="W2228" s="5"/>
      <c r="X2228" s="5"/>
      <c r="Y2228" s="5"/>
      <c r="Z2228" s="5"/>
      <c r="AA2228" s="5" t="s">
        <v>62</v>
      </c>
      <c r="AC2228">
        <f t="shared" si="307"/>
        <v>4</v>
      </c>
      <c r="AD2228" t="str">
        <f t="shared" si="308"/>
        <v/>
      </c>
      <c r="AE2228">
        <f t="shared" si="309"/>
        <v>1</v>
      </c>
      <c r="AF2228" t="str">
        <f t="shared" si="310"/>
        <v/>
      </c>
      <c r="AG2228" t="str">
        <f t="shared" si="311"/>
        <v/>
      </c>
      <c r="AH2228">
        <f t="shared" si="312"/>
        <v>1</v>
      </c>
      <c r="AI2228" t="str">
        <f t="shared" si="313"/>
        <v/>
      </c>
      <c r="AJ2228" t="str">
        <f t="shared" si="314"/>
        <v/>
      </c>
    </row>
    <row r="2229" spans="1:36">
      <c r="A2229" s="5">
        <v>2752</v>
      </c>
      <c r="B2229" s="5" t="s">
        <v>1709</v>
      </c>
      <c r="C2229" s="5" t="s">
        <v>1540</v>
      </c>
      <c r="D2229" s="5" t="s">
        <v>1706</v>
      </c>
      <c r="E2229" s="5" t="s">
        <v>269</v>
      </c>
      <c r="F2229" s="5" t="str">
        <f t="shared" si="306"/>
        <v>Finance-Manager</v>
      </c>
      <c r="G2229" s="5" t="s">
        <v>270</v>
      </c>
      <c r="H2229" s="9">
        <v>45025.765081018515</v>
      </c>
      <c r="I2229" s="9">
        <v>45028.765081018515</v>
      </c>
      <c r="J2229" s="9" t="e">
        <f>I2229+#REF!</f>
        <v>#REF!</v>
      </c>
      <c r="K2229" s="9" t="e">
        <f>J2229+#REF!</f>
        <v>#REF!</v>
      </c>
      <c r="L2229" s="10" t="s">
        <v>41</v>
      </c>
      <c r="M2229" s="11">
        <v>45042.765081018515</v>
      </c>
      <c r="N2229" s="5" t="s">
        <v>64</v>
      </c>
      <c r="O2229" s="5"/>
      <c r="P2229" s="9">
        <v>45047.765081018515</v>
      </c>
      <c r="Q2229" s="5" t="s">
        <v>64</v>
      </c>
      <c r="R2229" s="9">
        <v>45044.765081018515</v>
      </c>
      <c r="S2229" s="9">
        <v>45047.765081018515</v>
      </c>
      <c r="T2229" s="9">
        <v>45045.765081018515</v>
      </c>
      <c r="U2229" s="9">
        <v>45051.765081018515</v>
      </c>
      <c r="V2229" s="12">
        <v>1</v>
      </c>
      <c r="W2229" s="9">
        <v>45055.765081018515</v>
      </c>
      <c r="X2229" s="9">
        <v>45057.765081018515</v>
      </c>
      <c r="Y2229" s="9">
        <v>45058.765081018515</v>
      </c>
      <c r="Z2229" s="5"/>
      <c r="AA2229" s="5"/>
      <c r="AB2229" s="13">
        <v>45067.765081018515</v>
      </c>
      <c r="AC2229">
        <f t="shared" si="307"/>
        <v>14</v>
      </c>
      <c r="AD2229">
        <f t="shared" si="308"/>
        <v>19</v>
      </c>
      <c r="AE2229">
        <f t="shared" si="309"/>
        <v>3</v>
      </c>
      <c r="AF2229">
        <f t="shared" si="310"/>
        <v>6</v>
      </c>
      <c r="AG2229">
        <f t="shared" si="311"/>
        <v>4</v>
      </c>
      <c r="AH2229">
        <f t="shared" si="312"/>
        <v>3</v>
      </c>
      <c r="AI2229" t="str">
        <f t="shared" si="313"/>
        <v/>
      </c>
      <c r="AJ2229" t="str">
        <f t="shared" si="314"/>
        <v/>
      </c>
    </row>
    <row r="2230" spans="1:36">
      <c r="A2230" s="5">
        <v>2753</v>
      </c>
      <c r="B2230" s="5" t="s">
        <v>1593</v>
      </c>
      <c r="C2230" s="5" t="s">
        <v>1540</v>
      </c>
      <c r="D2230" s="5" t="s">
        <v>1588</v>
      </c>
      <c r="E2230" s="5" t="s">
        <v>1360</v>
      </c>
      <c r="F2230" s="5" t="str">
        <f t="shared" si="306"/>
        <v>Finance-Fund Administrator</v>
      </c>
      <c r="G2230" s="5" t="s">
        <v>147</v>
      </c>
      <c r="H2230" s="9">
        <v>45024.765081018515</v>
      </c>
      <c r="I2230" s="9">
        <v>45028.765081018515</v>
      </c>
      <c r="J2230" s="9" t="e">
        <f>I2230+#REF!</f>
        <v>#REF!</v>
      </c>
      <c r="K2230" s="9" t="e">
        <f>J2230+#REF!</f>
        <v>#REF!</v>
      </c>
      <c r="L2230" s="10" t="s">
        <v>52</v>
      </c>
      <c r="M2230" s="11"/>
      <c r="N2230" s="5"/>
      <c r="O2230" s="5"/>
      <c r="P2230" s="9"/>
      <c r="Q2230" s="5"/>
      <c r="R2230" s="5"/>
      <c r="S2230" s="5"/>
      <c r="T2230" s="9"/>
      <c r="U2230" s="5"/>
      <c r="V2230" s="5">
        <v>0</v>
      </c>
      <c r="W2230" s="5"/>
      <c r="X2230" s="5"/>
      <c r="Y2230" s="5"/>
      <c r="Z2230" s="5"/>
      <c r="AA2230" s="5"/>
      <c r="AC2230" t="str">
        <f t="shared" si="307"/>
        <v/>
      </c>
      <c r="AD2230" t="str">
        <f t="shared" si="308"/>
        <v/>
      </c>
      <c r="AE2230" t="str">
        <f t="shared" si="309"/>
        <v/>
      </c>
      <c r="AF2230" t="str">
        <f t="shared" si="310"/>
        <v/>
      </c>
      <c r="AG2230" t="str">
        <f t="shared" si="311"/>
        <v/>
      </c>
      <c r="AH2230">
        <f t="shared" si="312"/>
        <v>4</v>
      </c>
      <c r="AI2230" t="str">
        <f t="shared" si="313"/>
        <v/>
      </c>
      <c r="AJ2230" t="str">
        <f t="shared" si="314"/>
        <v/>
      </c>
    </row>
    <row r="2231" spans="1:36">
      <c r="A2231" s="5">
        <v>2754</v>
      </c>
      <c r="B2231" s="5" t="s">
        <v>1592</v>
      </c>
      <c r="C2231" s="5" t="s">
        <v>1540</v>
      </c>
      <c r="D2231" s="5" t="s">
        <v>1588</v>
      </c>
      <c r="E2231" s="5" t="s">
        <v>1360</v>
      </c>
      <c r="F2231" s="5" t="str">
        <f t="shared" si="306"/>
        <v>Finance-Fund Administrator</v>
      </c>
      <c r="G2231" s="5" t="s">
        <v>147</v>
      </c>
      <c r="H2231" s="9">
        <v>45026.765081018515</v>
      </c>
      <c r="I2231" s="9">
        <v>45030.765081018515</v>
      </c>
      <c r="J2231" s="9" t="e">
        <f>I2231+#REF!</f>
        <v>#REF!</v>
      </c>
      <c r="K2231" s="9" t="e">
        <f>J2231+#REF!</f>
        <v>#REF!</v>
      </c>
      <c r="L2231" s="10" t="s">
        <v>41</v>
      </c>
      <c r="M2231" s="11">
        <v>45048.765081018515</v>
      </c>
      <c r="N2231" s="5" t="s">
        <v>42</v>
      </c>
      <c r="O2231" s="5" t="s">
        <v>73</v>
      </c>
      <c r="P2231" s="9"/>
      <c r="Q2231" s="5"/>
      <c r="R2231" s="5"/>
      <c r="S2231" s="5"/>
      <c r="T2231" s="9">
        <v>45052.765081018515</v>
      </c>
      <c r="U2231" s="5"/>
      <c r="V2231" s="5">
        <v>0</v>
      </c>
      <c r="W2231" s="5"/>
      <c r="X2231" s="5"/>
      <c r="Y2231" s="5"/>
      <c r="Z2231" s="5"/>
      <c r="AA2231" s="5" t="s">
        <v>44</v>
      </c>
      <c r="AC2231">
        <f t="shared" si="307"/>
        <v>18</v>
      </c>
      <c r="AD2231" t="str">
        <f t="shared" si="308"/>
        <v/>
      </c>
      <c r="AE2231">
        <f t="shared" si="309"/>
        <v>4</v>
      </c>
      <c r="AF2231" t="str">
        <f t="shared" si="310"/>
        <v/>
      </c>
      <c r="AG2231" t="str">
        <f t="shared" si="311"/>
        <v/>
      </c>
      <c r="AH2231">
        <f t="shared" si="312"/>
        <v>4</v>
      </c>
      <c r="AI2231" t="str">
        <f t="shared" si="313"/>
        <v/>
      </c>
      <c r="AJ2231" t="str">
        <f t="shared" si="314"/>
        <v/>
      </c>
    </row>
    <row r="2232" spans="1:36">
      <c r="A2232" s="5">
        <v>2759</v>
      </c>
      <c r="B2232" s="5" t="s">
        <v>1824</v>
      </c>
      <c r="C2232" s="5" t="s">
        <v>1540</v>
      </c>
      <c r="D2232" s="5" t="s">
        <v>1820</v>
      </c>
      <c r="E2232" s="5" t="s">
        <v>39</v>
      </c>
      <c r="F2232" s="5" t="str">
        <f t="shared" si="306"/>
        <v>Finance-Analyst</v>
      </c>
      <c r="G2232" s="5" t="s">
        <v>40</v>
      </c>
      <c r="H2232" s="9">
        <v>45027.765081018515</v>
      </c>
      <c r="I2232" s="9">
        <v>45030.765081018515</v>
      </c>
      <c r="J2232" s="9" t="e">
        <f>I2232+#REF!</f>
        <v>#REF!</v>
      </c>
      <c r="K2232" s="9" t="e">
        <f>J2232+#REF!</f>
        <v>#REF!</v>
      </c>
      <c r="L2232" s="10" t="s">
        <v>41</v>
      </c>
      <c r="M2232" s="11">
        <v>45038.765081018515</v>
      </c>
      <c r="N2232" s="5" t="s">
        <v>64</v>
      </c>
      <c r="O2232" s="5"/>
      <c r="P2232" s="9">
        <v>45040.765081018515</v>
      </c>
      <c r="Q2232" s="5" t="s">
        <v>64</v>
      </c>
      <c r="R2232" s="9">
        <v>45040.765081018515</v>
      </c>
      <c r="S2232" s="9">
        <v>45042.765081018515</v>
      </c>
      <c r="T2232" s="9">
        <v>45039.765081018515</v>
      </c>
      <c r="U2232" s="9">
        <v>45047.765081018515</v>
      </c>
      <c r="V2232" s="12">
        <v>1</v>
      </c>
      <c r="W2232" s="9">
        <v>45049.765081018515</v>
      </c>
      <c r="X2232" s="9">
        <v>45052.765081018515</v>
      </c>
      <c r="Y2232" s="9">
        <v>45054.765081018515</v>
      </c>
      <c r="Z2232" s="5"/>
      <c r="AA2232" s="5"/>
      <c r="AB2232" s="13">
        <v>45076.765081018515</v>
      </c>
      <c r="AC2232">
        <f t="shared" si="307"/>
        <v>8</v>
      </c>
      <c r="AD2232">
        <f t="shared" si="308"/>
        <v>12</v>
      </c>
      <c r="AE2232">
        <f t="shared" si="309"/>
        <v>1</v>
      </c>
      <c r="AF2232">
        <f t="shared" si="310"/>
        <v>5</v>
      </c>
      <c r="AG2232">
        <f t="shared" si="311"/>
        <v>2</v>
      </c>
      <c r="AH2232">
        <f t="shared" si="312"/>
        <v>3</v>
      </c>
      <c r="AI2232" t="str">
        <f t="shared" si="313"/>
        <v/>
      </c>
      <c r="AJ2232" t="str">
        <f t="shared" si="314"/>
        <v/>
      </c>
    </row>
    <row r="2233" spans="1:36">
      <c r="A2233" s="5">
        <v>2760</v>
      </c>
      <c r="B2233" s="5" t="s">
        <v>1984</v>
      </c>
      <c r="C2233" s="5" t="s">
        <v>1540</v>
      </c>
      <c r="D2233" s="5" t="s">
        <v>1985</v>
      </c>
      <c r="E2233" s="5" t="s">
        <v>1986</v>
      </c>
      <c r="F2233" s="5" t="str">
        <f t="shared" si="306"/>
        <v>Finance-Revenue Recorgnition</v>
      </c>
      <c r="G2233" s="5" t="s">
        <v>47</v>
      </c>
      <c r="H2233" s="9">
        <v>45026.765081018515</v>
      </c>
      <c r="I2233" s="9">
        <v>45029.765081018515</v>
      </c>
      <c r="J2233" s="9" t="e">
        <f>I2233+#REF!</f>
        <v>#REF!</v>
      </c>
      <c r="K2233" s="9" t="e">
        <f>J2233+#REF!</f>
        <v>#REF!</v>
      </c>
      <c r="L2233" s="10" t="s">
        <v>41</v>
      </c>
      <c r="M2233" s="11">
        <v>45037.765081018515</v>
      </c>
      <c r="N2233" s="5" t="s">
        <v>42</v>
      </c>
      <c r="O2233" s="5" t="s">
        <v>58</v>
      </c>
      <c r="P2233" s="9"/>
      <c r="Q2233" s="5"/>
      <c r="R2233" s="5"/>
      <c r="S2233" s="5"/>
      <c r="T2233" s="9">
        <v>45040.765081018515</v>
      </c>
      <c r="U2233" s="5"/>
      <c r="V2233" s="5">
        <v>0</v>
      </c>
      <c r="W2233" s="5"/>
      <c r="X2233" s="5"/>
      <c r="Y2233" s="5"/>
      <c r="Z2233" s="5"/>
      <c r="AA2233" s="5" t="s">
        <v>44</v>
      </c>
      <c r="AC2233">
        <f t="shared" si="307"/>
        <v>8</v>
      </c>
      <c r="AD2233" t="str">
        <f t="shared" si="308"/>
        <v/>
      </c>
      <c r="AE2233">
        <f t="shared" si="309"/>
        <v>3</v>
      </c>
      <c r="AF2233" t="str">
        <f t="shared" si="310"/>
        <v/>
      </c>
      <c r="AG2233" t="str">
        <f t="shared" si="311"/>
        <v/>
      </c>
      <c r="AH2233">
        <f t="shared" si="312"/>
        <v>3</v>
      </c>
      <c r="AI2233" t="str">
        <f t="shared" si="313"/>
        <v/>
      </c>
      <c r="AJ2233" t="str">
        <f t="shared" si="314"/>
        <v/>
      </c>
    </row>
    <row r="2234" spans="1:36">
      <c r="A2234" s="5">
        <v>2762</v>
      </c>
      <c r="B2234" s="5" t="s">
        <v>1337</v>
      </c>
      <c r="C2234" s="5" t="s">
        <v>1332</v>
      </c>
      <c r="D2234" s="5" t="s">
        <v>1333</v>
      </c>
      <c r="E2234" s="5" t="s">
        <v>102</v>
      </c>
      <c r="F2234" s="5" t="str">
        <f t="shared" si="306"/>
        <v>Fundraising-Senior Manager</v>
      </c>
      <c r="G2234" s="5" t="s">
        <v>103</v>
      </c>
      <c r="H2234" s="9">
        <v>44807.301701388889</v>
      </c>
      <c r="I2234" s="9">
        <v>44809.301701388889</v>
      </c>
      <c r="J2234" s="9" t="e">
        <f>I2234+#REF!</f>
        <v>#REF!</v>
      </c>
      <c r="K2234" s="9" t="e">
        <f>J2234+#REF!</f>
        <v>#REF!</v>
      </c>
      <c r="L2234" s="10" t="s">
        <v>41</v>
      </c>
      <c r="M2234" s="11">
        <v>44816.301701388889</v>
      </c>
      <c r="N2234" s="5" t="s">
        <v>42</v>
      </c>
      <c r="O2234" s="5" t="s">
        <v>43</v>
      </c>
      <c r="P2234" s="9"/>
      <c r="Q2234" s="5"/>
      <c r="R2234" s="5"/>
      <c r="S2234" s="5"/>
      <c r="T2234" s="9">
        <v>44818.301701388889</v>
      </c>
      <c r="U2234" s="5"/>
      <c r="V2234" s="5">
        <v>0</v>
      </c>
      <c r="W2234" s="5"/>
      <c r="X2234" s="5"/>
      <c r="Y2234" s="5"/>
      <c r="Z2234" s="5"/>
      <c r="AA2234" s="5" t="s">
        <v>44</v>
      </c>
      <c r="AC2234">
        <f t="shared" si="307"/>
        <v>7</v>
      </c>
      <c r="AD2234" t="str">
        <f t="shared" si="308"/>
        <v/>
      </c>
      <c r="AE2234">
        <f t="shared" si="309"/>
        <v>2</v>
      </c>
      <c r="AF2234" t="str">
        <f t="shared" si="310"/>
        <v/>
      </c>
      <c r="AG2234" t="str">
        <f t="shared" si="311"/>
        <v/>
      </c>
      <c r="AH2234">
        <f t="shared" si="312"/>
        <v>2</v>
      </c>
      <c r="AI2234" t="str">
        <f t="shared" si="313"/>
        <v/>
      </c>
      <c r="AJ2234" t="str">
        <f t="shared" si="314"/>
        <v/>
      </c>
    </row>
    <row r="2235" spans="1:36">
      <c r="A2235" s="5">
        <v>2764</v>
      </c>
      <c r="B2235" s="5" t="s">
        <v>1369</v>
      </c>
      <c r="C2235" s="5" t="s">
        <v>1332</v>
      </c>
      <c r="D2235" s="5" t="s">
        <v>1359</v>
      </c>
      <c r="E2235" s="5" t="s">
        <v>1360</v>
      </c>
      <c r="F2235" s="5" t="str">
        <f t="shared" si="306"/>
        <v>Fundraising-Fund Administrator</v>
      </c>
      <c r="G2235" s="5" t="s">
        <v>147</v>
      </c>
      <c r="H2235" s="9">
        <v>44806.301701388889</v>
      </c>
      <c r="I2235" s="9">
        <v>44809.301701388889</v>
      </c>
      <c r="J2235" s="9" t="e">
        <f>I2235+#REF!</f>
        <v>#REF!</v>
      </c>
      <c r="K2235" s="9" t="e">
        <f>J2235+#REF!</f>
        <v>#REF!</v>
      </c>
      <c r="L2235" s="10" t="s">
        <v>41</v>
      </c>
      <c r="M2235" s="11">
        <v>44827.301701388889</v>
      </c>
      <c r="N2235" s="5" t="s">
        <v>42</v>
      </c>
      <c r="O2235" s="5" t="s">
        <v>113</v>
      </c>
      <c r="P2235" s="9"/>
      <c r="Q2235" s="5"/>
      <c r="R2235" s="5"/>
      <c r="S2235" s="5"/>
      <c r="T2235" s="9">
        <v>44829.301701388889</v>
      </c>
      <c r="U2235" s="5"/>
      <c r="V2235" s="5">
        <v>0</v>
      </c>
      <c r="W2235" s="5"/>
      <c r="X2235" s="5"/>
      <c r="Y2235" s="5"/>
      <c r="Z2235" s="5"/>
      <c r="AA2235" s="5" t="s">
        <v>62</v>
      </c>
      <c r="AC2235">
        <f t="shared" si="307"/>
        <v>18</v>
      </c>
      <c r="AD2235" t="str">
        <f t="shared" si="308"/>
        <v/>
      </c>
      <c r="AE2235">
        <f t="shared" si="309"/>
        <v>2</v>
      </c>
      <c r="AF2235" t="str">
        <f t="shared" si="310"/>
        <v/>
      </c>
      <c r="AG2235" t="str">
        <f t="shared" si="311"/>
        <v/>
      </c>
      <c r="AH2235">
        <f t="shared" si="312"/>
        <v>3</v>
      </c>
      <c r="AI2235" t="str">
        <f t="shared" si="313"/>
        <v/>
      </c>
      <c r="AJ2235" t="str">
        <f t="shared" si="314"/>
        <v/>
      </c>
    </row>
    <row r="2236" spans="1:36">
      <c r="A2236" s="5">
        <v>2766</v>
      </c>
      <c r="B2236" s="5" t="s">
        <v>2306</v>
      </c>
      <c r="C2236" s="5" t="s">
        <v>2229</v>
      </c>
      <c r="D2236" s="5" t="s">
        <v>2302</v>
      </c>
      <c r="E2236" s="5" t="s">
        <v>269</v>
      </c>
      <c r="F2236" s="5" t="str">
        <f t="shared" si="306"/>
        <v>Capacity Building-Manager</v>
      </c>
      <c r="G2236" s="5" t="s">
        <v>270</v>
      </c>
      <c r="H2236" s="9">
        <v>44807.301701388889</v>
      </c>
      <c r="I2236" s="9">
        <v>44808.301701388889</v>
      </c>
      <c r="J2236" s="9" t="e">
        <f>I2236+#REF!</f>
        <v>#REF!</v>
      </c>
      <c r="K2236" s="9" t="e">
        <f>J2236+#REF!</f>
        <v>#REF!</v>
      </c>
      <c r="L2236" s="10" t="s">
        <v>41</v>
      </c>
      <c r="M2236" s="11">
        <v>44819.301701388889</v>
      </c>
      <c r="N2236" s="5" t="s">
        <v>64</v>
      </c>
      <c r="O2236" s="5"/>
      <c r="P2236" s="9">
        <v>44827.301701388889</v>
      </c>
      <c r="Q2236" s="5" t="s">
        <v>64</v>
      </c>
      <c r="R2236" s="9">
        <v>44820.301701388889</v>
      </c>
      <c r="S2236" s="9">
        <v>44823.301701388889</v>
      </c>
      <c r="T2236" s="9">
        <v>44823.301701388889</v>
      </c>
      <c r="U2236" s="9">
        <v>44825.301701388889</v>
      </c>
      <c r="V2236" s="12">
        <v>1</v>
      </c>
      <c r="W2236" s="9">
        <v>44829.301701388889</v>
      </c>
      <c r="X2236" s="9">
        <v>44831.301701388889</v>
      </c>
      <c r="Y2236" s="9">
        <v>44833.301701388889</v>
      </c>
      <c r="Z2236" s="5"/>
      <c r="AA2236" s="5"/>
      <c r="AB2236" s="13">
        <v>44844.301701388889</v>
      </c>
      <c r="AC2236">
        <f t="shared" si="307"/>
        <v>11</v>
      </c>
      <c r="AD2236">
        <f t="shared" si="308"/>
        <v>15</v>
      </c>
      <c r="AE2236">
        <f t="shared" si="309"/>
        <v>4</v>
      </c>
      <c r="AF2236">
        <f t="shared" si="310"/>
        <v>6</v>
      </c>
      <c r="AG2236">
        <f t="shared" si="311"/>
        <v>4</v>
      </c>
      <c r="AH2236">
        <f t="shared" si="312"/>
        <v>1</v>
      </c>
      <c r="AI2236" t="str">
        <f t="shared" si="313"/>
        <v/>
      </c>
      <c r="AJ2236" t="str">
        <f t="shared" si="314"/>
        <v/>
      </c>
    </row>
    <row r="2237" spans="1:36">
      <c r="A2237" s="5">
        <v>2767</v>
      </c>
      <c r="B2237" s="5" t="s">
        <v>1336</v>
      </c>
      <c r="C2237" s="5" t="s">
        <v>1332</v>
      </c>
      <c r="D2237" s="5" t="s">
        <v>1333</v>
      </c>
      <c r="E2237" s="5" t="s">
        <v>102</v>
      </c>
      <c r="F2237" s="5" t="str">
        <f t="shared" si="306"/>
        <v>Fundraising-Senior Manager</v>
      </c>
      <c r="G2237" s="5" t="s">
        <v>103</v>
      </c>
      <c r="H2237" s="9">
        <v>44809.301701388889</v>
      </c>
      <c r="I2237" s="9">
        <v>44812.301701388889</v>
      </c>
      <c r="J2237" s="9" t="e">
        <f>I2237+#REF!</f>
        <v>#REF!</v>
      </c>
      <c r="K2237" s="9" t="e">
        <f>J2237+#REF!</f>
        <v>#REF!</v>
      </c>
      <c r="L2237" s="10" t="s">
        <v>41</v>
      </c>
      <c r="M2237" s="11">
        <v>44825.301701388889</v>
      </c>
      <c r="N2237" s="5" t="s">
        <v>42</v>
      </c>
      <c r="O2237" s="5" t="s">
        <v>58</v>
      </c>
      <c r="P2237" s="9"/>
      <c r="Q2237" s="5"/>
      <c r="R2237" s="5"/>
      <c r="S2237" s="5"/>
      <c r="T2237" s="9"/>
      <c r="U2237" s="5"/>
      <c r="V2237" s="5">
        <v>0</v>
      </c>
      <c r="W2237" s="5"/>
      <c r="X2237" s="5"/>
      <c r="Y2237" s="5"/>
      <c r="Z2237" s="5"/>
      <c r="AA2237" s="5" t="s">
        <v>44</v>
      </c>
      <c r="AC2237">
        <f t="shared" si="307"/>
        <v>13</v>
      </c>
      <c r="AD2237" t="str">
        <f t="shared" si="308"/>
        <v/>
      </c>
      <c r="AE2237" t="str">
        <f t="shared" si="309"/>
        <v/>
      </c>
      <c r="AF2237" t="str">
        <f t="shared" si="310"/>
        <v/>
      </c>
      <c r="AG2237" t="str">
        <f t="shared" si="311"/>
        <v/>
      </c>
      <c r="AH2237">
        <f t="shared" si="312"/>
        <v>3</v>
      </c>
      <c r="AI2237" t="str">
        <f t="shared" si="313"/>
        <v/>
      </c>
      <c r="AJ2237" t="str">
        <f t="shared" si="314"/>
        <v/>
      </c>
    </row>
    <row r="2238" spans="1:36">
      <c r="A2238" s="5">
        <v>2768</v>
      </c>
      <c r="B2238" s="5" t="s">
        <v>2404</v>
      </c>
      <c r="C2238" s="5" t="s">
        <v>2229</v>
      </c>
      <c r="D2238" s="5" t="s">
        <v>2403</v>
      </c>
      <c r="E2238" s="5" t="s">
        <v>1039</v>
      </c>
      <c r="F2238" s="5" t="str">
        <f t="shared" si="306"/>
        <v>Capacity Building-Associate Director</v>
      </c>
      <c r="G2238" s="5" t="s">
        <v>56</v>
      </c>
      <c r="H2238" s="9">
        <v>44805.301701388889</v>
      </c>
      <c r="I2238" s="9">
        <v>44809.301701388889</v>
      </c>
      <c r="J2238" s="9" t="e">
        <f>I2238+#REF!</f>
        <v>#REF!</v>
      </c>
      <c r="K2238" s="9" t="e">
        <f>J2238+#REF!</f>
        <v>#REF!</v>
      </c>
      <c r="L2238" s="10" t="s">
        <v>52</v>
      </c>
      <c r="M2238" s="11"/>
      <c r="N2238" s="5"/>
      <c r="O2238" s="5"/>
      <c r="P2238" s="9"/>
      <c r="Q2238" s="5"/>
      <c r="R2238" s="5"/>
      <c r="S2238" s="5"/>
      <c r="T2238" s="9"/>
      <c r="U2238" s="5"/>
      <c r="V2238" s="5">
        <v>0</v>
      </c>
      <c r="W2238" s="5"/>
      <c r="X2238" s="5"/>
      <c r="Y2238" s="5"/>
      <c r="Z2238" s="5"/>
      <c r="AA2238" s="5"/>
      <c r="AC2238" t="str">
        <f t="shared" si="307"/>
        <v/>
      </c>
      <c r="AD2238" t="str">
        <f t="shared" si="308"/>
        <v/>
      </c>
      <c r="AE2238" t="str">
        <f t="shared" si="309"/>
        <v/>
      </c>
      <c r="AF2238" t="str">
        <f t="shared" si="310"/>
        <v/>
      </c>
      <c r="AG2238" t="str">
        <f t="shared" si="311"/>
        <v/>
      </c>
      <c r="AH2238">
        <f t="shared" si="312"/>
        <v>4</v>
      </c>
      <c r="AI2238" t="str">
        <f t="shared" si="313"/>
        <v/>
      </c>
      <c r="AJ2238" t="str">
        <f t="shared" si="314"/>
        <v/>
      </c>
    </row>
    <row r="2239" spans="1:36">
      <c r="A2239" s="5">
        <v>2769</v>
      </c>
      <c r="B2239" s="5" t="s">
        <v>1416</v>
      </c>
      <c r="C2239" s="5" t="s">
        <v>1332</v>
      </c>
      <c r="D2239" s="5" t="s">
        <v>1413</v>
      </c>
      <c r="E2239" s="5" t="s">
        <v>269</v>
      </c>
      <c r="F2239" s="5" t="str">
        <f t="shared" si="306"/>
        <v>Fundraising-Manager</v>
      </c>
      <c r="G2239" s="5" t="s">
        <v>270</v>
      </c>
      <c r="H2239" s="9">
        <v>44803.301701388889</v>
      </c>
      <c r="I2239" s="9">
        <v>44807.301701388889</v>
      </c>
      <c r="J2239" s="9" t="e">
        <f>I2239+#REF!</f>
        <v>#REF!</v>
      </c>
      <c r="K2239" s="9" t="e">
        <f>J2239+#REF!</f>
        <v>#REF!</v>
      </c>
      <c r="L2239" s="10" t="s">
        <v>41</v>
      </c>
      <c r="M2239" s="11">
        <v>44822.301701388889</v>
      </c>
      <c r="N2239" s="5" t="s">
        <v>167</v>
      </c>
      <c r="O2239" s="5"/>
      <c r="P2239" s="9">
        <v>44826.301701388889</v>
      </c>
      <c r="Q2239" s="5" t="s">
        <v>167</v>
      </c>
      <c r="R2239" s="5"/>
      <c r="S2239" s="5"/>
      <c r="T2239" s="9">
        <v>44823.301701388889</v>
      </c>
      <c r="U2239" s="5"/>
      <c r="V2239" s="5">
        <v>0</v>
      </c>
      <c r="W2239" s="5"/>
      <c r="X2239" s="5"/>
      <c r="Y2239" s="5"/>
      <c r="Z2239" s="5"/>
      <c r="AA2239" s="5"/>
      <c r="AC2239">
        <f t="shared" si="307"/>
        <v>15</v>
      </c>
      <c r="AD2239" t="str">
        <f t="shared" si="308"/>
        <v/>
      </c>
      <c r="AE2239">
        <f t="shared" si="309"/>
        <v>1</v>
      </c>
      <c r="AF2239" t="str">
        <f t="shared" si="310"/>
        <v/>
      </c>
      <c r="AG2239" t="str">
        <f t="shared" si="311"/>
        <v/>
      </c>
      <c r="AH2239">
        <f t="shared" si="312"/>
        <v>4</v>
      </c>
      <c r="AI2239" t="str">
        <f t="shared" si="313"/>
        <v/>
      </c>
      <c r="AJ2239" t="str">
        <f t="shared" si="314"/>
        <v/>
      </c>
    </row>
    <row r="2240" spans="1:36">
      <c r="A2240" s="5">
        <v>2770</v>
      </c>
      <c r="B2240" s="5" t="s">
        <v>2449</v>
      </c>
      <c r="C2240" s="5" t="s">
        <v>2229</v>
      </c>
      <c r="D2240" s="5" t="s">
        <v>2445</v>
      </c>
      <c r="E2240" s="5" t="s">
        <v>55</v>
      </c>
      <c r="F2240" s="5" t="str">
        <f t="shared" si="306"/>
        <v>Capacity Building-Director</v>
      </c>
      <c r="G2240" s="5" t="s">
        <v>47</v>
      </c>
      <c r="H2240" s="9">
        <v>44808.301701388889</v>
      </c>
      <c r="I2240" s="9">
        <v>44811.301701388889</v>
      </c>
      <c r="J2240" s="9" t="e">
        <f>I2240+#REF!</f>
        <v>#REF!</v>
      </c>
      <c r="K2240" s="9" t="e">
        <f>J2240+#REF!</f>
        <v>#REF!</v>
      </c>
      <c r="L2240" s="10" t="s">
        <v>52</v>
      </c>
      <c r="M2240" s="11"/>
      <c r="N2240" s="5"/>
      <c r="O2240" s="5"/>
      <c r="P2240" s="9"/>
      <c r="Q2240" s="5"/>
      <c r="R2240" s="5"/>
      <c r="S2240" s="5"/>
      <c r="T2240" s="9"/>
      <c r="U2240" s="5"/>
      <c r="V2240" s="5">
        <v>0</v>
      </c>
      <c r="W2240" s="5"/>
      <c r="X2240" s="5"/>
      <c r="Y2240" s="5"/>
      <c r="Z2240" s="5"/>
      <c r="AA2240" s="5"/>
      <c r="AC2240" t="str">
        <f t="shared" si="307"/>
        <v/>
      </c>
      <c r="AD2240" t="str">
        <f t="shared" si="308"/>
        <v/>
      </c>
      <c r="AE2240" t="str">
        <f t="shared" si="309"/>
        <v/>
      </c>
      <c r="AF2240" t="str">
        <f t="shared" si="310"/>
        <v/>
      </c>
      <c r="AG2240" t="str">
        <f t="shared" si="311"/>
        <v/>
      </c>
      <c r="AH2240">
        <f t="shared" si="312"/>
        <v>3</v>
      </c>
      <c r="AI2240" t="str">
        <f t="shared" si="313"/>
        <v/>
      </c>
      <c r="AJ2240" t="str">
        <f t="shared" si="314"/>
        <v/>
      </c>
    </row>
    <row r="2241" spans="1:36">
      <c r="A2241" s="5">
        <v>2772</v>
      </c>
      <c r="B2241" s="5" t="s">
        <v>1542</v>
      </c>
      <c r="C2241" s="5" t="s">
        <v>1540</v>
      </c>
      <c r="D2241" s="5" t="s">
        <v>1541</v>
      </c>
      <c r="E2241" s="5" t="s">
        <v>102</v>
      </c>
      <c r="F2241" s="5" t="str">
        <f t="shared" si="306"/>
        <v>Finance-Senior Manager</v>
      </c>
      <c r="G2241" s="5" t="s">
        <v>103</v>
      </c>
      <c r="H2241" s="9">
        <v>44684.777986111112</v>
      </c>
      <c r="I2241" s="9">
        <v>44686.777986111112</v>
      </c>
      <c r="J2241" s="9" t="e">
        <f>I2241+#REF!</f>
        <v>#REF!</v>
      </c>
      <c r="K2241" s="9" t="e">
        <f>J2241+#REF!</f>
        <v>#REF!</v>
      </c>
      <c r="L2241" s="10" t="s">
        <v>41</v>
      </c>
      <c r="M2241" s="11">
        <v>44693.777986111112</v>
      </c>
      <c r="N2241" s="5" t="s">
        <v>42</v>
      </c>
      <c r="O2241" s="5" t="s">
        <v>58</v>
      </c>
      <c r="P2241" s="9"/>
      <c r="Q2241" s="5"/>
      <c r="R2241" s="5"/>
      <c r="S2241" s="5"/>
      <c r="T2241" s="9"/>
      <c r="U2241" s="5"/>
      <c r="V2241" s="5">
        <v>0</v>
      </c>
      <c r="W2241" s="5"/>
      <c r="X2241" s="5"/>
      <c r="Y2241" s="5"/>
      <c r="Z2241" s="5"/>
      <c r="AA2241" s="5" t="s">
        <v>62</v>
      </c>
      <c r="AC2241">
        <f t="shared" si="307"/>
        <v>7</v>
      </c>
      <c r="AD2241" t="str">
        <f t="shared" si="308"/>
        <v/>
      </c>
      <c r="AE2241" t="str">
        <f t="shared" si="309"/>
        <v/>
      </c>
      <c r="AF2241" t="str">
        <f t="shared" si="310"/>
        <v/>
      </c>
      <c r="AG2241" t="str">
        <f t="shared" si="311"/>
        <v/>
      </c>
      <c r="AH2241">
        <f t="shared" si="312"/>
        <v>2</v>
      </c>
      <c r="AI2241" t="str">
        <f t="shared" si="313"/>
        <v/>
      </c>
      <c r="AJ2241" t="str">
        <f t="shared" si="314"/>
        <v/>
      </c>
    </row>
    <row r="2242" spans="1:36">
      <c r="A2242" s="5">
        <v>2773</v>
      </c>
      <c r="B2242" s="5" t="s">
        <v>1823</v>
      </c>
      <c r="C2242" s="5" t="s">
        <v>1540</v>
      </c>
      <c r="D2242" s="5" t="s">
        <v>1820</v>
      </c>
      <c r="E2242" s="5" t="s">
        <v>39</v>
      </c>
      <c r="F2242" s="5" t="str">
        <f t="shared" ref="F2242:F2305" si="315">_xlfn.CONCAT(C2242,"-",E2242)</f>
        <v>Finance-Analyst</v>
      </c>
      <c r="G2242" s="5" t="s">
        <v>40</v>
      </c>
      <c r="H2242" s="9">
        <v>44681.777986111112</v>
      </c>
      <c r="I2242" s="9">
        <v>44683.777986111112</v>
      </c>
      <c r="J2242" s="9" t="e">
        <f>I2242+#REF!</f>
        <v>#REF!</v>
      </c>
      <c r="K2242" s="9" t="e">
        <f>J2242+#REF!</f>
        <v>#REF!</v>
      </c>
      <c r="L2242" s="10" t="s">
        <v>41</v>
      </c>
      <c r="M2242" s="11">
        <v>44691.777986111112</v>
      </c>
      <c r="N2242" s="5" t="s">
        <v>48</v>
      </c>
      <c r="O2242" s="5"/>
      <c r="P2242" s="9">
        <v>44694.777986111112</v>
      </c>
      <c r="Q2242" s="5" t="s">
        <v>48</v>
      </c>
      <c r="R2242" s="5"/>
      <c r="S2242" s="5"/>
      <c r="T2242" s="9">
        <v>44692.777986111112</v>
      </c>
      <c r="U2242" s="5"/>
      <c r="V2242" s="5">
        <v>0</v>
      </c>
      <c r="W2242" s="5"/>
      <c r="X2242" s="5"/>
      <c r="Y2242" s="5"/>
      <c r="Z2242" s="5"/>
      <c r="AA2242" s="5"/>
      <c r="AC2242">
        <f t="shared" ref="AC2242:AC2305" si="316">IF(AND(ISNUMBER(M2242), ISNUMBER(I2242)), M2242 - I2242, "")</f>
        <v>8</v>
      </c>
      <c r="AD2242" t="str">
        <f t="shared" si="308"/>
        <v/>
      </c>
      <c r="AE2242">
        <f t="shared" si="309"/>
        <v>1</v>
      </c>
      <c r="AF2242" t="str">
        <f t="shared" si="310"/>
        <v/>
      </c>
      <c r="AG2242" t="str">
        <f t="shared" si="311"/>
        <v/>
      </c>
      <c r="AH2242">
        <f t="shared" si="312"/>
        <v>2</v>
      </c>
      <c r="AI2242" t="str">
        <f t="shared" si="313"/>
        <v/>
      </c>
      <c r="AJ2242" t="str">
        <f t="shared" si="314"/>
        <v/>
      </c>
    </row>
    <row r="2243" spans="1:36">
      <c r="A2243" s="5">
        <v>2775</v>
      </c>
      <c r="B2243" s="5" t="s">
        <v>1822</v>
      </c>
      <c r="C2243" s="5" t="s">
        <v>1540</v>
      </c>
      <c r="D2243" s="5" t="s">
        <v>1820</v>
      </c>
      <c r="E2243" s="5" t="s">
        <v>39</v>
      </c>
      <c r="F2243" s="5" t="str">
        <f t="shared" si="315"/>
        <v>Finance-Analyst</v>
      </c>
      <c r="G2243" s="5" t="s">
        <v>40</v>
      </c>
      <c r="H2243" s="9">
        <v>44681.777986111112</v>
      </c>
      <c r="I2243" s="9">
        <v>44684.777986111112</v>
      </c>
      <c r="J2243" s="9" t="e">
        <f>I2243+#REF!</f>
        <v>#REF!</v>
      </c>
      <c r="K2243" s="9" t="e">
        <f>J2243+#REF!</f>
        <v>#REF!</v>
      </c>
      <c r="L2243" s="10" t="s">
        <v>41</v>
      </c>
      <c r="M2243" s="11">
        <v>44701.777986111112</v>
      </c>
      <c r="N2243" s="5" t="s">
        <v>42</v>
      </c>
      <c r="O2243" s="5" t="s">
        <v>73</v>
      </c>
      <c r="P2243" s="9"/>
      <c r="Q2243" s="5"/>
      <c r="R2243" s="5"/>
      <c r="S2243" s="5"/>
      <c r="T2243" s="9"/>
      <c r="U2243" s="5"/>
      <c r="V2243" s="5">
        <v>0</v>
      </c>
      <c r="W2243" s="5"/>
      <c r="X2243" s="5"/>
      <c r="Y2243" s="5"/>
      <c r="Z2243" s="5"/>
      <c r="AA2243" s="5" t="s">
        <v>44</v>
      </c>
      <c r="AC2243">
        <f t="shared" si="316"/>
        <v>17</v>
      </c>
      <c r="AD2243" t="str">
        <f t="shared" ref="AD2243:AD2306" si="317">IF(AND(ISNUMBER(S2243), ISNUMBER(I2243)), S2243 - I2243, "")</f>
        <v/>
      </c>
      <c r="AE2243" t="str">
        <f t="shared" ref="AE2243:AE2306" si="318">IF(AND(ISNUMBER(T2243), ISNUMBER(M2243)), T2243-M2243, "")</f>
        <v/>
      </c>
      <c r="AF2243" t="str">
        <f t="shared" ref="AF2243:AF2306" si="319">IF(AND(ISNUMBER(X2243), ISNUMBER(U2243)), X2243-U2243,"")</f>
        <v/>
      </c>
      <c r="AG2243" t="str">
        <f t="shared" ref="AG2243:AG2306" si="320">IF(AND(ISNUMBER(W2243), ISNUMBER(U2243)), W2243-U2243, "")</f>
        <v/>
      </c>
      <c r="AH2243">
        <f t="shared" ref="AH2243:AH2306" si="321">IF(AND(ISNUMBER(I2243), ISNUMBER(H2243)), I2243-H2243,"")</f>
        <v>3</v>
      </c>
      <c r="AI2243" t="str">
        <f t="shared" ref="AI2243:AI2306" si="322">IF(AND(ISNUMBER(J2243),ISNUMBER(K2243)),K2243-J2243,"")</f>
        <v/>
      </c>
      <c r="AJ2243" t="str">
        <f t="shared" ref="AJ2243:AJ2306" si="323">IF(AND(ISNUMBER(J2243),ISNUMBER(I2243)), J2243-I2243,"")</f>
        <v/>
      </c>
    </row>
    <row r="2244" spans="1:36">
      <c r="A2244" s="5">
        <v>2778</v>
      </c>
      <c r="B2244" s="5" t="s">
        <v>1708</v>
      </c>
      <c r="C2244" s="5" t="s">
        <v>1540</v>
      </c>
      <c r="D2244" s="5" t="s">
        <v>1706</v>
      </c>
      <c r="E2244" s="5" t="s">
        <v>269</v>
      </c>
      <c r="F2244" s="5" t="str">
        <f t="shared" si="315"/>
        <v>Finance-Manager</v>
      </c>
      <c r="G2244" s="5" t="s">
        <v>270</v>
      </c>
      <c r="H2244" s="9">
        <v>44683.777986111112</v>
      </c>
      <c r="I2244" s="9">
        <v>44684.777986111112</v>
      </c>
      <c r="J2244" s="9" t="e">
        <f>I2244+#REF!</f>
        <v>#REF!</v>
      </c>
      <c r="K2244" s="9" t="e">
        <f>J2244+#REF!</f>
        <v>#REF!</v>
      </c>
      <c r="L2244" s="10" t="s">
        <v>41</v>
      </c>
      <c r="M2244" s="11">
        <v>44706.777986111112</v>
      </c>
      <c r="N2244" s="5" t="s">
        <v>48</v>
      </c>
      <c r="O2244" s="5"/>
      <c r="P2244" s="9">
        <v>44710.777986111112</v>
      </c>
      <c r="Q2244" s="5" t="s">
        <v>48</v>
      </c>
      <c r="R2244" s="5"/>
      <c r="S2244" s="5"/>
      <c r="T2244" s="9">
        <v>44707.777986111112</v>
      </c>
      <c r="U2244" s="5"/>
      <c r="V2244" s="5">
        <v>0</v>
      </c>
      <c r="W2244" s="5"/>
      <c r="X2244" s="5"/>
      <c r="Y2244" s="5"/>
      <c r="Z2244" s="5"/>
      <c r="AA2244" s="5"/>
      <c r="AC2244">
        <f t="shared" si="316"/>
        <v>22</v>
      </c>
      <c r="AD2244" t="str">
        <f t="shared" si="317"/>
        <v/>
      </c>
      <c r="AE2244">
        <f t="shared" si="318"/>
        <v>1</v>
      </c>
      <c r="AF2244" t="str">
        <f t="shared" si="319"/>
        <v/>
      </c>
      <c r="AG2244" t="str">
        <f t="shared" si="320"/>
        <v/>
      </c>
      <c r="AH2244">
        <f t="shared" si="321"/>
        <v>1</v>
      </c>
      <c r="AI2244" t="str">
        <f t="shared" si="322"/>
        <v/>
      </c>
      <c r="AJ2244" t="str">
        <f t="shared" si="323"/>
        <v/>
      </c>
    </row>
    <row r="2245" spans="1:36">
      <c r="A2245" s="5">
        <v>2780</v>
      </c>
      <c r="B2245" s="5" t="s">
        <v>1707</v>
      </c>
      <c r="C2245" s="5" t="s">
        <v>1540</v>
      </c>
      <c r="D2245" s="5" t="s">
        <v>1706</v>
      </c>
      <c r="E2245" s="5" t="s">
        <v>269</v>
      </c>
      <c r="F2245" s="5" t="str">
        <f t="shared" si="315"/>
        <v>Finance-Manager</v>
      </c>
      <c r="G2245" s="5" t="s">
        <v>270</v>
      </c>
      <c r="H2245" s="9">
        <v>44684.777986111112</v>
      </c>
      <c r="I2245" s="9">
        <v>44685.777986111112</v>
      </c>
      <c r="J2245" s="9" t="e">
        <f>I2245+#REF!</f>
        <v>#REF!</v>
      </c>
      <c r="K2245" s="9" t="e">
        <f>J2245+#REF!</f>
        <v>#REF!</v>
      </c>
      <c r="L2245" s="10" t="s">
        <v>41</v>
      </c>
      <c r="M2245" s="11">
        <v>44696.777986111112</v>
      </c>
      <c r="N2245" s="5" t="s">
        <v>64</v>
      </c>
      <c r="O2245" s="5"/>
      <c r="P2245" s="9">
        <v>44701.777986111112</v>
      </c>
      <c r="Q2245" s="5" t="s">
        <v>64</v>
      </c>
      <c r="R2245" s="9">
        <v>44698.777986111112</v>
      </c>
      <c r="S2245" s="9">
        <v>44699.777986111112</v>
      </c>
      <c r="T2245" s="9">
        <v>44700.777986111112</v>
      </c>
      <c r="U2245" s="9">
        <v>44701.777986111112</v>
      </c>
      <c r="V2245" s="12">
        <v>1</v>
      </c>
      <c r="W2245" s="9">
        <v>44702.777986111112</v>
      </c>
      <c r="X2245" s="9">
        <v>44705.777986111112</v>
      </c>
      <c r="Y2245" s="9">
        <v>44708.777986111112</v>
      </c>
      <c r="Z2245" s="5"/>
      <c r="AA2245" s="5"/>
      <c r="AB2245" s="13">
        <v>44719.777986111112</v>
      </c>
      <c r="AC2245">
        <f t="shared" si="316"/>
        <v>11</v>
      </c>
      <c r="AD2245">
        <f t="shared" si="317"/>
        <v>14</v>
      </c>
      <c r="AE2245">
        <f t="shared" si="318"/>
        <v>4</v>
      </c>
      <c r="AF2245">
        <f t="shared" si="319"/>
        <v>4</v>
      </c>
      <c r="AG2245">
        <f t="shared" si="320"/>
        <v>1</v>
      </c>
      <c r="AH2245">
        <f t="shared" si="321"/>
        <v>1</v>
      </c>
      <c r="AI2245" t="str">
        <f t="shared" si="322"/>
        <v/>
      </c>
      <c r="AJ2245" t="str">
        <f t="shared" si="323"/>
        <v/>
      </c>
    </row>
    <row r="2246" spans="1:36">
      <c r="A2246" s="5">
        <v>2781</v>
      </c>
      <c r="B2246" s="5" t="s">
        <v>569</v>
      </c>
      <c r="C2246" s="5" t="s">
        <v>100</v>
      </c>
      <c r="D2246" s="5" t="s">
        <v>554</v>
      </c>
      <c r="E2246" s="5" t="s">
        <v>39</v>
      </c>
      <c r="F2246" s="5" t="str">
        <f t="shared" si="315"/>
        <v>Program Office-Analyst</v>
      </c>
      <c r="G2246" s="5" t="s">
        <v>47</v>
      </c>
      <c r="H2246" s="9">
        <v>45104.816620370373</v>
      </c>
      <c r="I2246" s="9">
        <v>45105.816620370373</v>
      </c>
      <c r="J2246" s="9" t="e">
        <f>I2246+#REF!</f>
        <v>#REF!</v>
      </c>
      <c r="K2246" s="9" t="e">
        <f>J2246+#REF!</f>
        <v>#REF!</v>
      </c>
      <c r="L2246" s="10" t="s">
        <v>41</v>
      </c>
      <c r="M2246" s="11">
        <v>45113.816620370373</v>
      </c>
      <c r="N2246" s="5" t="s">
        <v>42</v>
      </c>
      <c r="O2246" s="5" t="s">
        <v>58</v>
      </c>
      <c r="P2246" s="9"/>
      <c r="Q2246" s="5"/>
      <c r="R2246" s="5"/>
      <c r="S2246" s="5"/>
      <c r="T2246" s="9"/>
      <c r="U2246" s="5"/>
      <c r="V2246" s="5">
        <v>0</v>
      </c>
      <c r="W2246" s="5"/>
      <c r="X2246" s="5"/>
      <c r="Y2246" s="5"/>
      <c r="Z2246" s="5"/>
      <c r="AA2246" s="5" t="s">
        <v>62</v>
      </c>
      <c r="AC2246">
        <f t="shared" si="316"/>
        <v>8</v>
      </c>
      <c r="AD2246" t="str">
        <f t="shared" si="317"/>
        <v/>
      </c>
      <c r="AE2246" t="str">
        <f t="shared" si="318"/>
        <v/>
      </c>
      <c r="AF2246" t="str">
        <f t="shared" si="319"/>
        <v/>
      </c>
      <c r="AG2246" t="str">
        <f t="shared" si="320"/>
        <v/>
      </c>
      <c r="AH2246">
        <f t="shared" si="321"/>
        <v>1</v>
      </c>
      <c r="AI2246" t="str">
        <f t="shared" si="322"/>
        <v/>
      </c>
      <c r="AJ2246" t="str">
        <f t="shared" si="323"/>
        <v/>
      </c>
    </row>
    <row r="2247" spans="1:36">
      <c r="A2247" s="5">
        <v>2782</v>
      </c>
      <c r="B2247" s="5" t="s">
        <v>568</v>
      </c>
      <c r="C2247" s="5" t="s">
        <v>100</v>
      </c>
      <c r="D2247" s="5" t="s">
        <v>554</v>
      </c>
      <c r="E2247" s="5" t="s">
        <v>39</v>
      </c>
      <c r="F2247" s="5" t="str">
        <f t="shared" si="315"/>
        <v>Program Office-Analyst</v>
      </c>
      <c r="G2247" s="5" t="s">
        <v>47</v>
      </c>
      <c r="H2247" s="9">
        <v>45103.816620370373</v>
      </c>
      <c r="I2247" s="9">
        <v>45106.816620370373</v>
      </c>
      <c r="J2247" s="9" t="e">
        <f>I2247+#REF!</f>
        <v>#REF!</v>
      </c>
      <c r="K2247" s="9" t="e">
        <f>J2247+#REF!</f>
        <v>#REF!</v>
      </c>
      <c r="L2247" s="10" t="s">
        <v>52</v>
      </c>
      <c r="M2247" s="11"/>
      <c r="N2247" s="5"/>
      <c r="O2247" s="5"/>
      <c r="P2247" s="9"/>
      <c r="Q2247" s="5"/>
      <c r="R2247" s="5"/>
      <c r="S2247" s="5"/>
      <c r="T2247" s="9"/>
      <c r="U2247" s="5"/>
      <c r="V2247" s="5">
        <v>0</v>
      </c>
      <c r="W2247" s="5"/>
      <c r="X2247" s="5"/>
      <c r="Y2247" s="5"/>
      <c r="Z2247" s="5"/>
      <c r="AA2247" s="5"/>
      <c r="AC2247" t="str">
        <f t="shared" si="316"/>
        <v/>
      </c>
      <c r="AD2247" t="str">
        <f t="shared" si="317"/>
        <v/>
      </c>
      <c r="AE2247" t="str">
        <f t="shared" si="318"/>
        <v/>
      </c>
      <c r="AF2247" t="str">
        <f t="shared" si="319"/>
        <v/>
      </c>
      <c r="AG2247" t="str">
        <f t="shared" si="320"/>
        <v/>
      </c>
      <c r="AH2247">
        <f t="shared" si="321"/>
        <v>3</v>
      </c>
      <c r="AI2247" t="str">
        <f t="shared" si="322"/>
        <v/>
      </c>
      <c r="AJ2247" t="str">
        <f t="shared" si="323"/>
        <v/>
      </c>
    </row>
    <row r="2248" spans="1:36">
      <c r="A2248" s="5">
        <v>2783</v>
      </c>
      <c r="B2248" s="5" t="s">
        <v>567</v>
      </c>
      <c r="C2248" s="5" t="s">
        <v>100</v>
      </c>
      <c r="D2248" s="5" t="s">
        <v>554</v>
      </c>
      <c r="E2248" s="5" t="s">
        <v>51</v>
      </c>
      <c r="F2248" s="5" t="str">
        <f t="shared" si="315"/>
        <v>Program Office-Supervisor</v>
      </c>
      <c r="G2248" s="5" t="s">
        <v>47</v>
      </c>
      <c r="H2248" s="9">
        <v>45105.816620370373</v>
      </c>
      <c r="I2248" s="9">
        <v>45109.816620370373</v>
      </c>
      <c r="J2248" s="9" t="e">
        <f>I2248+#REF!</f>
        <v>#REF!</v>
      </c>
      <c r="K2248" s="9" t="e">
        <f>J2248+#REF!</f>
        <v>#REF!</v>
      </c>
      <c r="L2248" s="10" t="s">
        <v>41</v>
      </c>
      <c r="M2248" s="11">
        <v>45117.816620370373</v>
      </c>
      <c r="N2248" s="5" t="s">
        <v>64</v>
      </c>
      <c r="O2248" s="5"/>
      <c r="P2248" s="9">
        <v>45119.816620370373</v>
      </c>
      <c r="Q2248" s="5" t="s">
        <v>64</v>
      </c>
      <c r="R2248" s="9">
        <v>45119.816620370373</v>
      </c>
      <c r="S2248" s="9">
        <v>45122.816620370373</v>
      </c>
      <c r="T2248" s="9">
        <v>45118.816620370373</v>
      </c>
      <c r="U2248" s="9">
        <v>45120.816620370373</v>
      </c>
      <c r="V2248" s="12">
        <v>1</v>
      </c>
      <c r="W2248" s="9">
        <v>45123.816620370373</v>
      </c>
      <c r="X2248" s="9">
        <v>45124.816620370373</v>
      </c>
      <c r="Y2248" s="9">
        <v>45126.816620370373</v>
      </c>
      <c r="Z2248" s="5"/>
      <c r="AA2248" s="5"/>
      <c r="AB2248" s="13">
        <v>45139.816620370373</v>
      </c>
      <c r="AC2248">
        <f t="shared" si="316"/>
        <v>8</v>
      </c>
      <c r="AD2248">
        <f t="shared" si="317"/>
        <v>13</v>
      </c>
      <c r="AE2248">
        <f t="shared" si="318"/>
        <v>1</v>
      </c>
      <c r="AF2248">
        <f t="shared" si="319"/>
        <v>4</v>
      </c>
      <c r="AG2248">
        <f t="shared" si="320"/>
        <v>3</v>
      </c>
      <c r="AH2248">
        <f t="shared" si="321"/>
        <v>4</v>
      </c>
      <c r="AI2248" t="str">
        <f t="shared" si="322"/>
        <v/>
      </c>
      <c r="AJ2248" t="str">
        <f t="shared" si="323"/>
        <v/>
      </c>
    </row>
    <row r="2249" spans="1:36">
      <c r="A2249" s="5">
        <v>2785</v>
      </c>
      <c r="B2249" s="5" t="s">
        <v>277</v>
      </c>
      <c r="C2249" s="5" t="s">
        <v>100</v>
      </c>
      <c r="D2249" s="5" t="s">
        <v>268</v>
      </c>
      <c r="E2249" s="5" t="s">
        <v>269</v>
      </c>
      <c r="F2249" s="5" t="str">
        <f t="shared" si="315"/>
        <v>Program Office-Manager</v>
      </c>
      <c r="G2249" s="5" t="s">
        <v>270</v>
      </c>
      <c r="H2249" s="9">
        <v>45105.816620370373</v>
      </c>
      <c r="I2249" s="9">
        <v>45108.816620370373</v>
      </c>
      <c r="J2249" s="9" t="e">
        <f>I2249+#REF!</f>
        <v>#REF!</v>
      </c>
      <c r="K2249" s="9" t="e">
        <f>J2249+#REF!</f>
        <v>#REF!</v>
      </c>
      <c r="L2249" s="10" t="s">
        <v>41</v>
      </c>
      <c r="M2249" s="11">
        <v>45118.816620370373</v>
      </c>
      <c r="N2249" s="5" t="s">
        <v>42</v>
      </c>
      <c r="O2249" s="5" t="s">
        <v>73</v>
      </c>
      <c r="P2249" s="9"/>
      <c r="Q2249" s="5"/>
      <c r="R2249" s="5"/>
      <c r="S2249" s="5"/>
      <c r="T2249" s="9"/>
      <c r="U2249" s="5"/>
      <c r="V2249" s="5">
        <v>0</v>
      </c>
      <c r="W2249" s="5"/>
      <c r="X2249" s="5"/>
      <c r="Y2249" s="5"/>
      <c r="Z2249" s="5"/>
      <c r="AA2249" s="5" t="s">
        <v>62</v>
      </c>
      <c r="AC2249">
        <f t="shared" si="316"/>
        <v>10</v>
      </c>
      <c r="AD2249" t="str">
        <f t="shared" si="317"/>
        <v/>
      </c>
      <c r="AE2249" t="str">
        <f t="shared" si="318"/>
        <v/>
      </c>
      <c r="AF2249" t="str">
        <f t="shared" si="319"/>
        <v/>
      </c>
      <c r="AG2249" t="str">
        <f t="shared" si="320"/>
        <v/>
      </c>
      <c r="AH2249">
        <f t="shared" si="321"/>
        <v>3</v>
      </c>
      <c r="AI2249" t="str">
        <f t="shared" si="322"/>
        <v/>
      </c>
      <c r="AJ2249" t="str">
        <f t="shared" si="323"/>
        <v/>
      </c>
    </row>
    <row r="2250" spans="1:36">
      <c r="A2250" s="5">
        <v>2786</v>
      </c>
      <c r="B2250" s="5" t="s">
        <v>566</v>
      </c>
      <c r="C2250" s="5" t="s">
        <v>100</v>
      </c>
      <c r="D2250" s="5" t="s">
        <v>554</v>
      </c>
      <c r="E2250" s="5" t="s">
        <v>51</v>
      </c>
      <c r="F2250" s="5" t="str">
        <f t="shared" si="315"/>
        <v>Program Office-Supervisor</v>
      </c>
      <c r="G2250" s="5" t="s">
        <v>47</v>
      </c>
      <c r="H2250" s="9">
        <v>45105.816620370373</v>
      </c>
      <c r="I2250" s="9">
        <v>45108.816620370373</v>
      </c>
      <c r="J2250" s="9" t="e">
        <f>I2250+#REF!</f>
        <v>#REF!</v>
      </c>
      <c r="K2250" s="9" t="e">
        <f>J2250+#REF!</f>
        <v>#REF!</v>
      </c>
      <c r="L2250" s="10" t="s">
        <v>41</v>
      </c>
      <c r="M2250" s="11">
        <v>45126.816620370373</v>
      </c>
      <c r="N2250" s="5" t="s">
        <v>42</v>
      </c>
      <c r="O2250" s="5" t="s">
        <v>98</v>
      </c>
      <c r="P2250" s="9"/>
      <c r="Q2250" s="5"/>
      <c r="R2250" s="5"/>
      <c r="S2250" s="5"/>
      <c r="T2250" s="9"/>
      <c r="U2250" s="5"/>
      <c r="V2250" s="5">
        <v>0</v>
      </c>
      <c r="W2250" s="5"/>
      <c r="X2250" s="5"/>
      <c r="Y2250" s="5"/>
      <c r="Z2250" s="5"/>
      <c r="AA2250" s="5" t="s">
        <v>44</v>
      </c>
      <c r="AC2250">
        <f t="shared" si="316"/>
        <v>18</v>
      </c>
      <c r="AD2250" t="str">
        <f t="shared" si="317"/>
        <v/>
      </c>
      <c r="AE2250" t="str">
        <f t="shared" si="318"/>
        <v/>
      </c>
      <c r="AF2250" t="str">
        <f t="shared" si="319"/>
        <v/>
      </c>
      <c r="AG2250" t="str">
        <f t="shared" si="320"/>
        <v/>
      </c>
      <c r="AH2250">
        <f t="shared" si="321"/>
        <v>3</v>
      </c>
      <c r="AI2250" t="str">
        <f t="shared" si="322"/>
        <v/>
      </c>
      <c r="AJ2250" t="str">
        <f t="shared" si="323"/>
        <v/>
      </c>
    </row>
    <row r="2251" spans="1:36">
      <c r="A2251" s="5">
        <v>2787</v>
      </c>
      <c r="B2251" s="5" t="s">
        <v>276</v>
      </c>
      <c r="C2251" s="5" t="s">
        <v>100</v>
      </c>
      <c r="D2251" s="5" t="s">
        <v>268</v>
      </c>
      <c r="E2251" s="5" t="s">
        <v>269</v>
      </c>
      <c r="F2251" s="5" t="str">
        <f t="shared" si="315"/>
        <v>Program Office-Manager</v>
      </c>
      <c r="G2251" s="5" t="s">
        <v>270</v>
      </c>
      <c r="H2251" s="9">
        <v>45103.816620370373</v>
      </c>
      <c r="I2251" s="9">
        <v>45106.816620370373</v>
      </c>
      <c r="J2251" s="9" t="e">
        <f>I2251+#REF!</f>
        <v>#REF!</v>
      </c>
      <c r="K2251" s="9" t="e">
        <f>J2251+#REF!</f>
        <v>#REF!</v>
      </c>
      <c r="L2251" s="10" t="s">
        <v>41</v>
      </c>
      <c r="M2251" s="11">
        <v>45124.816620370373</v>
      </c>
      <c r="N2251" s="5" t="s">
        <v>42</v>
      </c>
      <c r="O2251" s="5" t="s">
        <v>73</v>
      </c>
      <c r="P2251" s="9"/>
      <c r="Q2251" s="5"/>
      <c r="R2251" s="5"/>
      <c r="S2251" s="5"/>
      <c r="T2251" s="9"/>
      <c r="U2251" s="5"/>
      <c r="V2251" s="5">
        <v>0</v>
      </c>
      <c r="W2251" s="5"/>
      <c r="X2251" s="5"/>
      <c r="Y2251" s="5"/>
      <c r="Z2251" s="5"/>
      <c r="AA2251" s="5" t="s">
        <v>62</v>
      </c>
      <c r="AC2251">
        <f t="shared" si="316"/>
        <v>18</v>
      </c>
      <c r="AD2251" t="str">
        <f t="shared" si="317"/>
        <v/>
      </c>
      <c r="AE2251" t="str">
        <f t="shared" si="318"/>
        <v/>
      </c>
      <c r="AF2251" t="str">
        <f t="shared" si="319"/>
        <v/>
      </c>
      <c r="AG2251" t="str">
        <f t="shared" si="320"/>
        <v/>
      </c>
      <c r="AH2251">
        <f t="shared" si="321"/>
        <v>3</v>
      </c>
      <c r="AI2251" t="str">
        <f t="shared" si="322"/>
        <v/>
      </c>
      <c r="AJ2251" t="str">
        <f t="shared" si="323"/>
        <v/>
      </c>
    </row>
    <row r="2252" spans="1:36">
      <c r="A2252" s="5">
        <v>2788</v>
      </c>
      <c r="B2252" s="5" t="s">
        <v>161</v>
      </c>
      <c r="C2252" s="5" t="s">
        <v>100</v>
      </c>
      <c r="D2252" s="5" t="s">
        <v>146</v>
      </c>
      <c r="E2252" s="5" t="s">
        <v>39</v>
      </c>
      <c r="F2252" s="5" t="str">
        <f t="shared" si="315"/>
        <v>Program Office-Analyst</v>
      </c>
      <c r="G2252" s="5" t="s">
        <v>147</v>
      </c>
      <c r="H2252" s="9">
        <v>45104.816620370373</v>
      </c>
      <c r="I2252" s="9">
        <v>45105.816620370373</v>
      </c>
      <c r="J2252" s="9" t="e">
        <f>I2252+#REF!</f>
        <v>#REF!</v>
      </c>
      <c r="K2252" s="9" t="e">
        <f>J2252+#REF!</f>
        <v>#REF!</v>
      </c>
      <c r="L2252" s="10" t="s">
        <v>41</v>
      </c>
      <c r="M2252" s="11">
        <v>45116.816620370373</v>
      </c>
      <c r="N2252" s="5" t="s">
        <v>48</v>
      </c>
      <c r="O2252" s="5"/>
      <c r="P2252" s="9">
        <v>45123.816620370373</v>
      </c>
      <c r="Q2252" s="5" t="s">
        <v>48</v>
      </c>
      <c r="R2252" s="5"/>
      <c r="S2252" s="5"/>
      <c r="T2252" s="9">
        <v>45119.816620370373</v>
      </c>
      <c r="U2252" s="5"/>
      <c r="V2252" s="5">
        <v>0</v>
      </c>
      <c r="W2252" s="5"/>
      <c r="X2252" s="5"/>
      <c r="Y2252" s="5"/>
      <c r="Z2252" s="5"/>
      <c r="AA2252" s="5"/>
      <c r="AC2252">
        <f t="shared" si="316"/>
        <v>11</v>
      </c>
      <c r="AD2252" t="str">
        <f t="shared" si="317"/>
        <v/>
      </c>
      <c r="AE2252">
        <f t="shared" si="318"/>
        <v>3</v>
      </c>
      <c r="AF2252" t="str">
        <f t="shared" si="319"/>
        <v/>
      </c>
      <c r="AG2252" t="str">
        <f t="shared" si="320"/>
        <v/>
      </c>
      <c r="AH2252">
        <f t="shared" si="321"/>
        <v>1</v>
      </c>
      <c r="AI2252" t="str">
        <f t="shared" si="322"/>
        <v/>
      </c>
      <c r="AJ2252" t="str">
        <f t="shared" si="323"/>
        <v/>
      </c>
    </row>
    <row r="2253" spans="1:36">
      <c r="A2253" s="5">
        <v>2789</v>
      </c>
      <c r="B2253" s="5" t="s">
        <v>160</v>
      </c>
      <c r="C2253" s="5" t="s">
        <v>100</v>
      </c>
      <c r="D2253" s="5" t="s">
        <v>146</v>
      </c>
      <c r="E2253" s="5" t="s">
        <v>39</v>
      </c>
      <c r="F2253" s="5" t="str">
        <f t="shared" si="315"/>
        <v>Program Office-Analyst</v>
      </c>
      <c r="G2253" s="5" t="s">
        <v>147</v>
      </c>
      <c r="H2253" s="9">
        <v>45107.816620370373</v>
      </c>
      <c r="I2253" s="9">
        <v>45108.816620370373</v>
      </c>
      <c r="J2253" s="9" t="e">
        <f>I2253+#REF!</f>
        <v>#REF!</v>
      </c>
      <c r="K2253" s="9" t="e">
        <f>J2253+#REF!</f>
        <v>#REF!</v>
      </c>
      <c r="L2253" s="10" t="s">
        <v>41</v>
      </c>
      <c r="M2253" s="11">
        <v>45116.816620370373</v>
      </c>
      <c r="N2253" s="5" t="s">
        <v>42</v>
      </c>
      <c r="O2253" s="5" t="s">
        <v>43</v>
      </c>
      <c r="P2253" s="9"/>
      <c r="Q2253" s="5"/>
      <c r="R2253" s="5"/>
      <c r="S2253" s="5"/>
      <c r="T2253" s="9">
        <v>45117.816620370373</v>
      </c>
      <c r="U2253" s="5"/>
      <c r="V2253" s="5">
        <v>0</v>
      </c>
      <c r="W2253" s="5"/>
      <c r="X2253" s="5"/>
      <c r="Y2253" s="5"/>
      <c r="Z2253" s="5"/>
      <c r="AA2253" s="5" t="s">
        <v>44</v>
      </c>
      <c r="AC2253">
        <f t="shared" si="316"/>
        <v>8</v>
      </c>
      <c r="AD2253" t="str">
        <f t="shared" si="317"/>
        <v/>
      </c>
      <c r="AE2253">
        <f t="shared" si="318"/>
        <v>1</v>
      </c>
      <c r="AF2253" t="str">
        <f t="shared" si="319"/>
        <v/>
      </c>
      <c r="AG2253" t="str">
        <f t="shared" si="320"/>
        <v/>
      </c>
      <c r="AH2253">
        <f t="shared" si="321"/>
        <v>1</v>
      </c>
      <c r="AI2253" t="str">
        <f t="shared" si="322"/>
        <v/>
      </c>
      <c r="AJ2253" t="str">
        <f t="shared" si="323"/>
        <v/>
      </c>
    </row>
    <row r="2254" spans="1:36">
      <c r="A2254" s="5">
        <v>2790</v>
      </c>
      <c r="B2254" s="5" t="s">
        <v>159</v>
      </c>
      <c r="C2254" s="5" t="s">
        <v>100</v>
      </c>
      <c r="D2254" s="5" t="s">
        <v>146</v>
      </c>
      <c r="E2254" s="5" t="s">
        <v>39</v>
      </c>
      <c r="F2254" s="5" t="str">
        <f t="shared" si="315"/>
        <v>Program Office-Analyst</v>
      </c>
      <c r="G2254" s="5" t="s">
        <v>147</v>
      </c>
      <c r="H2254" s="9">
        <v>45106.816620370373</v>
      </c>
      <c r="I2254" s="9">
        <v>45107.816620370373</v>
      </c>
      <c r="J2254" s="9" t="e">
        <f>I2254+#REF!</f>
        <v>#REF!</v>
      </c>
      <c r="K2254" s="9" t="e">
        <f>J2254+#REF!</f>
        <v>#REF!</v>
      </c>
      <c r="L2254" s="10" t="s">
        <v>52</v>
      </c>
      <c r="M2254" s="11"/>
      <c r="N2254" s="5"/>
      <c r="O2254" s="5"/>
      <c r="P2254" s="9"/>
      <c r="Q2254" s="5"/>
      <c r="R2254" s="5"/>
      <c r="S2254" s="5"/>
      <c r="T2254" s="9"/>
      <c r="U2254" s="5"/>
      <c r="V2254" s="5">
        <v>0</v>
      </c>
      <c r="W2254" s="5"/>
      <c r="X2254" s="5"/>
      <c r="Y2254" s="5"/>
      <c r="Z2254" s="5"/>
      <c r="AA2254" s="5"/>
      <c r="AC2254" t="str">
        <f t="shared" si="316"/>
        <v/>
      </c>
      <c r="AD2254" t="str">
        <f t="shared" si="317"/>
        <v/>
      </c>
      <c r="AE2254" t="str">
        <f t="shared" si="318"/>
        <v/>
      </c>
      <c r="AF2254" t="str">
        <f t="shared" si="319"/>
        <v/>
      </c>
      <c r="AG2254" t="str">
        <f t="shared" si="320"/>
        <v/>
      </c>
      <c r="AH2254">
        <f t="shared" si="321"/>
        <v>1</v>
      </c>
      <c r="AI2254" t="str">
        <f t="shared" si="322"/>
        <v/>
      </c>
      <c r="AJ2254" t="str">
        <f t="shared" si="323"/>
        <v/>
      </c>
    </row>
    <row r="2255" spans="1:36">
      <c r="A2255" s="5">
        <v>2791</v>
      </c>
      <c r="B2255" s="5" t="s">
        <v>1415</v>
      </c>
      <c r="C2255" s="5" t="s">
        <v>1332</v>
      </c>
      <c r="D2255" s="5" t="s">
        <v>1413</v>
      </c>
      <c r="E2255" s="5" t="s">
        <v>269</v>
      </c>
      <c r="F2255" s="5" t="str">
        <f t="shared" si="315"/>
        <v>Fundraising-Manager</v>
      </c>
      <c r="G2255" s="5" t="s">
        <v>270</v>
      </c>
      <c r="H2255" s="9">
        <v>45106.834444444445</v>
      </c>
      <c r="I2255" s="9">
        <v>45107.834444444445</v>
      </c>
      <c r="J2255" s="9" t="e">
        <f>I2255+#REF!</f>
        <v>#REF!</v>
      </c>
      <c r="K2255" s="9" t="e">
        <f>J2255+#REF!</f>
        <v>#REF!</v>
      </c>
      <c r="L2255" s="10" t="s">
        <v>41</v>
      </c>
      <c r="M2255" s="11">
        <v>45112.834444444445</v>
      </c>
      <c r="N2255" s="5" t="s">
        <v>42</v>
      </c>
      <c r="O2255" s="5" t="s">
        <v>98</v>
      </c>
      <c r="P2255" s="9"/>
      <c r="Q2255" s="5"/>
      <c r="R2255" s="5"/>
      <c r="S2255" s="5"/>
      <c r="T2255" s="9"/>
      <c r="U2255" s="5"/>
      <c r="V2255" s="5">
        <v>0</v>
      </c>
      <c r="W2255" s="5"/>
      <c r="X2255" s="5"/>
      <c r="Y2255" s="5"/>
      <c r="Z2255" s="5"/>
      <c r="AA2255" s="5" t="s">
        <v>62</v>
      </c>
      <c r="AC2255">
        <f t="shared" si="316"/>
        <v>5</v>
      </c>
      <c r="AD2255" t="str">
        <f t="shared" si="317"/>
        <v/>
      </c>
      <c r="AE2255" t="str">
        <f t="shared" si="318"/>
        <v/>
      </c>
      <c r="AF2255" t="str">
        <f t="shared" si="319"/>
        <v/>
      </c>
      <c r="AG2255" t="str">
        <f t="shared" si="320"/>
        <v/>
      </c>
      <c r="AH2255">
        <f t="shared" si="321"/>
        <v>1</v>
      </c>
      <c r="AI2255" t="str">
        <f t="shared" si="322"/>
        <v/>
      </c>
      <c r="AJ2255" t="str">
        <f t="shared" si="323"/>
        <v/>
      </c>
    </row>
    <row r="2256" spans="1:36">
      <c r="A2256" s="5">
        <v>2792</v>
      </c>
      <c r="B2256" s="5" t="s">
        <v>1368</v>
      </c>
      <c r="C2256" s="5" t="s">
        <v>1332</v>
      </c>
      <c r="D2256" s="5" t="s">
        <v>1359</v>
      </c>
      <c r="E2256" s="5" t="s">
        <v>1360</v>
      </c>
      <c r="F2256" s="5" t="str">
        <f t="shared" si="315"/>
        <v>Fundraising-Fund Administrator</v>
      </c>
      <c r="G2256" s="5" t="s">
        <v>147</v>
      </c>
      <c r="H2256" s="9">
        <v>45103.834444444445</v>
      </c>
      <c r="I2256" s="9">
        <v>45105.834444444445</v>
      </c>
      <c r="J2256" s="9" t="e">
        <f>I2256+#REF!</f>
        <v>#REF!</v>
      </c>
      <c r="K2256" s="9" t="e">
        <f>J2256+#REF!</f>
        <v>#REF!</v>
      </c>
      <c r="L2256" s="10" t="s">
        <v>41</v>
      </c>
      <c r="M2256" s="11">
        <v>45119.834444444445</v>
      </c>
      <c r="N2256" s="5" t="s">
        <v>42</v>
      </c>
      <c r="O2256" s="5" t="s">
        <v>98</v>
      </c>
      <c r="P2256" s="9"/>
      <c r="Q2256" s="5"/>
      <c r="R2256" s="5"/>
      <c r="S2256" s="5"/>
      <c r="T2256" s="9">
        <v>45120.834444444445</v>
      </c>
      <c r="U2256" s="5"/>
      <c r="V2256" s="5">
        <v>0</v>
      </c>
      <c r="W2256" s="5"/>
      <c r="X2256" s="5"/>
      <c r="Y2256" s="5"/>
      <c r="Z2256" s="5"/>
      <c r="AA2256" s="5" t="s">
        <v>44</v>
      </c>
      <c r="AC2256">
        <f t="shared" si="316"/>
        <v>14</v>
      </c>
      <c r="AD2256" t="str">
        <f t="shared" si="317"/>
        <v/>
      </c>
      <c r="AE2256">
        <f t="shared" si="318"/>
        <v>1</v>
      </c>
      <c r="AF2256" t="str">
        <f t="shared" si="319"/>
        <v/>
      </c>
      <c r="AG2256" t="str">
        <f t="shared" si="320"/>
        <v/>
      </c>
      <c r="AH2256">
        <f t="shared" si="321"/>
        <v>2</v>
      </c>
      <c r="AI2256" t="str">
        <f t="shared" si="322"/>
        <v/>
      </c>
      <c r="AJ2256" t="str">
        <f t="shared" si="323"/>
        <v/>
      </c>
    </row>
    <row r="2257" spans="1:36">
      <c r="A2257" s="5">
        <v>2794</v>
      </c>
      <c r="B2257" s="5" t="s">
        <v>1462</v>
      </c>
      <c r="C2257" s="5" t="s">
        <v>1332</v>
      </c>
      <c r="D2257" s="5" t="s">
        <v>1448</v>
      </c>
      <c r="E2257" s="5" t="s">
        <v>597</v>
      </c>
      <c r="F2257" s="5" t="str">
        <f t="shared" si="315"/>
        <v>Fundraising-Business Partner</v>
      </c>
      <c r="G2257" s="5" t="s">
        <v>40</v>
      </c>
      <c r="H2257" s="9">
        <v>45104.834444444445</v>
      </c>
      <c r="I2257" s="9">
        <v>45108.834444444445</v>
      </c>
      <c r="J2257" s="9" t="e">
        <f>I2257+#REF!</f>
        <v>#REF!</v>
      </c>
      <c r="K2257" s="9" t="e">
        <f>J2257+#REF!</f>
        <v>#REF!</v>
      </c>
      <c r="L2257" s="10" t="s">
        <v>41</v>
      </c>
      <c r="M2257" s="11">
        <v>45114.834444444445</v>
      </c>
      <c r="N2257" s="5" t="s">
        <v>42</v>
      </c>
      <c r="O2257" s="5" t="s">
        <v>98</v>
      </c>
      <c r="P2257" s="9"/>
      <c r="Q2257" s="5"/>
      <c r="R2257" s="5"/>
      <c r="S2257" s="5"/>
      <c r="T2257" s="9"/>
      <c r="U2257" s="5"/>
      <c r="V2257" s="5">
        <v>0</v>
      </c>
      <c r="W2257" s="5"/>
      <c r="X2257" s="5"/>
      <c r="Y2257" s="5"/>
      <c r="Z2257" s="5"/>
      <c r="AA2257" s="5" t="s">
        <v>62</v>
      </c>
      <c r="AC2257">
        <f t="shared" si="316"/>
        <v>6</v>
      </c>
      <c r="AD2257" t="str">
        <f t="shared" si="317"/>
        <v/>
      </c>
      <c r="AE2257" t="str">
        <f t="shared" si="318"/>
        <v/>
      </c>
      <c r="AF2257" t="str">
        <f t="shared" si="319"/>
        <v/>
      </c>
      <c r="AG2257" t="str">
        <f t="shared" si="320"/>
        <v/>
      </c>
      <c r="AH2257">
        <f t="shared" si="321"/>
        <v>4</v>
      </c>
      <c r="AI2257" t="str">
        <f t="shared" si="322"/>
        <v/>
      </c>
      <c r="AJ2257" t="str">
        <f t="shared" si="323"/>
        <v/>
      </c>
    </row>
    <row r="2258" spans="1:36">
      <c r="A2258" s="5">
        <v>2797</v>
      </c>
      <c r="B2258" s="5" t="s">
        <v>2354</v>
      </c>
      <c r="C2258" s="5" t="s">
        <v>2229</v>
      </c>
      <c r="D2258" s="5" t="s">
        <v>2350</v>
      </c>
      <c r="E2258" s="5" t="s">
        <v>2351</v>
      </c>
      <c r="F2258" s="5" t="str">
        <f t="shared" si="315"/>
        <v>Capacity Building-Training Associate</v>
      </c>
      <c r="G2258" s="5" t="s">
        <v>40</v>
      </c>
      <c r="H2258" s="9">
        <v>45100.834444444445</v>
      </c>
      <c r="I2258" s="9">
        <v>45104.834444444445</v>
      </c>
      <c r="J2258" s="9" t="e">
        <f>I2258+#REF!</f>
        <v>#REF!</v>
      </c>
      <c r="K2258" s="9" t="e">
        <f>J2258+#REF!</f>
        <v>#REF!</v>
      </c>
      <c r="L2258" s="10" t="s">
        <v>52</v>
      </c>
      <c r="M2258" s="11"/>
      <c r="N2258" s="5"/>
      <c r="O2258" s="5"/>
      <c r="P2258" s="9"/>
      <c r="Q2258" s="5"/>
      <c r="R2258" s="5"/>
      <c r="S2258" s="5"/>
      <c r="T2258" s="9"/>
      <c r="U2258" s="5"/>
      <c r="V2258" s="5">
        <v>0</v>
      </c>
      <c r="W2258" s="5"/>
      <c r="X2258" s="5"/>
      <c r="Y2258" s="5"/>
      <c r="Z2258" s="5"/>
      <c r="AA2258" s="5"/>
      <c r="AC2258" t="str">
        <f t="shared" si="316"/>
        <v/>
      </c>
      <c r="AD2258" t="str">
        <f t="shared" si="317"/>
        <v/>
      </c>
      <c r="AE2258" t="str">
        <f t="shared" si="318"/>
        <v/>
      </c>
      <c r="AF2258" t="str">
        <f t="shared" si="319"/>
        <v/>
      </c>
      <c r="AG2258" t="str">
        <f t="shared" si="320"/>
        <v/>
      </c>
      <c r="AH2258">
        <f t="shared" si="321"/>
        <v>4</v>
      </c>
      <c r="AI2258" t="str">
        <f t="shared" si="322"/>
        <v/>
      </c>
      <c r="AJ2258" t="str">
        <f t="shared" si="323"/>
        <v/>
      </c>
    </row>
    <row r="2259" spans="1:36">
      <c r="A2259" s="5">
        <v>2798</v>
      </c>
      <c r="B2259" s="5" t="s">
        <v>2305</v>
      </c>
      <c r="C2259" s="5" t="s">
        <v>2229</v>
      </c>
      <c r="D2259" s="5" t="s">
        <v>2302</v>
      </c>
      <c r="E2259" s="5" t="s">
        <v>269</v>
      </c>
      <c r="F2259" s="5" t="str">
        <f t="shared" si="315"/>
        <v>Capacity Building-Manager</v>
      </c>
      <c r="G2259" s="5" t="s">
        <v>270</v>
      </c>
      <c r="H2259" s="9">
        <v>45102.834444444445</v>
      </c>
      <c r="I2259" s="9">
        <v>45105.834444444445</v>
      </c>
      <c r="J2259" s="9" t="e">
        <f>I2259+#REF!</f>
        <v>#REF!</v>
      </c>
      <c r="K2259" s="9" t="e">
        <f>J2259+#REF!</f>
        <v>#REF!</v>
      </c>
      <c r="L2259" s="10" t="s">
        <v>41</v>
      </c>
      <c r="M2259" s="11">
        <v>45111.834444444445</v>
      </c>
      <c r="N2259" s="5" t="s">
        <v>64</v>
      </c>
      <c r="O2259" s="5"/>
      <c r="P2259" s="9">
        <v>45114.834444444445</v>
      </c>
      <c r="Q2259" s="5" t="s">
        <v>64</v>
      </c>
      <c r="R2259" s="9">
        <v>45112.834444444445</v>
      </c>
      <c r="S2259" s="9">
        <v>45116.834444444445</v>
      </c>
      <c r="T2259" s="9">
        <v>45112.834444444445</v>
      </c>
      <c r="U2259" s="9">
        <v>45118.834444444445</v>
      </c>
      <c r="V2259" s="12">
        <v>1</v>
      </c>
      <c r="W2259" s="9">
        <v>45121.834444444445</v>
      </c>
      <c r="X2259" s="9">
        <v>45122.834444444445</v>
      </c>
      <c r="Y2259" s="9">
        <v>45125.834444444445</v>
      </c>
      <c r="Z2259" s="5"/>
      <c r="AA2259" s="5"/>
      <c r="AB2259" s="13">
        <v>45143.834444444445</v>
      </c>
      <c r="AC2259">
        <f t="shared" si="316"/>
        <v>6</v>
      </c>
      <c r="AD2259">
        <f t="shared" si="317"/>
        <v>11</v>
      </c>
      <c r="AE2259">
        <f t="shared" si="318"/>
        <v>1</v>
      </c>
      <c r="AF2259">
        <f t="shared" si="319"/>
        <v>4</v>
      </c>
      <c r="AG2259">
        <f t="shared" si="320"/>
        <v>3</v>
      </c>
      <c r="AH2259">
        <f t="shared" si="321"/>
        <v>3</v>
      </c>
      <c r="AI2259" t="str">
        <f t="shared" si="322"/>
        <v/>
      </c>
      <c r="AJ2259" t="str">
        <f t="shared" si="323"/>
        <v/>
      </c>
    </row>
    <row r="2260" spans="1:36">
      <c r="A2260" s="5">
        <v>2799</v>
      </c>
      <c r="B2260" s="5" t="s">
        <v>1367</v>
      </c>
      <c r="C2260" s="5" t="s">
        <v>1332</v>
      </c>
      <c r="D2260" s="5" t="s">
        <v>1359</v>
      </c>
      <c r="E2260" s="5" t="s">
        <v>1360</v>
      </c>
      <c r="F2260" s="5" t="str">
        <f t="shared" si="315"/>
        <v>Fundraising-Fund Administrator</v>
      </c>
      <c r="G2260" s="5" t="s">
        <v>147</v>
      </c>
      <c r="H2260" s="9">
        <v>45103.834444444445</v>
      </c>
      <c r="I2260" s="9">
        <v>45107.834444444445</v>
      </c>
      <c r="J2260" s="9" t="e">
        <f>I2260+#REF!</f>
        <v>#REF!</v>
      </c>
      <c r="K2260" s="9" t="e">
        <f>J2260+#REF!</f>
        <v>#REF!</v>
      </c>
      <c r="L2260" s="10" t="s">
        <v>41</v>
      </c>
      <c r="M2260" s="11">
        <v>45116.834444444445</v>
      </c>
      <c r="N2260" s="5" t="s">
        <v>42</v>
      </c>
      <c r="O2260" s="5" t="s">
        <v>58</v>
      </c>
      <c r="P2260" s="9"/>
      <c r="Q2260" s="5"/>
      <c r="R2260" s="5"/>
      <c r="S2260" s="5"/>
      <c r="T2260" s="9"/>
      <c r="U2260" s="5"/>
      <c r="V2260" s="5">
        <v>0</v>
      </c>
      <c r="W2260" s="5"/>
      <c r="X2260" s="5"/>
      <c r="Y2260" s="5"/>
      <c r="Z2260" s="5"/>
      <c r="AA2260" s="5" t="s">
        <v>62</v>
      </c>
      <c r="AC2260">
        <f t="shared" si="316"/>
        <v>9</v>
      </c>
      <c r="AD2260" t="str">
        <f t="shared" si="317"/>
        <v/>
      </c>
      <c r="AE2260" t="str">
        <f t="shared" si="318"/>
        <v/>
      </c>
      <c r="AF2260" t="str">
        <f t="shared" si="319"/>
        <v/>
      </c>
      <c r="AG2260" t="str">
        <f t="shared" si="320"/>
        <v/>
      </c>
      <c r="AH2260">
        <f t="shared" si="321"/>
        <v>4</v>
      </c>
      <c r="AI2260" t="str">
        <f t="shared" si="322"/>
        <v/>
      </c>
      <c r="AJ2260" t="str">
        <f t="shared" si="323"/>
        <v/>
      </c>
    </row>
    <row r="2261" spans="1:36">
      <c r="A2261" s="5">
        <v>2800</v>
      </c>
      <c r="B2261" s="5" t="s">
        <v>1505</v>
      </c>
      <c r="C2261" s="5" t="s">
        <v>1332</v>
      </c>
      <c r="D2261" s="5" t="s">
        <v>1500</v>
      </c>
      <c r="E2261" s="5" t="s">
        <v>39</v>
      </c>
      <c r="F2261" s="5" t="str">
        <f t="shared" si="315"/>
        <v>Fundraising-Analyst</v>
      </c>
      <c r="G2261" s="5" t="s">
        <v>47</v>
      </c>
      <c r="H2261" s="9">
        <v>45107.834444444445</v>
      </c>
      <c r="I2261" s="9">
        <v>45108.834444444445</v>
      </c>
      <c r="J2261" s="9" t="e">
        <f>I2261+#REF!</f>
        <v>#REF!</v>
      </c>
      <c r="K2261" s="9" t="e">
        <f>J2261+#REF!</f>
        <v>#REF!</v>
      </c>
      <c r="L2261" s="10" t="s">
        <v>41</v>
      </c>
      <c r="M2261" s="11">
        <v>45122.834444444445</v>
      </c>
      <c r="N2261" s="5" t="s">
        <v>42</v>
      </c>
      <c r="O2261" s="5" t="s">
        <v>58</v>
      </c>
      <c r="P2261" s="9"/>
      <c r="Q2261" s="5"/>
      <c r="R2261" s="5"/>
      <c r="S2261" s="5"/>
      <c r="T2261" s="9">
        <v>45126.834444444445</v>
      </c>
      <c r="U2261" s="5"/>
      <c r="V2261" s="5">
        <v>0</v>
      </c>
      <c r="W2261" s="5"/>
      <c r="X2261" s="5"/>
      <c r="Y2261" s="5"/>
      <c r="Z2261" s="5"/>
      <c r="AA2261" s="5" t="s">
        <v>44</v>
      </c>
      <c r="AC2261">
        <f t="shared" si="316"/>
        <v>14</v>
      </c>
      <c r="AD2261" t="str">
        <f t="shared" si="317"/>
        <v/>
      </c>
      <c r="AE2261">
        <f t="shared" si="318"/>
        <v>4</v>
      </c>
      <c r="AF2261" t="str">
        <f t="shared" si="319"/>
        <v/>
      </c>
      <c r="AG2261" t="str">
        <f t="shared" si="320"/>
        <v/>
      </c>
      <c r="AH2261">
        <f t="shared" si="321"/>
        <v>1</v>
      </c>
      <c r="AI2261" t="str">
        <f t="shared" si="322"/>
        <v/>
      </c>
      <c r="AJ2261" t="str">
        <f t="shared" si="323"/>
        <v/>
      </c>
    </row>
    <row r="2262" spans="1:36">
      <c r="A2262" s="5">
        <v>2801</v>
      </c>
      <c r="B2262" s="5" t="s">
        <v>1335</v>
      </c>
      <c r="C2262" s="5" t="s">
        <v>1332</v>
      </c>
      <c r="D2262" s="5" t="s">
        <v>1333</v>
      </c>
      <c r="E2262" s="5" t="s">
        <v>102</v>
      </c>
      <c r="F2262" s="5" t="str">
        <f t="shared" si="315"/>
        <v>Fundraising-Senior Manager</v>
      </c>
      <c r="G2262" s="5" t="s">
        <v>103</v>
      </c>
      <c r="H2262" s="9">
        <v>45081.778425925928</v>
      </c>
      <c r="I2262" s="9">
        <v>45084.778425925928</v>
      </c>
      <c r="J2262" s="9" t="e">
        <f>I2262+#REF!</f>
        <v>#REF!</v>
      </c>
      <c r="K2262" s="9" t="e">
        <f>J2262+#REF!</f>
        <v>#REF!</v>
      </c>
      <c r="L2262" s="10" t="s">
        <v>41</v>
      </c>
      <c r="M2262" s="11">
        <v>45096.778425925928</v>
      </c>
      <c r="N2262" s="5" t="s">
        <v>42</v>
      </c>
      <c r="O2262" s="5" t="s">
        <v>113</v>
      </c>
      <c r="P2262" s="9"/>
      <c r="Q2262" s="5"/>
      <c r="R2262" s="5"/>
      <c r="S2262" s="5"/>
      <c r="T2262" s="9"/>
      <c r="U2262" s="5"/>
      <c r="V2262" s="5">
        <v>0</v>
      </c>
      <c r="W2262" s="5"/>
      <c r="X2262" s="5"/>
      <c r="Y2262" s="5"/>
      <c r="Z2262" s="5"/>
      <c r="AA2262" s="5" t="s">
        <v>44</v>
      </c>
      <c r="AC2262">
        <f t="shared" si="316"/>
        <v>12</v>
      </c>
      <c r="AD2262" t="str">
        <f t="shared" si="317"/>
        <v/>
      </c>
      <c r="AE2262" t="str">
        <f t="shared" si="318"/>
        <v/>
      </c>
      <c r="AF2262" t="str">
        <f t="shared" si="319"/>
        <v/>
      </c>
      <c r="AG2262" t="str">
        <f t="shared" si="320"/>
        <v/>
      </c>
      <c r="AH2262">
        <f t="shared" si="321"/>
        <v>3</v>
      </c>
      <c r="AI2262" t="str">
        <f t="shared" si="322"/>
        <v/>
      </c>
      <c r="AJ2262" t="str">
        <f t="shared" si="323"/>
        <v/>
      </c>
    </row>
    <row r="2263" spans="1:36">
      <c r="A2263" s="5">
        <v>2802</v>
      </c>
      <c r="B2263" s="5" t="s">
        <v>1504</v>
      </c>
      <c r="C2263" s="5" t="s">
        <v>1332</v>
      </c>
      <c r="D2263" s="5" t="s">
        <v>1500</v>
      </c>
      <c r="E2263" s="5" t="s">
        <v>39</v>
      </c>
      <c r="F2263" s="5" t="str">
        <f t="shared" si="315"/>
        <v>Fundraising-Analyst</v>
      </c>
      <c r="G2263" s="5" t="s">
        <v>47</v>
      </c>
      <c r="H2263" s="9">
        <v>45077.778425925928</v>
      </c>
      <c r="I2263" s="9">
        <v>45081.778425925928</v>
      </c>
      <c r="J2263" s="9" t="e">
        <f>I2263+#REF!</f>
        <v>#REF!</v>
      </c>
      <c r="K2263" s="9" t="e">
        <f>J2263+#REF!</f>
        <v>#REF!</v>
      </c>
      <c r="L2263" s="10" t="s">
        <v>41</v>
      </c>
      <c r="M2263" s="11">
        <v>45095.778425925928</v>
      </c>
      <c r="N2263" s="5" t="s">
        <v>42</v>
      </c>
      <c r="O2263" s="5" t="s">
        <v>113</v>
      </c>
      <c r="P2263" s="9"/>
      <c r="Q2263" s="5"/>
      <c r="R2263" s="5"/>
      <c r="S2263" s="5"/>
      <c r="T2263" s="9"/>
      <c r="U2263" s="5"/>
      <c r="V2263" s="5">
        <v>0</v>
      </c>
      <c r="W2263" s="5"/>
      <c r="X2263" s="5"/>
      <c r="Y2263" s="5"/>
      <c r="Z2263" s="5"/>
      <c r="AA2263" s="5" t="s">
        <v>44</v>
      </c>
      <c r="AC2263">
        <f t="shared" si="316"/>
        <v>14</v>
      </c>
      <c r="AD2263" t="str">
        <f t="shared" si="317"/>
        <v/>
      </c>
      <c r="AE2263" t="str">
        <f t="shared" si="318"/>
        <v/>
      </c>
      <c r="AF2263" t="str">
        <f t="shared" si="319"/>
        <v/>
      </c>
      <c r="AG2263" t="str">
        <f t="shared" si="320"/>
        <v/>
      </c>
      <c r="AH2263">
        <f t="shared" si="321"/>
        <v>4</v>
      </c>
      <c r="AI2263" t="str">
        <f t="shared" si="322"/>
        <v/>
      </c>
      <c r="AJ2263" t="str">
        <f t="shared" si="323"/>
        <v/>
      </c>
    </row>
    <row r="2264" spans="1:36">
      <c r="A2264" s="5">
        <v>2805</v>
      </c>
      <c r="B2264" s="5" t="s">
        <v>2304</v>
      </c>
      <c r="C2264" s="5" t="s">
        <v>2229</v>
      </c>
      <c r="D2264" s="5" t="s">
        <v>2302</v>
      </c>
      <c r="E2264" s="5" t="s">
        <v>269</v>
      </c>
      <c r="F2264" s="5" t="str">
        <f t="shared" si="315"/>
        <v>Capacity Building-Manager</v>
      </c>
      <c r="G2264" s="5" t="s">
        <v>270</v>
      </c>
      <c r="H2264" s="9">
        <v>45080.778425925928</v>
      </c>
      <c r="I2264" s="9">
        <v>45082.778425925928</v>
      </c>
      <c r="J2264" s="9" t="e">
        <f>I2264+#REF!</f>
        <v>#REF!</v>
      </c>
      <c r="K2264" s="9" t="e">
        <f>J2264+#REF!</f>
        <v>#REF!</v>
      </c>
      <c r="L2264" s="10" t="s">
        <v>41</v>
      </c>
      <c r="M2264" s="11">
        <v>45100.778425925928</v>
      </c>
      <c r="N2264" s="5" t="s">
        <v>64</v>
      </c>
      <c r="O2264" s="5"/>
      <c r="P2264" s="9">
        <v>45104.778425925928</v>
      </c>
      <c r="Q2264" s="5" t="s">
        <v>64</v>
      </c>
      <c r="R2264" s="9">
        <v>45101.778425925928</v>
      </c>
      <c r="S2264" s="9">
        <v>45104.778425925928</v>
      </c>
      <c r="T2264" s="9">
        <v>45101.778425925928</v>
      </c>
      <c r="U2264" s="9">
        <v>45111.778425925928</v>
      </c>
      <c r="V2264" s="12">
        <v>1</v>
      </c>
      <c r="W2264" s="9">
        <v>45115.778425925928</v>
      </c>
      <c r="X2264" s="9">
        <v>45118.778425925928</v>
      </c>
      <c r="Y2264" s="9">
        <v>45121.778425925928</v>
      </c>
      <c r="Z2264" s="5"/>
      <c r="AA2264" s="5"/>
      <c r="AB2264" s="13">
        <v>45142.778425925928</v>
      </c>
      <c r="AC2264">
        <f t="shared" si="316"/>
        <v>18</v>
      </c>
      <c r="AD2264">
        <f t="shared" si="317"/>
        <v>22</v>
      </c>
      <c r="AE2264">
        <f t="shared" si="318"/>
        <v>1</v>
      </c>
      <c r="AF2264">
        <f t="shared" si="319"/>
        <v>7</v>
      </c>
      <c r="AG2264">
        <f t="shared" si="320"/>
        <v>4</v>
      </c>
      <c r="AH2264">
        <f t="shared" si="321"/>
        <v>2</v>
      </c>
      <c r="AI2264" t="str">
        <f t="shared" si="322"/>
        <v/>
      </c>
      <c r="AJ2264" t="str">
        <f t="shared" si="323"/>
        <v/>
      </c>
    </row>
    <row r="2265" spans="1:36">
      <c r="A2265" s="5">
        <v>2807</v>
      </c>
      <c r="B2265" s="5" t="s">
        <v>1461</v>
      </c>
      <c r="C2265" s="5" t="s">
        <v>1332</v>
      </c>
      <c r="D2265" s="5" t="s">
        <v>1448</v>
      </c>
      <c r="E2265" s="5" t="s">
        <v>597</v>
      </c>
      <c r="F2265" s="5" t="str">
        <f t="shared" si="315"/>
        <v>Fundraising-Business Partner</v>
      </c>
      <c r="G2265" s="5" t="s">
        <v>40</v>
      </c>
      <c r="H2265" s="9">
        <v>45075.778425925928</v>
      </c>
      <c r="I2265" s="9">
        <v>45079.778425925928</v>
      </c>
      <c r="J2265" s="9" t="e">
        <f>I2265+#REF!</f>
        <v>#REF!</v>
      </c>
      <c r="K2265" s="9" t="e">
        <f>J2265+#REF!</f>
        <v>#REF!</v>
      </c>
      <c r="L2265" s="10" t="s">
        <v>41</v>
      </c>
      <c r="M2265" s="11">
        <v>45099.778425925928</v>
      </c>
      <c r="N2265" s="5" t="s">
        <v>167</v>
      </c>
      <c r="O2265" s="5"/>
      <c r="P2265" s="9">
        <v>45105.778425925928</v>
      </c>
      <c r="Q2265" s="5" t="s">
        <v>167</v>
      </c>
      <c r="R2265" s="5"/>
      <c r="S2265" s="5"/>
      <c r="T2265" s="9">
        <v>45102.778425925928</v>
      </c>
      <c r="U2265" s="5"/>
      <c r="V2265" s="5">
        <v>0</v>
      </c>
      <c r="W2265" s="5"/>
      <c r="X2265" s="5"/>
      <c r="Y2265" s="5"/>
      <c r="Z2265" s="5"/>
      <c r="AA2265" s="5"/>
      <c r="AC2265">
        <f t="shared" si="316"/>
        <v>20</v>
      </c>
      <c r="AD2265" t="str">
        <f t="shared" si="317"/>
        <v/>
      </c>
      <c r="AE2265">
        <f t="shared" si="318"/>
        <v>3</v>
      </c>
      <c r="AF2265" t="str">
        <f t="shared" si="319"/>
        <v/>
      </c>
      <c r="AG2265" t="str">
        <f t="shared" si="320"/>
        <v/>
      </c>
      <c r="AH2265">
        <f t="shared" si="321"/>
        <v>4</v>
      </c>
      <c r="AI2265" t="str">
        <f t="shared" si="322"/>
        <v/>
      </c>
      <c r="AJ2265" t="str">
        <f t="shared" si="323"/>
        <v/>
      </c>
    </row>
    <row r="2266" spans="1:36">
      <c r="A2266" s="5">
        <v>2809</v>
      </c>
      <c r="B2266" s="5" t="s">
        <v>1503</v>
      </c>
      <c r="C2266" s="5" t="s">
        <v>1332</v>
      </c>
      <c r="D2266" s="5" t="s">
        <v>1500</v>
      </c>
      <c r="E2266" s="5" t="s">
        <v>39</v>
      </c>
      <c r="F2266" s="5" t="str">
        <f t="shared" si="315"/>
        <v>Fundraising-Analyst</v>
      </c>
      <c r="G2266" s="5" t="s">
        <v>47</v>
      </c>
      <c r="H2266" s="9">
        <v>45079.778425925928</v>
      </c>
      <c r="I2266" s="9">
        <v>45080.778425925928</v>
      </c>
      <c r="J2266" s="9" t="e">
        <f>I2266+#REF!</f>
        <v>#REF!</v>
      </c>
      <c r="K2266" s="9" t="e">
        <f>J2266+#REF!</f>
        <v>#REF!</v>
      </c>
      <c r="L2266" s="10" t="s">
        <v>41</v>
      </c>
      <c r="M2266" s="11">
        <v>45096.778425925928</v>
      </c>
      <c r="N2266" s="5" t="s">
        <v>48</v>
      </c>
      <c r="O2266" s="5"/>
      <c r="P2266" s="9">
        <v>45102.778425925928</v>
      </c>
      <c r="Q2266" s="5" t="s">
        <v>48</v>
      </c>
      <c r="R2266" s="5"/>
      <c r="S2266" s="5"/>
      <c r="T2266" s="9">
        <v>45099.778425925928</v>
      </c>
      <c r="U2266" s="5"/>
      <c r="V2266" s="5">
        <v>0</v>
      </c>
      <c r="W2266" s="5"/>
      <c r="X2266" s="5"/>
      <c r="Y2266" s="5"/>
      <c r="Z2266" s="5"/>
      <c r="AA2266" s="5"/>
      <c r="AC2266">
        <f t="shared" si="316"/>
        <v>16</v>
      </c>
      <c r="AD2266" t="str">
        <f t="shared" si="317"/>
        <v/>
      </c>
      <c r="AE2266">
        <f t="shared" si="318"/>
        <v>3</v>
      </c>
      <c r="AF2266" t="str">
        <f t="shared" si="319"/>
        <v/>
      </c>
      <c r="AG2266" t="str">
        <f t="shared" si="320"/>
        <v/>
      </c>
      <c r="AH2266">
        <f t="shared" si="321"/>
        <v>1</v>
      </c>
      <c r="AI2266" t="str">
        <f t="shared" si="322"/>
        <v/>
      </c>
      <c r="AJ2266" t="str">
        <f t="shared" si="323"/>
        <v/>
      </c>
    </row>
    <row r="2267" spans="1:36">
      <c r="A2267" s="5">
        <v>2810</v>
      </c>
      <c r="B2267" s="5" t="s">
        <v>1366</v>
      </c>
      <c r="C2267" s="5" t="s">
        <v>1332</v>
      </c>
      <c r="D2267" s="5" t="s">
        <v>1359</v>
      </c>
      <c r="E2267" s="5" t="s">
        <v>1360</v>
      </c>
      <c r="F2267" s="5" t="str">
        <f t="shared" si="315"/>
        <v>Fundraising-Fund Administrator</v>
      </c>
      <c r="G2267" s="5" t="s">
        <v>147</v>
      </c>
      <c r="H2267" s="9">
        <v>45077.778425925928</v>
      </c>
      <c r="I2267" s="9">
        <v>45080.778425925928</v>
      </c>
      <c r="J2267" s="9" t="e">
        <f>I2267+#REF!</f>
        <v>#REF!</v>
      </c>
      <c r="K2267" s="9" t="e">
        <f>J2267+#REF!</f>
        <v>#REF!</v>
      </c>
      <c r="L2267" s="10" t="s">
        <v>41</v>
      </c>
      <c r="M2267" s="11">
        <v>45089.778425925928</v>
      </c>
      <c r="N2267" s="5" t="s">
        <v>42</v>
      </c>
      <c r="O2267" s="5" t="s">
        <v>43</v>
      </c>
      <c r="P2267" s="9"/>
      <c r="Q2267" s="5"/>
      <c r="R2267" s="5"/>
      <c r="S2267" s="5"/>
      <c r="T2267" s="9"/>
      <c r="U2267" s="5"/>
      <c r="V2267" s="5">
        <v>0</v>
      </c>
      <c r="W2267" s="5"/>
      <c r="X2267" s="5"/>
      <c r="Y2267" s="5"/>
      <c r="Z2267" s="5"/>
      <c r="AA2267" s="5" t="s">
        <v>62</v>
      </c>
      <c r="AC2267">
        <f t="shared" si="316"/>
        <v>9</v>
      </c>
      <c r="AD2267" t="str">
        <f t="shared" si="317"/>
        <v/>
      </c>
      <c r="AE2267" t="str">
        <f t="shared" si="318"/>
        <v/>
      </c>
      <c r="AF2267" t="str">
        <f t="shared" si="319"/>
        <v/>
      </c>
      <c r="AG2267" t="str">
        <f t="shared" si="320"/>
        <v/>
      </c>
      <c r="AH2267">
        <f t="shared" si="321"/>
        <v>3</v>
      </c>
      <c r="AI2267" t="str">
        <f t="shared" si="322"/>
        <v/>
      </c>
      <c r="AJ2267" t="str">
        <f t="shared" si="323"/>
        <v/>
      </c>
    </row>
    <row r="2268" spans="1:36">
      <c r="A2268" s="5">
        <v>2811</v>
      </c>
      <c r="B2268" s="5" t="s">
        <v>899</v>
      </c>
      <c r="C2268" s="5" t="s">
        <v>796</v>
      </c>
      <c r="D2268" s="5" t="s">
        <v>893</v>
      </c>
      <c r="E2268" s="5" t="s">
        <v>269</v>
      </c>
      <c r="F2268" s="5" t="str">
        <f t="shared" si="315"/>
        <v>M and E-Manager</v>
      </c>
      <c r="G2268" s="5" t="s">
        <v>270</v>
      </c>
      <c r="H2268" s="9">
        <v>44893.862592592595</v>
      </c>
      <c r="I2268" s="9">
        <v>44896.862592592595</v>
      </c>
      <c r="J2268" s="9" t="e">
        <f>I2268+#REF!</f>
        <v>#REF!</v>
      </c>
      <c r="K2268" s="9" t="e">
        <f>J2268+#REF!</f>
        <v>#REF!</v>
      </c>
      <c r="L2268" s="10" t="s">
        <v>41</v>
      </c>
      <c r="M2268" s="11">
        <v>44905.862592592595</v>
      </c>
      <c r="N2268" s="5" t="s">
        <v>48</v>
      </c>
      <c r="O2268" s="5"/>
      <c r="P2268" s="9">
        <v>44909.862592592595</v>
      </c>
      <c r="Q2268" s="5" t="s">
        <v>48</v>
      </c>
      <c r="R2268" s="5"/>
      <c r="S2268" s="5"/>
      <c r="T2268" s="9">
        <v>44907.862592592595</v>
      </c>
      <c r="U2268" s="5"/>
      <c r="V2268" s="5">
        <v>0</v>
      </c>
      <c r="W2268" s="5"/>
      <c r="X2268" s="5"/>
      <c r="Y2268" s="5"/>
      <c r="Z2268" s="5"/>
      <c r="AA2268" s="5"/>
      <c r="AC2268">
        <f t="shared" si="316"/>
        <v>9</v>
      </c>
      <c r="AD2268" t="str">
        <f t="shared" si="317"/>
        <v/>
      </c>
      <c r="AE2268">
        <f t="shared" si="318"/>
        <v>2</v>
      </c>
      <c r="AF2268" t="str">
        <f t="shared" si="319"/>
        <v/>
      </c>
      <c r="AG2268" t="str">
        <f t="shared" si="320"/>
        <v/>
      </c>
      <c r="AH2268">
        <f t="shared" si="321"/>
        <v>3</v>
      </c>
      <c r="AI2268" t="str">
        <f t="shared" si="322"/>
        <v/>
      </c>
      <c r="AJ2268" t="str">
        <f t="shared" si="323"/>
        <v/>
      </c>
    </row>
    <row r="2269" spans="1:36">
      <c r="A2269" s="5">
        <v>2812</v>
      </c>
      <c r="B2269" s="5" t="s">
        <v>960</v>
      </c>
      <c r="C2269" s="5" t="s">
        <v>796</v>
      </c>
      <c r="D2269" s="5" t="s">
        <v>957</v>
      </c>
      <c r="E2269" s="5" t="s">
        <v>39</v>
      </c>
      <c r="F2269" s="5" t="str">
        <f t="shared" si="315"/>
        <v>M and E-Analyst</v>
      </c>
      <c r="G2269" s="5" t="s">
        <v>40</v>
      </c>
      <c r="H2269" s="9">
        <v>44891.862592592595</v>
      </c>
      <c r="I2269" s="9">
        <v>44894.862592592595</v>
      </c>
      <c r="J2269" s="9" t="e">
        <f>I2269+#REF!</f>
        <v>#REF!</v>
      </c>
      <c r="K2269" s="9" t="e">
        <f>J2269+#REF!</f>
        <v>#REF!</v>
      </c>
      <c r="L2269" s="10" t="s">
        <v>41</v>
      </c>
      <c r="M2269" s="11">
        <v>44905.862592592595</v>
      </c>
      <c r="N2269" s="5" t="s">
        <v>42</v>
      </c>
      <c r="O2269" s="5" t="s">
        <v>98</v>
      </c>
      <c r="P2269" s="9"/>
      <c r="Q2269" s="5"/>
      <c r="R2269" s="5"/>
      <c r="S2269" s="5"/>
      <c r="T2269" s="9"/>
      <c r="U2269" s="5"/>
      <c r="V2269" s="5">
        <v>0</v>
      </c>
      <c r="W2269" s="5"/>
      <c r="X2269" s="5"/>
      <c r="Y2269" s="5"/>
      <c r="Z2269" s="5"/>
      <c r="AA2269" s="5" t="s">
        <v>62</v>
      </c>
      <c r="AC2269">
        <f t="shared" si="316"/>
        <v>11</v>
      </c>
      <c r="AD2269" t="str">
        <f t="shared" si="317"/>
        <v/>
      </c>
      <c r="AE2269" t="str">
        <f t="shared" si="318"/>
        <v/>
      </c>
      <c r="AF2269" t="str">
        <f t="shared" si="319"/>
        <v/>
      </c>
      <c r="AG2269" t="str">
        <f t="shared" si="320"/>
        <v/>
      </c>
      <c r="AH2269">
        <f t="shared" si="321"/>
        <v>3</v>
      </c>
      <c r="AI2269" t="str">
        <f t="shared" si="322"/>
        <v/>
      </c>
      <c r="AJ2269" t="str">
        <f t="shared" si="323"/>
        <v/>
      </c>
    </row>
    <row r="2270" spans="1:36">
      <c r="A2270" s="5">
        <v>2813</v>
      </c>
      <c r="B2270" s="5" t="s">
        <v>820</v>
      </c>
      <c r="C2270" s="5" t="s">
        <v>796</v>
      </c>
      <c r="D2270" s="5" t="s">
        <v>814</v>
      </c>
      <c r="E2270" s="5" t="s">
        <v>815</v>
      </c>
      <c r="F2270" s="5" t="str">
        <f t="shared" si="315"/>
        <v>M and E-Auditor</v>
      </c>
      <c r="G2270" s="5" t="s">
        <v>147</v>
      </c>
      <c r="H2270" s="9">
        <v>44894.862592592595</v>
      </c>
      <c r="I2270" s="9">
        <v>44896.862592592595</v>
      </c>
      <c r="J2270" s="9" t="e">
        <f>I2270+#REF!</f>
        <v>#REF!</v>
      </c>
      <c r="K2270" s="9" t="e">
        <f>J2270+#REF!</f>
        <v>#REF!</v>
      </c>
      <c r="L2270" s="10" t="s">
        <v>52</v>
      </c>
      <c r="M2270" s="11"/>
      <c r="N2270" s="5"/>
      <c r="O2270" s="5"/>
      <c r="P2270" s="9"/>
      <c r="Q2270" s="5"/>
      <c r="R2270" s="5"/>
      <c r="S2270" s="5"/>
      <c r="T2270" s="9"/>
      <c r="U2270" s="5"/>
      <c r="V2270" s="5">
        <v>0</v>
      </c>
      <c r="W2270" s="5"/>
      <c r="X2270" s="5"/>
      <c r="Y2270" s="5"/>
      <c r="Z2270" s="5"/>
      <c r="AA2270" s="5"/>
      <c r="AC2270" t="str">
        <f t="shared" si="316"/>
        <v/>
      </c>
      <c r="AD2270" t="str">
        <f t="shared" si="317"/>
        <v/>
      </c>
      <c r="AE2270" t="str">
        <f t="shared" si="318"/>
        <v/>
      </c>
      <c r="AF2270" t="str">
        <f t="shared" si="319"/>
        <v/>
      </c>
      <c r="AG2270" t="str">
        <f t="shared" si="320"/>
        <v/>
      </c>
      <c r="AH2270">
        <f t="shared" si="321"/>
        <v>2</v>
      </c>
      <c r="AI2270" t="str">
        <f t="shared" si="322"/>
        <v/>
      </c>
      <c r="AJ2270" t="str">
        <f t="shared" si="323"/>
        <v/>
      </c>
    </row>
    <row r="2271" spans="1:36">
      <c r="A2271" s="5">
        <v>2815</v>
      </c>
      <c r="B2271" s="5" t="s">
        <v>1049</v>
      </c>
      <c r="C2271" s="5" t="s">
        <v>796</v>
      </c>
      <c r="D2271" s="5" t="s">
        <v>1046</v>
      </c>
      <c r="E2271" s="5" t="s">
        <v>388</v>
      </c>
      <c r="F2271" s="5" t="str">
        <f t="shared" si="315"/>
        <v>M and E-Extension Officer</v>
      </c>
      <c r="G2271" s="5" t="s">
        <v>47</v>
      </c>
      <c r="H2271" s="9">
        <v>44894.862592592595</v>
      </c>
      <c r="I2271" s="9">
        <v>44897.862592592595</v>
      </c>
      <c r="J2271" s="9" t="e">
        <f>I2271+#REF!</f>
        <v>#REF!</v>
      </c>
      <c r="K2271" s="9" t="e">
        <f>J2271+#REF!</f>
        <v>#REF!</v>
      </c>
      <c r="L2271" s="10" t="s">
        <v>41</v>
      </c>
      <c r="M2271" s="11">
        <v>44910.862592592595</v>
      </c>
      <c r="N2271" s="5" t="s">
        <v>42</v>
      </c>
      <c r="O2271" s="5" t="s">
        <v>43</v>
      </c>
      <c r="P2271" s="9"/>
      <c r="Q2271" s="5"/>
      <c r="R2271" s="5"/>
      <c r="S2271" s="5"/>
      <c r="T2271" s="9"/>
      <c r="U2271" s="5"/>
      <c r="V2271" s="5">
        <v>0</v>
      </c>
      <c r="W2271" s="5"/>
      <c r="X2271" s="5"/>
      <c r="Y2271" s="5"/>
      <c r="Z2271" s="5"/>
      <c r="AA2271" s="5" t="s">
        <v>44</v>
      </c>
      <c r="AC2271">
        <f t="shared" si="316"/>
        <v>13</v>
      </c>
      <c r="AD2271" t="str">
        <f t="shared" si="317"/>
        <v/>
      </c>
      <c r="AE2271" t="str">
        <f t="shared" si="318"/>
        <v/>
      </c>
      <c r="AF2271" t="str">
        <f t="shared" si="319"/>
        <v/>
      </c>
      <c r="AG2271" t="str">
        <f t="shared" si="320"/>
        <v/>
      </c>
      <c r="AH2271">
        <f t="shared" si="321"/>
        <v>3</v>
      </c>
      <c r="AI2271" t="str">
        <f t="shared" si="322"/>
        <v/>
      </c>
      <c r="AJ2271" t="str">
        <f t="shared" si="323"/>
        <v/>
      </c>
    </row>
    <row r="2272" spans="1:36">
      <c r="A2272" s="5">
        <v>2817</v>
      </c>
      <c r="B2272" s="5" t="s">
        <v>801</v>
      </c>
      <c r="C2272" s="5" t="s">
        <v>796</v>
      </c>
      <c r="D2272" s="5" t="s">
        <v>797</v>
      </c>
      <c r="E2272" s="5" t="s">
        <v>709</v>
      </c>
      <c r="F2272" s="5" t="str">
        <f t="shared" si="315"/>
        <v>M and E-Lead</v>
      </c>
      <c r="G2272" s="5" t="s">
        <v>103</v>
      </c>
      <c r="H2272" s="9">
        <v>44895.862592592595</v>
      </c>
      <c r="I2272" s="9">
        <v>44896.862592592595</v>
      </c>
      <c r="J2272" s="9" t="e">
        <f>I2272+#REF!</f>
        <v>#REF!</v>
      </c>
      <c r="K2272" s="9" t="e">
        <f>J2272+#REF!</f>
        <v>#REF!</v>
      </c>
      <c r="L2272" s="10" t="s">
        <v>41</v>
      </c>
      <c r="M2272" s="11">
        <v>44907.862592592595</v>
      </c>
      <c r="N2272" s="5" t="s">
        <v>42</v>
      </c>
      <c r="O2272" s="5" t="s">
        <v>113</v>
      </c>
      <c r="P2272" s="9"/>
      <c r="Q2272" s="5"/>
      <c r="R2272" s="5"/>
      <c r="S2272" s="5"/>
      <c r="T2272" s="9">
        <v>44911.862592592595</v>
      </c>
      <c r="U2272" s="5"/>
      <c r="V2272" s="5">
        <v>0</v>
      </c>
      <c r="W2272" s="5"/>
      <c r="X2272" s="5"/>
      <c r="Y2272" s="5"/>
      <c r="Z2272" s="5"/>
      <c r="AA2272" s="5" t="s">
        <v>62</v>
      </c>
      <c r="AC2272">
        <f t="shared" si="316"/>
        <v>11</v>
      </c>
      <c r="AD2272" t="str">
        <f t="shared" si="317"/>
        <v/>
      </c>
      <c r="AE2272">
        <f t="shared" si="318"/>
        <v>4</v>
      </c>
      <c r="AF2272" t="str">
        <f t="shared" si="319"/>
        <v/>
      </c>
      <c r="AG2272" t="str">
        <f t="shared" si="320"/>
        <v/>
      </c>
      <c r="AH2272">
        <f t="shared" si="321"/>
        <v>1</v>
      </c>
      <c r="AI2272" t="str">
        <f t="shared" si="322"/>
        <v/>
      </c>
      <c r="AJ2272" t="str">
        <f t="shared" si="323"/>
        <v/>
      </c>
    </row>
    <row r="2273" spans="1:36">
      <c r="A2273" s="5">
        <v>2818</v>
      </c>
      <c r="B2273" s="5" t="s">
        <v>1048</v>
      </c>
      <c r="C2273" s="5" t="s">
        <v>796</v>
      </c>
      <c r="D2273" s="5" t="s">
        <v>1046</v>
      </c>
      <c r="E2273" s="5" t="s">
        <v>388</v>
      </c>
      <c r="F2273" s="5" t="str">
        <f t="shared" si="315"/>
        <v>M and E-Extension Officer</v>
      </c>
      <c r="G2273" s="5" t="s">
        <v>47</v>
      </c>
      <c r="H2273" s="9">
        <v>44890.862592592595</v>
      </c>
      <c r="I2273" s="9">
        <v>44893.862592592595</v>
      </c>
      <c r="J2273" s="9" t="e">
        <f>I2273+#REF!</f>
        <v>#REF!</v>
      </c>
      <c r="K2273" s="9" t="e">
        <f>J2273+#REF!</f>
        <v>#REF!</v>
      </c>
      <c r="L2273" s="10" t="s">
        <v>41</v>
      </c>
      <c r="M2273" s="11">
        <v>44914.862592592595</v>
      </c>
      <c r="N2273" s="5" t="s">
        <v>42</v>
      </c>
      <c r="O2273" s="5" t="s">
        <v>98</v>
      </c>
      <c r="P2273" s="9"/>
      <c r="Q2273" s="5"/>
      <c r="R2273" s="5"/>
      <c r="S2273" s="5"/>
      <c r="T2273" s="9">
        <v>44915.862592592595</v>
      </c>
      <c r="U2273" s="5"/>
      <c r="V2273" s="5">
        <v>0</v>
      </c>
      <c r="W2273" s="5"/>
      <c r="X2273" s="5"/>
      <c r="Y2273" s="5"/>
      <c r="Z2273" s="5"/>
      <c r="AA2273" s="5" t="s">
        <v>44</v>
      </c>
      <c r="AC2273">
        <f t="shared" si="316"/>
        <v>21</v>
      </c>
      <c r="AD2273" t="str">
        <f t="shared" si="317"/>
        <v/>
      </c>
      <c r="AE2273">
        <f t="shared" si="318"/>
        <v>1</v>
      </c>
      <c r="AF2273" t="str">
        <f t="shared" si="319"/>
        <v/>
      </c>
      <c r="AG2273" t="str">
        <f t="shared" si="320"/>
        <v/>
      </c>
      <c r="AH2273">
        <f t="shared" si="321"/>
        <v>3</v>
      </c>
      <c r="AI2273" t="str">
        <f t="shared" si="322"/>
        <v/>
      </c>
      <c r="AJ2273" t="str">
        <f t="shared" si="323"/>
        <v/>
      </c>
    </row>
    <row r="2274" spans="1:36">
      <c r="A2274" s="5">
        <v>2820</v>
      </c>
      <c r="B2274" s="5" t="s">
        <v>819</v>
      </c>
      <c r="C2274" s="5" t="s">
        <v>796</v>
      </c>
      <c r="D2274" s="5" t="s">
        <v>814</v>
      </c>
      <c r="E2274" s="5" t="s">
        <v>815</v>
      </c>
      <c r="F2274" s="5" t="str">
        <f t="shared" si="315"/>
        <v>M and E-Auditor</v>
      </c>
      <c r="G2274" s="5" t="s">
        <v>147</v>
      </c>
      <c r="H2274" s="9">
        <v>44895.862592592595</v>
      </c>
      <c r="I2274" s="9">
        <v>44896.862592592595</v>
      </c>
      <c r="J2274" s="9" t="e">
        <f>I2274+#REF!</f>
        <v>#REF!</v>
      </c>
      <c r="K2274" s="9" t="e">
        <f>J2274+#REF!</f>
        <v>#REF!</v>
      </c>
      <c r="L2274" s="10" t="s">
        <v>41</v>
      </c>
      <c r="M2274" s="11">
        <v>44913.862592592595</v>
      </c>
      <c r="N2274" s="5" t="s">
        <v>42</v>
      </c>
      <c r="O2274" s="5" t="s">
        <v>58</v>
      </c>
      <c r="P2274" s="9"/>
      <c r="Q2274" s="5"/>
      <c r="R2274" s="5"/>
      <c r="S2274" s="5"/>
      <c r="T2274" s="9"/>
      <c r="U2274" s="5"/>
      <c r="V2274" s="5">
        <v>0</v>
      </c>
      <c r="W2274" s="5"/>
      <c r="X2274" s="5"/>
      <c r="Y2274" s="5"/>
      <c r="Z2274" s="5"/>
      <c r="AA2274" s="5" t="s">
        <v>44</v>
      </c>
      <c r="AC2274">
        <f t="shared" si="316"/>
        <v>17</v>
      </c>
      <c r="AD2274" t="str">
        <f t="shared" si="317"/>
        <v/>
      </c>
      <c r="AE2274" t="str">
        <f t="shared" si="318"/>
        <v/>
      </c>
      <c r="AF2274" t="str">
        <f t="shared" si="319"/>
        <v/>
      </c>
      <c r="AG2274" t="str">
        <f t="shared" si="320"/>
        <v/>
      </c>
      <c r="AH2274">
        <f t="shared" si="321"/>
        <v>1</v>
      </c>
      <c r="AI2274" t="str">
        <f t="shared" si="322"/>
        <v/>
      </c>
      <c r="AJ2274" t="str">
        <f t="shared" si="323"/>
        <v/>
      </c>
    </row>
    <row r="2275" spans="1:36">
      <c r="A2275" s="5">
        <v>2821</v>
      </c>
      <c r="B2275" s="5" t="s">
        <v>1460</v>
      </c>
      <c r="C2275" s="5" t="s">
        <v>1332</v>
      </c>
      <c r="D2275" s="5" t="s">
        <v>1448</v>
      </c>
      <c r="E2275" s="5" t="s">
        <v>597</v>
      </c>
      <c r="F2275" s="5" t="str">
        <f t="shared" si="315"/>
        <v>Fundraising-Business Partner</v>
      </c>
      <c r="G2275" s="5" t="s">
        <v>40</v>
      </c>
      <c r="H2275" s="9">
        <v>44567.055902777778</v>
      </c>
      <c r="I2275" s="9">
        <v>44568.055902777778</v>
      </c>
      <c r="J2275" s="9" t="e">
        <f>I2275+#REF!</f>
        <v>#REF!</v>
      </c>
      <c r="K2275" s="9" t="e">
        <f>J2275+#REF!</f>
        <v>#REF!</v>
      </c>
      <c r="L2275" s="10" t="s">
        <v>41</v>
      </c>
      <c r="M2275" s="11">
        <v>44580.055902777778</v>
      </c>
      <c r="N2275" s="5" t="s">
        <v>48</v>
      </c>
      <c r="O2275" s="5"/>
      <c r="P2275" s="9">
        <v>44583.055902777778</v>
      </c>
      <c r="Q2275" s="5" t="s">
        <v>48</v>
      </c>
      <c r="R2275" s="5"/>
      <c r="S2275" s="5"/>
      <c r="T2275" s="9">
        <v>44582.055902777778</v>
      </c>
      <c r="U2275" s="5"/>
      <c r="V2275" s="5">
        <v>0</v>
      </c>
      <c r="W2275" s="5"/>
      <c r="X2275" s="5"/>
      <c r="Y2275" s="5"/>
      <c r="Z2275" s="5"/>
      <c r="AA2275" s="5"/>
      <c r="AC2275">
        <f t="shared" si="316"/>
        <v>12</v>
      </c>
      <c r="AD2275" t="str">
        <f t="shared" si="317"/>
        <v/>
      </c>
      <c r="AE2275">
        <f t="shared" si="318"/>
        <v>2</v>
      </c>
      <c r="AF2275" t="str">
        <f t="shared" si="319"/>
        <v/>
      </c>
      <c r="AG2275" t="str">
        <f t="shared" si="320"/>
        <v/>
      </c>
      <c r="AH2275">
        <f t="shared" si="321"/>
        <v>1</v>
      </c>
      <c r="AI2275" t="str">
        <f t="shared" si="322"/>
        <v/>
      </c>
      <c r="AJ2275" t="str">
        <f t="shared" si="323"/>
        <v/>
      </c>
    </row>
    <row r="2276" spans="1:36">
      <c r="A2276" s="5">
        <v>2823</v>
      </c>
      <c r="B2276" s="5" t="s">
        <v>1365</v>
      </c>
      <c r="C2276" s="5" t="s">
        <v>1332</v>
      </c>
      <c r="D2276" s="5" t="s">
        <v>1359</v>
      </c>
      <c r="E2276" s="5" t="s">
        <v>1360</v>
      </c>
      <c r="F2276" s="5" t="str">
        <f t="shared" si="315"/>
        <v>Fundraising-Fund Administrator</v>
      </c>
      <c r="G2276" s="5" t="s">
        <v>147</v>
      </c>
      <c r="H2276" s="9">
        <v>44566.055902777778</v>
      </c>
      <c r="I2276" s="9">
        <v>44569.055902777778</v>
      </c>
      <c r="J2276" s="9" t="e">
        <f>I2276+#REF!</f>
        <v>#REF!</v>
      </c>
      <c r="K2276" s="9" t="e">
        <f>J2276+#REF!</f>
        <v>#REF!</v>
      </c>
      <c r="L2276" s="10" t="s">
        <v>41</v>
      </c>
      <c r="M2276" s="11">
        <v>44584.055902777778</v>
      </c>
      <c r="N2276" s="5" t="s">
        <v>42</v>
      </c>
      <c r="O2276" s="5" t="s">
        <v>43</v>
      </c>
      <c r="P2276" s="9"/>
      <c r="Q2276" s="5"/>
      <c r="R2276" s="5"/>
      <c r="S2276" s="5"/>
      <c r="T2276" s="9">
        <v>44588.055902777778</v>
      </c>
      <c r="U2276" s="5"/>
      <c r="V2276" s="5">
        <v>0</v>
      </c>
      <c r="W2276" s="5"/>
      <c r="X2276" s="5"/>
      <c r="Y2276" s="5"/>
      <c r="Z2276" s="5"/>
      <c r="AA2276" s="5" t="s">
        <v>44</v>
      </c>
      <c r="AC2276">
        <f t="shared" si="316"/>
        <v>15</v>
      </c>
      <c r="AD2276" t="str">
        <f t="shared" si="317"/>
        <v/>
      </c>
      <c r="AE2276">
        <f t="shared" si="318"/>
        <v>4</v>
      </c>
      <c r="AF2276" t="str">
        <f t="shared" si="319"/>
        <v/>
      </c>
      <c r="AG2276" t="str">
        <f t="shared" si="320"/>
        <v/>
      </c>
      <c r="AH2276">
        <f t="shared" si="321"/>
        <v>3</v>
      </c>
      <c r="AI2276" t="str">
        <f t="shared" si="322"/>
        <v/>
      </c>
      <c r="AJ2276" t="str">
        <f t="shared" si="323"/>
        <v/>
      </c>
    </row>
    <row r="2277" spans="1:36">
      <c r="A2277" s="5">
        <v>2824</v>
      </c>
      <c r="B2277" s="5" t="s">
        <v>2448</v>
      </c>
      <c r="C2277" s="5" t="s">
        <v>2229</v>
      </c>
      <c r="D2277" s="5" t="s">
        <v>2445</v>
      </c>
      <c r="E2277" s="5" t="s">
        <v>55</v>
      </c>
      <c r="F2277" s="5" t="str">
        <f t="shared" si="315"/>
        <v>Capacity Building-Director</v>
      </c>
      <c r="G2277" s="5" t="s">
        <v>47</v>
      </c>
      <c r="H2277" s="9">
        <v>44565.055902777778</v>
      </c>
      <c r="I2277" s="9">
        <v>44568.055902777778</v>
      </c>
      <c r="J2277" s="9" t="e">
        <f>I2277+#REF!</f>
        <v>#REF!</v>
      </c>
      <c r="K2277" s="9" t="e">
        <f>J2277+#REF!</f>
        <v>#REF!</v>
      </c>
      <c r="L2277" s="10" t="s">
        <v>41</v>
      </c>
      <c r="M2277" s="11">
        <v>44577.055902777778</v>
      </c>
      <c r="N2277" s="5" t="s">
        <v>64</v>
      </c>
      <c r="O2277" s="5"/>
      <c r="P2277" s="9">
        <v>44582.055902777778</v>
      </c>
      <c r="Q2277" s="5" t="s">
        <v>64</v>
      </c>
      <c r="R2277" s="9">
        <v>44578.055902777778</v>
      </c>
      <c r="S2277" s="9">
        <v>44582.055902777778</v>
      </c>
      <c r="T2277" s="9">
        <v>44580.055902777778</v>
      </c>
      <c r="U2277" s="9">
        <v>44585.055902777778</v>
      </c>
      <c r="V2277" s="12">
        <v>1</v>
      </c>
      <c r="W2277" s="9">
        <v>44589.055902777778</v>
      </c>
      <c r="X2277" s="9">
        <v>44592.055902777778</v>
      </c>
      <c r="Y2277" s="9">
        <v>44593.055902777778</v>
      </c>
      <c r="Z2277" s="5"/>
      <c r="AA2277" s="5"/>
      <c r="AB2277" s="13">
        <v>44613.055902777778</v>
      </c>
      <c r="AC2277">
        <f t="shared" si="316"/>
        <v>9</v>
      </c>
      <c r="AD2277">
        <f t="shared" si="317"/>
        <v>14</v>
      </c>
      <c r="AE2277">
        <f t="shared" si="318"/>
        <v>3</v>
      </c>
      <c r="AF2277">
        <f t="shared" si="319"/>
        <v>7</v>
      </c>
      <c r="AG2277">
        <f t="shared" si="320"/>
        <v>4</v>
      </c>
      <c r="AH2277">
        <f t="shared" si="321"/>
        <v>3</v>
      </c>
      <c r="AI2277" t="str">
        <f t="shared" si="322"/>
        <v/>
      </c>
      <c r="AJ2277" t="str">
        <f t="shared" si="323"/>
        <v/>
      </c>
    </row>
    <row r="2278" spans="1:36">
      <c r="A2278" s="5">
        <v>2825</v>
      </c>
      <c r="B2278" s="5" t="s">
        <v>2253</v>
      </c>
      <c r="C2278" s="5" t="s">
        <v>2229</v>
      </c>
      <c r="D2278" s="5" t="s">
        <v>2250</v>
      </c>
      <c r="E2278" s="5" t="s">
        <v>388</v>
      </c>
      <c r="F2278" s="5" t="str">
        <f t="shared" si="315"/>
        <v>Capacity Building-Extension Officer</v>
      </c>
      <c r="G2278" s="5" t="s">
        <v>147</v>
      </c>
      <c r="H2278" s="9">
        <v>44567.055902777778</v>
      </c>
      <c r="I2278" s="9">
        <v>44570.055902777778</v>
      </c>
      <c r="J2278" s="9" t="e">
        <f>I2278+#REF!</f>
        <v>#REF!</v>
      </c>
      <c r="K2278" s="9" t="e">
        <f>J2278+#REF!</f>
        <v>#REF!</v>
      </c>
      <c r="L2278" s="10" t="s">
        <v>52</v>
      </c>
      <c r="M2278" s="11"/>
      <c r="N2278" s="5"/>
      <c r="O2278" s="5"/>
      <c r="P2278" s="9"/>
      <c r="Q2278" s="5"/>
      <c r="R2278" s="5"/>
      <c r="S2278" s="5"/>
      <c r="T2278" s="9"/>
      <c r="U2278" s="5"/>
      <c r="V2278" s="5">
        <v>0</v>
      </c>
      <c r="W2278" s="5"/>
      <c r="X2278" s="5"/>
      <c r="Y2278" s="5"/>
      <c r="Z2278" s="5"/>
      <c r="AA2278" s="5"/>
      <c r="AC2278" t="str">
        <f t="shared" si="316"/>
        <v/>
      </c>
      <c r="AD2278" t="str">
        <f t="shared" si="317"/>
        <v/>
      </c>
      <c r="AE2278" t="str">
        <f t="shared" si="318"/>
        <v/>
      </c>
      <c r="AF2278" t="str">
        <f t="shared" si="319"/>
        <v/>
      </c>
      <c r="AG2278" t="str">
        <f t="shared" si="320"/>
        <v/>
      </c>
      <c r="AH2278">
        <f t="shared" si="321"/>
        <v>3</v>
      </c>
      <c r="AI2278" t="str">
        <f t="shared" si="322"/>
        <v/>
      </c>
      <c r="AJ2278" t="str">
        <f t="shared" si="323"/>
        <v/>
      </c>
    </row>
    <row r="2279" spans="1:36">
      <c r="A2279" s="5">
        <v>2826</v>
      </c>
      <c r="B2279" s="5" t="s">
        <v>1459</v>
      </c>
      <c r="C2279" s="5" t="s">
        <v>1332</v>
      </c>
      <c r="D2279" s="5" t="s">
        <v>1448</v>
      </c>
      <c r="E2279" s="5" t="s">
        <v>597</v>
      </c>
      <c r="F2279" s="5" t="str">
        <f t="shared" si="315"/>
        <v>Fundraising-Business Partner</v>
      </c>
      <c r="G2279" s="5" t="s">
        <v>40</v>
      </c>
      <c r="H2279" s="9">
        <v>44569.055902777778</v>
      </c>
      <c r="I2279" s="9">
        <v>44570.055902777778</v>
      </c>
      <c r="J2279" s="9" t="e">
        <f>I2279+#REF!</f>
        <v>#REF!</v>
      </c>
      <c r="K2279" s="9" t="e">
        <f>J2279+#REF!</f>
        <v>#REF!</v>
      </c>
      <c r="L2279" s="10" t="s">
        <v>41</v>
      </c>
      <c r="M2279" s="11">
        <v>44579.055902777778</v>
      </c>
      <c r="N2279" s="5" t="s">
        <v>42</v>
      </c>
      <c r="O2279" s="5" t="s">
        <v>113</v>
      </c>
      <c r="P2279" s="9"/>
      <c r="Q2279" s="5"/>
      <c r="R2279" s="5"/>
      <c r="S2279" s="5"/>
      <c r="T2279" s="9">
        <v>44581.055902777778</v>
      </c>
      <c r="U2279" s="5"/>
      <c r="V2279" s="5">
        <v>0</v>
      </c>
      <c r="W2279" s="5"/>
      <c r="X2279" s="5"/>
      <c r="Y2279" s="5"/>
      <c r="Z2279" s="5"/>
      <c r="AA2279" s="5" t="s">
        <v>62</v>
      </c>
      <c r="AC2279">
        <f t="shared" si="316"/>
        <v>9</v>
      </c>
      <c r="AD2279" t="str">
        <f t="shared" si="317"/>
        <v/>
      </c>
      <c r="AE2279">
        <f t="shared" si="318"/>
        <v>2</v>
      </c>
      <c r="AF2279" t="str">
        <f t="shared" si="319"/>
        <v/>
      </c>
      <c r="AG2279" t="str">
        <f t="shared" si="320"/>
        <v/>
      </c>
      <c r="AH2279">
        <f t="shared" si="321"/>
        <v>1</v>
      </c>
      <c r="AI2279" t="str">
        <f t="shared" si="322"/>
        <v/>
      </c>
      <c r="AJ2279" t="str">
        <f t="shared" si="323"/>
        <v/>
      </c>
    </row>
    <row r="2280" spans="1:36">
      <c r="A2280" s="5">
        <v>2828</v>
      </c>
      <c r="B2280" s="5" t="s">
        <v>1458</v>
      </c>
      <c r="C2280" s="5" t="s">
        <v>1332</v>
      </c>
      <c r="D2280" s="5" t="s">
        <v>1448</v>
      </c>
      <c r="E2280" s="5" t="s">
        <v>597</v>
      </c>
      <c r="F2280" s="5" t="str">
        <f t="shared" si="315"/>
        <v>Fundraising-Business Partner</v>
      </c>
      <c r="G2280" s="5" t="s">
        <v>40</v>
      </c>
      <c r="H2280" s="9">
        <v>44563.055902777778</v>
      </c>
      <c r="I2280" s="9">
        <v>44567.055902777778</v>
      </c>
      <c r="J2280" s="9" t="e">
        <f>I2280+#REF!</f>
        <v>#REF!</v>
      </c>
      <c r="K2280" s="9" t="e">
        <f>J2280+#REF!</f>
        <v>#REF!</v>
      </c>
      <c r="L2280" s="10" t="s">
        <v>41</v>
      </c>
      <c r="M2280" s="11">
        <v>44578.055902777778</v>
      </c>
      <c r="N2280" s="5" t="s">
        <v>42</v>
      </c>
      <c r="O2280" s="5" t="s">
        <v>58</v>
      </c>
      <c r="P2280" s="9"/>
      <c r="Q2280" s="5"/>
      <c r="R2280" s="5"/>
      <c r="S2280" s="5"/>
      <c r="T2280" s="9"/>
      <c r="U2280" s="5"/>
      <c r="V2280" s="5">
        <v>0</v>
      </c>
      <c r="W2280" s="5"/>
      <c r="X2280" s="5"/>
      <c r="Y2280" s="5"/>
      <c r="Z2280" s="5"/>
      <c r="AA2280" s="5" t="s">
        <v>44</v>
      </c>
      <c r="AC2280">
        <f t="shared" si="316"/>
        <v>11</v>
      </c>
      <c r="AD2280" t="str">
        <f t="shared" si="317"/>
        <v/>
      </c>
      <c r="AE2280" t="str">
        <f t="shared" si="318"/>
        <v/>
      </c>
      <c r="AF2280" t="str">
        <f t="shared" si="319"/>
        <v/>
      </c>
      <c r="AG2280" t="str">
        <f t="shared" si="320"/>
        <v/>
      </c>
      <c r="AH2280">
        <f t="shared" si="321"/>
        <v>4</v>
      </c>
      <c r="AI2280" t="str">
        <f t="shared" si="322"/>
        <v/>
      </c>
      <c r="AJ2280" t="str">
        <f t="shared" si="323"/>
        <v/>
      </c>
    </row>
    <row r="2281" spans="1:36">
      <c r="A2281" s="5">
        <v>2829</v>
      </c>
      <c r="B2281" s="5" t="s">
        <v>1502</v>
      </c>
      <c r="C2281" s="5" t="s">
        <v>1332</v>
      </c>
      <c r="D2281" s="5" t="s">
        <v>1500</v>
      </c>
      <c r="E2281" s="5" t="s">
        <v>39</v>
      </c>
      <c r="F2281" s="5" t="str">
        <f t="shared" si="315"/>
        <v>Fundraising-Analyst</v>
      </c>
      <c r="G2281" s="5" t="s">
        <v>47</v>
      </c>
      <c r="H2281" s="9">
        <v>44565.055902777778</v>
      </c>
      <c r="I2281" s="9">
        <v>44567.055902777778</v>
      </c>
      <c r="J2281" s="9" t="e">
        <f>I2281+#REF!</f>
        <v>#REF!</v>
      </c>
      <c r="K2281" s="9" t="e">
        <f>J2281+#REF!</f>
        <v>#REF!</v>
      </c>
      <c r="L2281" s="10" t="s">
        <v>41</v>
      </c>
      <c r="M2281" s="11">
        <v>44579.055902777778</v>
      </c>
      <c r="N2281" s="5" t="s">
        <v>42</v>
      </c>
      <c r="O2281" s="5" t="s">
        <v>43</v>
      </c>
      <c r="P2281" s="9"/>
      <c r="Q2281" s="5"/>
      <c r="R2281" s="5"/>
      <c r="S2281" s="5"/>
      <c r="T2281" s="9"/>
      <c r="U2281" s="5"/>
      <c r="V2281" s="5">
        <v>0</v>
      </c>
      <c r="W2281" s="5"/>
      <c r="X2281" s="5"/>
      <c r="Y2281" s="5"/>
      <c r="Z2281" s="5"/>
      <c r="AA2281" s="5" t="s">
        <v>62</v>
      </c>
      <c r="AC2281">
        <f t="shared" si="316"/>
        <v>12</v>
      </c>
      <c r="AD2281" t="str">
        <f t="shared" si="317"/>
        <v/>
      </c>
      <c r="AE2281" t="str">
        <f t="shared" si="318"/>
        <v/>
      </c>
      <c r="AF2281" t="str">
        <f t="shared" si="319"/>
        <v/>
      </c>
      <c r="AG2281" t="str">
        <f t="shared" si="320"/>
        <v/>
      </c>
      <c r="AH2281">
        <f t="shared" si="321"/>
        <v>2</v>
      </c>
      <c r="AI2281" t="str">
        <f t="shared" si="322"/>
        <v/>
      </c>
      <c r="AJ2281" t="str">
        <f t="shared" si="323"/>
        <v/>
      </c>
    </row>
    <row r="2282" spans="1:36">
      <c r="A2282" s="5">
        <v>2830</v>
      </c>
      <c r="B2282" s="5" t="s">
        <v>1334</v>
      </c>
      <c r="C2282" s="5" t="s">
        <v>1332</v>
      </c>
      <c r="D2282" s="5" t="s">
        <v>1333</v>
      </c>
      <c r="E2282" s="5" t="s">
        <v>102</v>
      </c>
      <c r="F2282" s="5" t="str">
        <f t="shared" si="315"/>
        <v>Fundraising-Senior Manager</v>
      </c>
      <c r="G2282" s="5" t="s">
        <v>103</v>
      </c>
      <c r="H2282" s="9">
        <v>44568.055902777778</v>
      </c>
      <c r="I2282" s="9">
        <v>44569.055902777778</v>
      </c>
      <c r="J2282" s="9" t="e">
        <f>I2282+#REF!</f>
        <v>#REF!</v>
      </c>
      <c r="K2282" s="9" t="e">
        <f>J2282+#REF!</f>
        <v>#REF!</v>
      </c>
      <c r="L2282" s="10" t="s">
        <v>41</v>
      </c>
      <c r="M2282" s="11">
        <v>44578.055902777778</v>
      </c>
      <c r="N2282" s="5" t="s">
        <v>42</v>
      </c>
      <c r="O2282" s="5" t="s">
        <v>73</v>
      </c>
      <c r="P2282" s="9"/>
      <c r="Q2282" s="5"/>
      <c r="R2282" s="5"/>
      <c r="S2282" s="5"/>
      <c r="T2282" s="9">
        <v>44579.055902777778</v>
      </c>
      <c r="U2282" s="5"/>
      <c r="V2282" s="5">
        <v>0</v>
      </c>
      <c r="W2282" s="5"/>
      <c r="X2282" s="5"/>
      <c r="Y2282" s="5"/>
      <c r="Z2282" s="5"/>
      <c r="AA2282" s="5" t="s">
        <v>44</v>
      </c>
      <c r="AC2282">
        <f t="shared" si="316"/>
        <v>9</v>
      </c>
      <c r="AD2282" t="str">
        <f t="shared" si="317"/>
        <v/>
      </c>
      <c r="AE2282">
        <f t="shared" si="318"/>
        <v>1</v>
      </c>
      <c r="AF2282" t="str">
        <f t="shared" si="319"/>
        <v/>
      </c>
      <c r="AG2282" t="str">
        <f t="shared" si="320"/>
        <v/>
      </c>
      <c r="AH2282">
        <f t="shared" si="321"/>
        <v>1</v>
      </c>
      <c r="AI2282" t="str">
        <f t="shared" si="322"/>
        <v/>
      </c>
      <c r="AJ2282" t="str">
        <f t="shared" si="323"/>
        <v/>
      </c>
    </row>
    <row r="2283" spans="1:36">
      <c r="A2283" s="5">
        <v>2831</v>
      </c>
      <c r="B2283" s="5" t="s">
        <v>393</v>
      </c>
      <c r="C2283" s="5" t="s">
        <v>100</v>
      </c>
      <c r="D2283" s="5" t="s">
        <v>387</v>
      </c>
      <c r="E2283" s="5" t="s">
        <v>388</v>
      </c>
      <c r="F2283" s="5" t="str">
        <f t="shared" si="315"/>
        <v>Program Office-Extension Officer</v>
      </c>
      <c r="G2283" s="5" t="s">
        <v>40</v>
      </c>
      <c r="H2283" s="9">
        <v>44658.843564814815</v>
      </c>
      <c r="I2283" s="9">
        <v>44660.843564814815</v>
      </c>
      <c r="J2283" s="9" t="e">
        <f>I2283+#REF!</f>
        <v>#REF!</v>
      </c>
      <c r="K2283" s="9" t="e">
        <f>J2283+#REF!</f>
        <v>#REF!</v>
      </c>
      <c r="L2283" s="10" t="s">
        <v>41</v>
      </c>
      <c r="M2283" s="11">
        <v>44679.843564814815</v>
      </c>
      <c r="N2283" s="5" t="s">
        <v>42</v>
      </c>
      <c r="O2283" s="5" t="s">
        <v>58</v>
      </c>
      <c r="P2283" s="9"/>
      <c r="Q2283" s="5"/>
      <c r="R2283" s="5"/>
      <c r="S2283" s="5"/>
      <c r="T2283" s="9">
        <v>44681.843564814815</v>
      </c>
      <c r="U2283" s="5"/>
      <c r="V2283" s="5">
        <v>0</v>
      </c>
      <c r="W2283" s="5"/>
      <c r="X2283" s="5"/>
      <c r="Y2283" s="5"/>
      <c r="Z2283" s="5"/>
      <c r="AA2283" s="5" t="s">
        <v>62</v>
      </c>
      <c r="AC2283">
        <f t="shared" si="316"/>
        <v>19</v>
      </c>
      <c r="AD2283" t="str">
        <f t="shared" si="317"/>
        <v/>
      </c>
      <c r="AE2283">
        <f t="shared" si="318"/>
        <v>2</v>
      </c>
      <c r="AF2283" t="str">
        <f t="shared" si="319"/>
        <v/>
      </c>
      <c r="AG2283" t="str">
        <f t="shared" si="320"/>
        <v/>
      </c>
      <c r="AH2283">
        <f t="shared" si="321"/>
        <v>2</v>
      </c>
      <c r="AI2283" t="str">
        <f t="shared" si="322"/>
        <v/>
      </c>
      <c r="AJ2283" t="str">
        <f t="shared" si="323"/>
        <v/>
      </c>
    </row>
    <row r="2284" spans="1:36">
      <c r="A2284" s="5">
        <v>2832</v>
      </c>
      <c r="B2284" s="5" t="s">
        <v>275</v>
      </c>
      <c r="C2284" s="5" t="s">
        <v>100</v>
      </c>
      <c r="D2284" s="5" t="s">
        <v>268</v>
      </c>
      <c r="E2284" s="5" t="s">
        <v>269</v>
      </c>
      <c r="F2284" s="5" t="str">
        <f t="shared" si="315"/>
        <v>Program Office-Manager</v>
      </c>
      <c r="G2284" s="5" t="s">
        <v>270</v>
      </c>
      <c r="H2284" s="9">
        <v>44663.843564814815</v>
      </c>
      <c r="I2284" s="9">
        <v>44664.843564814815</v>
      </c>
      <c r="J2284" s="9" t="e">
        <f>I2284+#REF!</f>
        <v>#REF!</v>
      </c>
      <c r="K2284" s="9" t="e">
        <f>J2284+#REF!</f>
        <v>#REF!</v>
      </c>
      <c r="L2284" s="10" t="s">
        <v>41</v>
      </c>
      <c r="M2284" s="11">
        <v>44683.843564814815</v>
      </c>
      <c r="N2284" s="5" t="s">
        <v>48</v>
      </c>
      <c r="O2284" s="5"/>
      <c r="P2284" s="9">
        <v>44687.843564814815</v>
      </c>
      <c r="Q2284" s="5" t="s">
        <v>48</v>
      </c>
      <c r="R2284" s="5"/>
      <c r="S2284" s="5"/>
      <c r="T2284" s="9">
        <v>44685.843564814815</v>
      </c>
      <c r="U2284" s="5"/>
      <c r="V2284" s="5">
        <v>0</v>
      </c>
      <c r="W2284" s="5"/>
      <c r="X2284" s="5"/>
      <c r="Y2284" s="5"/>
      <c r="Z2284" s="5"/>
      <c r="AA2284" s="5"/>
      <c r="AC2284">
        <f t="shared" si="316"/>
        <v>19</v>
      </c>
      <c r="AD2284" t="str">
        <f t="shared" si="317"/>
        <v/>
      </c>
      <c r="AE2284">
        <f t="shared" si="318"/>
        <v>2</v>
      </c>
      <c r="AF2284" t="str">
        <f t="shared" si="319"/>
        <v/>
      </c>
      <c r="AG2284" t="str">
        <f t="shared" si="320"/>
        <v/>
      </c>
      <c r="AH2284">
        <f t="shared" si="321"/>
        <v>1</v>
      </c>
      <c r="AI2284" t="str">
        <f t="shared" si="322"/>
        <v/>
      </c>
      <c r="AJ2284" t="str">
        <f t="shared" si="323"/>
        <v/>
      </c>
    </row>
    <row r="2285" spans="1:36">
      <c r="A2285" s="5">
        <v>2833</v>
      </c>
      <c r="B2285" s="5" t="s">
        <v>565</v>
      </c>
      <c r="C2285" s="5" t="s">
        <v>100</v>
      </c>
      <c r="D2285" s="5" t="s">
        <v>554</v>
      </c>
      <c r="E2285" s="5" t="s">
        <v>51</v>
      </c>
      <c r="F2285" s="5" t="str">
        <f t="shared" si="315"/>
        <v>Program Office-Supervisor</v>
      </c>
      <c r="G2285" s="5" t="s">
        <v>47</v>
      </c>
      <c r="H2285" s="9">
        <v>44662.843564814815</v>
      </c>
      <c r="I2285" s="9">
        <v>44663.843564814815</v>
      </c>
      <c r="J2285" s="9" t="e">
        <f>I2285+#REF!</f>
        <v>#REF!</v>
      </c>
      <c r="K2285" s="9" t="e">
        <f>J2285+#REF!</f>
        <v>#REF!</v>
      </c>
      <c r="L2285" s="10" t="s">
        <v>41</v>
      </c>
      <c r="M2285" s="11">
        <v>44678.843564814815</v>
      </c>
      <c r="N2285" s="5" t="s">
        <v>42</v>
      </c>
      <c r="O2285" s="5" t="s">
        <v>113</v>
      </c>
      <c r="P2285" s="9"/>
      <c r="Q2285" s="5"/>
      <c r="R2285" s="5"/>
      <c r="S2285" s="5"/>
      <c r="T2285" s="9">
        <v>44682.843564814815</v>
      </c>
      <c r="U2285" s="5"/>
      <c r="V2285" s="5">
        <v>0</v>
      </c>
      <c r="W2285" s="5"/>
      <c r="X2285" s="5"/>
      <c r="Y2285" s="5"/>
      <c r="Z2285" s="5"/>
      <c r="AA2285" s="5" t="s">
        <v>44</v>
      </c>
      <c r="AC2285">
        <f t="shared" si="316"/>
        <v>15</v>
      </c>
      <c r="AD2285" t="str">
        <f t="shared" si="317"/>
        <v/>
      </c>
      <c r="AE2285">
        <f t="shared" si="318"/>
        <v>4</v>
      </c>
      <c r="AF2285" t="str">
        <f t="shared" si="319"/>
        <v/>
      </c>
      <c r="AG2285" t="str">
        <f t="shared" si="320"/>
        <v/>
      </c>
      <c r="AH2285">
        <f t="shared" si="321"/>
        <v>1</v>
      </c>
      <c r="AI2285" t="str">
        <f t="shared" si="322"/>
        <v/>
      </c>
      <c r="AJ2285" t="str">
        <f t="shared" si="323"/>
        <v/>
      </c>
    </row>
    <row r="2286" spans="1:36">
      <c r="A2286" s="5">
        <v>2834</v>
      </c>
      <c r="B2286" s="5" t="s">
        <v>392</v>
      </c>
      <c r="C2286" s="5" t="s">
        <v>100</v>
      </c>
      <c r="D2286" s="5" t="s">
        <v>387</v>
      </c>
      <c r="E2286" s="5" t="s">
        <v>388</v>
      </c>
      <c r="F2286" s="5" t="str">
        <f t="shared" si="315"/>
        <v>Program Office-Extension Officer</v>
      </c>
      <c r="G2286" s="5" t="s">
        <v>40</v>
      </c>
      <c r="H2286" s="9">
        <v>44659.843564814815</v>
      </c>
      <c r="I2286" s="9">
        <v>44660.843564814815</v>
      </c>
      <c r="J2286" s="9" t="e">
        <f>I2286+#REF!</f>
        <v>#REF!</v>
      </c>
      <c r="K2286" s="9" t="e">
        <f>J2286+#REF!</f>
        <v>#REF!</v>
      </c>
      <c r="L2286" s="10" t="s">
        <v>41</v>
      </c>
      <c r="M2286" s="11">
        <v>44678.843564814815</v>
      </c>
      <c r="N2286" s="5" t="s">
        <v>42</v>
      </c>
      <c r="O2286" s="5" t="s">
        <v>58</v>
      </c>
      <c r="P2286" s="9"/>
      <c r="Q2286" s="5"/>
      <c r="R2286" s="5"/>
      <c r="S2286" s="5"/>
      <c r="T2286" s="9"/>
      <c r="U2286" s="5"/>
      <c r="V2286" s="5">
        <v>0</v>
      </c>
      <c r="W2286" s="5"/>
      <c r="X2286" s="5"/>
      <c r="Y2286" s="5"/>
      <c r="Z2286" s="5"/>
      <c r="AA2286" s="5" t="s">
        <v>44</v>
      </c>
      <c r="AC2286">
        <f t="shared" si="316"/>
        <v>18</v>
      </c>
      <c r="AD2286" t="str">
        <f t="shared" si="317"/>
        <v/>
      </c>
      <c r="AE2286" t="str">
        <f t="shared" si="318"/>
        <v/>
      </c>
      <c r="AF2286" t="str">
        <f t="shared" si="319"/>
        <v/>
      </c>
      <c r="AG2286" t="str">
        <f t="shared" si="320"/>
        <v/>
      </c>
      <c r="AH2286">
        <f t="shared" si="321"/>
        <v>1</v>
      </c>
      <c r="AI2286" t="str">
        <f t="shared" si="322"/>
        <v/>
      </c>
      <c r="AJ2286" t="str">
        <f t="shared" si="323"/>
        <v/>
      </c>
    </row>
    <row r="2287" spans="1:36">
      <c r="A2287" s="5">
        <v>2836</v>
      </c>
      <c r="B2287" s="5" t="s">
        <v>564</v>
      </c>
      <c r="C2287" s="5" t="s">
        <v>100</v>
      </c>
      <c r="D2287" s="5" t="s">
        <v>554</v>
      </c>
      <c r="E2287" s="5" t="s">
        <v>51</v>
      </c>
      <c r="F2287" s="5" t="str">
        <f t="shared" si="315"/>
        <v>Program Office-Supervisor</v>
      </c>
      <c r="G2287" s="5" t="s">
        <v>47</v>
      </c>
      <c r="H2287" s="9">
        <v>44664.843564814815</v>
      </c>
      <c r="I2287" s="9">
        <v>44665.843564814815</v>
      </c>
      <c r="J2287" s="9" t="e">
        <f>I2287+#REF!</f>
        <v>#REF!</v>
      </c>
      <c r="K2287" s="9" t="e">
        <f>J2287+#REF!</f>
        <v>#REF!</v>
      </c>
      <c r="L2287" s="10" t="s">
        <v>41</v>
      </c>
      <c r="M2287" s="11">
        <v>44670.843564814815</v>
      </c>
      <c r="N2287" s="5" t="s">
        <v>42</v>
      </c>
      <c r="O2287" s="5" t="s">
        <v>58</v>
      </c>
      <c r="P2287" s="9"/>
      <c r="Q2287" s="5"/>
      <c r="R2287" s="5"/>
      <c r="S2287" s="5"/>
      <c r="T2287" s="9">
        <v>44673.843564814815</v>
      </c>
      <c r="U2287" s="5"/>
      <c r="V2287" s="5">
        <v>0</v>
      </c>
      <c r="W2287" s="5"/>
      <c r="X2287" s="5"/>
      <c r="Y2287" s="5"/>
      <c r="Z2287" s="5"/>
      <c r="AA2287" s="5" t="s">
        <v>44</v>
      </c>
      <c r="AC2287">
        <f t="shared" si="316"/>
        <v>5</v>
      </c>
      <c r="AD2287" t="str">
        <f t="shared" si="317"/>
        <v/>
      </c>
      <c r="AE2287">
        <f t="shared" si="318"/>
        <v>3</v>
      </c>
      <c r="AF2287" t="str">
        <f t="shared" si="319"/>
        <v/>
      </c>
      <c r="AG2287" t="str">
        <f t="shared" si="320"/>
        <v/>
      </c>
      <c r="AH2287">
        <f t="shared" si="321"/>
        <v>1</v>
      </c>
      <c r="AI2287" t="str">
        <f t="shared" si="322"/>
        <v/>
      </c>
      <c r="AJ2287" t="str">
        <f t="shared" si="323"/>
        <v/>
      </c>
    </row>
    <row r="2288" spans="1:36">
      <c r="A2288" s="5">
        <v>2838</v>
      </c>
      <c r="B2288" s="5" t="s">
        <v>274</v>
      </c>
      <c r="C2288" s="5" t="s">
        <v>100</v>
      </c>
      <c r="D2288" s="5" t="s">
        <v>268</v>
      </c>
      <c r="E2288" s="5" t="s">
        <v>269</v>
      </c>
      <c r="F2288" s="5" t="str">
        <f t="shared" si="315"/>
        <v>Program Office-Manager</v>
      </c>
      <c r="G2288" s="5" t="s">
        <v>270</v>
      </c>
      <c r="H2288" s="9">
        <v>44659.843564814815</v>
      </c>
      <c r="I2288" s="9">
        <v>44660.843564814815</v>
      </c>
      <c r="J2288" s="9" t="e">
        <f>I2288+#REF!</f>
        <v>#REF!</v>
      </c>
      <c r="K2288" s="9" t="e">
        <f>J2288+#REF!</f>
        <v>#REF!</v>
      </c>
      <c r="L2288" s="10" t="s">
        <v>41</v>
      </c>
      <c r="M2288" s="11">
        <v>44682.843564814815</v>
      </c>
      <c r="N2288" s="5" t="s">
        <v>42</v>
      </c>
      <c r="O2288" s="5" t="s">
        <v>58</v>
      </c>
      <c r="P2288" s="9"/>
      <c r="Q2288" s="5"/>
      <c r="R2288" s="5"/>
      <c r="S2288" s="5"/>
      <c r="T2288" s="9">
        <v>44683.843564814815</v>
      </c>
      <c r="U2288" s="5"/>
      <c r="V2288" s="5">
        <v>0</v>
      </c>
      <c r="W2288" s="5"/>
      <c r="X2288" s="5"/>
      <c r="Y2288" s="5"/>
      <c r="Z2288" s="5"/>
      <c r="AA2288" s="5" t="s">
        <v>44</v>
      </c>
      <c r="AC2288">
        <f t="shared" si="316"/>
        <v>22</v>
      </c>
      <c r="AD2288" t="str">
        <f t="shared" si="317"/>
        <v/>
      </c>
      <c r="AE2288">
        <f t="shared" si="318"/>
        <v>1</v>
      </c>
      <c r="AF2288" t="str">
        <f t="shared" si="319"/>
        <v/>
      </c>
      <c r="AG2288" t="str">
        <f t="shared" si="320"/>
        <v/>
      </c>
      <c r="AH2288">
        <f t="shared" si="321"/>
        <v>1</v>
      </c>
      <c r="AI2288" t="str">
        <f t="shared" si="322"/>
        <v/>
      </c>
      <c r="AJ2288" t="str">
        <f t="shared" si="323"/>
        <v/>
      </c>
    </row>
    <row r="2289" spans="1:36">
      <c r="A2289" s="5">
        <v>2839</v>
      </c>
      <c r="B2289" s="5" t="s">
        <v>391</v>
      </c>
      <c r="C2289" s="5" t="s">
        <v>100</v>
      </c>
      <c r="D2289" s="5" t="s">
        <v>387</v>
      </c>
      <c r="E2289" s="5" t="s">
        <v>388</v>
      </c>
      <c r="F2289" s="5" t="str">
        <f t="shared" si="315"/>
        <v>Program Office-Extension Officer</v>
      </c>
      <c r="G2289" s="5" t="s">
        <v>40</v>
      </c>
      <c r="H2289" s="9">
        <v>44659.843564814815</v>
      </c>
      <c r="I2289" s="9">
        <v>44660.843564814815</v>
      </c>
      <c r="J2289" s="9" t="e">
        <f>I2289+#REF!</f>
        <v>#REF!</v>
      </c>
      <c r="K2289" s="9" t="e">
        <f>J2289+#REF!</f>
        <v>#REF!</v>
      </c>
      <c r="L2289" s="10" t="s">
        <v>41</v>
      </c>
      <c r="M2289" s="11">
        <v>44670.843564814815</v>
      </c>
      <c r="N2289" s="5" t="s">
        <v>42</v>
      </c>
      <c r="O2289" s="5" t="s">
        <v>58</v>
      </c>
      <c r="P2289" s="9"/>
      <c r="Q2289" s="5"/>
      <c r="R2289" s="5"/>
      <c r="S2289" s="5"/>
      <c r="T2289" s="9"/>
      <c r="U2289" s="5"/>
      <c r="V2289" s="5">
        <v>0</v>
      </c>
      <c r="W2289" s="5"/>
      <c r="X2289" s="5"/>
      <c r="Y2289" s="5"/>
      <c r="Z2289" s="5"/>
      <c r="AA2289" s="5" t="s">
        <v>44</v>
      </c>
      <c r="AC2289">
        <f t="shared" si="316"/>
        <v>10</v>
      </c>
      <c r="AD2289" t="str">
        <f t="shared" si="317"/>
        <v/>
      </c>
      <c r="AE2289" t="str">
        <f t="shared" si="318"/>
        <v/>
      </c>
      <c r="AF2289" t="str">
        <f t="shared" si="319"/>
        <v/>
      </c>
      <c r="AG2289" t="str">
        <f t="shared" si="320"/>
        <v/>
      </c>
      <c r="AH2289">
        <f t="shared" si="321"/>
        <v>1</v>
      </c>
      <c r="AI2289" t="str">
        <f t="shared" si="322"/>
        <v/>
      </c>
      <c r="AJ2289" t="str">
        <f t="shared" si="323"/>
        <v/>
      </c>
    </row>
    <row r="2290" spans="1:36">
      <c r="A2290" s="5">
        <v>2840</v>
      </c>
      <c r="B2290" s="5" t="s">
        <v>563</v>
      </c>
      <c r="C2290" s="5" t="s">
        <v>100</v>
      </c>
      <c r="D2290" s="5" t="s">
        <v>554</v>
      </c>
      <c r="E2290" s="5" t="s">
        <v>51</v>
      </c>
      <c r="F2290" s="5" t="str">
        <f t="shared" si="315"/>
        <v>Program Office-Supervisor</v>
      </c>
      <c r="G2290" s="5" t="s">
        <v>47</v>
      </c>
      <c r="H2290" s="9">
        <v>44660.843564814815</v>
      </c>
      <c r="I2290" s="9">
        <v>44662.843564814815</v>
      </c>
      <c r="J2290" s="9" t="e">
        <f>I2290+#REF!</f>
        <v>#REF!</v>
      </c>
      <c r="K2290" s="9" t="e">
        <f>J2290+#REF!</f>
        <v>#REF!</v>
      </c>
      <c r="L2290" s="10" t="s">
        <v>41</v>
      </c>
      <c r="M2290" s="11">
        <v>44670.843564814815</v>
      </c>
      <c r="N2290" s="5" t="s">
        <v>42</v>
      </c>
      <c r="O2290" s="5" t="s">
        <v>43</v>
      </c>
      <c r="P2290" s="9"/>
      <c r="Q2290" s="5"/>
      <c r="R2290" s="5"/>
      <c r="S2290" s="5"/>
      <c r="T2290" s="9">
        <v>44674.843564814815</v>
      </c>
      <c r="U2290" s="5"/>
      <c r="V2290" s="5">
        <v>0</v>
      </c>
      <c r="W2290" s="5"/>
      <c r="X2290" s="5"/>
      <c r="Y2290" s="5"/>
      <c r="Z2290" s="5"/>
      <c r="AA2290" s="5" t="s">
        <v>62</v>
      </c>
      <c r="AC2290">
        <f t="shared" si="316"/>
        <v>8</v>
      </c>
      <c r="AD2290" t="str">
        <f t="shared" si="317"/>
        <v/>
      </c>
      <c r="AE2290">
        <f t="shared" si="318"/>
        <v>4</v>
      </c>
      <c r="AF2290" t="str">
        <f t="shared" si="319"/>
        <v/>
      </c>
      <c r="AG2290" t="str">
        <f t="shared" si="320"/>
        <v/>
      </c>
      <c r="AH2290">
        <f t="shared" si="321"/>
        <v>2</v>
      </c>
      <c r="AI2290" t="str">
        <f t="shared" si="322"/>
        <v/>
      </c>
      <c r="AJ2290" t="str">
        <f t="shared" si="323"/>
        <v/>
      </c>
    </row>
    <row r="2291" spans="1:36">
      <c r="A2291" s="5">
        <v>2841</v>
      </c>
      <c r="B2291" s="5" t="s">
        <v>1591</v>
      </c>
      <c r="C2291" s="5" t="s">
        <v>1540</v>
      </c>
      <c r="D2291" s="5" t="s">
        <v>1588</v>
      </c>
      <c r="E2291" s="5" t="s">
        <v>1360</v>
      </c>
      <c r="F2291" s="5" t="str">
        <f t="shared" si="315"/>
        <v>Finance-Fund Administrator</v>
      </c>
      <c r="G2291" s="5" t="s">
        <v>147</v>
      </c>
      <c r="H2291" s="9">
        <v>44655.443379629629</v>
      </c>
      <c r="I2291" s="9">
        <v>44657.443379629629</v>
      </c>
      <c r="J2291" s="9" t="e">
        <f>I2291+#REF!</f>
        <v>#REF!</v>
      </c>
      <c r="K2291" s="9" t="e">
        <f>J2291+#REF!</f>
        <v>#REF!</v>
      </c>
      <c r="L2291" s="10" t="s">
        <v>52</v>
      </c>
      <c r="M2291" s="11"/>
      <c r="N2291" s="5"/>
      <c r="O2291" s="5"/>
      <c r="P2291" s="9"/>
      <c r="Q2291" s="5"/>
      <c r="R2291" s="5"/>
      <c r="S2291" s="5"/>
      <c r="T2291" s="9"/>
      <c r="U2291" s="5"/>
      <c r="V2291" s="5">
        <v>0</v>
      </c>
      <c r="W2291" s="5"/>
      <c r="X2291" s="5"/>
      <c r="Y2291" s="5"/>
      <c r="Z2291" s="5"/>
      <c r="AA2291" s="5"/>
      <c r="AC2291" t="str">
        <f t="shared" si="316"/>
        <v/>
      </c>
      <c r="AD2291" t="str">
        <f t="shared" si="317"/>
        <v/>
      </c>
      <c r="AE2291" t="str">
        <f t="shared" si="318"/>
        <v/>
      </c>
      <c r="AF2291" t="str">
        <f t="shared" si="319"/>
        <v/>
      </c>
      <c r="AG2291" t="str">
        <f t="shared" si="320"/>
        <v/>
      </c>
      <c r="AH2291">
        <f t="shared" si="321"/>
        <v>2</v>
      </c>
      <c r="AI2291" t="str">
        <f t="shared" si="322"/>
        <v/>
      </c>
      <c r="AJ2291" t="str">
        <f t="shared" si="323"/>
        <v/>
      </c>
    </row>
    <row r="2292" spans="1:36">
      <c r="A2292" s="5">
        <v>2842</v>
      </c>
      <c r="B2292" s="5" t="s">
        <v>1590</v>
      </c>
      <c r="C2292" s="5" t="s">
        <v>1540</v>
      </c>
      <c r="D2292" s="5" t="s">
        <v>1588</v>
      </c>
      <c r="E2292" s="5" t="s">
        <v>1360</v>
      </c>
      <c r="F2292" s="5" t="str">
        <f t="shared" si="315"/>
        <v>Finance-Fund Administrator</v>
      </c>
      <c r="G2292" s="5" t="s">
        <v>147</v>
      </c>
      <c r="H2292" s="9">
        <v>44656.443379629629</v>
      </c>
      <c r="I2292" s="9">
        <v>44657.443379629629</v>
      </c>
      <c r="J2292" s="9" t="e">
        <f>I2292+#REF!</f>
        <v>#REF!</v>
      </c>
      <c r="K2292" s="9" t="e">
        <f>J2292+#REF!</f>
        <v>#REF!</v>
      </c>
      <c r="L2292" s="10" t="s">
        <v>41</v>
      </c>
      <c r="M2292" s="11">
        <v>44668.443379629629</v>
      </c>
      <c r="N2292" s="5" t="s">
        <v>42</v>
      </c>
      <c r="O2292" s="5" t="s">
        <v>43</v>
      </c>
      <c r="P2292" s="9"/>
      <c r="Q2292" s="5"/>
      <c r="R2292" s="5"/>
      <c r="S2292" s="5"/>
      <c r="T2292" s="9"/>
      <c r="U2292" s="5"/>
      <c r="V2292" s="5">
        <v>0</v>
      </c>
      <c r="W2292" s="5"/>
      <c r="X2292" s="5"/>
      <c r="Y2292" s="5"/>
      <c r="Z2292" s="5"/>
      <c r="AA2292" s="5" t="s">
        <v>44</v>
      </c>
      <c r="AC2292">
        <f t="shared" si="316"/>
        <v>11</v>
      </c>
      <c r="AD2292" t="str">
        <f t="shared" si="317"/>
        <v/>
      </c>
      <c r="AE2292" t="str">
        <f t="shared" si="318"/>
        <v/>
      </c>
      <c r="AF2292" t="str">
        <f t="shared" si="319"/>
        <v/>
      </c>
      <c r="AG2292" t="str">
        <f t="shared" si="320"/>
        <v/>
      </c>
      <c r="AH2292">
        <f t="shared" si="321"/>
        <v>1</v>
      </c>
      <c r="AI2292" t="str">
        <f t="shared" si="322"/>
        <v/>
      </c>
      <c r="AJ2292" t="str">
        <f t="shared" si="323"/>
        <v/>
      </c>
    </row>
    <row r="2293" spans="1:36">
      <c r="A2293" s="5">
        <v>2843</v>
      </c>
      <c r="B2293" s="5" t="s">
        <v>1705</v>
      </c>
      <c r="C2293" s="5" t="s">
        <v>1540</v>
      </c>
      <c r="D2293" s="5" t="s">
        <v>1706</v>
      </c>
      <c r="E2293" s="5" t="s">
        <v>269</v>
      </c>
      <c r="F2293" s="5" t="str">
        <f t="shared" si="315"/>
        <v>Finance-Manager</v>
      </c>
      <c r="G2293" s="5" t="s">
        <v>270</v>
      </c>
      <c r="H2293" s="9">
        <v>44654.443379629629</v>
      </c>
      <c r="I2293" s="9">
        <v>44655.443379629629</v>
      </c>
      <c r="J2293" s="9" t="e">
        <f>I2293+#REF!</f>
        <v>#REF!</v>
      </c>
      <c r="K2293" s="9" t="e">
        <f>J2293+#REF!</f>
        <v>#REF!</v>
      </c>
      <c r="L2293" s="10" t="s">
        <v>41</v>
      </c>
      <c r="M2293" s="11">
        <v>44663.443379629629</v>
      </c>
      <c r="N2293" s="5" t="s">
        <v>48</v>
      </c>
      <c r="O2293" s="5"/>
      <c r="P2293" s="9">
        <v>44668.443379629629</v>
      </c>
      <c r="Q2293" s="5" t="s">
        <v>48</v>
      </c>
      <c r="R2293" s="5"/>
      <c r="S2293" s="5"/>
      <c r="T2293" s="9">
        <v>44666.443379629629</v>
      </c>
      <c r="U2293" s="5"/>
      <c r="V2293" s="5">
        <v>0</v>
      </c>
      <c r="W2293" s="5"/>
      <c r="X2293" s="5"/>
      <c r="Y2293" s="5"/>
      <c r="Z2293" s="5"/>
      <c r="AA2293" s="5"/>
      <c r="AC2293">
        <f t="shared" si="316"/>
        <v>8</v>
      </c>
      <c r="AD2293" t="str">
        <f t="shared" si="317"/>
        <v/>
      </c>
      <c r="AE2293">
        <f t="shared" si="318"/>
        <v>3</v>
      </c>
      <c r="AF2293" t="str">
        <f t="shared" si="319"/>
        <v/>
      </c>
      <c r="AG2293" t="str">
        <f t="shared" si="320"/>
        <v/>
      </c>
      <c r="AH2293">
        <f t="shared" si="321"/>
        <v>1</v>
      </c>
      <c r="AI2293" t="str">
        <f t="shared" si="322"/>
        <v/>
      </c>
      <c r="AJ2293" t="str">
        <f t="shared" si="323"/>
        <v/>
      </c>
    </row>
    <row r="2294" spans="1:36">
      <c r="A2294" s="5">
        <v>2845</v>
      </c>
      <c r="B2294" s="5" t="s">
        <v>1821</v>
      </c>
      <c r="C2294" s="5" t="s">
        <v>1540</v>
      </c>
      <c r="D2294" s="5" t="s">
        <v>1820</v>
      </c>
      <c r="E2294" s="5" t="s">
        <v>39</v>
      </c>
      <c r="F2294" s="5" t="str">
        <f t="shared" si="315"/>
        <v>Finance-Analyst</v>
      </c>
      <c r="G2294" s="5" t="s">
        <v>40</v>
      </c>
      <c r="H2294" s="9">
        <v>44650.443379629629</v>
      </c>
      <c r="I2294" s="9">
        <v>44653.443379629629</v>
      </c>
      <c r="J2294" s="9" t="e">
        <f>I2294+#REF!</f>
        <v>#REF!</v>
      </c>
      <c r="K2294" s="9" t="e">
        <f>J2294+#REF!</f>
        <v>#REF!</v>
      </c>
      <c r="L2294" s="10" t="s">
        <v>52</v>
      </c>
      <c r="M2294" s="11"/>
      <c r="N2294" s="5"/>
      <c r="O2294" s="5"/>
      <c r="P2294" s="9"/>
      <c r="Q2294" s="5"/>
      <c r="R2294" s="5"/>
      <c r="S2294" s="5"/>
      <c r="T2294" s="9"/>
      <c r="U2294" s="5"/>
      <c r="V2294" s="5">
        <v>0</v>
      </c>
      <c r="W2294" s="5"/>
      <c r="X2294" s="5"/>
      <c r="Y2294" s="5"/>
      <c r="Z2294" s="5"/>
      <c r="AA2294" s="5"/>
      <c r="AC2294" t="str">
        <f t="shared" si="316"/>
        <v/>
      </c>
      <c r="AD2294" t="str">
        <f t="shared" si="317"/>
        <v/>
      </c>
      <c r="AE2294" t="str">
        <f t="shared" si="318"/>
        <v/>
      </c>
      <c r="AF2294" t="str">
        <f t="shared" si="319"/>
        <v/>
      </c>
      <c r="AG2294" t="str">
        <f t="shared" si="320"/>
        <v/>
      </c>
      <c r="AH2294">
        <f t="shared" si="321"/>
        <v>3</v>
      </c>
      <c r="AI2294" t="str">
        <f t="shared" si="322"/>
        <v/>
      </c>
      <c r="AJ2294" t="str">
        <f t="shared" si="323"/>
        <v/>
      </c>
    </row>
    <row r="2295" spans="1:36">
      <c r="A2295" s="5">
        <v>2846</v>
      </c>
      <c r="B2295" s="5" t="s">
        <v>1589</v>
      </c>
      <c r="C2295" s="5" t="s">
        <v>1540</v>
      </c>
      <c r="D2295" s="5" t="s">
        <v>1588</v>
      </c>
      <c r="E2295" s="5" t="s">
        <v>1360</v>
      </c>
      <c r="F2295" s="5" t="str">
        <f t="shared" si="315"/>
        <v>Finance-Fund Administrator</v>
      </c>
      <c r="G2295" s="5" t="s">
        <v>147</v>
      </c>
      <c r="H2295" s="9">
        <v>44652.443379629629</v>
      </c>
      <c r="I2295" s="9">
        <v>44655.443379629629</v>
      </c>
      <c r="J2295" s="9" t="e">
        <f>I2295+#REF!</f>
        <v>#REF!</v>
      </c>
      <c r="K2295" s="9" t="e">
        <f>J2295+#REF!</f>
        <v>#REF!</v>
      </c>
      <c r="L2295" s="10" t="s">
        <v>41</v>
      </c>
      <c r="M2295" s="11">
        <v>44665.443379629629</v>
      </c>
      <c r="N2295" s="5" t="s">
        <v>42</v>
      </c>
      <c r="O2295" s="5" t="s">
        <v>58</v>
      </c>
      <c r="P2295" s="9"/>
      <c r="Q2295" s="5"/>
      <c r="R2295" s="5"/>
      <c r="S2295" s="5"/>
      <c r="T2295" s="9"/>
      <c r="U2295" s="5"/>
      <c r="V2295" s="5">
        <v>0</v>
      </c>
      <c r="W2295" s="5"/>
      <c r="X2295" s="5"/>
      <c r="Y2295" s="5"/>
      <c r="Z2295" s="5"/>
      <c r="AA2295" s="5" t="s">
        <v>44</v>
      </c>
      <c r="AC2295">
        <f t="shared" si="316"/>
        <v>10</v>
      </c>
      <c r="AD2295" t="str">
        <f t="shared" si="317"/>
        <v/>
      </c>
      <c r="AE2295" t="str">
        <f t="shared" si="318"/>
        <v/>
      </c>
      <c r="AF2295" t="str">
        <f t="shared" si="319"/>
        <v/>
      </c>
      <c r="AG2295" t="str">
        <f t="shared" si="320"/>
        <v/>
      </c>
      <c r="AH2295">
        <f t="shared" si="321"/>
        <v>3</v>
      </c>
      <c r="AI2295" t="str">
        <f t="shared" si="322"/>
        <v/>
      </c>
      <c r="AJ2295" t="str">
        <f t="shared" si="323"/>
        <v/>
      </c>
    </row>
    <row r="2296" spans="1:36">
      <c r="A2296" s="5">
        <v>2848</v>
      </c>
      <c r="B2296" s="5" t="s">
        <v>1819</v>
      </c>
      <c r="C2296" s="5" t="s">
        <v>1540</v>
      </c>
      <c r="D2296" s="5" t="s">
        <v>1820</v>
      </c>
      <c r="E2296" s="5" t="s">
        <v>39</v>
      </c>
      <c r="F2296" s="5" t="str">
        <f t="shared" si="315"/>
        <v>Finance-Analyst</v>
      </c>
      <c r="G2296" s="5" t="s">
        <v>40</v>
      </c>
      <c r="H2296" s="9">
        <v>44651.443379629629</v>
      </c>
      <c r="I2296" s="9">
        <v>44652.443379629629</v>
      </c>
      <c r="J2296" s="9" t="e">
        <f>I2296+#REF!</f>
        <v>#REF!</v>
      </c>
      <c r="K2296" s="9" t="e">
        <f>J2296+#REF!</f>
        <v>#REF!</v>
      </c>
      <c r="L2296" s="10" t="s">
        <v>41</v>
      </c>
      <c r="M2296" s="11">
        <v>44670.443379629629</v>
      </c>
      <c r="N2296" s="5" t="s">
        <v>48</v>
      </c>
      <c r="O2296" s="5"/>
      <c r="P2296" s="9">
        <v>44672.443379629629</v>
      </c>
      <c r="Q2296" s="5" t="s">
        <v>48</v>
      </c>
      <c r="R2296" s="5"/>
      <c r="S2296" s="5"/>
      <c r="T2296" s="9">
        <v>44671.443379629629</v>
      </c>
      <c r="U2296" s="5"/>
      <c r="V2296" s="5">
        <v>0</v>
      </c>
      <c r="W2296" s="5"/>
      <c r="X2296" s="5"/>
      <c r="Y2296" s="5"/>
      <c r="Z2296" s="5"/>
      <c r="AA2296" s="5"/>
      <c r="AC2296">
        <f t="shared" si="316"/>
        <v>18</v>
      </c>
      <c r="AD2296" t="str">
        <f t="shared" si="317"/>
        <v/>
      </c>
      <c r="AE2296">
        <f t="shared" si="318"/>
        <v>1</v>
      </c>
      <c r="AF2296" t="str">
        <f t="shared" si="319"/>
        <v/>
      </c>
      <c r="AG2296" t="str">
        <f t="shared" si="320"/>
        <v/>
      </c>
      <c r="AH2296">
        <f t="shared" si="321"/>
        <v>1</v>
      </c>
      <c r="AI2296" t="str">
        <f t="shared" si="322"/>
        <v/>
      </c>
      <c r="AJ2296" t="str">
        <f t="shared" si="323"/>
        <v/>
      </c>
    </row>
    <row r="2297" spans="1:36">
      <c r="A2297" s="5">
        <v>2849</v>
      </c>
      <c r="B2297" s="5" t="s">
        <v>1539</v>
      </c>
      <c r="C2297" s="5" t="s">
        <v>1540</v>
      </c>
      <c r="D2297" s="5" t="s">
        <v>1541</v>
      </c>
      <c r="E2297" s="5" t="s">
        <v>102</v>
      </c>
      <c r="F2297" s="5" t="str">
        <f t="shared" si="315"/>
        <v>Finance-Senior Manager</v>
      </c>
      <c r="G2297" s="5" t="s">
        <v>103</v>
      </c>
      <c r="H2297" s="9">
        <v>44655.443379629629</v>
      </c>
      <c r="I2297" s="9">
        <v>44656.443379629629</v>
      </c>
      <c r="J2297" s="9" t="e">
        <f>I2297+#REF!</f>
        <v>#REF!</v>
      </c>
      <c r="K2297" s="9" t="e">
        <f>J2297+#REF!</f>
        <v>#REF!</v>
      </c>
      <c r="L2297" s="10" t="s">
        <v>41</v>
      </c>
      <c r="M2297" s="11">
        <v>44668.443379629629</v>
      </c>
      <c r="N2297" s="5" t="s">
        <v>42</v>
      </c>
      <c r="O2297" s="5" t="s">
        <v>73</v>
      </c>
      <c r="P2297" s="9"/>
      <c r="Q2297" s="5"/>
      <c r="R2297" s="5"/>
      <c r="S2297" s="5"/>
      <c r="T2297" s="9">
        <v>44670.443379629629</v>
      </c>
      <c r="U2297" s="5"/>
      <c r="V2297" s="5">
        <v>0</v>
      </c>
      <c r="W2297" s="5"/>
      <c r="X2297" s="5"/>
      <c r="Y2297" s="5"/>
      <c r="Z2297" s="5"/>
      <c r="AA2297" s="5" t="s">
        <v>62</v>
      </c>
      <c r="AC2297">
        <f t="shared" si="316"/>
        <v>12</v>
      </c>
      <c r="AD2297" t="str">
        <f t="shared" si="317"/>
        <v/>
      </c>
      <c r="AE2297">
        <f t="shared" si="318"/>
        <v>2</v>
      </c>
      <c r="AF2297" t="str">
        <f t="shared" si="319"/>
        <v/>
      </c>
      <c r="AG2297" t="str">
        <f t="shared" si="320"/>
        <v/>
      </c>
      <c r="AH2297">
        <f t="shared" si="321"/>
        <v>1</v>
      </c>
      <c r="AI2297" t="str">
        <f t="shared" si="322"/>
        <v/>
      </c>
      <c r="AJ2297" t="str">
        <f t="shared" si="323"/>
        <v/>
      </c>
    </row>
    <row r="2298" spans="1:36">
      <c r="A2298" s="5">
        <v>2850</v>
      </c>
      <c r="B2298" s="5" t="s">
        <v>1587</v>
      </c>
      <c r="C2298" s="5" t="s">
        <v>1540</v>
      </c>
      <c r="D2298" s="5" t="s">
        <v>1588</v>
      </c>
      <c r="E2298" s="5" t="s">
        <v>1360</v>
      </c>
      <c r="F2298" s="5" t="str">
        <f t="shared" si="315"/>
        <v>Finance-Fund Administrator</v>
      </c>
      <c r="G2298" s="5" t="s">
        <v>147</v>
      </c>
      <c r="H2298" s="9">
        <v>44652.443379629629</v>
      </c>
      <c r="I2298" s="9">
        <v>44655.443379629629</v>
      </c>
      <c r="J2298" s="9" t="e">
        <f>I2298+#REF!</f>
        <v>#REF!</v>
      </c>
      <c r="K2298" s="9" t="e">
        <f>J2298+#REF!</f>
        <v>#REF!</v>
      </c>
      <c r="L2298" s="10" t="s">
        <v>52</v>
      </c>
      <c r="M2298" s="11"/>
      <c r="N2298" s="5"/>
      <c r="O2298" s="5"/>
      <c r="P2298" s="9"/>
      <c r="Q2298" s="5"/>
      <c r="R2298" s="5"/>
      <c r="S2298" s="5"/>
      <c r="T2298" s="9"/>
      <c r="U2298" s="5"/>
      <c r="V2298" s="5">
        <v>0</v>
      </c>
      <c r="W2298" s="5"/>
      <c r="X2298" s="5"/>
      <c r="Y2298" s="5"/>
      <c r="Z2298" s="5"/>
      <c r="AA2298" s="5"/>
      <c r="AC2298" t="str">
        <f t="shared" si="316"/>
        <v/>
      </c>
      <c r="AD2298" t="str">
        <f t="shared" si="317"/>
        <v/>
      </c>
      <c r="AE2298" t="str">
        <f t="shared" si="318"/>
        <v/>
      </c>
      <c r="AF2298" t="str">
        <f t="shared" si="319"/>
        <v/>
      </c>
      <c r="AG2298" t="str">
        <f t="shared" si="320"/>
        <v/>
      </c>
      <c r="AH2298">
        <f t="shared" si="321"/>
        <v>3</v>
      </c>
      <c r="AI2298" t="str">
        <f t="shared" si="322"/>
        <v/>
      </c>
      <c r="AJ2298" t="str">
        <f t="shared" si="323"/>
        <v/>
      </c>
    </row>
    <row r="2299" spans="1:36">
      <c r="A2299" s="5">
        <v>2851</v>
      </c>
      <c r="B2299" s="5" t="s">
        <v>158</v>
      </c>
      <c r="C2299" s="5" t="s">
        <v>100</v>
      </c>
      <c r="D2299" s="5" t="s">
        <v>146</v>
      </c>
      <c r="E2299" s="5" t="s">
        <v>39</v>
      </c>
      <c r="F2299" s="5" t="str">
        <f t="shared" si="315"/>
        <v>Program Office-Analyst</v>
      </c>
      <c r="G2299" s="5" t="s">
        <v>147</v>
      </c>
      <c r="H2299" s="9">
        <v>45038.4996875</v>
      </c>
      <c r="I2299" s="9">
        <v>45040.4996875</v>
      </c>
      <c r="J2299" s="9" t="e">
        <f>I2299+#REF!</f>
        <v>#REF!</v>
      </c>
      <c r="K2299" s="9" t="e">
        <f>J2299+#REF!</f>
        <v>#REF!</v>
      </c>
      <c r="L2299" s="10" t="s">
        <v>41</v>
      </c>
      <c r="M2299" s="11">
        <v>45056.4996875</v>
      </c>
      <c r="N2299" s="5" t="s">
        <v>64</v>
      </c>
      <c r="O2299" s="5"/>
      <c r="P2299" s="9">
        <v>45058.4996875</v>
      </c>
      <c r="Q2299" s="5" t="s">
        <v>64</v>
      </c>
      <c r="R2299" s="9">
        <v>45057.4996875</v>
      </c>
      <c r="S2299" s="9">
        <v>45061.4996875</v>
      </c>
      <c r="T2299" s="9">
        <v>45057.4996875</v>
      </c>
      <c r="U2299" s="9">
        <v>45067.4996875</v>
      </c>
      <c r="V2299" s="12">
        <v>1</v>
      </c>
      <c r="W2299" s="9">
        <v>45071.4996875</v>
      </c>
      <c r="X2299" s="9">
        <v>45072.4996875</v>
      </c>
      <c r="Y2299" s="9">
        <v>45073.4996875</v>
      </c>
      <c r="Z2299" s="5"/>
      <c r="AA2299" s="5"/>
      <c r="AB2299" s="13">
        <v>45091.4996875</v>
      </c>
      <c r="AC2299">
        <f t="shared" si="316"/>
        <v>16</v>
      </c>
      <c r="AD2299">
        <f t="shared" si="317"/>
        <v>21</v>
      </c>
      <c r="AE2299">
        <f t="shared" si="318"/>
        <v>1</v>
      </c>
      <c r="AF2299">
        <f t="shared" si="319"/>
        <v>5</v>
      </c>
      <c r="AG2299">
        <f t="shared" si="320"/>
        <v>4</v>
      </c>
      <c r="AH2299">
        <f t="shared" si="321"/>
        <v>2</v>
      </c>
      <c r="AI2299" t="str">
        <f t="shared" si="322"/>
        <v/>
      </c>
      <c r="AJ2299" t="str">
        <f t="shared" si="323"/>
        <v/>
      </c>
    </row>
    <row r="2300" spans="1:36">
      <c r="A2300" s="5">
        <v>2852</v>
      </c>
      <c r="B2300" s="5" t="s">
        <v>390</v>
      </c>
      <c r="C2300" s="5" t="s">
        <v>100</v>
      </c>
      <c r="D2300" s="5" t="s">
        <v>387</v>
      </c>
      <c r="E2300" s="5" t="s">
        <v>388</v>
      </c>
      <c r="F2300" s="5" t="str">
        <f t="shared" si="315"/>
        <v>Program Office-Extension Officer</v>
      </c>
      <c r="G2300" s="5" t="s">
        <v>40</v>
      </c>
      <c r="H2300" s="9">
        <v>45036.4996875</v>
      </c>
      <c r="I2300" s="9">
        <v>45040.4996875</v>
      </c>
      <c r="J2300" s="9" t="e">
        <f>I2300+#REF!</f>
        <v>#REF!</v>
      </c>
      <c r="K2300" s="9" t="e">
        <f>J2300+#REF!</f>
        <v>#REF!</v>
      </c>
      <c r="L2300" s="10" t="s">
        <v>52</v>
      </c>
      <c r="M2300" s="11"/>
      <c r="N2300" s="5"/>
      <c r="O2300" s="5"/>
      <c r="P2300" s="9"/>
      <c r="Q2300" s="5"/>
      <c r="R2300" s="5"/>
      <c r="S2300" s="5"/>
      <c r="T2300" s="9"/>
      <c r="U2300" s="5"/>
      <c r="V2300" s="5">
        <v>0</v>
      </c>
      <c r="W2300" s="5"/>
      <c r="X2300" s="5"/>
      <c r="Y2300" s="5"/>
      <c r="Z2300" s="5"/>
      <c r="AA2300" s="5"/>
      <c r="AC2300" t="str">
        <f t="shared" si="316"/>
        <v/>
      </c>
      <c r="AD2300" t="str">
        <f t="shared" si="317"/>
        <v/>
      </c>
      <c r="AE2300" t="str">
        <f t="shared" si="318"/>
        <v/>
      </c>
      <c r="AF2300" t="str">
        <f t="shared" si="319"/>
        <v/>
      </c>
      <c r="AG2300" t="str">
        <f t="shared" si="320"/>
        <v/>
      </c>
      <c r="AH2300">
        <f t="shared" si="321"/>
        <v>4</v>
      </c>
      <c r="AI2300" t="str">
        <f t="shared" si="322"/>
        <v/>
      </c>
      <c r="AJ2300" t="str">
        <f t="shared" si="323"/>
        <v/>
      </c>
    </row>
    <row r="2301" spans="1:36">
      <c r="A2301" s="5">
        <v>2854</v>
      </c>
      <c r="B2301" s="5" t="s">
        <v>562</v>
      </c>
      <c r="C2301" s="5" t="s">
        <v>100</v>
      </c>
      <c r="D2301" s="5" t="s">
        <v>554</v>
      </c>
      <c r="E2301" s="5" t="s">
        <v>51</v>
      </c>
      <c r="F2301" s="5" t="str">
        <f t="shared" si="315"/>
        <v>Program Office-Supervisor</v>
      </c>
      <c r="G2301" s="5" t="s">
        <v>47</v>
      </c>
      <c r="H2301" s="9">
        <v>45032.4996875</v>
      </c>
      <c r="I2301" s="9">
        <v>45036.4996875</v>
      </c>
      <c r="J2301" s="9" t="e">
        <f>I2301+#REF!</f>
        <v>#REF!</v>
      </c>
      <c r="K2301" s="9" t="e">
        <f>J2301+#REF!</f>
        <v>#REF!</v>
      </c>
      <c r="L2301" s="10" t="s">
        <v>41</v>
      </c>
      <c r="M2301" s="11">
        <v>45047.4996875</v>
      </c>
      <c r="N2301" s="5" t="s">
        <v>42</v>
      </c>
      <c r="O2301" s="5" t="s">
        <v>43</v>
      </c>
      <c r="P2301" s="9"/>
      <c r="Q2301" s="5"/>
      <c r="R2301" s="5"/>
      <c r="S2301" s="5"/>
      <c r="T2301" s="9"/>
      <c r="U2301" s="5"/>
      <c r="V2301" s="5">
        <v>0</v>
      </c>
      <c r="W2301" s="5"/>
      <c r="X2301" s="5"/>
      <c r="Y2301" s="5"/>
      <c r="Z2301" s="5"/>
      <c r="AA2301" s="5" t="s">
        <v>44</v>
      </c>
      <c r="AC2301">
        <f t="shared" si="316"/>
        <v>11</v>
      </c>
      <c r="AD2301" t="str">
        <f t="shared" si="317"/>
        <v/>
      </c>
      <c r="AE2301" t="str">
        <f t="shared" si="318"/>
        <v/>
      </c>
      <c r="AF2301" t="str">
        <f t="shared" si="319"/>
        <v/>
      </c>
      <c r="AG2301" t="str">
        <f t="shared" si="320"/>
        <v/>
      </c>
      <c r="AH2301">
        <f t="shared" si="321"/>
        <v>4</v>
      </c>
      <c r="AI2301" t="str">
        <f t="shared" si="322"/>
        <v/>
      </c>
      <c r="AJ2301" t="str">
        <f t="shared" si="323"/>
        <v/>
      </c>
    </row>
    <row r="2302" spans="1:36">
      <c r="A2302" s="5">
        <v>2855</v>
      </c>
      <c r="B2302" s="5" t="s">
        <v>157</v>
      </c>
      <c r="C2302" s="5" t="s">
        <v>100</v>
      </c>
      <c r="D2302" s="5" t="s">
        <v>146</v>
      </c>
      <c r="E2302" s="5" t="s">
        <v>39</v>
      </c>
      <c r="F2302" s="5" t="str">
        <f t="shared" si="315"/>
        <v>Program Office-Analyst</v>
      </c>
      <c r="G2302" s="5" t="s">
        <v>147</v>
      </c>
      <c r="H2302" s="9">
        <v>45033.4996875</v>
      </c>
      <c r="I2302" s="9">
        <v>45035.4996875</v>
      </c>
      <c r="J2302" s="9" t="e">
        <f>I2302+#REF!</f>
        <v>#REF!</v>
      </c>
      <c r="K2302" s="9" t="e">
        <f>J2302+#REF!</f>
        <v>#REF!</v>
      </c>
      <c r="L2302" s="10" t="s">
        <v>41</v>
      </c>
      <c r="M2302" s="11">
        <v>45045.4996875</v>
      </c>
      <c r="N2302" s="5" t="s">
        <v>64</v>
      </c>
      <c r="O2302" s="5"/>
      <c r="P2302" s="9">
        <v>45050.4996875</v>
      </c>
      <c r="Q2302" s="5" t="s">
        <v>64</v>
      </c>
      <c r="R2302" s="9">
        <v>45047.4996875</v>
      </c>
      <c r="S2302" s="9">
        <v>45048.4996875</v>
      </c>
      <c r="T2302" s="9">
        <v>45048.4996875</v>
      </c>
      <c r="U2302" s="9">
        <v>45057.4996875</v>
      </c>
      <c r="V2302" s="12">
        <v>1</v>
      </c>
      <c r="W2302" s="9">
        <v>45059.4996875</v>
      </c>
      <c r="X2302" s="9">
        <v>45061.4996875</v>
      </c>
      <c r="Y2302" s="9">
        <v>45063.4996875</v>
      </c>
      <c r="Z2302" s="5"/>
      <c r="AA2302" s="5"/>
      <c r="AB2302" s="13">
        <v>45083.4996875</v>
      </c>
      <c r="AC2302">
        <f t="shared" si="316"/>
        <v>10</v>
      </c>
      <c r="AD2302">
        <f t="shared" si="317"/>
        <v>13</v>
      </c>
      <c r="AE2302">
        <f t="shared" si="318"/>
        <v>3</v>
      </c>
      <c r="AF2302">
        <f t="shared" si="319"/>
        <v>4</v>
      </c>
      <c r="AG2302">
        <f t="shared" si="320"/>
        <v>2</v>
      </c>
      <c r="AH2302">
        <f t="shared" si="321"/>
        <v>2</v>
      </c>
      <c r="AI2302" t="str">
        <f t="shared" si="322"/>
        <v/>
      </c>
      <c r="AJ2302" t="str">
        <f t="shared" si="323"/>
        <v/>
      </c>
    </row>
    <row r="2303" spans="1:36">
      <c r="A2303" s="5">
        <v>2856</v>
      </c>
      <c r="B2303" s="5" t="s">
        <v>273</v>
      </c>
      <c r="C2303" s="5" t="s">
        <v>100</v>
      </c>
      <c r="D2303" s="5" t="s">
        <v>268</v>
      </c>
      <c r="E2303" s="5" t="s">
        <v>269</v>
      </c>
      <c r="F2303" s="5" t="str">
        <f t="shared" si="315"/>
        <v>Program Office-Manager</v>
      </c>
      <c r="G2303" s="5" t="s">
        <v>270</v>
      </c>
      <c r="H2303" s="9">
        <v>45034.4996875</v>
      </c>
      <c r="I2303" s="9">
        <v>45035.4996875</v>
      </c>
      <c r="J2303" s="9" t="e">
        <f>I2303+#REF!</f>
        <v>#REF!</v>
      </c>
      <c r="K2303" s="9" t="e">
        <f>J2303+#REF!</f>
        <v>#REF!</v>
      </c>
      <c r="L2303" s="10" t="s">
        <v>41</v>
      </c>
      <c r="M2303" s="11">
        <v>45046.4996875</v>
      </c>
      <c r="N2303" s="5" t="s">
        <v>42</v>
      </c>
      <c r="O2303" s="5" t="s">
        <v>113</v>
      </c>
      <c r="P2303" s="9"/>
      <c r="Q2303" s="5"/>
      <c r="R2303" s="5"/>
      <c r="S2303" s="5"/>
      <c r="T2303" s="9"/>
      <c r="U2303" s="5"/>
      <c r="V2303" s="5">
        <v>0</v>
      </c>
      <c r="W2303" s="5"/>
      <c r="X2303" s="5"/>
      <c r="Y2303" s="5"/>
      <c r="Z2303" s="5"/>
      <c r="AA2303" s="5" t="s">
        <v>62</v>
      </c>
      <c r="AC2303">
        <f t="shared" si="316"/>
        <v>11</v>
      </c>
      <c r="AD2303" t="str">
        <f t="shared" si="317"/>
        <v/>
      </c>
      <c r="AE2303" t="str">
        <f t="shared" si="318"/>
        <v/>
      </c>
      <c r="AF2303" t="str">
        <f t="shared" si="319"/>
        <v/>
      </c>
      <c r="AG2303" t="str">
        <f t="shared" si="320"/>
        <v/>
      </c>
      <c r="AH2303">
        <f t="shared" si="321"/>
        <v>1</v>
      </c>
      <c r="AI2303" t="str">
        <f t="shared" si="322"/>
        <v/>
      </c>
      <c r="AJ2303" t="str">
        <f t="shared" si="323"/>
        <v/>
      </c>
    </row>
    <row r="2304" spans="1:36">
      <c r="A2304" s="5">
        <v>2857</v>
      </c>
      <c r="B2304" s="5" t="s">
        <v>561</v>
      </c>
      <c r="C2304" s="5" t="s">
        <v>100</v>
      </c>
      <c r="D2304" s="5" t="s">
        <v>554</v>
      </c>
      <c r="E2304" s="5" t="s">
        <v>39</v>
      </c>
      <c r="F2304" s="5" t="str">
        <f t="shared" si="315"/>
        <v>Program Office-Analyst</v>
      </c>
      <c r="G2304" s="5" t="s">
        <v>47</v>
      </c>
      <c r="H2304" s="9">
        <v>45033.4996875</v>
      </c>
      <c r="I2304" s="9">
        <v>45036.4996875</v>
      </c>
      <c r="J2304" s="9" t="e">
        <f>I2304+#REF!</f>
        <v>#REF!</v>
      </c>
      <c r="K2304" s="9" t="e">
        <f>J2304+#REF!</f>
        <v>#REF!</v>
      </c>
      <c r="L2304" s="10" t="s">
        <v>41</v>
      </c>
      <c r="M2304" s="11">
        <v>45044.4996875</v>
      </c>
      <c r="N2304" s="5" t="s">
        <v>64</v>
      </c>
      <c r="O2304" s="5"/>
      <c r="P2304" s="9">
        <v>45049.4996875</v>
      </c>
      <c r="Q2304" s="5" t="s">
        <v>64</v>
      </c>
      <c r="R2304" s="9">
        <v>45046.4996875</v>
      </c>
      <c r="S2304" s="9">
        <v>45050.4996875</v>
      </c>
      <c r="T2304" s="9">
        <v>45048.4996875</v>
      </c>
      <c r="U2304" s="9">
        <v>45050.4996875</v>
      </c>
      <c r="V2304" s="12">
        <v>1</v>
      </c>
      <c r="W2304" s="9">
        <v>45054.4996875</v>
      </c>
      <c r="X2304" s="9">
        <v>45055.4996875</v>
      </c>
      <c r="Y2304" s="9">
        <v>45056.4996875</v>
      </c>
      <c r="Z2304" s="5"/>
      <c r="AA2304" s="5"/>
      <c r="AB2304" s="13">
        <v>45066.4996875</v>
      </c>
      <c r="AC2304">
        <f t="shared" si="316"/>
        <v>8</v>
      </c>
      <c r="AD2304">
        <f t="shared" si="317"/>
        <v>14</v>
      </c>
      <c r="AE2304">
        <f t="shared" si="318"/>
        <v>4</v>
      </c>
      <c r="AF2304">
        <f t="shared" si="319"/>
        <v>5</v>
      </c>
      <c r="AG2304">
        <f t="shared" si="320"/>
        <v>4</v>
      </c>
      <c r="AH2304">
        <f t="shared" si="321"/>
        <v>3</v>
      </c>
      <c r="AI2304" t="str">
        <f t="shared" si="322"/>
        <v/>
      </c>
      <c r="AJ2304" t="str">
        <f t="shared" si="323"/>
        <v/>
      </c>
    </row>
    <row r="2305" spans="1:36">
      <c r="A2305" s="5">
        <v>2858</v>
      </c>
      <c r="B2305" s="5" t="s">
        <v>389</v>
      </c>
      <c r="C2305" s="5" t="s">
        <v>100</v>
      </c>
      <c r="D2305" s="5" t="s">
        <v>387</v>
      </c>
      <c r="E2305" s="5" t="s">
        <v>388</v>
      </c>
      <c r="F2305" s="5" t="str">
        <f t="shared" si="315"/>
        <v>Program Office-Extension Officer</v>
      </c>
      <c r="G2305" s="5" t="s">
        <v>40</v>
      </c>
      <c r="H2305" s="9">
        <v>45035.4996875</v>
      </c>
      <c r="I2305" s="9">
        <v>45038.4996875</v>
      </c>
      <c r="J2305" s="9" t="e">
        <f>I2305+#REF!</f>
        <v>#REF!</v>
      </c>
      <c r="K2305" s="9" t="e">
        <f>J2305+#REF!</f>
        <v>#REF!</v>
      </c>
      <c r="L2305" s="10" t="s">
        <v>41</v>
      </c>
      <c r="M2305" s="11">
        <v>45057.4996875</v>
      </c>
      <c r="N2305" s="5" t="s">
        <v>42</v>
      </c>
      <c r="O2305" s="5" t="s">
        <v>98</v>
      </c>
      <c r="P2305" s="9"/>
      <c r="Q2305" s="5"/>
      <c r="R2305" s="5"/>
      <c r="S2305" s="5"/>
      <c r="T2305" s="9">
        <v>45058.4996875</v>
      </c>
      <c r="U2305" s="5"/>
      <c r="V2305" s="5">
        <v>0</v>
      </c>
      <c r="W2305" s="5"/>
      <c r="X2305" s="5"/>
      <c r="Y2305" s="5"/>
      <c r="Z2305" s="5"/>
      <c r="AA2305" s="5" t="s">
        <v>44</v>
      </c>
      <c r="AC2305">
        <f t="shared" si="316"/>
        <v>19</v>
      </c>
      <c r="AD2305" t="str">
        <f t="shared" si="317"/>
        <v/>
      </c>
      <c r="AE2305">
        <f t="shared" si="318"/>
        <v>1</v>
      </c>
      <c r="AF2305" t="str">
        <f t="shared" si="319"/>
        <v/>
      </c>
      <c r="AG2305" t="str">
        <f t="shared" si="320"/>
        <v/>
      </c>
      <c r="AH2305">
        <f t="shared" si="321"/>
        <v>3</v>
      </c>
      <c r="AI2305" t="str">
        <f t="shared" si="322"/>
        <v/>
      </c>
      <c r="AJ2305" t="str">
        <f t="shared" si="323"/>
        <v/>
      </c>
    </row>
    <row r="2306" spans="1:36">
      <c r="A2306" s="5">
        <v>2859</v>
      </c>
      <c r="B2306" s="5" t="s">
        <v>156</v>
      </c>
      <c r="C2306" s="5" t="s">
        <v>100</v>
      </c>
      <c r="D2306" s="5" t="s">
        <v>146</v>
      </c>
      <c r="E2306" s="5" t="s">
        <v>39</v>
      </c>
      <c r="F2306" s="5" t="str">
        <f t="shared" ref="F2306:F2369" si="324">_xlfn.CONCAT(C2306,"-",E2306)</f>
        <v>Program Office-Analyst</v>
      </c>
      <c r="G2306" s="5" t="s">
        <v>147</v>
      </c>
      <c r="H2306" s="9">
        <v>45035.4996875</v>
      </c>
      <c r="I2306" s="9">
        <v>45038.4996875</v>
      </c>
      <c r="J2306" s="9" t="e">
        <f>I2306+#REF!</f>
        <v>#REF!</v>
      </c>
      <c r="K2306" s="9" t="e">
        <f>J2306+#REF!</f>
        <v>#REF!</v>
      </c>
      <c r="L2306" s="10" t="s">
        <v>41</v>
      </c>
      <c r="M2306" s="11">
        <v>45045.4996875</v>
      </c>
      <c r="N2306" s="5" t="s">
        <v>42</v>
      </c>
      <c r="O2306" s="5" t="s">
        <v>113</v>
      </c>
      <c r="P2306" s="9"/>
      <c r="Q2306" s="5"/>
      <c r="R2306" s="5"/>
      <c r="S2306" s="5"/>
      <c r="T2306" s="9">
        <v>45047.4996875</v>
      </c>
      <c r="U2306" s="5"/>
      <c r="V2306" s="5">
        <v>0</v>
      </c>
      <c r="W2306" s="5"/>
      <c r="X2306" s="5"/>
      <c r="Y2306" s="5"/>
      <c r="Z2306" s="5"/>
      <c r="AA2306" s="5" t="s">
        <v>44</v>
      </c>
      <c r="AC2306">
        <f t="shared" ref="AC2306:AC2369" si="325">IF(AND(ISNUMBER(M2306), ISNUMBER(I2306)), M2306 - I2306, "")</f>
        <v>7</v>
      </c>
      <c r="AD2306" t="str">
        <f t="shared" si="317"/>
        <v/>
      </c>
      <c r="AE2306">
        <f t="shared" si="318"/>
        <v>2</v>
      </c>
      <c r="AF2306" t="str">
        <f t="shared" si="319"/>
        <v/>
      </c>
      <c r="AG2306" t="str">
        <f t="shared" si="320"/>
        <v/>
      </c>
      <c r="AH2306">
        <f t="shared" si="321"/>
        <v>3</v>
      </c>
      <c r="AI2306" t="str">
        <f t="shared" si="322"/>
        <v/>
      </c>
      <c r="AJ2306" t="str">
        <f t="shared" si="323"/>
        <v/>
      </c>
    </row>
    <row r="2307" spans="1:36">
      <c r="A2307" s="5">
        <v>2861</v>
      </c>
      <c r="B2307" s="5" t="s">
        <v>107</v>
      </c>
      <c r="C2307" s="5" t="s">
        <v>100</v>
      </c>
      <c r="D2307" s="5" t="s">
        <v>101</v>
      </c>
      <c r="E2307" s="5" t="s">
        <v>102</v>
      </c>
      <c r="F2307" s="5" t="str">
        <f t="shared" si="324"/>
        <v>Program Office-Senior Manager</v>
      </c>
      <c r="G2307" s="5" t="s">
        <v>103</v>
      </c>
      <c r="H2307" s="9">
        <v>44849.266331018516</v>
      </c>
      <c r="I2307" s="9">
        <v>44853.266331018516</v>
      </c>
      <c r="J2307" s="9" t="e">
        <f>I2307+#REF!</f>
        <v>#REF!</v>
      </c>
      <c r="K2307" s="9" t="e">
        <f>J2307+#REF!</f>
        <v>#REF!</v>
      </c>
      <c r="L2307" s="10" t="s">
        <v>41</v>
      </c>
      <c r="M2307" s="11">
        <v>44864.266331018516</v>
      </c>
      <c r="N2307" s="5" t="s">
        <v>42</v>
      </c>
      <c r="O2307" s="5" t="s">
        <v>58</v>
      </c>
      <c r="P2307" s="9"/>
      <c r="Q2307" s="5"/>
      <c r="R2307" s="5"/>
      <c r="S2307" s="5"/>
      <c r="T2307" s="9"/>
      <c r="U2307" s="5"/>
      <c r="V2307" s="5">
        <v>0</v>
      </c>
      <c r="W2307" s="5"/>
      <c r="X2307" s="5"/>
      <c r="Y2307" s="5"/>
      <c r="Z2307" s="5"/>
      <c r="AA2307" s="5" t="s">
        <v>44</v>
      </c>
      <c r="AC2307">
        <f t="shared" si="325"/>
        <v>11</v>
      </c>
      <c r="AD2307" t="str">
        <f t="shared" ref="AD2307:AD2370" si="326">IF(AND(ISNUMBER(S2307), ISNUMBER(I2307)), S2307 - I2307, "")</f>
        <v/>
      </c>
      <c r="AE2307" t="str">
        <f t="shared" ref="AE2307:AE2370" si="327">IF(AND(ISNUMBER(T2307), ISNUMBER(M2307)), T2307-M2307, "")</f>
        <v/>
      </c>
      <c r="AF2307" t="str">
        <f t="shared" ref="AF2307:AF2370" si="328">IF(AND(ISNUMBER(X2307), ISNUMBER(U2307)), X2307-U2307,"")</f>
        <v/>
      </c>
      <c r="AG2307" t="str">
        <f t="shared" ref="AG2307:AG2370" si="329">IF(AND(ISNUMBER(W2307), ISNUMBER(U2307)), W2307-U2307, "")</f>
        <v/>
      </c>
      <c r="AH2307">
        <f t="shared" ref="AH2307:AH2370" si="330">IF(AND(ISNUMBER(I2307), ISNUMBER(H2307)), I2307-H2307,"")</f>
        <v>4</v>
      </c>
      <c r="AI2307" t="str">
        <f t="shared" ref="AI2307:AI2370" si="331">IF(AND(ISNUMBER(J2307),ISNUMBER(K2307)),K2307-J2307,"")</f>
        <v/>
      </c>
      <c r="AJ2307" t="str">
        <f t="shared" ref="AJ2307:AJ2370" si="332">IF(AND(ISNUMBER(J2307),ISNUMBER(I2307)), J2307-I2307,"")</f>
        <v/>
      </c>
    </row>
    <row r="2308" spans="1:36">
      <c r="A2308" s="5">
        <v>2862</v>
      </c>
      <c r="B2308" s="5" t="s">
        <v>155</v>
      </c>
      <c r="C2308" s="5" t="s">
        <v>100</v>
      </c>
      <c r="D2308" s="5" t="s">
        <v>146</v>
      </c>
      <c r="E2308" s="5" t="s">
        <v>39</v>
      </c>
      <c r="F2308" s="5" t="str">
        <f t="shared" si="324"/>
        <v>Program Office-Analyst</v>
      </c>
      <c r="G2308" s="5" t="s">
        <v>147</v>
      </c>
      <c r="H2308" s="9">
        <v>44848.266331018516</v>
      </c>
      <c r="I2308" s="9">
        <v>44852.266331018516</v>
      </c>
      <c r="J2308" s="9" t="e">
        <f>I2308+#REF!</f>
        <v>#REF!</v>
      </c>
      <c r="K2308" s="9" t="e">
        <f>J2308+#REF!</f>
        <v>#REF!</v>
      </c>
      <c r="L2308" s="10" t="s">
        <v>52</v>
      </c>
      <c r="M2308" s="11"/>
      <c r="N2308" s="5"/>
      <c r="O2308" s="5"/>
      <c r="P2308" s="9"/>
      <c r="Q2308" s="5"/>
      <c r="R2308" s="5"/>
      <c r="S2308" s="5"/>
      <c r="T2308" s="9"/>
      <c r="U2308" s="5"/>
      <c r="V2308" s="5">
        <v>0</v>
      </c>
      <c r="W2308" s="5"/>
      <c r="X2308" s="5"/>
      <c r="Y2308" s="5"/>
      <c r="Z2308" s="5"/>
      <c r="AA2308" s="5"/>
      <c r="AC2308" t="str">
        <f t="shared" si="325"/>
        <v/>
      </c>
      <c r="AD2308" t="str">
        <f t="shared" si="326"/>
        <v/>
      </c>
      <c r="AE2308" t="str">
        <f t="shared" si="327"/>
        <v/>
      </c>
      <c r="AF2308" t="str">
        <f t="shared" si="328"/>
        <v/>
      </c>
      <c r="AG2308" t="str">
        <f t="shared" si="329"/>
        <v/>
      </c>
      <c r="AH2308">
        <f t="shared" si="330"/>
        <v>4</v>
      </c>
      <c r="AI2308" t="str">
        <f t="shared" si="331"/>
        <v/>
      </c>
      <c r="AJ2308" t="str">
        <f t="shared" si="332"/>
        <v/>
      </c>
    </row>
    <row r="2309" spans="1:36">
      <c r="A2309" s="5">
        <v>2865</v>
      </c>
      <c r="B2309" s="5" t="s">
        <v>272</v>
      </c>
      <c r="C2309" s="5" t="s">
        <v>100</v>
      </c>
      <c r="D2309" s="5" t="s">
        <v>268</v>
      </c>
      <c r="E2309" s="5" t="s">
        <v>269</v>
      </c>
      <c r="F2309" s="5" t="str">
        <f t="shared" si="324"/>
        <v>Program Office-Manager</v>
      </c>
      <c r="G2309" s="5" t="s">
        <v>270</v>
      </c>
      <c r="H2309" s="9">
        <v>44849.266331018516</v>
      </c>
      <c r="I2309" s="9">
        <v>44850.266331018516</v>
      </c>
      <c r="J2309" s="9" t="e">
        <f>I2309+#REF!</f>
        <v>#REF!</v>
      </c>
      <c r="K2309" s="9" t="e">
        <f>J2309+#REF!</f>
        <v>#REF!</v>
      </c>
      <c r="L2309" s="10" t="s">
        <v>41</v>
      </c>
      <c r="M2309" s="11">
        <v>44867.266331018516</v>
      </c>
      <c r="N2309" s="5" t="s">
        <v>48</v>
      </c>
      <c r="O2309" s="5"/>
      <c r="P2309" s="9">
        <v>44872.266331018516</v>
      </c>
      <c r="Q2309" s="5" t="s">
        <v>48</v>
      </c>
      <c r="R2309" s="5"/>
      <c r="S2309" s="5"/>
      <c r="T2309" s="9">
        <v>44868.266331018516</v>
      </c>
      <c r="U2309" s="5"/>
      <c r="V2309" s="5">
        <v>0</v>
      </c>
      <c r="W2309" s="5"/>
      <c r="X2309" s="5"/>
      <c r="Y2309" s="5"/>
      <c r="Z2309" s="5"/>
      <c r="AA2309" s="5"/>
      <c r="AC2309">
        <f t="shared" si="325"/>
        <v>17</v>
      </c>
      <c r="AD2309" t="str">
        <f t="shared" si="326"/>
        <v/>
      </c>
      <c r="AE2309">
        <f t="shared" si="327"/>
        <v>1</v>
      </c>
      <c r="AF2309" t="str">
        <f t="shared" si="328"/>
        <v/>
      </c>
      <c r="AG2309" t="str">
        <f t="shared" si="329"/>
        <v/>
      </c>
      <c r="AH2309">
        <f t="shared" si="330"/>
        <v>1</v>
      </c>
      <c r="AI2309" t="str">
        <f t="shared" si="331"/>
        <v/>
      </c>
      <c r="AJ2309" t="str">
        <f t="shared" si="332"/>
        <v/>
      </c>
    </row>
    <row r="2310" spans="1:36">
      <c r="A2310" s="5">
        <v>2866</v>
      </c>
      <c r="B2310" s="5" t="s">
        <v>271</v>
      </c>
      <c r="C2310" s="5" t="s">
        <v>100</v>
      </c>
      <c r="D2310" s="5" t="s">
        <v>268</v>
      </c>
      <c r="E2310" s="5" t="s">
        <v>269</v>
      </c>
      <c r="F2310" s="5" t="str">
        <f t="shared" si="324"/>
        <v>Program Office-Manager</v>
      </c>
      <c r="G2310" s="5" t="s">
        <v>270</v>
      </c>
      <c r="H2310" s="9">
        <v>44849.266331018516</v>
      </c>
      <c r="I2310" s="9">
        <v>44851.266331018516</v>
      </c>
      <c r="J2310" s="9" t="e">
        <f>I2310+#REF!</f>
        <v>#REF!</v>
      </c>
      <c r="K2310" s="9" t="e">
        <f>J2310+#REF!</f>
        <v>#REF!</v>
      </c>
      <c r="L2310" s="10" t="s">
        <v>41</v>
      </c>
      <c r="M2310" s="11">
        <v>44861.266331018516</v>
      </c>
      <c r="N2310" s="5" t="s">
        <v>48</v>
      </c>
      <c r="O2310" s="5"/>
      <c r="P2310" s="9">
        <v>44866.266331018516</v>
      </c>
      <c r="Q2310" s="5" t="s">
        <v>48</v>
      </c>
      <c r="R2310" s="5"/>
      <c r="S2310" s="5"/>
      <c r="T2310" s="9">
        <v>44865.266331018516</v>
      </c>
      <c r="U2310" s="5"/>
      <c r="V2310" s="5">
        <v>0</v>
      </c>
      <c r="W2310" s="5"/>
      <c r="X2310" s="5"/>
      <c r="Y2310" s="5"/>
      <c r="Z2310" s="5"/>
      <c r="AA2310" s="5"/>
      <c r="AC2310">
        <f t="shared" si="325"/>
        <v>10</v>
      </c>
      <c r="AD2310" t="str">
        <f t="shared" si="326"/>
        <v/>
      </c>
      <c r="AE2310">
        <f t="shared" si="327"/>
        <v>4</v>
      </c>
      <c r="AF2310" t="str">
        <f t="shared" si="328"/>
        <v/>
      </c>
      <c r="AG2310" t="str">
        <f t="shared" si="329"/>
        <v/>
      </c>
      <c r="AH2310">
        <f t="shared" si="330"/>
        <v>2</v>
      </c>
      <c r="AI2310" t="str">
        <f t="shared" si="331"/>
        <v/>
      </c>
      <c r="AJ2310" t="str">
        <f t="shared" si="332"/>
        <v/>
      </c>
    </row>
    <row r="2311" spans="1:36">
      <c r="A2311" s="5">
        <v>2867</v>
      </c>
      <c r="B2311" s="5" t="s">
        <v>154</v>
      </c>
      <c r="C2311" s="5" t="s">
        <v>100</v>
      </c>
      <c r="D2311" s="5" t="s">
        <v>146</v>
      </c>
      <c r="E2311" s="5" t="s">
        <v>39</v>
      </c>
      <c r="F2311" s="5" t="str">
        <f t="shared" si="324"/>
        <v>Program Office-Analyst</v>
      </c>
      <c r="G2311" s="5" t="s">
        <v>147</v>
      </c>
      <c r="H2311" s="9">
        <v>44849.266331018516</v>
      </c>
      <c r="I2311" s="9">
        <v>44853.266331018516</v>
      </c>
      <c r="J2311" s="9" t="e">
        <f>I2311+#REF!</f>
        <v>#REF!</v>
      </c>
      <c r="K2311" s="9" t="e">
        <f>J2311+#REF!</f>
        <v>#REF!</v>
      </c>
      <c r="L2311" s="10" t="s">
        <v>41</v>
      </c>
      <c r="M2311" s="11">
        <v>44868.266331018516</v>
      </c>
      <c r="N2311" s="5" t="s">
        <v>64</v>
      </c>
      <c r="O2311" s="5"/>
      <c r="P2311" s="9">
        <v>44873.266331018516</v>
      </c>
      <c r="Q2311" s="5" t="s">
        <v>64</v>
      </c>
      <c r="R2311" s="9">
        <v>44870.266331018516</v>
      </c>
      <c r="S2311" s="9">
        <v>44874.266331018516</v>
      </c>
      <c r="T2311" s="9">
        <v>44869.266331018516</v>
      </c>
      <c r="U2311" s="9">
        <v>44879.266331018516</v>
      </c>
      <c r="V2311" s="12">
        <v>1</v>
      </c>
      <c r="W2311" s="9">
        <v>44883.266331018516</v>
      </c>
      <c r="X2311" s="9">
        <v>44884.266331018516</v>
      </c>
      <c r="Y2311" s="9">
        <v>44885.266331018516</v>
      </c>
      <c r="Z2311" s="5"/>
      <c r="AA2311" s="5"/>
      <c r="AB2311" s="13">
        <v>44901.266331018516</v>
      </c>
      <c r="AC2311">
        <f t="shared" si="325"/>
        <v>15</v>
      </c>
      <c r="AD2311">
        <f t="shared" si="326"/>
        <v>21</v>
      </c>
      <c r="AE2311">
        <f t="shared" si="327"/>
        <v>1</v>
      </c>
      <c r="AF2311">
        <f t="shared" si="328"/>
        <v>5</v>
      </c>
      <c r="AG2311">
        <f t="shared" si="329"/>
        <v>4</v>
      </c>
      <c r="AH2311">
        <f t="shared" si="330"/>
        <v>4</v>
      </c>
      <c r="AI2311" t="str">
        <f t="shared" si="331"/>
        <v/>
      </c>
      <c r="AJ2311" t="str">
        <f t="shared" si="332"/>
        <v/>
      </c>
    </row>
    <row r="2312" spans="1:36">
      <c r="A2312" s="5">
        <v>2868</v>
      </c>
      <c r="B2312" s="5" t="s">
        <v>153</v>
      </c>
      <c r="C2312" s="5" t="s">
        <v>100</v>
      </c>
      <c r="D2312" s="5" t="s">
        <v>146</v>
      </c>
      <c r="E2312" s="5" t="s">
        <v>39</v>
      </c>
      <c r="F2312" s="5" t="str">
        <f t="shared" si="324"/>
        <v>Program Office-Analyst</v>
      </c>
      <c r="G2312" s="5" t="s">
        <v>147</v>
      </c>
      <c r="H2312" s="9">
        <v>44847.266331018516</v>
      </c>
      <c r="I2312" s="9">
        <v>44851.266331018516</v>
      </c>
      <c r="J2312" s="9" t="e">
        <f>I2312+#REF!</f>
        <v>#REF!</v>
      </c>
      <c r="K2312" s="9" t="e">
        <f>J2312+#REF!</f>
        <v>#REF!</v>
      </c>
      <c r="L2312" s="10" t="s">
        <v>52</v>
      </c>
      <c r="M2312" s="11"/>
      <c r="N2312" s="5"/>
      <c r="O2312" s="5"/>
      <c r="P2312" s="9"/>
      <c r="Q2312" s="5"/>
      <c r="R2312" s="5"/>
      <c r="S2312" s="5"/>
      <c r="T2312" s="9"/>
      <c r="U2312" s="5"/>
      <c r="V2312" s="5">
        <v>0</v>
      </c>
      <c r="W2312" s="5"/>
      <c r="X2312" s="5"/>
      <c r="Y2312" s="5"/>
      <c r="Z2312" s="5"/>
      <c r="AA2312" s="5"/>
      <c r="AC2312" t="str">
        <f t="shared" si="325"/>
        <v/>
      </c>
      <c r="AD2312" t="str">
        <f t="shared" si="326"/>
        <v/>
      </c>
      <c r="AE2312" t="str">
        <f t="shared" si="327"/>
        <v/>
      </c>
      <c r="AF2312" t="str">
        <f t="shared" si="328"/>
        <v/>
      </c>
      <c r="AG2312" t="str">
        <f t="shared" si="329"/>
        <v/>
      </c>
      <c r="AH2312">
        <f t="shared" si="330"/>
        <v>4</v>
      </c>
      <c r="AI2312" t="str">
        <f t="shared" si="331"/>
        <v/>
      </c>
      <c r="AJ2312" t="str">
        <f t="shared" si="332"/>
        <v/>
      </c>
    </row>
    <row r="2313" spans="1:36">
      <c r="A2313" s="5">
        <v>2869</v>
      </c>
      <c r="B2313" s="5" t="s">
        <v>106</v>
      </c>
      <c r="C2313" s="5" t="s">
        <v>100</v>
      </c>
      <c r="D2313" s="5" t="s">
        <v>101</v>
      </c>
      <c r="E2313" s="5" t="s">
        <v>102</v>
      </c>
      <c r="F2313" s="5" t="str">
        <f t="shared" si="324"/>
        <v>Program Office-Senior Manager</v>
      </c>
      <c r="G2313" s="5" t="s">
        <v>103</v>
      </c>
      <c r="H2313" s="9">
        <v>44851.266331018516</v>
      </c>
      <c r="I2313" s="9">
        <v>44852.266331018516</v>
      </c>
      <c r="J2313" s="9" t="e">
        <f>I2313+#REF!</f>
        <v>#REF!</v>
      </c>
      <c r="K2313" s="9" t="e">
        <f>J2313+#REF!</f>
        <v>#REF!</v>
      </c>
      <c r="L2313" s="10" t="s">
        <v>41</v>
      </c>
      <c r="M2313" s="11">
        <v>44859.266331018516</v>
      </c>
      <c r="N2313" s="5" t="s">
        <v>42</v>
      </c>
      <c r="O2313" s="5" t="s">
        <v>43</v>
      </c>
      <c r="P2313" s="9"/>
      <c r="Q2313" s="5"/>
      <c r="R2313" s="5"/>
      <c r="S2313" s="5"/>
      <c r="T2313" s="9">
        <v>44860.266331018516</v>
      </c>
      <c r="U2313" s="5"/>
      <c r="V2313" s="5">
        <v>0</v>
      </c>
      <c r="W2313" s="5"/>
      <c r="X2313" s="5"/>
      <c r="Y2313" s="5"/>
      <c r="Z2313" s="5"/>
      <c r="AA2313" s="5" t="s">
        <v>44</v>
      </c>
      <c r="AC2313">
        <f t="shared" si="325"/>
        <v>7</v>
      </c>
      <c r="AD2313" t="str">
        <f t="shared" si="326"/>
        <v/>
      </c>
      <c r="AE2313">
        <f t="shared" si="327"/>
        <v>1</v>
      </c>
      <c r="AF2313" t="str">
        <f t="shared" si="328"/>
        <v/>
      </c>
      <c r="AG2313" t="str">
        <f t="shared" si="329"/>
        <v/>
      </c>
      <c r="AH2313">
        <f t="shared" si="330"/>
        <v>1</v>
      </c>
      <c r="AI2313" t="str">
        <f t="shared" si="331"/>
        <v/>
      </c>
      <c r="AJ2313" t="str">
        <f t="shared" si="332"/>
        <v/>
      </c>
    </row>
    <row r="2314" spans="1:36">
      <c r="A2314" s="5">
        <v>2871</v>
      </c>
      <c r="B2314" s="5" t="s">
        <v>898</v>
      </c>
      <c r="C2314" s="5" t="s">
        <v>796</v>
      </c>
      <c r="D2314" s="5" t="s">
        <v>893</v>
      </c>
      <c r="E2314" s="5" t="s">
        <v>269</v>
      </c>
      <c r="F2314" s="5" t="str">
        <f t="shared" si="324"/>
        <v>M and E-Manager</v>
      </c>
      <c r="G2314" s="5" t="s">
        <v>270</v>
      </c>
      <c r="H2314" s="9">
        <v>45119.164652777778</v>
      </c>
      <c r="I2314" s="9">
        <v>45120.164652777778</v>
      </c>
      <c r="J2314" s="9" t="e">
        <f>I2314+#REF!</f>
        <v>#REF!</v>
      </c>
      <c r="K2314" s="9" t="e">
        <f>J2314+#REF!</f>
        <v>#REF!</v>
      </c>
      <c r="L2314" s="10" t="s">
        <v>41</v>
      </c>
      <c r="M2314" s="11">
        <v>45128.164652777778</v>
      </c>
      <c r="N2314" s="5" t="s">
        <v>64</v>
      </c>
      <c r="O2314" s="5"/>
      <c r="P2314" s="9">
        <v>45136.164652777778</v>
      </c>
      <c r="Q2314" s="5" t="s">
        <v>64</v>
      </c>
      <c r="R2314" s="9">
        <v>45130.164652777778</v>
      </c>
      <c r="S2314" s="9">
        <v>45134.164652777778</v>
      </c>
      <c r="T2314" s="9">
        <v>45132.164652777778</v>
      </c>
      <c r="U2314" s="9">
        <v>45138.164652777778</v>
      </c>
      <c r="V2314" s="12">
        <v>1</v>
      </c>
      <c r="W2314" s="9">
        <v>45142.164652777778</v>
      </c>
      <c r="X2314" s="9">
        <v>45144.164652777778</v>
      </c>
      <c r="Y2314" s="9">
        <v>45147.164652777778</v>
      </c>
      <c r="Z2314" s="5"/>
      <c r="AA2314" s="5"/>
      <c r="AB2314" s="13">
        <v>45166.164652777778</v>
      </c>
      <c r="AC2314">
        <f t="shared" si="325"/>
        <v>8</v>
      </c>
      <c r="AD2314">
        <f t="shared" si="326"/>
        <v>14</v>
      </c>
      <c r="AE2314">
        <f t="shared" si="327"/>
        <v>4</v>
      </c>
      <c r="AF2314">
        <f t="shared" si="328"/>
        <v>6</v>
      </c>
      <c r="AG2314">
        <f t="shared" si="329"/>
        <v>4</v>
      </c>
      <c r="AH2314">
        <f t="shared" si="330"/>
        <v>1</v>
      </c>
      <c r="AI2314" t="str">
        <f t="shared" si="331"/>
        <v/>
      </c>
      <c r="AJ2314" t="str">
        <f t="shared" si="332"/>
        <v/>
      </c>
    </row>
    <row r="2315" spans="1:36">
      <c r="A2315" s="5">
        <v>2872</v>
      </c>
      <c r="B2315" s="5" t="s">
        <v>818</v>
      </c>
      <c r="C2315" s="5" t="s">
        <v>796</v>
      </c>
      <c r="D2315" s="5" t="s">
        <v>814</v>
      </c>
      <c r="E2315" s="5" t="s">
        <v>815</v>
      </c>
      <c r="F2315" s="5" t="str">
        <f t="shared" si="324"/>
        <v>M and E-Auditor</v>
      </c>
      <c r="G2315" s="5" t="s">
        <v>147</v>
      </c>
      <c r="H2315" s="9">
        <v>45117.164652777778</v>
      </c>
      <c r="I2315" s="9">
        <v>45118.164652777778</v>
      </c>
      <c r="J2315" s="9" t="e">
        <f>I2315+#REF!</f>
        <v>#REF!</v>
      </c>
      <c r="K2315" s="9" t="e">
        <f>J2315+#REF!</f>
        <v>#REF!</v>
      </c>
      <c r="L2315" s="10" t="s">
        <v>41</v>
      </c>
      <c r="M2315" s="11">
        <v>45129.164652777778</v>
      </c>
      <c r="N2315" s="5" t="s">
        <v>42</v>
      </c>
      <c r="O2315" s="5" t="s">
        <v>43</v>
      </c>
      <c r="P2315" s="9"/>
      <c r="Q2315" s="5"/>
      <c r="R2315" s="5"/>
      <c r="S2315" s="5"/>
      <c r="T2315" s="9"/>
      <c r="U2315" s="5"/>
      <c r="V2315" s="5">
        <v>0</v>
      </c>
      <c r="W2315" s="5"/>
      <c r="X2315" s="5"/>
      <c r="Y2315" s="5"/>
      <c r="Z2315" s="5"/>
      <c r="AA2315" s="5" t="s">
        <v>62</v>
      </c>
      <c r="AC2315">
        <f t="shared" si="325"/>
        <v>11</v>
      </c>
      <c r="AD2315" t="str">
        <f t="shared" si="326"/>
        <v/>
      </c>
      <c r="AE2315" t="str">
        <f t="shared" si="327"/>
        <v/>
      </c>
      <c r="AF2315" t="str">
        <f t="shared" si="328"/>
        <v/>
      </c>
      <c r="AG2315" t="str">
        <f t="shared" si="329"/>
        <v/>
      </c>
      <c r="AH2315">
        <f t="shared" si="330"/>
        <v>1</v>
      </c>
      <c r="AI2315" t="str">
        <f t="shared" si="331"/>
        <v/>
      </c>
      <c r="AJ2315" t="str">
        <f t="shared" si="332"/>
        <v/>
      </c>
    </row>
    <row r="2316" spans="1:36">
      <c r="A2316" s="5">
        <v>2873</v>
      </c>
      <c r="B2316" s="5" t="s">
        <v>817</v>
      </c>
      <c r="C2316" s="5" t="s">
        <v>796</v>
      </c>
      <c r="D2316" s="5" t="s">
        <v>814</v>
      </c>
      <c r="E2316" s="5" t="s">
        <v>815</v>
      </c>
      <c r="F2316" s="5" t="str">
        <f t="shared" si="324"/>
        <v>M and E-Auditor</v>
      </c>
      <c r="G2316" s="5" t="s">
        <v>147</v>
      </c>
      <c r="H2316" s="9">
        <v>45111.164652777778</v>
      </c>
      <c r="I2316" s="9">
        <v>45115.164652777778</v>
      </c>
      <c r="J2316" s="9" t="e">
        <f>I2316+#REF!</f>
        <v>#REF!</v>
      </c>
      <c r="K2316" s="9" t="e">
        <f>J2316+#REF!</f>
        <v>#REF!</v>
      </c>
      <c r="L2316" s="10" t="s">
        <v>41</v>
      </c>
      <c r="M2316" s="11">
        <v>45123.164652777778</v>
      </c>
      <c r="N2316" s="5" t="s">
        <v>42</v>
      </c>
      <c r="O2316" s="5" t="s">
        <v>98</v>
      </c>
      <c r="P2316" s="9"/>
      <c r="Q2316" s="5"/>
      <c r="R2316" s="5"/>
      <c r="S2316" s="5"/>
      <c r="T2316" s="9">
        <v>45127.164652777778</v>
      </c>
      <c r="U2316" s="5"/>
      <c r="V2316" s="5">
        <v>0</v>
      </c>
      <c r="W2316" s="5"/>
      <c r="X2316" s="5"/>
      <c r="Y2316" s="5"/>
      <c r="Z2316" s="5"/>
      <c r="AA2316" s="5" t="s">
        <v>44</v>
      </c>
      <c r="AC2316">
        <f t="shared" si="325"/>
        <v>8</v>
      </c>
      <c r="AD2316" t="str">
        <f t="shared" si="326"/>
        <v/>
      </c>
      <c r="AE2316">
        <f t="shared" si="327"/>
        <v>4</v>
      </c>
      <c r="AF2316" t="str">
        <f t="shared" si="328"/>
        <v/>
      </c>
      <c r="AG2316" t="str">
        <f t="shared" si="329"/>
        <v/>
      </c>
      <c r="AH2316">
        <f t="shared" si="330"/>
        <v>4</v>
      </c>
      <c r="AI2316" t="str">
        <f t="shared" si="331"/>
        <v/>
      </c>
      <c r="AJ2316" t="str">
        <f t="shared" si="332"/>
        <v/>
      </c>
    </row>
    <row r="2317" spans="1:36">
      <c r="A2317" s="5">
        <v>2874</v>
      </c>
      <c r="B2317" s="5" t="s">
        <v>1047</v>
      </c>
      <c r="C2317" s="5" t="s">
        <v>796</v>
      </c>
      <c r="D2317" s="5" t="s">
        <v>1046</v>
      </c>
      <c r="E2317" s="5" t="s">
        <v>388</v>
      </c>
      <c r="F2317" s="5" t="str">
        <f t="shared" si="324"/>
        <v>M and E-Extension Officer</v>
      </c>
      <c r="G2317" s="5" t="s">
        <v>47</v>
      </c>
      <c r="H2317" s="9">
        <v>45113.164652777778</v>
      </c>
      <c r="I2317" s="9">
        <v>45116.164652777778</v>
      </c>
      <c r="J2317" s="9" t="e">
        <f>I2317+#REF!</f>
        <v>#REF!</v>
      </c>
      <c r="K2317" s="9" t="e">
        <f>J2317+#REF!</f>
        <v>#REF!</v>
      </c>
      <c r="L2317" s="10" t="s">
        <v>41</v>
      </c>
      <c r="M2317" s="11">
        <v>45125.164652777778</v>
      </c>
      <c r="N2317" s="5" t="s">
        <v>48</v>
      </c>
      <c r="O2317" s="5"/>
      <c r="P2317" s="9">
        <v>45130.164652777778</v>
      </c>
      <c r="Q2317" s="5" t="s">
        <v>48</v>
      </c>
      <c r="R2317" s="5"/>
      <c r="S2317" s="5"/>
      <c r="T2317" s="9">
        <v>45126.164652777778</v>
      </c>
      <c r="U2317" s="5"/>
      <c r="V2317" s="5">
        <v>0</v>
      </c>
      <c r="W2317" s="5"/>
      <c r="X2317" s="5"/>
      <c r="Y2317" s="5"/>
      <c r="Z2317" s="5"/>
      <c r="AA2317" s="5"/>
      <c r="AC2317">
        <f t="shared" si="325"/>
        <v>9</v>
      </c>
      <c r="AD2317" t="str">
        <f t="shared" si="326"/>
        <v/>
      </c>
      <c r="AE2317">
        <f t="shared" si="327"/>
        <v>1</v>
      </c>
      <c r="AF2317" t="str">
        <f t="shared" si="328"/>
        <v/>
      </c>
      <c r="AG2317" t="str">
        <f t="shared" si="329"/>
        <v/>
      </c>
      <c r="AH2317">
        <f t="shared" si="330"/>
        <v>3</v>
      </c>
      <c r="AI2317" t="str">
        <f t="shared" si="331"/>
        <v/>
      </c>
      <c r="AJ2317" t="str">
        <f t="shared" si="332"/>
        <v/>
      </c>
    </row>
    <row r="2318" spans="1:36">
      <c r="A2318" s="5">
        <v>2875</v>
      </c>
      <c r="B2318" s="5" t="s">
        <v>897</v>
      </c>
      <c r="C2318" s="5" t="s">
        <v>796</v>
      </c>
      <c r="D2318" s="5" t="s">
        <v>893</v>
      </c>
      <c r="E2318" s="5" t="s">
        <v>269</v>
      </c>
      <c r="F2318" s="5" t="str">
        <f t="shared" si="324"/>
        <v>M and E-Manager</v>
      </c>
      <c r="G2318" s="5" t="s">
        <v>270</v>
      </c>
      <c r="H2318" s="9">
        <v>45114.164652777778</v>
      </c>
      <c r="I2318" s="9">
        <v>45115.164652777778</v>
      </c>
      <c r="J2318" s="9" t="e">
        <f>I2318+#REF!</f>
        <v>#REF!</v>
      </c>
      <c r="K2318" s="9" t="e">
        <f>J2318+#REF!</f>
        <v>#REF!</v>
      </c>
      <c r="L2318" s="10" t="s">
        <v>52</v>
      </c>
      <c r="M2318" s="11"/>
      <c r="N2318" s="5"/>
      <c r="O2318" s="5"/>
      <c r="P2318" s="9"/>
      <c r="Q2318" s="5"/>
      <c r="R2318" s="5"/>
      <c r="S2318" s="5"/>
      <c r="T2318" s="9"/>
      <c r="U2318" s="5"/>
      <c r="V2318" s="5">
        <v>0</v>
      </c>
      <c r="W2318" s="5"/>
      <c r="X2318" s="5"/>
      <c r="Y2318" s="5"/>
      <c r="Z2318" s="5"/>
      <c r="AA2318" s="5"/>
      <c r="AC2318" t="str">
        <f t="shared" si="325"/>
        <v/>
      </c>
      <c r="AD2318" t="str">
        <f t="shared" si="326"/>
        <v/>
      </c>
      <c r="AE2318" t="str">
        <f t="shared" si="327"/>
        <v/>
      </c>
      <c r="AF2318" t="str">
        <f t="shared" si="328"/>
        <v/>
      </c>
      <c r="AG2318" t="str">
        <f t="shared" si="329"/>
        <v/>
      </c>
      <c r="AH2318">
        <f t="shared" si="330"/>
        <v>1</v>
      </c>
      <c r="AI2318" t="str">
        <f t="shared" si="331"/>
        <v/>
      </c>
      <c r="AJ2318" t="str">
        <f t="shared" si="332"/>
        <v/>
      </c>
    </row>
    <row r="2319" spans="1:36">
      <c r="A2319" s="5">
        <v>2876</v>
      </c>
      <c r="B2319" s="5" t="s">
        <v>896</v>
      </c>
      <c r="C2319" s="5" t="s">
        <v>796</v>
      </c>
      <c r="D2319" s="5" t="s">
        <v>893</v>
      </c>
      <c r="E2319" s="5" t="s">
        <v>269</v>
      </c>
      <c r="F2319" s="5" t="str">
        <f t="shared" si="324"/>
        <v>M and E-Manager</v>
      </c>
      <c r="G2319" s="5" t="s">
        <v>270</v>
      </c>
      <c r="H2319" s="9">
        <v>45118.164652777778</v>
      </c>
      <c r="I2319" s="9">
        <v>45119.164652777778</v>
      </c>
      <c r="J2319" s="9" t="e">
        <f>I2319+#REF!</f>
        <v>#REF!</v>
      </c>
      <c r="K2319" s="9" t="e">
        <f>J2319+#REF!</f>
        <v>#REF!</v>
      </c>
      <c r="L2319" s="10" t="s">
        <v>41</v>
      </c>
      <c r="M2319" s="11">
        <v>45134.164652777778</v>
      </c>
      <c r="N2319" s="5" t="s">
        <v>48</v>
      </c>
      <c r="O2319" s="5"/>
      <c r="P2319" s="9">
        <v>45140.164652777778</v>
      </c>
      <c r="Q2319" s="5" t="s">
        <v>48</v>
      </c>
      <c r="R2319" s="5"/>
      <c r="S2319" s="5"/>
      <c r="T2319" s="9">
        <v>45138.164652777778</v>
      </c>
      <c r="U2319" s="5"/>
      <c r="V2319" s="5">
        <v>0</v>
      </c>
      <c r="W2319" s="5"/>
      <c r="X2319" s="5"/>
      <c r="Y2319" s="5"/>
      <c r="Z2319" s="5"/>
      <c r="AA2319" s="5"/>
      <c r="AC2319">
        <f t="shared" si="325"/>
        <v>15</v>
      </c>
      <c r="AD2319" t="str">
        <f t="shared" si="326"/>
        <v/>
      </c>
      <c r="AE2319">
        <f t="shared" si="327"/>
        <v>4</v>
      </c>
      <c r="AF2319" t="str">
        <f t="shared" si="328"/>
        <v/>
      </c>
      <c r="AG2319" t="str">
        <f t="shared" si="329"/>
        <v/>
      </c>
      <c r="AH2319">
        <f t="shared" si="330"/>
        <v>1</v>
      </c>
      <c r="AI2319" t="str">
        <f t="shared" si="331"/>
        <v/>
      </c>
      <c r="AJ2319" t="str">
        <f t="shared" si="332"/>
        <v/>
      </c>
    </row>
    <row r="2320" spans="1:36">
      <c r="A2320" s="5">
        <v>2878</v>
      </c>
      <c r="B2320" s="5" t="s">
        <v>1045</v>
      </c>
      <c r="C2320" s="5" t="s">
        <v>796</v>
      </c>
      <c r="D2320" s="5" t="s">
        <v>1046</v>
      </c>
      <c r="E2320" s="5" t="s">
        <v>388</v>
      </c>
      <c r="F2320" s="5" t="str">
        <f t="shared" si="324"/>
        <v>M and E-Extension Officer</v>
      </c>
      <c r="G2320" s="5" t="s">
        <v>47</v>
      </c>
      <c r="H2320" s="9">
        <v>45114.164652777778</v>
      </c>
      <c r="I2320" s="9">
        <v>45115.164652777778</v>
      </c>
      <c r="J2320" s="9" t="e">
        <f>I2320+#REF!</f>
        <v>#REF!</v>
      </c>
      <c r="K2320" s="9" t="e">
        <f>J2320+#REF!</f>
        <v>#REF!</v>
      </c>
      <c r="L2320" s="10" t="s">
        <v>41</v>
      </c>
      <c r="M2320" s="11">
        <v>45125.164652777778</v>
      </c>
      <c r="N2320" s="5" t="s">
        <v>42</v>
      </c>
      <c r="O2320" s="5" t="s">
        <v>113</v>
      </c>
      <c r="P2320" s="9"/>
      <c r="Q2320" s="5"/>
      <c r="R2320" s="5"/>
      <c r="S2320" s="5"/>
      <c r="T2320" s="9">
        <v>45128.164652777778</v>
      </c>
      <c r="U2320" s="5"/>
      <c r="V2320" s="5">
        <v>0</v>
      </c>
      <c r="W2320" s="5"/>
      <c r="X2320" s="5"/>
      <c r="Y2320" s="5"/>
      <c r="Z2320" s="5"/>
      <c r="AA2320" s="5" t="s">
        <v>62</v>
      </c>
      <c r="AC2320">
        <f t="shared" si="325"/>
        <v>10</v>
      </c>
      <c r="AD2320" t="str">
        <f t="shared" si="326"/>
        <v/>
      </c>
      <c r="AE2320">
        <f t="shared" si="327"/>
        <v>3</v>
      </c>
      <c r="AF2320" t="str">
        <f t="shared" si="328"/>
        <v/>
      </c>
      <c r="AG2320" t="str">
        <f t="shared" si="329"/>
        <v/>
      </c>
      <c r="AH2320">
        <f t="shared" si="330"/>
        <v>1</v>
      </c>
      <c r="AI2320" t="str">
        <f t="shared" si="331"/>
        <v/>
      </c>
      <c r="AJ2320" t="str">
        <f t="shared" si="332"/>
        <v/>
      </c>
    </row>
    <row r="2321" spans="1:36">
      <c r="A2321" s="5">
        <v>2880</v>
      </c>
      <c r="B2321" s="5" t="s">
        <v>895</v>
      </c>
      <c r="C2321" s="5" t="s">
        <v>796</v>
      </c>
      <c r="D2321" s="5" t="s">
        <v>893</v>
      </c>
      <c r="E2321" s="5" t="s">
        <v>269</v>
      </c>
      <c r="F2321" s="5" t="str">
        <f t="shared" si="324"/>
        <v>M and E-Manager</v>
      </c>
      <c r="G2321" s="5" t="s">
        <v>270</v>
      </c>
      <c r="H2321" s="9">
        <v>45117.164652777778</v>
      </c>
      <c r="I2321" s="9">
        <v>45119.164652777778</v>
      </c>
      <c r="J2321" s="9" t="e">
        <f>I2321+#REF!</f>
        <v>#REF!</v>
      </c>
      <c r="K2321" s="9" t="e">
        <f>J2321+#REF!</f>
        <v>#REF!</v>
      </c>
      <c r="L2321" s="10" t="s">
        <v>41</v>
      </c>
      <c r="M2321" s="11">
        <v>45131.164652777778</v>
      </c>
      <c r="N2321" s="5" t="s">
        <v>64</v>
      </c>
      <c r="O2321" s="5"/>
      <c r="P2321" s="9">
        <v>45137.164652777778</v>
      </c>
      <c r="Q2321" s="5" t="s">
        <v>64</v>
      </c>
      <c r="R2321" s="9">
        <v>45132.164652777778</v>
      </c>
      <c r="S2321" s="9">
        <v>45133.164652777778</v>
      </c>
      <c r="T2321" s="9">
        <v>45134.164652777778</v>
      </c>
      <c r="U2321" s="9">
        <v>45136.164652777778</v>
      </c>
      <c r="V2321" s="12">
        <v>1</v>
      </c>
      <c r="W2321" s="9">
        <v>45138.164652777778</v>
      </c>
      <c r="X2321" s="9">
        <v>45139.164652777778</v>
      </c>
      <c r="Y2321" s="9">
        <v>45140.164652777778</v>
      </c>
      <c r="Z2321" s="5"/>
      <c r="AA2321" s="5"/>
      <c r="AB2321" s="13">
        <v>45150.164652777778</v>
      </c>
      <c r="AC2321">
        <f t="shared" si="325"/>
        <v>12</v>
      </c>
      <c r="AD2321">
        <f t="shared" si="326"/>
        <v>14</v>
      </c>
      <c r="AE2321">
        <f t="shared" si="327"/>
        <v>3</v>
      </c>
      <c r="AF2321">
        <f t="shared" si="328"/>
        <v>3</v>
      </c>
      <c r="AG2321">
        <f t="shared" si="329"/>
        <v>2</v>
      </c>
      <c r="AH2321">
        <f t="shared" si="330"/>
        <v>2</v>
      </c>
      <c r="AI2321" t="str">
        <f t="shared" si="331"/>
        <v/>
      </c>
      <c r="AJ2321" t="str">
        <f t="shared" si="332"/>
        <v/>
      </c>
    </row>
    <row r="2322" spans="1:36">
      <c r="A2322" s="5">
        <v>2881</v>
      </c>
      <c r="B2322" s="5" t="s">
        <v>560</v>
      </c>
      <c r="C2322" s="5" t="s">
        <v>100</v>
      </c>
      <c r="D2322" s="5" t="s">
        <v>554</v>
      </c>
      <c r="E2322" s="5" t="s">
        <v>39</v>
      </c>
      <c r="F2322" s="5" t="str">
        <f t="shared" si="324"/>
        <v>Program Office-Analyst</v>
      </c>
      <c r="G2322" s="5" t="s">
        <v>47</v>
      </c>
      <c r="H2322" s="9">
        <v>44854.066979166666</v>
      </c>
      <c r="I2322" s="9">
        <v>44857.066979166666</v>
      </c>
      <c r="J2322" s="9" t="e">
        <f>I2322+#REF!</f>
        <v>#REF!</v>
      </c>
      <c r="K2322" s="9" t="e">
        <f>J2322+#REF!</f>
        <v>#REF!</v>
      </c>
      <c r="L2322" s="10" t="s">
        <v>41</v>
      </c>
      <c r="M2322" s="11">
        <v>44877.066979166666</v>
      </c>
      <c r="N2322" s="5" t="s">
        <v>64</v>
      </c>
      <c r="O2322" s="5"/>
      <c r="P2322" s="9">
        <v>44881.066979166666</v>
      </c>
      <c r="Q2322" s="5" t="s">
        <v>64</v>
      </c>
      <c r="R2322" s="9">
        <v>44879.066979166666</v>
      </c>
      <c r="S2322" s="9">
        <v>44881.066979166666</v>
      </c>
      <c r="T2322" s="9">
        <v>44879.066979166666</v>
      </c>
      <c r="U2322" s="9">
        <v>44886.066979166666</v>
      </c>
      <c r="V2322" s="12">
        <v>1</v>
      </c>
      <c r="W2322" s="9">
        <v>44890.066979166666</v>
      </c>
      <c r="X2322" s="9">
        <v>44891.066979166666</v>
      </c>
      <c r="Y2322" s="9">
        <v>44893.066979166666</v>
      </c>
      <c r="Z2322" s="5"/>
      <c r="AA2322" s="5"/>
      <c r="AB2322" s="13">
        <v>44907.066979166666</v>
      </c>
      <c r="AC2322">
        <f t="shared" si="325"/>
        <v>20</v>
      </c>
      <c r="AD2322">
        <f t="shared" si="326"/>
        <v>24</v>
      </c>
      <c r="AE2322">
        <f t="shared" si="327"/>
        <v>2</v>
      </c>
      <c r="AF2322">
        <f t="shared" si="328"/>
        <v>5</v>
      </c>
      <c r="AG2322">
        <f t="shared" si="329"/>
        <v>4</v>
      </c>
      <c r="AH2322">
        <f t="shared" si="330"/>
        <v>3</v>
      </c>
      <c r="AI2322" t="str">
        <f t="shared" si="331"/>
        <v/>
      </c>
      <c r="AJ2322" t="str">
        <f t="shared" si="332"/>
        <v/>
      </c>
    </row>
    <row r="2323" spans="1:36">
      <c r="A2323" s="5">
        <v>2882</v>
      </c>
      <c r="B2323" s="5" t="s">
        <v>152</v>
      </c>
      <c r="C2323" s="5" t="s">
        <v>100</v>
      </c>
      <c r="D2323" s="5" t="s">
        <v>146</v>
      </c>
      <c r="E2323" s="5" t="s">
        <v>39</v>
      </c>
      <c r="F2323" s="5" t="str">
        <f t="shared" si="324"/>
        <v>Program Office-Analyst</v>
      </c>
      <c r="G2323" s="5" t="s">
        <v>147</v>
      </c>
      <c r="H2323" s="9">
        <v>44861.066979166666</v>
      </c>
      <c r="I2323" s="9">
        <v>44862.066979166666</v>
      </c>
      <c r="J2323" s="9" t="e">
        <f>I2323+#REF!</f>
        <v>#REF!</v>
      </c>
      <c r="K2323" s="9" t="e">
        <f>J2323+#REF!</f>
        <v>#REF!</v>
      </c>
      <c r="L2323" s="10" t="s">
        <v>41</v>
      </c>
      <c r="M2323" s="11">
        <v>44870.066979166666</v>
      </c>
      <c r="N2323" s="5" t="s">
        <v>42</v>
      </c>
      <c r="O2323" s="5" t="s">
        <v>73</v>
      </c>
      <c r="P2323" s="9"/>
      <c r="Q2323" s="5"/>
      <c r="R2323" s="5"/>
      <c r="S2323" s="5"/>
      <c r="T2323" s="9"/>
      <c r="U2323" s="5"/>
      <c r="V2323" s="5">
        <v>0</v>
      </c>
      <c r="W2323" s="5"/>
      <c r="X2323" s="5"/>
      <c r="Y2323" s="5"/>
      <c r="Z2323" s="5"/>
      <c r="AA2323" s="5" t="s">
        <v>62</v>
      </c>
      <c r="AC2323">
        <f t="shared" si="325"/>
        <v>8</v>
      </c>
      <c r="AD2323" t="str">
        <f t="shared" si="326"/>
        <v/>
      </c>
      <c r="AE2323" t="str">
        <f t="shared" si="327"/>
        <v/>
      </c>
      <c r="AF2323" t="str">
        <f t="shared" si="328"/>
        <v/>
      </c>
      <c r="AG2323" t="str">
        <f t="shared" si="329"/>
        <v/>
      </c>
      <c r="AH2323">
        <f t="shared" si="330"/>
        <v>1</v>
      </c>
      <c r="AI2323" t="str">
        <f t="shared" si="331"/>
        <v/>
      </c>
      <c r="AJ2323" t="str">
        <f t="shared" si="332"/>
        <v/>
      </c>
    </row>
    <row r="2324" spans="1:36">
      <c r="A2324" s="5">
        <v>2884</v>
      </c>
      <c r="B2324" s="5" t="s">
        <v>559</v>
      </c>
      <c r="C2324" s="5" t="s">
        <v>100</v>
      </c>
      <c r="D2324" s="5" t="s">
        <v>554</v>
      </c>
      <c r="E2324" s="5" t="s">
        <v>39</v>
      </c>
      <c r="F2324" s="5" t="str">
        <f t="shared" si="324"/>
        <v>Program Office-Analyst</v>
      </c>
      <c r="G2324" s="5" t="s">
        <v>47</v>
      </c>
      <c r="H2324" s="9">
        <v>44856.066979166666</v>
      </c>
      <c r="I2324" s="9">
        <v>44858.066979166666</v>
      </c>
      <c r="J2324" s="9" t="e">
        <f>I2324+#REF!</f>
        <v>#REF!</v>
      </c>
      <c r="K2324" s="9" t="e">
        <f>J2324+#REF!</f>
        <v>#REF!</v>
      </c>
      <c r="L2324" s="10" t="s">
        <v>52</v>
      </c>
      <c r="M2324" s="11"/>
      <c r="N2324" s="5"/>
      <c r="O2324" s="5"/>
      <c r="P2324" s="9"/>
      <c r="Q2324" s="5"/>
      <c r="R2324" s="5"/>
      <c r="S2324" s="5"/>
      <c r="T2324" s="9"/>
      <c r="U2324" s="5"/>
      <c r="V2324" s="5">
        <v>0</v>
      </c>
      <c r="W2324" s="5"/>
      <c r="X2324" s="5"/>
      <c r="Y2324" s="5"/>
      <c r="Z2324" s="5"/>
      <c r="AA2324" s="5"/>
      <c r="AC2324" t="str">
        <f t="shared" si="325"/>
        <v/>
      </c>
      <c r="AD2324" t="str">
        <f t="shared" si="326"/>
        <v/>
      </c>
      <c r="AE2324" t="str">
        <f t="shared" si="327"/>
        <v/>
      </c>
      <c r="AF2324" t="str">
        <f t="shared" si="328"/>
        <v/>
      </c>
      <c r="AG2324" t="str">
        <f t="shared" si="329"/>
        <v/>
      </c>
      <c r="AH2324">
        <f t="shared" si="330"/>
        <v>2</v>
      </c>
      <c r="AI2324" t="str">
        <f t="shared" si="331"/>
        <v/>
      </c>
      <c r="AJ2324" t="str">
        <f t="shared" si="332"/>
        <v/>
      </c>
    </row>
    <row r="2325" spans="1:36">
      <c r="A2325" s="5">
        <v>2885</v>
      </c>
      <c r="B2325" s="5" t="s">
        <v>558</v>
      </c>
      <c r="C2325" s="5" t="s">
        <v>100</v>
      </c>
      <c r="D2325" s="5" t="s">
        <v>554</v>
      </c>
      <c r="E2325" s="5" t="s">
        <v>39</v>
      </c>
      <c r="F2325" s="5" t="str">
        <f t="shared" si="324"/>
        <v>Program Office-Analyst</v>
      </c>
      <c r="G2325" s="5" t="s">
        <v>47</v>
      </c>
      <c r="H2325" s="9">
        <v>44854.066979166666</v>
      </c>
      <c r="I2325" s="9">
        <v>44858.066979166666</v>
      </c>
      <c r="J2325" s="9" t="e">
        <f>I2325+#REF!</f>
        <v>#REF!</v>
      </c>
      <c r="K2325" s="9" t="e">
        <f>J2325+#REF!</f>
        <v>#REF!</v>
      </c>
      <c r="L2325" s="10" t="s">
        <v>41</v>
      </c>
      <c r="M2325" s="11">
        <v>44880.066979166666</v>
      </c>
      <c r="N2325" s="5" t="s">
        <v>64</v>
      </c>
      <c r="O2325" s="5"/>
      <c r="P2325" s="9">
        <v>44887.066979166666</v>
      </c>
      <c r="Q2325" s="5" t="s">
        <v>64</v>
      </c>
      <c r="R2325" s="9">
        <v>44881.066979166666</v>
      </c>
      <c r="S2325" s="9">
        <v>44883.066979166666</v>
      </c>
      <c r="T2325" s="9">
        <v>44883.066979166666</v>
      </c>
      <c r="U2325" s="9">
        <v>44890.066979166666</v>
      </c>
      <c r="V2325" s="12">
        <v>1</v>
      </c>
      <c r="W2325" s="9">
        <v>44893.066979166666</v>
      </c>
      <c r="X2325" s="9">
        <v>44896.066979166666</v>
      </c>
      <c r="Y2325" s="9">
        <v>44899.066979166666</v>
      </c>
      <c r="Z2325" s="5"/>
      <c r="AA2325" s="5"/>
      <c r="AB2325" s="13">
        <v>44912.066979166666</v>
      </c>
      <c r="AC2325">
        <f t="shared" si="325"/>
        <v>22</v>
      </c>
      <c r="AD2325">
        <f t="shared" si="326"/>
        <v>25</v>
      </c>
      <c r="AE2325">
        <f t="shared" si="327"/>
        <v>3</v>
      </c>
      <c r="AF2325">
        <f t="shared" si="328"/>
        <v>6</v>
      </c>
      <c r="AG2325">
        <f t="shared" si="329"/>
        <v>3</v>
      </c>
      <c r="AH2325">
        <f t="shared" si="330"/>
        <v>4</v>
      </c>
      <c r="AI2325" t="str">
        <f t="shared" si="331"/>
        <v/>
      </c>
      <c r="AJ2325" t="str">
        <f t="shared" si="332"/>
        <v/>
      </c>
    </row>
    <row r="2326" spans="1:36">
      <c r="A2326" s="5">
        <v>2886</v>
      </c>
      <c r="B2326" s="5" t="s">
        <v>151</v>
      </c>
      <c r="C2326" s="5" t="s">
        <v>100</v>
      </c>
      <c r="D2326" s="5" t="s">
        <v>146</v>
      </c>
      <c r="E2326" s="5" t="s">
        <v>39</v>
      </c>
      <c r="F2326" s="5" t="str">
        <f t="shared" si="324"/>
        <v>Program Office-Analyst</v>
      </c>
      <c r="G2326" s="5" t="s">
        <v>147</v>
      </c>
      <c r="H2326" s="9">
        <v>44857.066979166666</v>
      </c>
      <c r="I2326" s="9">
        <v>44860.066979166666</v>
      </c>
      <c r="J2326" s="9" t="e">
        <f>I2326+#REF!</f>
        <v>#REF!</v>
      </c>
      <c r="K2326" s="9" t="e">
        <f>J2326+#REF!</f>
        <v>#REF!</v>
      </c>
      <c r="L2326" s="10" t="s">
        <v>52</v>
      </c>
      <c r="M2326" s="11"/>
      <c r="N2326" s="5"/>
      <c r="O2326" s="5"/>
      <c r="P2326" s="9"/>
      <c r="Q2326" s="5"/>
      <c r="R2326" s="5"/>
      <c r="S2326" s="5"/>
      <c r="T2326" s="9"/>
      <c r="U2326" s="5"/>
      <c r="V2326" s="5">
        <v>0</v>
      </c>
      <c r="W2326" s="5"/>
      <c r="X2326" s="5"/>
      <c r="Y2326" s="5"/>
      <c r="Z2326" s="5"/>
      <c r="AA2326" s="5"/>
      <c r="AC2326" t="str">
        <f t="shared" si="325"/>
        <v/>
      </c>
      <c r="AD2326" t="str">
        <f t="shared" si="326"/>
        <v/>
      </c>
      <c r="AE2326" t="str">
        <f t="shared" si="327"/>
        <v/>
      </c>
      <c r="AF2326" t="str">
        <f t="shared" si="328"/>
        <v/>
      </c>
      <c r="AG2326" t="str">
        <f t="shared" si="329"/>
        <v/>
      </c>
      <c r="AH2326">
        <f t="shared" si="330"/>
        <v>3</v>
      </c>
      <c r="AI2326" t="str">
        <f t="shared" si="331"/>
        <v/>
      </c>
      <c r="AJ2326" t="str">
        <f t="shared" si="332"/>
        <v/>
      </c>
    </row>
    <row r="2327" spans="1:36">
      <c r="A2327" s="5">
        <v>2888</v>
      </c>
      <c r="B2327" s="5" t="s">
        <v>105</v>
      </c>
      <c r="C2327" s="5" t="s">
        <v>100</v>
      </c>
      <c r="D2327" s="5" t="s">
        <v>101</v>
      </c>
      <c r="E2327" s="5" t="s">
        <v>102</v>
      </c>
      <c r="F2327" s="5" t="str">
        <f t="shared" si="324"/>
        <v>Program Office-Senior Manager</v>
      </c>
      <c r="G2327" s="5" t="s">
        <v>103</v>
      </c>
      <c r="H2327" s="9">
        <v>44855.066979166666</v>
      </c>
      <c r="I2327" s="9">
        <v>44858.066979166666</v>
      </c>
      <c r="J2327" s="9" t="e">
        <f>I2327+#REF!</f>
        <v>#REF!</v>
      </c>
      <c r="K2327" s="9" t="e">
        <f>J2327+#REF!</f>
        <v>#REF!</v>
      </c>
      <c r="L2327" s="10" t="s">
        <v>41</v>
      </c>
      <c r="M2327" s="11">
        <v>44871.066979166666</v>
      </c>
      <c r="N2327" s="5" t="s">
        <v>42</v>
      </c>
      <c r="O2327" s="5" t="s">
        <v>43</v>
      </c>
      <c r="P2327" s="9"/>
      <c r="Q2327" s="5"/>
      <c r="R2327" s="5"/>
      <c r="S2327" s="5"/>
      <c r="T2327" s="9">
        <v>44872.066979166666</v>
      </c>
      <c r="U2327" s="5"/>
      <c r="V2327" s="5">
        <v>0</v>
      </c>
      <c r="W2327" s="5"/>
      <c r="X2327" s="5"/>
      <c r="Y2327" s="5"/>
      <c r="Z2327" s="5"/>
      <c r="AA2327" s="5" t="s">
        <v>44</v>
      </c>
      <c r="AC2327">
        <f t="shared" si="325"/>
        <v>13</v>
      </c>
      <c r="AD2327" t="str">
        <f t="shared" si="326"/>
        <v/>
      </c>
      <c r="AE2327">
        <f t="shared" si="327"/>
        <v>1</v>
      </c>
      <c r="AF2327" t="str">
        <f t="shared" si="328"/>
        <v/>
      </c>
      <c r="AG2327" t="str">
        <f t="shared" si="329"/>
        <v/>
      </c>
      <c r="AH2327">
        <f t="shared" si="330"/>
        <v>3</v>
      </c>
      <c r="AI2327" t="str">
        <f t="shared" si="331"/>
        <v/>
      </c>
      <c r="AJ2327" t="str">
        <f t="shared" si="332"/>
        <v/>
      </c>
    </row>
    <row r="2328" spans="1:36">
      <c r="A2328" s="5">
        <v>2891</v>
      </c>
      <c r="B2328" s="5" t="s">
        <v>1288</v>
      </c>
      <c r="C2328" s="10" t="s">
        <v>1215</v>
      </c>
      <c r="D2328" s="5" t="s">
        <v>1287</v>
      </c>
      <c r="E2328" s="5" t="s">
        <v>1146</v>
      </c>
      <c r="F2328" s="5" t="str">
        <f t="shared" si="324"/>
        <v>HR-Quality Assurance</v>
      </c>
      <c r="G2328" s="5" t="s">
        <v>47</v>
      </c>
      <c r="H2328" s="9">
        <v>44962.681840277779</v>
      </c>
      <c r="I2328" s="9">
        <v>44963.681840277779</v>
      </c>
      <c r="J2328" s="9" t="e">
        <f>I2328+#REF!</f>
        <v>#REF!</v>
      </c>
      <c r="K2328" s="9" t="e">
        <f>J2328+#REF!</f>
        <v>#REF!</v>
      </c>
      <c r="L2328" s="10" t="s">
        <v>41</v>
      </c>
      <c r="M2328" s="11">
        <v>44972.681840277779</v>
      </c>
      <c r="N2328" s="5" t="s">
        <v>48</v>
      </c>
      <c r="O2328" s="5"/>
      <c r="P2328" s="9">
        <v>44974.681840277779</v>
      </c>
      <c r="Q2328" s="5" t="s">
        <v>48</v>
      </c>
      <c r="R2328" s="5"/>
      <c r="S2328" s="5"/>
      <c r="T2328" s="9">
        <v>44973.681840277779</v>
      </c>
      <c r="U2328" s="5"/>
      <c r="V2328" s="5">
        <v>0</v>
      </c>
      <c r="W2328" s="5"/>
      <c r="X2328" s="5"/>
      <c r="Y2328" s="5"/>
      <c r="Z2328" s="5"/>
      <c r="AA2328" s="5"/>
      <c r="AC2328">
        <f t="shared" si="325"/>
        <v>9</v>
      </c>
      <c r="AD2328" t="str">
        <f t="shared" si="326"/>
        <v/>
      </c>
      <c r="AE2328">
        <f t="shared" si="327"/>
        <v>1</v>
      </c>
      <c r="AF2328" t="str">
        <f t="shared" si="328"/>
        <v/>
      </c>
      <c r="AG2328" t="str">
        <f t="shared" si="329"/>
        <v/>
      </c>
      <c r="AH2328">
        <f t="shared" si="330"/>
        <v>1</v>
      </c>
      <c r="AI2328" t="str">
        <f t="shared" si="331"/>
        <v/>
      </c>
      <c r="AJ2328" t="str">
        <f t="shared" si="332"/>
        <v/>
      </c>
    </row>
    <row r="2329" spans="1:36">
      <c r="A2329" s="5">
        <v>2892</v>
      </c>
      <c r="B2329" s="5" t="s">
        <v>707</v>
      </c>
      <c r="C2329" s="10" t="s">
        <v>671</v>
      </c>
      <c r="D2329" s="5" t="s">
        <v>708</v>
      </c>
      <c r="E2329" s="5" t="s">
        <v>709</v>
      </c>
      <c r="F2329" s="5" t="str">
        <f t="shared" si="324"/>
        <v>Operations-Lead</v>
      </c>
      <c r="G2329" s="5" t="s">
        <v>56</v>
      </c>
      <c r="H2329" s="9">
        <v>44962.681840277779</v>
      </c>
      <c r="I2329" s="9">
        <v>44963.681840277779</v>
      </c>
      <c r="J2329" s="9" t="e">
        <f>I2329+#REF!</f>
        <v>#REF!</v>
      </c>
      <c r="K2329" s="9" t="e">
        <f>J2329+#REF!</f>
        <v>#REF!</v>
      </c>
      <c r="L2329" s="10" t="s">
        <v>52</v>
      </c>
      <c r="M2329" s="11"/>
      <c r="N2329" s="5"/>
      <c r="O2329" s="5"/>
      <c r="P2329" s="9"/>
      <c r="Q2329" s="5"/>
      <c r="R2329" s="5"/>
      <c r="S2329" s="5"/>
      <c r="T2329" s="9"/>
      <c r="U2329" s="5"/>
      <c r="V2329" s="5">
        <v>0</v>
      </c>
      <c r="W2329" s="5"/>
      <c r="X2329" s="5"/>
      <c r="Y2329" s="5"/>
      <c r="Z2329" s="5"/>
      <c r="AA2329" s="5"/>
      <c r="AC2329" t="str">
        <f t="shared" si="325"/>
        <v/>
      </c>
      <c r="AD2329" t="str">
        <f t="shared" si="326"/>
        <v/>
      </c>
      <c r="AE2329" t="str">
        <f t="shared" si="327"/>
        <v/>
      </c>
      <c r="AF2329" t="str">
        <f t="shared" si="328"/>
        <v/>
      </c>
      <c r="AG2329" t="str">
        <f t="shared" si="329"/>
        <v/>
      </c>
      <c r="AH2329">
        <f t="shared" si="330"/>
        <v>1</v>
      </c>
      <c r="AI2329" t="str">
        <f t="shared" si="331"/>
        <v/>
      </c>
      <c r="AJ2329" t="str">
        <f t="shared" si="332"/>
        <v/>
      </c>
    </row>
    <row r="2330" spans="1:36">
      <c r="A2330" s="5">
        <v>2893</v>
      </c>
      <c r="B2330" s="5" t="s">
        <v>1192</v>
      </c>
      <c r="C2330" s="10" t="s">
        <v>1122</v>
      </c>
      <c r="D2330" s="5" t="s">
        <v>1191</v>
      </c>
      <c r="E2330" s="5" t="s">
        <v>269</v>
      </c>
      <c r="F2330" s="5" t="str">
        <f t="shared" si="324"/>
        <v>IT-Manager</v>
      </c>
      <c r="G2330" s="5" t="s">
        <v>270</v>
      </c>
      <c r="H2330" s="9">
        <v>44962.681840277779</v>
      </c>
      <c r="I2330" s="9">
        <v>44964.681840277779</v>
      </c>
      <c r="J2330" s="9" t="e">
        <f>I2330+#REF!</f>
        <v>#REF!</v>
      </c>
      <c r="K2330" s="9" t="e">
        <f>J2330+#REF!</f>
        <v>#REF!</v>
      </c>
      <c r="L2330" s="10" t="s">
        <v>41</v>
      </c>
      <c r="M2330" s="11">
        <v>44980.681840277779</v>
      </c>
      <c r="N2330" s="5" t="s">
        <v>42</v>
      </c>
      <c r="O2330" s="5" t="s">
        <v>98</v>
      </c>
      <c r="P2330" s="9"/>
      <c r="Q2330" s="5"/>
      <c r="R2330" s="5"/>
      <c r="S2330" s="5"/>
      <c r="T2330" s="9">
        <v>44981.681840277779</v>
      </c>
      <c r="U2330" s="5"/>
      <c r="V2330" s="5">
        <v>0</v>
      </c>
      <c r="W2330" s="5"/>
      <c r="X2330" s="5"/>
      <c r="Y2330" s="5"/>
      <c r="Z2330" s="5"/>
      <c r="AA2330" s="5" t="s">
        <v>62</v>
      </c>
      <c r="AC2330">
        <f t="shared" si="325"/>
        <v>16</v>
      </c>
      <c r="AD2330" t="str">
        <f t="shared" si="326"/>
        <v/>
      </c>
      <c r="AE2330">
        <f t="shared" si="327"/>
        <v>1</v>
      </c>
      <c r="AF2330" t="str">
        <f t="shared" si="328"/>
        <v/>
      </c>
      <c r="AG2330" t="str">
        <f t="shared" si="329"/>
        <v/>
      </c>
      <c r="AH2330">
        <f t="shared" si="330"/>
        <v>2</v>
      </c>
      <c r="AI2330" t="str">
        <f t="shared" si="331"/>
        <v/>
      </c>
      <c r="AJ2330" t="str">
        <f t="shared" si="332"/>
        <v/>
      </c>
    </row>
    <row r="2331" spans="1:36">
      <c r="A2331" s="5">
        <v>2894</v>
      </c>
      <c r="B2331" s="5" t="s">
        <v>1286</v>
      </c>
      <c r="C2331" s="10" t="s">
        <v>1215</v>
      </c>
      <c r="D2331" s="5" t="s">
        <v>1287</v>
      </c>
      <c r="E2331" s="5" t="s">
        <v>1146</v>
      </c>
      <c r="F2331" s="5" t="str">
        <f t="shared" si="324"/>
        <v>HR-Quality Assurance</v>
      </c>
      <c r="G2331" s="5" t="s">
        <v>47</v>
      </c>
      <c r="H2331" s="9">
        <v>44959.681840277779</v>
      </c>
      <c r="I2331" s="9">
        <v>44961.681840277779</v>
      </c>
      <c r="J2331" s="9" t="e">
        <f>I2331+#REF!</f>
        <v>#REF!</v>
      </c>
      <c r="K2331" s="9" t="e">
        <f>J2331+#REF!</f>
        <v>#REF!</v>
      </c>
      <c r="L2331" s="10" t="s">
        <v>41</v>
      </c>
      <c r="M2331" s="11">
        <v>44972.681840277779</v>
      </c>
      <c r="N2331" s="5" t="s">
        <v>64</v>
      </c>
      <c r="O2331" s="5"/>
      <c r="P2331" s="9">
        <v>44977.681840277779</v>
      </c>
      <c r="Q2331" s="5" t="s">
        <v>64</v>
      </c>
      <c r="R2331" s="9">
        <v>44974.681840277779</v>
      </c>
      <c r="S2331" s="9">
        <v>44977.681840277779</v>
      </c>
      <c r="T2331" s="9">
        <v>44974.681840277779</v>
      </c>
      <c r="U2331" s="9">
        <v>44977.681840277779</v>
      </c>
      <c r="V2331" s="12">
        <v>1</v>
      </c>
      <c r="W2331" s="9">
        <v>44980.681840277779</v>
      </c>
      <c r="X2331" s="9">
        <v>44981.681840277779</v>
      </c>
      <c r="Y2331" s="9">
        <v>44983.681840277779</v>
      </c>
      <c r="Z2331" s="5"/>
      <c r="AA2331" s="5"/>
      <c r="AB2331" s="13">
        <v>44997.681840277779</v>
      </c>
      <c r="AC2331">
        <f t="shared" si="325"/>
        <v>11</v>
      </c>
      <c r="AD2331">
        <f t="shared" si="326"/>
        <v>16</v>
      </c>
      <c r="AE2331">
        <f t="shared" si="327"/>
        <v>2</v>
      </c>
      <c r="AF2331">
        <f t="shared" si="328"/>
        <v>4</v>
      </c>
      <c r="AG2331">
        <f t="shared" si="329"/>
        <v>3</v>
      </c>
      <c r="AH2331">
        <f t="shared" si="330"/>
        <v>2</v>
      </c>
      <c r="AI2331" t="str">
        <f t="shared" si="331"/>
        <v/>
      </c>
      <c r="AJ2331" t="str">
        <f t="shared" si="332"/>
        <v/>
      </c>
    </row>
    <row r="2332" spans="1:36">
      <c r="A2332" s="5">
        <v>2895</v>
      </c>
      <c r="B2332" s="5" t="s">
        <v>670</v>
      </c>
      <c r="C2332" s="10" t="s">
        <v>671</v>
      </c>
      <c r="D2332" s="5" t="s">
        <v>672</v>
      </c>
      <c r="E2332" s="5" t="s">
        <v>673</v>
      </c>
      <c r="F2332" s="5" t="str">
        <f t="shared" si="324"/>
        <v>Operations-Controller</v>
      </c>
      <c r="G2332" s="5" t="s">
        <v>40</v>
      </c>
      <c r="H2332" s="9">
        <v>44962.681840277779</v>
      </c>
      <c r="I2332" s="9">
        <v>44965.681840277779</v>
      </c>
      <c r="J2332" s="9" t="e">
        <f>I2332+#REF!</f>
        <v>#REF!</v>
      </c>
      <c r="K2332" s="9" t="e">
        <f>J2332+#REF!</f>
        <v>#REF!</v>
      </c>
      <c r="L2332" s="10" t="s">
        <v>41</v>
      </c>
      <c r="M2332" s="11">
        <v>44974.681840277779</v>
      </c>
      <c r="N2332" s="5" t="s">
        <v>64</v>
      </c>
      <c r="O2332" s="5"/>
      <c r="P2332" s="9">
        <v>44979.681840277779</v>
      </c>
      <c r="Q2332" s="5" t="s">
        <v>64</v>
      </c>
      <c r="R2332" s="9">
        <v>44975.681840277779</v>
      </c>
      <c r="S2332" s="9">
        <v>44977.681840277779</v>
      </c>
      <c r="T2332" s="9">
        <v>44975.681840277779</v>
      </c>
      <c r="U2332" s="9">
        <v>44978.681840277779</v>
      </c>
      <c r="V2332" s="12">
        <v>1</v>
      </c>
      <c r="W2332" s="9">
        <v>44981.681840277779</v>
      </c>
      <c r="X2332" s="9">
        <v>44983.681840277779</v>
      </c>
      <c r="Y2332" s="9">
        <v>44985.681840277779</v>
      </c>
      <c r="Z2332" s="5"/>
      <c r="AA2332" s="5"/>
      <c r="AB2332" s="13">
        <v>44995.681840277779</v>
      </c>
      <c r="AC2332">
        <f t="shared" si="325"/>
        <v>9</v>
      </c>
      <c r="AD2332">
        <f t="shared" si="326"/>
        <v>12</v>
      </c>
      <c r="AE2332">
        <f t="shared" si="327"/>
        <v>1</v>
      </c>
      <c r="AF2332">
        <f t="shared" si="328"/>
        <v>5</v>
      </c>
      <c r="AG2332">
        <f t="shared" si="329"/>
        <v>3</v>
      </c>
      <c r="AH2332">
        <f t="shared" si="330"/>
        <v>3</v>
      </c>
      <c r="AI2332" t="str">
        <f t="shared" si="331"/>
        <v/>
      </c>
      <c r="AJ2332" t="str">
        <f t="shared" si="332"/>
        <v/>
      </c>
    </row>
    <row r="2333" spans="1:36">
      <c r="A2333" s="5">
        <v>2896</v>
      </c>
      <c r="B2333" s="5" t="s">
        <v>1125</v>
      </c>
      <c r="C2333" s="10" t="s">
        <v>1122</v>
      </c>
      <c r="D2333" s="5" t="s">
        <v>1123</v>
      </c>
      <c r="E2333" s="5" t="s">
        <v>102</v>
      </c>
      <c r="F2333" s="5" t="str">
        <f t="shared" si="324"/>
        <v>IT-Senior Manager</v>
      </c>
      <c r="G2333" s="5" t="s">
        <v>103</v>
      </c>
      <c r="H2333" s="9">
        <v>44963.681840277779</v>
      </c>
      <c r="I2333" s="9">
        <v>44966.681840277779</v>
      </c>
      <c r="J2333" s="9" t="e">
        <f>I2333+#REF!</f>
        <v>#REF!</v>
      </c>
      <c r="K2333" s="9" t="e">
        <f>J2333+#REF!</f>
        <v>#REF!</v>
      </c>
      <c r="L2333" s="10" t="s">
        <v>41</v>
      </c>
      <c r="M2333" s="11">
        <v>44969.681840277779</v>
      </c>
      <c r="N2333" s="5" t="s">
        <v>42</v>
      </c>
      <c r="O2333" s="5" t="s">
        <v>113</v>
      </c>
      <c r="P2333" s="9"/>
      <c r="Q2333" s="5"/>
      <c r="R2333" s="5"/>
      <c r="S2333" s="5"/>
      <c r="T2333" s="9">
        <v>44970.681840277779</v>
      </c>
      <c r="U2333" s="5"/>
      <c r="V2333" s="5">
        <v>0</v>
      </c>
      <c r="W2333" s="5"/>
      <c r="X2333" s="5"/>
      <c r="Y2333" s="5"/>
      <c r="Z2333" s="5"/>
      <c r="AA2333" s="5" t="s">
        <v>44</v>
      </c>
      <c r="AC2333">
        <f t="shared" si="325"/>
        <v>3</v>
      </c>
      <c r="AD2333" t="str">
        <f t="shared" si="326"/>
        <v/>
      </c>
      <c r="AE2333">
        <f t="shared" si="327"/>
        <v>1</v>
      </c>
      <c r="AF2333" t="str">
        <f t="shared" si="328"/>
        <v/>
      </c>
      <c r="AG2333" t="str">
        <f t="shared" si="329"/>
        <v/>
      </c>
      <c r="AH2333">
        <f t="shared" si="330"/>
        <v>3</v>
      </c>
      <c r="AI2333" t="str">
        <f t="shared" si="331"/>
        <v/>
      </c>
      <c r="AJ2333" t="str">
        <f t="shared" si="332"/>
        <v/>
      </c>
    </row>
    <row r="2334" spans="1:36">
      <c r="A2334" s="5">
        <v>2898</v>
      </c>
      <c r="B2334" s="5" t="s">
        <v>1254</v>
      </c>
      <c r="C2334" s="10" t="s">
        <v>1215</v>
      </c>
      <c r="D2334" s="5" t="s">
        <v>1249</v>
      </c>
      <c r="E2334" s="5" t="s">
        <v>1250</v>
      </c>
      <c r="F2334" s="5" t="str">
        <f t="shared" si="324"/>
        <v>HR-Screening Associate</v>
      </c>
      <c r="G2334" s="5" t="s">
        <v>40</v>
      </c>
      <c r="H2334" s="9">
        <v>44960.681840277779</v>
      </c>
      <c r="I2334" s="9">
        <v>44963.681840277779</v>
      </c>
      <c r="J2334" s="9" t="e">
        <f>I2334+#REF!</f>
        <v>#REF!</v>
      </c>
      <c r="K2334" s="9" t="e">
        <f>J2334+#REF!</f>
        <v>#REF!</v>
      </c>
      <c r="L2334" s="10" t="s">
        <v>41</v>
      </c>
      <c r="M2334" s="11">
        <v>44974.681840277779</v>
      </c>
      <c r="N2334" s="5" t="s">
        <v>48</v>
      </c>
      <c r="O2334" s="5"/>
      <c r="P2334" s="9">
        <v>44979.681840277779</v>
      </c>
      <c r="Q2334" s="5" t="s">
        <v>48</v>
      </c>
      <c r="R2334" s="5"/>
      <c r="S2334" s="5"/>
      <c r="T2334" s="9">
        <v>44976.681840277779</v>
      </c>
      <c r="U2334" s="5"/>
      <c r="V2334" s="5">
        <v>0</v>
      </c>
      <c r="W2334" s="5"/>
      <c r="X2334" s="5"/>
      <c r="Y2334" s="5"/>
      <c r="Z2334" s="5"/>
      <c r="AA2334" s="5"/>
      <c r="AC2334">
        <f t="shared" si="325"/>
        <v>11</v>
      </c>
      <c r="AD2334" t="str">
        <f t="shared" si="326"/>
        <v/>
      </c>
      <c r="AE2334">
        <f t="shared" si="327"/>
        <v>2</v>
      </c>
      <c r="AF2334" t="str">
        <f t="shared" si="328"/>
        <v/>
      </c>
      <c r="AG2334" t="str">
        <f t="shared" si="329"/>
        <v/>
      </c>
      <c r="AH2334">
        <f t="shared" si="330"/>
        <v>3</v>
      </c>
      <c r="AI2334" t="str">
        <f t="shared" si="331"/>
        <v/>
      </c>
      <c r="AJ2334" t="str">
        <f t="shared" si="332"/>
        <v/>
      </c>
    </row>
    <row r="2335" spans="1:36">
      <c r="A2335" s="5">
        <v>2899</v>
      </c>
      <c r="B2335" s="5" t="s">
        <v>1253</v>
      </c>
      <c r="C2335" s="10" t="s">
        <v>1215</v>
      </c>
      <c r="D2335" s="5" t="s">
        <v>1249</v>
      </c>
      <c r="E2335" s="5" t="s">
        <v>1250</v>
      </c>
      <c r="F2335" s="5" t="str">
        <f t="shared" si="324"/>
        <v>HR-Screening Associate</v>
      </c>
      <c r="G2335" s="5" t="s">
        <v>40</v>
      </c>
      <c r="H2335" s="9">
        <v>44963.681840277779</v>
      </c>
      <c r="I2335" s="9">
        <v>44965.681840277779</v>
      </c>
      <c r="J2335" s="9" t="e">
        <f>I2335+#REF!</f>
        <v>#REF!</v>
      </c>
      <c r="K2335" s="9" t="e">
        <f>J2335+#REF!</f>
        <v>#REF!</v>
      </c>
      <c r="L2335" s="10" t="s">
        <v>41</v>
      </c>
      <c r="M2335" s="11">
        <v>44985.681840277779</v>
      </c>
      <c r="N2335" s="5" t="s">
        <v>48</v>
      </c>
      <c r="O2335" s="5"/>
      <c r="P2335" s="9">
        <v>44990.681840277779</v>
      </c>
      <c r="Q2335" s="5" t="s">
        <v>48</v>
      </c>
      <c r="R2335" s="5"/>
      <c r="S2335" s="5"/>
      <c r="T2335" s="9">
        <v>44987.681840277779</v>
      </c>
      <c r="U2335" s="5"/>
      <c r="V2335" s="5">
        <v>0</v>
      </c>
      <c r="W2335" s="5"/>
      <c r="X2335" s="5"/>
      <c r="Y2335" s="5"/>
      <c r="Z2335" s="5"/>
      <c r="AA2335" s="5"/>
      <c r="AC2335">
        <f t="shared" si="325"/>
        <v>20</v>
      </c>
      <c r="AD2335" t="str">
        <f t="shared" si="326"/>
        <v/>
      </c>
      <c r="AE2335">
        <f t="shared" si="327"/>
        <v>2</v>
      </c>
      <c r="AF2335" t="str">
        <f t="shared" si="328"/>
        <v/>
      </c>
      <c r="AG2335" t="str">
        <f t="shared" si="329"/>
        <v/>
      </c>
      <c r="AH2335">
        <f t="shared" si="330"/>
        <v>2</v>
      </c>
      <c r="AI2335" t="str">
        <f t="shared" si="331"/>
        <v/>
      </c>
      <c r="AJ2335" t="str">
        <f t="shared" si="332"/>
        <v/>
      </c>
    </row>
    <row r="2336" spans="1:36">
      <c r="A2336" s="5">
        <v>2900</v>
      </c>
      <c r="B2336" s="5" t="s">
        <v>1147</v>
      </c>
      <c r="C2336" s="10" t="s">
        <v>1122</v>
      </c>
      <c r="D2336" s="5" t="s">
        <v>1145</v>
      </c>
      <c r="E2336" s="5" t="s">
        <v>1146</v>
      </c>
      <c r="F2336" s="5" t="str">
        <f t="shared" si="324"/>
        <v>IT-Quality Assurance</v>
      </c>
      <c r="G2336" s="5" t="s">
        <v>147</v>
      </c>
      <c r="H2336" s="9">
        <v>44962.681840277779</v>
      </c>
      <c r="I2336" s="9">
        <v>44964.681840277779</v>
      </c>
      <c r="J2336" s="9" t="e">
        <f>I2336+#REF!</f>
        <v>#REF!</v>
      </c>
      <c r="K2336" s="9" t="e">
        <f>J2336+#REF!</f>
        <v>#REF!</v>
      </c>
      <c r="L2336" s="10" t="s">
        <v>41</v>
      </c>
      <c r="M2336" s="11">
        <v>44973.681840277779</v>
      </c>
      <c r="N2336" s="5" t="s">
        <v>42</v>
      </c>
      <c r="O2336" s="5" t="s">
        <v>58</v>
      </c>
      <c r="P2336" s="9"/>
      <c r="Q2336" s="5"/>
      <c r="R2336" s="5"/>
      <c r="S2336" s="5"/>
      <c r="T2336" s="9"/>
      <c r="U2336" s="5"/>
      <c r="V2336" s="5">
        <v>0</v>
      </c>
      <c r="W2336" s="5"/>
      <c r="X2336" s="5"/>
      <c r="Y2336" s="5"/>
      <c r="Z2336" s="5"/>
      <c r="AA2336" s="5" t="s">
        <v>44</v>
      </c>
      <c r="AC2336">
        <f t="shared" si="325"/>
        <v>9</v>
      </c>
      <c r="AD2336" t="str">
        <f t="shared" si="326"/>
        <v/>
      </c>
      <c r="AE2336" t="str">
        <f t="shared" si="327"/>
        <v/>
      </c>
      <c r="AF2336" t="str">
        <f t="shared" si="328"/>
        <v/>
      </c>
      <c r="AG2336" t="str">
        <f t="shared" si="329"/>
        <v/>
      </c>
      <c r="AH2336">
        <f t="shared" si="330"/>
        <v>2</v>
      </c>
      <c r="AI2336" t="str">
        <f t="shared" si="331"/>
        <v/>
      </c>
      <c r="AJ2336" t="str">
        <f t="shared" si="332"/>
        <v/>
      </c>
    </row>
    <row r="2337" spans="1:36">
      <c r="A2337" s="5">
        <v>2901</v>
      </c>
      <c r="B2337" s="5" t="s">
        <v>800</v>
      </c>
      <c r="C2337" s="5" t="s">
        <v>796</v>
      </c>
      <c r="D2337" s="5" t="s">
        <v>797</v>
      </c>
      <c r="E2337" s="5" t="s">
        <v>709</v>
      </c>
      <c r="F2337" s="5" t="str">
        <f t="shared" si="324"/>
        <v>M and E-Lead</v>
      </c>
      <c r="G2337" s="5" t="s">
        <v>103</v>
      </c>
      <c r="H2337" s="9">
        <v>44620.299814814818</v>
      </c>
      <c r="I2337" s="9">
        <v>44621.299814814818</v>
      </c>
      <c r="J2337" s="9" t="e">
        <f>I2337+#REF!</f>
        <v>#REF!</v>
      </c>
      <c r="K2337" s="9" t="e">
        <f>J2337+#REF!</f>
        <v>#REF!</v>
      </c>
      <c r="L2337" s="10" t="s">
        <v>41</v>
      </c>
      <c r="M2337" s="11">
        <v>44637.299814814818</v>
      </c>
      <c r="N2337" s="5" t="s">
        <v>42</v>
      </c>
      <c r="O2337" s="5" t="s">
        <v>43</v>
      </c>
      <c r="P2337" s="9"/>
      <c r="Q2337" s="5"/>
      <c r="R2337" s="5"/>
      <c r="S2337" s="5"/>
      <c r="T2337" s="9"/>
      <c r="U2337" s="5"/>
      <c r="V2337" s="5">
        <v>0</v>
      </c>
      <c r="W2337" s="5"/>
      <c r="X2337" s="5"/>
      <c r="Y2337" s="5"/>
      <c r="Z2337" s="5"/>
      <c r="AA2337" s="5" t="s">
        <v>44</v>
      </c>
      <c r="AC2337">
        <f t="shared" si="325"/>
        <v>16</v>
      </c>
      <c r="AD2337" t="str">
        <f t="shared" si="326"/>
        <v/>
      </c>
      <c r="AE2337" t="str">
        <f t="shared" si="327"/>
        <v/>
      </c>
      <c r="AF2337" t="str">
        <f t="shared" si="328"/>
        <v/>
      </c>
      <c r="AG2337" t="str">
        <f t="shared" si="329"/>
        <v/>
      </c>
      <c r="AH2337">
        <f t="shared" si="330"/>
        <v>1</v>
      </c>
      <c r="AI2337" t="str">
        <f t="shared" si="331"/>
        <v/>
      </c>
      <c r="AJ2337" t="str">
        <f t="shared" si="332"/>
        <v/>
      </c>
    </row>
    <row r="2338" spans="1:36">
      <c r="A2338" s="5">
        <v>2902</v>
      </c>
      <c r="B2338" s="5" t="s">
        <v>799</v>
      </c>
      <c r="C2338" s="5" t="s">
        <v>796</v>
      </c>
      <c r="D2338" s="5" t="s">
        <v>797</v>
      </c>
      <c r="E2338" s="5" t="s">
        <v>709</v>
      </c>
      <c r="F2338" s="5" t="str">
        <f t="shared" si="324"/>
        <v>M and E-Lead</v>
      </c>
      <c r="G2338" s="5" t="s">
        <v>103</v>
      </c>
      <c r="H2338" s="9">
        <v>44619.299814814818</v>
      </c>
      <c r="I2338" s="9">
        <v>44620.299814814818</v>
      </c>
      <c r="J2338" s="9" t="e">
        <f>I2338+#REF!</f>
        <v>#REF!</v>
      </c>
      <c r="K2338" s="9" t="e">
        <f>J2338+#REF!</f>
        <v>#REF!</v>
      </c>
      <c r="L2338" s="10" t="s">
        <v>41</v>
      </c>
      <c r="M2338" s="11">
        <v>44629.299814814818</v>
      </c>
      <c r="N2338" s="5" t="s">
        <v>42</v>
      </c>
      <c r="O2338" s="5" t="s">
        <v>73</v>
      </c>
      <c r="P2338" s="9"/>
      <c r="Q2338" s="5"/>
      <c r="R2338" s="5"/>
      <c r="S2338" s="5"/>
      <c r="T2338" s="9"/>
      <c r="U2338" s="5"/>
      <c r="V2338" s="5">
        <v>0</v>
      </c>
      <c r="W2338" s="5"/>
      <c r="X2338" s="5"/>
      <c r="Y2338" s="5"/>
      <c r="Z2338" s="5"/>
      <c r="AA2338" s="5" t="s">
        <v>44</v>
      </c>
      <c r="AC2338">
        <f t="shared" si="325"/>
        <v>9</v>
      </c>
      <c r="AD2338" t="str">
        <f t="shared" si="326"/>
        <v/>
      </c>
      <c r="AE2338" t="str">
        <f t="shared" si="327"/>
        <v/>
      </c>
      <c r="AF2338" t="str">
        <f t="shared" si="328"/>
        <v/>
      </c>
      <c r="AG2338" t="str">
        <f t="shared" si="329"/>
        <v/>
      </c>
      <c r="AH2338">
        <f t="shared" si="330"/>
        <v>1</v>
      </c>
      <c r="AI2338" t="str">
        <f t="shared" si="331"/>
        <v/>
      </c>
      <c r="AJ2338" t="str">
        <f t="shared" si="332"/>
        <v/>
      </c>
    </row>
    <row r="2339" spans="1:36">
      <c r="A2339" s="5">
        <v>2903</v>
      </c>
      <c r="B2339" s="5" t="s">
        <v>816</v>
      </c>
      <c r="C2339" s="5" t="s">
        <v>796</v>
      </c>
      <c r="D2339" s="5" t="s">
        <v>814</v>
      </c>
      <c r="E2339" s="5" t="s">
        <v>815</v>
      </c>
      <c r="F2339" s="5" t="str">
        <f t="shared" si="324"/>
        <v>M and E-Auditor</v>
      </c>
      <c r="G2339" s="5" t="s">
        <v>147</v>
      </c>
      <c r="H2339" s="9">
        <v>44615.299814814818</v>
      </c>
      <c r="I2339" s="9">
        <v>44618.299814814818</v>
      </c>
      <c r="J2339" s="9" t="e">
        <f>I2339+#REF!</f>
        <v>#REF!</v>
      </c>
      <c r="K2339" s="9" t="e">
        <f>J2339+#REF!</f>
        <v>#REF!</v>
      </c>
      <c r="L2339" s="10" t="s">
        <v>41</v>
      </c>
      <c r="M2339" s="11">
        <v>44635.299814814818</v>
      </c>
      <c r="N2339" s="5" t="s">
        <v>42</v>
      </c>
      <c r="O2339" s="5" t="s">
        <v>73</v>
      </c>
      <c r="P2339" s="9"/>
      <c r="Q2339" s="5"/>
      <c r="R2339" s="5"/>
      <c r="S2339" s="5"/>
      <c r="T2339" s="9">
        <v>44638.299814814818</v>
      </c>
      <c r="U2339" s="5"/>
      <c r="V2339" s="5">
        <v>0</v>
      </c>
      <c r="W2339" s="5"/>
      <c r="X2339" s="5"/>
      <c r="Y2339" s="5"/>
      <c r="Z2339" s="5"/>
      <c r="AA2339" s="5" t="s">
        <v>44</v>
      </c>
      <c r="AC2339">
        <f t="shared" si="325"/>
        <v>17</v>
      </c>
      <c r="AD2339" t="str">
        <f t="shared" si="326"/>
        <v/>
      </c>
      <c r="AE2339">
        <f t="shared" si="327"/>
        <v>3</v>
      </c>
      <c r="AF2339" t="str">
        <f t="shared" si="328"/>
        <v/>
      </c>
      <c r="AG2339" t="str">
        <f t="shared" si="329"/>
        <v/>
      </c>
      <c r="AH2339">
        <f t="shared" si="330"/>
        <v>3</v>
      </c>
      <c r="AI2339" t="str">
        <f t="shared" si="331"/>
        <v/>
      </c>
      <c r="AJ2339" t="str">
        <f t="shared" si="332"/>
        <v/>
      </c>
    </row>
    <row r="2340" spans="1:36">
      <c r="A2340" s="5">
        <v>2904</v>
      </c>
      <c r="B2340" s="5" t="s">
        <v>959</v>
      </c>
      <c r="C2340" s="5" t="s">
        <v>796</v>
      </c>
      <c r="D2340" s="5" t="s">
        <v>957</v>
      </c>
      <c r="E2340" s="5" t="s">
        <v>39</v>
      </c>
      <c r="F2340" s="5" t="str">
        <f t="shared" si="324"/>
        <v>M and E-Analyst</v>
      </c>
      <c r="G2340" s="5" t="s">
        <v>40</v>
      </c>
      <c r="H2340" s="9">
        <v>44620.299814814818</v>
      </c>
      <c r="I2340" s="9">
        <v>44621.299814814818</v>
      </c>
      <c r="J2340" s="9" t="e">
        <f>I2340+#REF!</f>
        <v>#REF!</v>
      </c>
      <c r="K2340" s="9" t="e">
        <f>J2340+#REF!</f>
        <v>#REF!</v>
      </c>
      <c r="L2340" s="10" t="s">
        <v>52</v>
      </c>
      <c r="M2340" s="11"/>
      <c r="N2340" s="5"/>
      <c r="O2340" s="5"/>
      <c r="P2340" s="9"/>
      <c r="Q2340" s="5"/>
      <c r="R2340" s="5"/>
      <c r="S2340" s="5"/>
      <c r="T2340" s="9"/>
      <c r="U2340" s="5"/>
      <c r="V2340" s="5">
        <v>0</v>
      </c>
      <c r="W2340" s="5"/>
      <c r="X2340" s="5"/>
      <c r="Y2340" s="5"/>
      <c r="Z2340" s="5"/>
      <c r="AA2340" s="5"/>
      <c r="AC2340" t="str">
        <f t="shared" si="325"/>
        <v/>
      </c>
      <c r="AD2340" t="str">
        <f t="shared" si="326"/>
        <v/>
      </c>
      <c r="AE2340" t="str">
        <f t="shared" si="327"/>
        <v/>
      </c>
      <c r="AF2340" t="str">
        <f t="shared" si="328"/>
        <v/>
      </c>
      <c r="AG2340" t="str">
        <f t="shared" si="329"/>
        <v/>
      </c>
      <c r="AH2340">
        <f t="shared" si="330"/>
        <v>1</v>
      </c>
      <c r="AI2340" t="str">
        <f t="shared" si="331"/>
        <v/>
      </c>
      <c r="AJ2340" t="str">
        <f t="shared" si="332"/>
        <v/>
      </c>
    </row>
    <row r="2341" spans="1:36">
      <c r="A2341" s="5">
        <v>2906</v>
      </c>
      <c r="B2341" s="5" t="s">
        <v>958</v>
      </c>
      <c r="C2341" s="5" t="s">
        <v>796</v>
      </c>
      <c r="D2341" s="5" t="s">
        <v>957</v>
      </c>
      <c r="E2341" s="5" t="s">
        <v>39</v>
      </c>
      <c r="F2341" s="5" t="str">
        <f t="shared" si="324"/>
        <v>M and E-Analyst</v>
      </c>
      <c r="G2341" s="5" t="s">
        <v>40</v>
      </c>
      <c r="H2341" s="9">
        <v>44615.299814814818</v>
      </c>
      <c r="I2341" s="9">
        <v>44618.299814814818</v>
      </c>
      <c r="J2341" s="9" t="e">
        <f>I2341+#REF!</f>
        <v>#REF!</v>
      </c>
      <c r="K2341" s="9" t="e">
        <f>J2341+#REF!</f>
        <v>#REF!</v>
      </c>
      <c r="L2341" s="10" t="s">
        <v>41</v>
      </c>
      <c r="M2341" s="11">
        <v>44629.299814814818</v>
      </c>
      <c r="N2341" s="5" t="s">
        <v>48</v>
      </c>
      <c r="O2341" s="5"/>
      <c r="P2341" s="9">
        <v>44634.299814814818</v>
      </c>
      <c r="Q2341" s="5" t="s">
        <v>48</v>
      </c>
      <c r="R2341" s="5"/>
      <c r="S2341" s="5"/>
      <c r="T2341" s="9">
        <v>44632.299814814818</v>
      </c>
      <c r="U2341" s="5"/>
      <c r="V2341" s="5">
        <v>0</v>
      </c>
      <c r="W2341" s="5"/>
      <c r="X2341" s="5"/>
      <c r="Y2341" s="5"/>
      <c r="Z2341" s="5"/>
      <c r="AA2341" s="5"/>
      <c r="AC2341">
        <f t="shared" si="325"/>
        <v>11</v>
      </c>
      <c r="AD2341" t="str">
        <f t="shared" si="326"/>
        <v/>
      </c>
      <c r="AE2341">
        <f t="shared" si="327"/>
        <v>3</v>
      </c>
      <c r="AF2341" t="str">
        <f t="shared" si="328"/>
        <v/>
      </c>
      <c r="AG2341" t="str">
        <f t="shared" si="329"/>
        <v/>
      </c>
      <c r="AH2341">
        <f t="shared" si="330"/>
        <v>3</v>
      </c>
      <c r="AI2341" t="str">
        <f t="shared" si="331"/>
        <v/>
      </c>
      <c r="AJ2341" t="str">
        <f t="shared" si="332"/>
        <v/>
      </c>
    </row>
    <row r="2342" spans="1:36">
      <c r="A2342" s="5">
        <v>2907</v>
      </c>
      <c r="B2342" s="5" t="s">
        <v>894</v>
      </c>
      <c r="C2342" s="5" t="s">
        <v>796</v>
      </c>
      <c r="D2342" s="5" t="s">
        <v>893</v>
      </c>
      <c r="E2342" s="5" t="s">
        <v>269</v>
      </c>
      <c r="F2342" s="5" t="str">
        <f t="shared" si="324"/>
        <v>M and E-Manager</v>
      </c>
      <c r="G2342" s="5" t="s">
        <v>270</v>
      </c>
      <c r="H2342" s="9">
        <v>44616.299814814818</v>
      </c>
      <c r="I2342" s="9">
        <v>44617.299814814818</v>
      </c>
      <c r="J2342" s="9" t="e">
        <f>I2342+#REF!</f>
        <v>#REF!</v>
      </c>
      <c r="K2342" s="9" t="e">
        <f>J2342+#REF!</f>
        <v>#REF!</v>
      </c>
      <c r="L2342" s="10" t="s">
        <v>41</v>
      </c>
      <c r="M2342" s="11">
        <v>44636.299814814818</v>
      </c>
      <c r="N2342" s="5" t="s">
        <v>42</v>
      </c>
      <c r="O2342" s="5" t="s">
        <v>113</v>
      </c>
      <c r="P2342" s="9"/>
      <c r="Q2342" s="5"/>
      <c r="R2342" s="5"/>
      <c r="S2342" s="5"/>
      <c r="T2342" s="9">
        <v>44639.299814814818</v>
      </c>
      <c r="U2342" s="5"/>
      <c r="V2342" s="5">
        <v>0</v>
      </c>
      <c r="W2342" s="5"/>
      <c r="X2342" s="5"/>
      <c r="Y2342" s="5"/>
      <c r="Z2342" s="5"/>
      <c r="AA2342" s="5" t="s">
        <v>44</v>
      </c>
      <c r="AC2342">
        <f t="shared" si="325"/>
        <v>19</v>
      </c>
      <c r="AD2342" t="str">
        <f t="shared" si="326"/>
        <v/>
      </c>
      <c r="AE2342">
        <f t="shared" si="327"/>
        <v>3</v>
      </c>
      <c r="AF2342" t="str">
        <f t="shared" si="328"/>
        <v/>
      </c>
      <c r="AG2342" t="str">
        <f t="shared" si="329"/>
        <v/>
      </c>
      <c r="AH2342">
        <f t="shared" si="330"/>
        <v>1</v>
      </c>
      <c r="AI2342" t="str">
        <f t="shared" si="331"/>
        <v/>
      </c>
      <c r="AJ2342" t="str">
        <f t="shared" si="332"/>
        <v/>
      </c>
    </row>
    <row r="2343" spans="1:36">
      <c r="A2343" s="5">
        <v>2908</v>
      </c>
      <c r="B2343" s="5" t="s">
        <v>956</v>
      </c>
      <c r="C2343" s="5" t="s">
        <v>796</v>
      </c>
      <c r="D2343" s="5" t="s">
        <v>957</v>
      </c>
      <c r="E2343" s="5" t="s">
        <v>39</v>
      </c>
      <c r="F2343" s="5" t="str">
        <f t="shared" si="324"/>
        <v>M and E-Analyst</v>
      </c>
      <c r="G2343" s="5" t="s">
        <v>40</v>
      </c>
      <c r="H2343" s="9">
        <v>44615.299814814818</v>
      </c>
      <c r="I2343" s="9">
        <v>44617.299814814818</v>
      </c>
      <c r="J2343" s="9" t="e">
        <f>I2343+#REF!</f>
        <v>#REF!</v>
      </c>
      <c r="K2343" s="9" t="e">
        <f>J2343+#REF!</f>
        <v>#REF!</v>
      </c>
      <c r="L2343" s="10" t="s">
        <v>41</v>
      </c>
      <c r="M2343" s="11">
        <v>44637.299814814818</v>
      </c>
      <c r="N2343" s="5" t="s">
        <v>64</v>
      </c>
      <c r="O2343" s="5"/>
      <c r="P2343" s="9">
        <v>44642.299814814818</v>
      </c>
      <c r="Q2343" s="5" t="s">
        <v>64</v>
      </c>
      <c r="R2343" s="9">
        <v>44638.299814814818</v>
      </c>
      <c r="S2343" s="9">
        <v>44640.299814814818</v>
      </c>
      <c r="T2343" s="9">
        <v>44641.299814814818</v>
      </c>
      <c r="U2343" s="9">
        <v>44647.299814814818</v>
      </c>
      <c r="V2343" s="12">
        <v>1</v>
      </c>
      <c r="W2343" s="9">
        <v>44649.299814814818</v>
      </c>
      <c r="X2343" s="9">
        <v>44651.299814814818</v>
      </c>
      <c r="Y2343" s="9">
        <v>44652.299814814818</v>
      </c>
      <c r="Z2343" s="5"/>
      <c r="AA2343" s="5"/>
      <c r="AB2343" s="13">
        <v>44667.299814814818</v>
      </c>
      <c r="AC2343">
        <f t="shared" si="325"/>
        <v>20</v>
      </c>
      <c r="AD2343">
        <f t="shared" si="326"/>
        <v>23</v>
      </c>
      <c r="AE2343">
        <f t="shared" si="327"/>
        <v>4</v>
      </c>
      <c r="AF2343">
        <f t="shared" si="328"/>
        <v>4</v>
      </c>
      <c r="AG2343">
        <f t="shared" si="329"/>
        <v>2</v>
      </c>
      <c r="AH2343">
        <f t="shared" si="330"/>
        <v>2</v>
      </c>
      <c r="AI2343" t="str">
        <f t="shared" si="331"/>
        <v/>
      </c>
      <c r="AJ2343" t="str">
        <f t="shared" si="332"/>
        <v/>
      </c>
    </row>
    <row r="2344" spans="1:36">
      <c r="A2344" s="5">
        <v>2911</v>
      </c>
      <c r="B2344" s="5" t="s">
        <v>2353</v>
      </c>
      <c r="C2344" s="5" t="s">
        <v>2229</v>
      </c>
      <c r="D2344" s="5" t="s">
        <v>2350</v>
      </c>
      <c r="E2344" s="5" t="s">
        <v>2351</v>
      </c>
      <c r="F2344" s="5" t="str">
        <f t="shared" si="324"/>
        <v>Capacity Building-Training Associate</v>
      </c>
      <c r="G2344" s="5" t="s">
        <v>40</v>
      </c>
      <c r="H2344" s="9">
        <v>44601.794965277775</v>
      </c>
      <c r="I2344" s="9">
        <v>44603.794965277775</v>
      </c>
      <c r="J2344" s="9" t="e">
        <f>I2344+#REF!</f>
        <v>#REF!</v>
      </c>
      <c r="K2344" s="9" t="e">
        <f>J2344+#REF!</f>
        <v>#REF!</v>
      </c>
      <c r="L2344" s="10" t="s">
        <v>41</v>
      </c>
      <c r="M2344" s="11">
        <v>44614.794965277775</v>
      </c>
      <c r="N2344" s="5" t="s">
        <v>64</v>
      </c>
      <c r="O2344" s="5"/>
      <c r="P2344" s="9">
        <v>44618.794965277775</v>
      </c>
      <c r="Q2344" s="5" t="s">
        <v>64</v>
      </c>
      <c r="R2344" s="9">
        <v>44615.794965277775</v>
      </c>
      <c r="S2344" s="9">
        <v>44619.794965277775</v>
      </c>
      <c r="T2344" s="9">
        <v>44616.794965277775</v>
      </c>
      <c r="U2344" s="9">
        <v>44622.794965277775</v>
      </c>
      <c r="V2344" s="12">
        <v>1</v>
      </c>
      <c r="W2344" s="9">
        <v>44623.794965277775</v>
      </c>
      <c r="X2344" s="9">
        <v>44625.794965277775</v>
      </c>
      <c r="Y2344" s="9">
        <v>44628.794965277775</v>
      </c>
      <c r="Z2344" s="5"/>
      <c r="AA2344" s="5"/>
      <c r="AB2344" s="13">
        <v>44647.794965277775</v>
      </c>
      <c r="AC2344">
        <f t="shared" si="325"/>
        <v>11</v>
      </c>
      <c r="AD2344">
        <f t="shared" si="326"/>
        <v>16</v>
      </c>
      <c r="AE2344">
        <f t="shared" si="327"/>
        <v>2</v>
      </c>
      <c r="AF2344">
        <f t="shared" si="328"/>
        <v>3</v>
      </c>
      <c r="AG2344">
        <f t="shared" si="329"/>
        <v>1</v>
      </c>
      <c r="AH2344">
        <f t="shared" si="330"/>
        <v>2</v>
      </c>
      <c r="AI2344" t="str">
        <f t="shared" si="331"/>
        <v/>
      </c>
      <c r="AJ2344" t="str">
        <f t="shared" si="332"/>
        <v/>
      </c>
    </row>
    <row r="2345" spans="1:36">
      <c r="A2345" s="5">
        <v>2912</v>
      </c>
      <c r="B2345" s="5" t="s">
        <v>1457</v>
      </c>
      <c r="C2345" s="5" t="s">
        <v>1332</v>
      </c>
      <c r="D2345" s="5" t="s">
        <v>1448</v>
      </c>
      <c r="E2345" s="5" t="s">
        <v>597</v>
      </c>
      <c r="F2345" s="5" t="str">
        <f t="shared" si="324"/>
        <v>Fundraising-Business Partner</v>
      </c>
      <c r="G2345" s="5" t="s">
        <v>40</v>
      </c>
      <c r="H2345" s="9">
        <v>44598.794965277775</v>
      </c>
      <c r="I2345" s="9">
        <v>44599.794965277775</v>
      </c>
      <c r="J2345" s="9" t="e">
        <f>I2345+#REF!</f>
        <v>#REF!</v>
      </c>
      <c r="K2345" s="9" t="e">
        <f>J2345+#REF!</f>
        <v>#REF!</v>
      </c>
      <c r="L2345" s="10" t="s">
        <v>41</v>
      </c>
      <c r="M2345" s="11">
        <v>44620.794965277775</v>
      </c>
      <c r="N2345" s="5" t="s">
        <v>42</v>
      </c>
      <c r="O2345" s="5" t="s">
        <v>58</v>
      </c>
      <c r="P2345" s="9"/>
      <c r="Q2345" s="5"/>
      <c r="R2345" s="5"/>
      <c r="S2345" s="5"/>
      <c r="T2345" s="9"/>
      <c r="U2345" s="5"/>
      <c r="V2345" s="5">
        <v>0</v>
      </c>
      <c r="W2345" s="5"/>
      <c r="X2345" s="5"/>
      <c r="Y2345" s="5"/>
      <c r="Z2345" s="5"/>
      <c r="AA2345" s="5" t="s">
        <v>44</v>
      </c>
      <c r="AC2345">
        <f t="shared" si="325"/>
        <v>21</v>
      </c>
      <c r="AD2345" t="str">
        <f t="shared" si="326"/>
        <v/>
      </c>
      <c r="AE2345" t="str">
        <f t="shared" si="327"/>
        <v/>
      </c>
      <c r="AF2345" t="str">
        <f t="shared" si="328"/>
        <v/>
      </c>
      <c r="AG2345" t="str">
        <f t="shared" si="329"/>
        <v/>
      </c>
      <c r="AH2345">
        <f t="shared" si="330"/>
        <v>1</v>
      </c>
      <c r="AI2345" t="str">
        <f t="shared" si="331"/>
        <v/>
      </c>
      <c r="AJ2345" t="str">
        <f t="shared" si="332"/>
        <v/>
      </c>
    </row>
    <row r="2346" spans="1:36">
      <c r="A2346" s="5">
        <v>2915</v>
      </c>
      <c r="B2346" s="5" t="s">
        <v>2252</v>
      </c>
      <c r="C2346" s="5" t="s">
        <v>2229</v>
      </c>
      <c r="D2346" s="5" t="s">
        <v>2250</v>
      </c>
      <c r="E2346" s="5" t="s">
        <v>388</v>
      </c>
      <c r="F2346" s="5" t="str">
        <f t="shared" si="324"/>
        <v>Capacity Building-Extension Officer</v>
      </c>
      <c r="G2346" s="5" t="s">
        <v>147</v>
      </c>
      <c r="H2346" s="9">
        <v>44598.794965277775</v>
      </c>
      <c r="I2346" s="9">
        <v>44600.794965277775</v>
      </c>
      <c r="J2346" s="9" t="e">
        <f>I2346+#REF!</f>
        <v>#REF!</v>
      </c>
      <c r="K2346" s="9" t="e">
        <f>J2346+#REF!</f>
        <v>#REF!</v>
      </c>
      <c r="L2346" s="10" t="s">
        <v>41</v>
      </c>
      <c r="M2346" s="11">
        <v>44614.794965277775</v>
      </c>
      <c r="N2346" s="5" t="s">
        <v>64</v>
      </c>
      <c r="O2346" s="5"/>
      <c r="P2346" s="9">
        <v>44622.794965277775</v>
      </c>
      <c r="Q2346" s="5" t="s">
        <v>64</v>
      </c>
      <c r="R2346" s="9">
        <v>44616.794965277775</v>
      </c>
      <c r="S2346" s="9">
        <v>44618.794965277775</v>
      </c>
      <c r="T2346" s="9">
        <v>44618.794965277775</v>
      </c>
      <c r="U2346" s="9">
        <v>44628.794965277775</v>
      </c>
      <c r="V2346" s="12">
        <v>1</v>
      </c>
      <c r="W2346" s="9">
        <v>44629.794965277775</v>
      </c>
      <c r="X2346" s="9">
        <v>44630.794965277775</v>
      </c>
      <c r="Y2346" s="9">
        <v>44631.794965277775</v>
      </c>
      <c r="Z2346" s="5"/>
      <c r="AA2346" s="5"/>
      <c r="AB2346" s="13">
        <v>44642.794965277775</v>
      </c>
      <c r="AC2346">
        <f t="shared" si="325"/>
        <v>14</v>
      </c>
      <c r="AD2346">
        <f t="shared" si="326"/>
        <v>18</v>
      </c>
      <c r="AE2346">
        <f t="shared" si="327"/>
        <v>4</v>
      </c>
      <c r="AF2346">
        <f t="shared" si="328"/>
        <v>2</v>
      </c>
      <c r="AG2346">
        <f t="shared" si="329"/>
        <v>1</v>
      </c>
      <c r="AH2346">
        <f t="shared" si="330"/>
        <v>2</v>
      </c>
      <c r="AI2346" t="str">
        <f t="shared" si="331"/>
        <v/>
      </c>
      <c r="AJ2346" t="str">
        <f t="shared" si="332"/>
        <v/>
      </c>
    </row>
    <row r="2347" spans="1:36">
      <c r="A2347" s="5">
        <v>2916</v>
      </c>
      <c r="B2347" s="5" t="s">
        <v>1501</v>
      </c>
      <c r="C2347" s="5" t="s">
        <v>1332</v>
      </c>
      <c r="D2347" s="5" t="s">
        <v>1500</v>
      </c>
      <c r="E2347" s="5" t="s">
        <v>39</v>
      </c>
      <c r="F2347" s="5" t="str">
        <f t="shared" si="324"/>
        <v>Fundraising-Analyst</v>
      </c>
      <c r="G2347" s="5" t="s">
        <v>47</v>
      </c>
      <c r="H2347" s="9">
        <v>44596.794965277775</v>
      </c>
      <c r="I2347" s="9">
        <v>44600.794965277775</v>
      </c>
      <c r="J2347" s="9" t="e">
        <f>I2347+#REF!</f>
        <v>#REF!</v>
      </c>
      <c r="K2347" s="9" t="e">
        <f>J2347+#REF!</f>
        <v>#REF!</v>
      </c>
      <c r="L2347" s="10" t="s">
        <v>41</v>
      </c>
      <c r="M2347" s="11">
        <v>44609.794965277775</v>
      </c>
      <c r="N2347" s="5" t="s">
        <v>48</v>
      </c>
      <c r="O2347" s="5"/>
      <c r="P2347" s="9">
        <v>44611.794965277775</v>
      </c>
      <c r="Q2347" s="5" t="s">
        <v>48</v>
      </c>
      <c r="R2347" s="5"/>
      <c r="S2347" s="5"/>
      <c r="T2347" s="9">
        <v>44610.794965277775</v>
      </c>
      <c r="U2347" s="5"/>
      <c r="V2347" s="5">
        <v>0</v>
      </c>
      <c r="W2347" s="5"/>
      <c r="X2347" s="5"/>
      <c r="Y2347" s="5"/>
      <c r="Z2347" s="5"/>
      <c r="AA2347" s="5"/>
      <c r="AC2347">
        <f t="shared" si="325"/>
        <v>9</v>
      </c>
      <c r="AD2347" t="str">
        <f t="shared" si="326"/>
        <v/>
      </c>
      <c r="AE2347">
        <f t="shared" si="327"/>
        <v>1</v>
      </c>
      <c r="AF2347" t="str">
        <f t="shared" si="328"/>
        <v/>
      </c>
      <c r="AG2347" t="str">
        <f t="shared" si="329"/>
        <v/>
      </c>
      <c r="AH2347">
        <f t="shared" si="330"/>
        <v>4</v>
      </c>
      <c r="AI2347" t="str">
        <f t="shared" si="331"/>
        <v/>
      </c>
      <c r="AJ2347" t="str">
        <f t="shared" si="332"/>
        <v/>
      </c>
    </row>
    <row r="2348" spans="1:36">
      <c r="A2348" s="5">
        <v>2919</v>
      </c>
      <c r="B2348" s="5" t="s">
        <v>2447</v>
      </c>
      <c r="C2348" s="5" t="s">
        <v>2229</v>
      </c>
      <c r="D2348" s="5" t="s">
        <v>2445</v>
      </c>
      <c r="E2348" s="5" t="s">
        <v>55</v>
      </c>
      <c r="F2348" s="5" t="str">
        <f t="shared" si="324"/>
        <v>Capacity Building-Director</v>
      </c>
      <c r="G2348" s="5" t="s">
        <v>47</v>
      </c>
      <c r="H2348" s="9">
        <v>44598.794965277775</v>
      </c>
      <c r="I2348" s="9">
        <v>44601.794965277775</v>
      </c>
      <c r="J2348" s="9" t="e">
        <f>I2348+#REF!</f>
        <v>#REF!</v>
      </c>
      <c r="K2348" s="9" t="e">
        <f>J2348+#REF!</f>
        <v>#REF!</v>
      </c>
      <c r="L2348" s="10" t="s">
        <v>52</v>
      </c>
      <c r="M2348" s="11"/>
      <c r="N2348" s="5"/>
      <c r="O2348" s="5"/>
      <c r="P2348" s="9"/>
      <c r="Q2348" s="5"/>
      <c r="R2348" s="5"/>
      <c r="S2348" s="5"/>
      <c r="T2348" s="9"/>
      <c r="U2348" s="5"/>
      <c r="V2348" s="5">
        <v>0</v>
      </c>
      <c r="W2348" s="5"/>
      <c r="X2348" s="5"/>
      <c r="Y2348" s="5"/>
      <c r="Z2348" s="5"/>
      <c r="AA2348" s="5"/>
      <c r="AC2348" t="str">
        <f t="shared" si="325"/>
        <v/>
      </c>
      <c r="AD2348" t="str">
        <f t="shared" si="326"/>
        <v/>
      </c>
      <c r="AE2348" t="str">
        <f t="shared" si="327"/>
        <v/>
      </c>
      <c r="AF2348" t="str">
        <f t="shared" si="328"/>
        <v/>
      </c>
      <c r="AG2348" t="str">
        <f t="shared" si="329"/>
        <v/>
      </c>
      <c r="AH2348">
        <f t="shared" si="330"/>
        <v>3</v>
      </c>
      <c r="AI2348" t="str">
        <f t="shared" si="331"/>
        <v/>
      </c>
      <c r="AJ2348" t="str">
        <f t="shared" si="332"/>
        <v/>
      </c>
    </row>
    <row r="2349" spans="1:36">
      <c r="A2349" s="5">
        <v>2921</v>
      </c>
      <c r="B2349" s="5" t="s">
        <v>1364</v>
      </c>
      <c r="C2349" s="5" t="s">
        <v>1332</v>
      </c>
      <c r="D2349" s="5" t="s">
        <v>1359</v>
      </c>
      <c r="E2349" s="5" t="s">
        <v>1360</v>
      </c>
      <c r="F2349" s="5" t="str">
        <f t="shared" si="324"/>
        <v>Fundraising-Fund Administrator</v>
      </c>
      <c r="G2349" s="5" t="s">
        <v>147</v>
      </c>
      <c r="H2349" s="9">
        <v>45176.386689814812</v>
      </c>
      <c r="I2349" s="9">
        <v>45178.386689814812</v>
      </c>
      <c r="J2349" s="9" t="e">
        <f>I2349+#REF!</f>
        <v>#REF!</v>
      </c>
      <c r="K2349" s="9" t="e">
        <f>J2349+#REF!</f>
        <v>#REF!</v>
      </c>
      <c r="L2349" s="10" t="s">
        <v>41</v>
      </c>
      <c r="M2349" s="11">
        <v>45198.386689814812</v>
      </c>
      <c r="N2349" s="5" t="s">
        <v>42</v>
      </c>
      <c r="O2349" s="5" t="s">
        <v>43</v>
      </c>
      <c r="P2349" s="9"/>
      <c r="Q2349" s="5"/>
      <c r="R2349" s="5"/>
      <c r="S2349" s="5"/>
      <c r="T2349" s="9"/>
      <c r="U2349" s="5"/>
      <c r="V2349" s="5">
        <v>0</v>
      </c>
      <c r="W2349" s="5"/>
      <c r="X2349" s="5"/>
      <c r="Y2349" s="5"/>
      <c r="Z2349" s="5"/>
      <c r="AA2349" s="5" t="s">
        <v>44</v>
      </c>
      <c r="AC2349">
        <f t="shared" si="325"/>
        <v>20</v>
      </c>
      <c r="AD2349" t="str">
        <f t="shared" si="326"/>
        <v/>
      </c>
      <c r="AE2349" t="str">
        <f t="shared" si="327"/>
        <v/>
      </c>
      <c r="AF2349" t="str">
        <f t="shared" si="328"/>
        <v/>
      </c>
      <c r="AG2349" t="str">
        <f t="shared" si="329"/>
        <v/>
      </c>
      <c r="AH2349">
        <f t="shared" si="330"/>
        <v>2</v>
      </c>
      <c r="AI2349" t="str">
        <f t="shared" si="331"/>
        <v/>
      </c>
      <c r="AJ2349" t="str">
        <f t="shared" si="332"/>
        <v/>
      </c>
    </row>
    <row r="2350" spans="1:36">
      <c r="A2350" s="5">
        <v>2923</v>
      </c>
      <c r="B2350" s="5" t="s">
        <v>1456</v>
      </c>
      <c r="C2350" s="5" t="s">
        <v>1332</v>
      </c>
      <c r="D2350" s="5" t="s">
        <v>1448</v>
      </c>
      <c r="E2350" s="5" t="s">
        <v>597</v>
      </c>
      <c r="F2350" s="5" t="str">
        <f t="shared" si="324"/>
        <v>Fundraising-Business Partner</v>
      </c>
      <c r="G2350" s="5" t="s">
        <v>40</v>
      </c>
      <c r="H2350" s="9">
        <v>45178.386689814812</v>
      </c>
      <c r="I2350" s="9">
        <v>45180.386689814812</v>
      </c>
      <c r="J2350" s="9" t="e">
        <f>I2350+#REF!</f>
        <v>#REF!</v>
      </c>
      <c r="K2350" s="9" t="e">
        <f>J2350+#REF!</f>
        <v>#REF!</v>
      </c>
      <c r="L2350" s="10" t="s">
        <v>41</v>
      </c>
      <c r="M2350" s="11">
        <v>45194.386689814812</v>
      </c>
      <c r="N2350" s="5" t="s">
        <v>42</v>
      </c>
      <c r="O2350" s="5" t="s">
        <v>73</v>
      </c>
      <c r="P2350" s="9"/>
      <c r="Q2350" s="5"/>
      <c r="R2350" s="5"/>
      <c r="S2350" s="5"/>
      <c r="T2350" s="9">
        <v>45198.386689814812</v>
      </c>
      <c r="U2350" s="5"/>
      <c r="V2350" s="5">
        <v>0</v>
      </c>
      <c r="W2350" s="5"/>
      <c r="X2350" s="5"/>
      <c r="Y2350" s="5"/>
      <c r="Z2350" s="5"/>
      <c r="AA2350" s="5" t="s">
        <v>44</v>
      </c>
      <c r="AC2350">
        <f t="shared" si="325"/>
        <v>14</v>
      </c>
      <c r="AD2350" t="str">
        <f t="shared" si="326"/>
        <v/>
      </c>
      <c r="AE2350">
        <f t="shared" si="327"/>
        <v>4</v>
      </c>
      <c r="AF2350" t="str">
        <f t="shared" si="328"/>
        <v/>
      </c>
      <c r="AG2350" t="str">
        <f t="shared" si="329"/>
        <v/>
      </c>
      <c r="AH2350">
        <f t="shared" si="330"/>
        <v>2</v>
      </c>
      <c r="AI2350" t="str">
        <f t="shared" si="331"/>
        <v/>
      </c>
      <c r="AJ2350" t="str">
        <f t="shared" si="332"/>
        <v/>
      </c>
    </row>
    <row r="2351" spans="1:36">
      <c r="A2351" s="5">
        <v>2924</v>
      </c>
      <c r="B2351" s="5" t="s">
        <v>1363</v>
      </c>
      <c r="C2351" s="5" t="s">
        <v>1332</v>
      </c>
      <c r="D2351" s="5" t="s">
        <v>1359</v>
      </c>
      <c r="E2351" s="5" t="s">
        <v>1360</v>
      </c>
      <c r="F2351" s="5" t="str">
        <f t="shared" si="324"/>
        <v>Fundraising-Fund Administrator</v>
      </c>
      <c r="G2351" s="5" t="s">
        <v>147</v>
      </c>
      <c r="H2351" s="9">
        <v>45175.386689814812</v>
      </c>
      <c r="I2351" s="9">
        <v>45179.386689814812</v>
      </c>
      <c r="J2351" s="9" t="e">
        <f>I2351+#REF!</f>
        <v>#REF!</v>
      </c>
      <c r="K2351" s="9" t="e">
        <f>J2351+#REF!</f>
        <v>#REF!</v>
      </c>
      <c r="L2351" s="10" t="s">
        <v>41</v>
      </c>
      <c r="M2351" s="11">
        <v>45191.386689814812</v>
      </c>
      <c r="N2351" s="5" t="s">
        <v>48</v>
      </c>
      <c r="O2351" s="5"/>
      <c r="P2351" s="9">
        <v>45197.386689814812</v>
      </c>
      <c r="Q2351" s="5" t="s">
        <v>48</v>
      </c>
      <c r="R2351" s="5"/>
      <c r="S2351" s="5"/>
      <c r="T2351" s="9">
        <v>45195.386689814812</v>
      </c>
      <c r="U2351" s="5"/>
      <c r="V2351" s="5">
        <v>0</v>
      </c>
      <c r="W2351" s="5"/>
      <c r="X2351" s="5"/>
      <c r="Y2351" s="5"/>
      <c r="Z2351" s="5"/>
      <c r="AA2351" s="5"/>
      <c r="AC2351">
        <f t="shared" si="325"/>
        <v>12</v>
      </c>
      <c r="AD2351" t="str">
        <f t="shared" si="326"/>
        <v/>
      </c>
      <c r="AE2351">
        <f t="shared" si="327"/>
        <v>4</v>
      </c>
      <c r="AF2351" t="str">
        <f t="shared" si="328"/>
        <v/>
      </c>
      <c r="AG2351" t="str">
        <f t="shared" si="329"/>
        <v/>
      </c>
      <c r="AH2351">
        <f t="shared" si="330"/>
        <v>4</v>
      </c>
      <c r="AI2351" t="str">
        <f t="shared" si="331"/>
        <v/>
      </c>
      <c r="AJ2351" t="str">
        <f t="shared" si="332"/>
        <v/>
      </c>
    </row>
    <row r="2352" spans="1:36">
      <c r="A2352" s="5">
        <v>2925</v>
      </c>
      <c r="B2352" s="5" t="s">
        <v>2251</v>
      </c>
      <c r="C2352" s="5" t="s">
        <v>2229</v>
      </c>
      <c r="D2352" s="5" t="s">
        <v>2250</v>
      </c>
      <c r="E2352" s="5" t="s">
        <v>388</v>
      </c>
      <c r="F2352" s="5" t="str">
        <f t="shared" si="324"/>
        <v>Capacity Building-Extension Officer</v>
      </c>
      <c r="G2352" s="5" t="s">
        <v>147</v>
      </c>
      <c r="H2352" s="9">
        <v>45173.386689814812</v>
      </c>
      <c r="I2352" s="9">
        <v>45177.386689814812</v>
      </c>
      <c r="J2352" s="9" t="e">
        <f>I2352+#REF!</f>
        <v>#REF!</v>
      </c>
      <c r="K2352" s="9" t="e">
        <f>J2352+#REF!</f>
        <v>#REF!</v>
      </c>
      <c r="L2352" s="10" t="s">
        <v>41</v>
      </c>
      <c r="M2352" s="11">
        <v>45188.386689814812</v>
      </c>
      <c r="N2352" s="5" t="s">
        <v>64</v>
      </c>
      <c r="O2352" s="5"/>
      <c r="P2352" s="9">
        <v>45192.386689814812</v>
      </c>
      <c r="Q2352" s="5" t="s">
        <v>64</v>
      </c>
      <c r="R2352" s="9">
        <v>45190.386689814812</v>
      </c>
      <c r="S2352" s="9">
        <v>45191.386689814812</v>
      </c>
      <c r="T2352" s="9">
        <v>45190.386689814812</v>
      </c>
      <c r="U2352" s="9">
        <v>45199.386689814812</v>
      </c>
      <c r="V2352" s="12">
        <v>1</v>
      </c>
      <c r="W2352" s="9">
        <v>45200.386689814812</v>
      </c>
      <c r="X2352" s="9">
        <v>45201.386689814812</v>
      </c>
      <c r="Y2352" s="9">
        <v>45203.386689814812</v>
      </c>
      <c r="Z2352" s="5"/>
      <c r="AA2352" s="5"/>
      <c r="AB2352" s="13">
        <v>45214.386689814812</v>
      </c>
      <c r="AC2352">
        <f t="shared" si="325"/>
        <v>11</v>
      </c>
      <c r="AD2352">
        <f t="shared" si="326"/>
        <v>14</v>
      </c>
      <c r="AE2352">
        <f t="shared" si="327"/>
        <v>2</v>
      </c>
      <c r="AF2352">
        <f t="shared" si="328"/>
        <v>2</v>
      </c>
      <c r="AG2352">
        <f t="shared" si="329"/>
        <v>1</v>
      </c>
      <c r="AH2352">
        <f t="shared" si="330"/>
        <v>4</v>
      </c>
      <c r="AI2352" t="str">
        <f t="shared" si="331"/>
        <v/>
      </c>
      <c r="AJ2352" t="str">
        <f t="shared" si="332"/>
        <v/>
      </c>
    </row>
    <row r="2353" spans="1:36">
      <c r="A2353" s="5">
        <v>2928</v>
      </c>
      <c r="B2353" s="5" t="s">
        <v>1455</v>
      </c>
      <c r="C2353" s="5" t="s">
        <v>1332</v>
      </c>
      <c r="D2353" s="5" t="s">
        <v>1448</v>
      </c>
      <c r="E2353" s="5" t="s">
        <v>597</v>
      </c>
      <c r="F2353" s="5" t="str">
        <f t="shared" si="324"/>
        <v>Fundraising-Business Partner</v>
      </c>
      <c r="G2353" s="5" t="s">
        <v>40</v>
      </c>
      <c r="H2353" s="9">
        <v>45177.386689814812</v>
      </c>
      <c r="I2353" s="9">
        <v>45178.386689814812</v>
      </c>
      <c r="J2353" s="9" t="e">
        <f>I2353+#REF!</f>
        <v>#REF!</v>
      </c>
      <c r="K2353" s="9" t="e">
        <f>J2353+#REF!</f>
        <v>#REF!</v>
      </c>
      <c r="L2353" s="10" t="s">
        <v>41</v>
      </c>
      <c r="M2353" s="11">
        <v>45200.386689814812</v>
      </c>
      <c r="N2353" s="5" t="s">
        <v>48</v>
      </c>
      <c r="O2353" s="5"/>
      <c r="P2353" s="9">
        <v>45205.386689814812</v>
      </c>
      <c r="Q2353" s="5" t="s">
        <v>48</v>
      </c>
      <c r="R2353" s="5"/>
      <c r="S2353" s="5"/>
      <c r="T2353" s="9">
        <v>45202.386689814812</v>
      </c>
      <c r="U2353" s="5"/>
      <c r="V2353" s="5">
        <v>0</v>
      </c>
      <c r="W2353" s="5"/>
      <c r="X2353" s="5"/>
      <c r="Y2353" s="5"/>
      <c r="Z2353" s="5"/>
      <c r="AA2353" s="5"/>
      <c r="AC2353">
        <f t="shared" si="325"/>
        <v>22</v>
      </c>
      <c r="AD2353" t="str">
        <f t="shared" si="326"/>
        <v/>
      </c>
      <c r="AE2353">
        <f t="shared" si="327"/>
        <v>2</v>
      </c>
      <c r="AF2353" t="str">
        <f t="shared" si="328"/>
        <v/>
      </c>
      <c r="AG2353" t="str">
        <f t="shared" si="329"/>
        <v/>
      </c>
      <c r="AH2353">
        <f t="shared" si="330"/>
        <v>1</v>
      </c>
      <c r="AI2353" t="str">
        <f t="shared" si="331"/>
        <v/>
      </c>
      <c r="AJ2353" t="str">
        <f t="shared" si="332"/>
        <v/>
      </c>
    </row>
    <row r="2354" spans="1:36">
      <c r="A2354" s="5">
        <v>2930</v>
      </c>
      <c r="B2354" s="5" t="s">
        <v>2446</v>
      </c>
      <c r="C2354" s="5" t="s">
        <v>2229</v>
      </c>
      <c r="D2354" s="5" t="s">
        <v>2445</v>
      </c>
      <c r="E2354" s="5" t="s">
        <v>55</v>
      </c>
      <c r="F2354" s="5" t="str">
        <f t="shared" si="324"/>
        <v>Capacity Building-Director</v>
      </c>
      <c r="G2354" s="5" t="s">
        <v>47</v>
      </c>
      <c r="H2354" s="9">
        <v>45180.386689814812</v>
      </c>
      <c r="I2354" s="9">
        <v>45181.386689814812</v>
      </c>
      <c r="J2354" s="9" t="e">
        <f>I2354+#REF!</f>
        <v>#REF!</v>
      </c>
      <c r="K2354" s="9" t="e">
        <f>J2354+#REF!</f>
        <v>#REF!</v>
      </c>
      <c r="L2354" s="10" t="s">
        <v>41</v>
      </c>
      <c r="M2354" s="11">
        <v>45194.386689814812</v>
      </c>
      <c r="N2354" s="5" t="s">
        <v>64</v>
      </c>
      <c r="O2354" s="5"/>
      <c r="P2354" s="9">
        <v>45198.386689814812</v>
      </c>
      <c r="Q2354" s="5" t="s">
        <v>64</v>
      </c>
      <c r="R2354" s="9">
        <v>45195.386689814812</v>
      </c>
      <c r="S2354" s="9">
        <v>45196.386689814812</v>
      </c>
      <c r="T2354" s="9">
        <v>45196.386689814812</v>
      </c>
      <c r="U2354" s="9">
        <v>45200.386689814812</v>
      </c>
      <c r="V2354" s="12">
        <v>1</v>
      </c>
      <c r="W2354" s="9">
        <v>45202.386689814812</v>
      </c>
      <c r="X2354" s="9">
        <v>45205.386689814812</v>
      </c>
      <c r="Y2354" s="9">
        <v>45208.386689814812</v>
      </c>
      <c r="Z2354" s="5"/>
      <c r="AA2354" s="5"/>
      <c r="AB2354" s="13">
        <v>45227.386689814812</v>
      </c>
      <c r="AC2354">
        <f t="shared" si="325"/>
        <v>13</v>
      </c>
      <c r="AD2354">
        <f t="shared" si="326"/>
        <v>15</v>
      </c>
      <c r="AE2354">
        <f t="shared" si="327"/>
        <v>2</v>
      </c>
      <c r="AF2354">
        <f t="shared" si="328"/>
        <v>5</v>
      </c>
      <c r="AG2354">
        <f t="shared" si="329"/>
        <v>2</v>
      </c>
      <c r="AH2354">
        <f t="shared" si="330"/>
        <v>1</v>
      </c>
      <c r="AI2354" t="str">
        <f t="shared" si="331"/>
        <v/>
      </c>
      <c r="AJ2354" t="str">
        <f t="shared" si="332"/>
        <v/>
      </c>
    </row>
    <row r="2355" spans="1:36">
      <c r="A2355" s="5">
        <v>2931</v>
      </c>
      <c r="B2355" s="5" t="s">
        <v>1454</v>
      </c>
      <c r="C2355" s="5" t="s">
        <v>1332</v>
      </c>
      <c r="D2355" s="5" t="s">
        <v>1448</v>
      </c>
      <c r="E2355" s="5" t="s">
        <v>597</v>
      </c>
      <c r="F2355" s="5" t="str">
        <f t="shared" si="324"/>
        <v>Fundraising-Business Partner</v>
      </c>
      <c r="G2355" s="5" t="s">
        <v>40</v>
      </c>
      <c r="H2355" s="9">
        <v>44968.550104166665</v>
      </c>
      <c r="I2355" s="9">
        <v>44972.550104166665</v>
      </c>
      <c r="J2355" s="9" t="e">
        <f>I2355+#REF!</f>
        <v>#REF!</v>
      </c>
      <c r="K2355" s="9" t="e">
        <f>J2355+#REF!</f>
        <v>#REF!</v>
      </c>
      <c r="L2355" s="10" t="s">
        <v>41</v>
      </c>
      <c r="M2355" s="11">
        <v>44985.550104166665</v>
      </c>
      <c r="N2355" s="5" t="s">
        <v>42</v>
      </c>
      <c r="O2355" s="5" t="s">
        <v>98</v>
      </c>
      <c r="P2355" s="9"/>
      <c r="Q2355" s="5"/>
      <c r="R2355" s="5"/>
      <c r="S2355" s="5"/>
      <c r="T2355" s="9">
        <v>44989.550104166665</v>
      </c>
      <c r="U2355" s="5"/>
      <c r="V2355" s="5">
        <v>0</v>
      </c>
      <c r="W2355" s="5"/>
      <c r="X2355" s="5"/>
      <c r="Y2355" s="5"/>
      <c r="Z2355" s="5"/>
      <c r="AA2355" s="5" t="s">
        <v>44</v>
      </c>
      <c r="AC2355">
        <f t="shared" si="325"/>
        <v>13</v>
      </c>
      <c r="AD2355" t="str">
        <f t="shared" si="326"/>
        <v/>
      </c>
      <c r="AE2355">
        <f t="shared" si="327"/>
        <v>4</v>
      </c>
      <c r="AF2355" t="str">
        <f t="shared" si="328"/>
        <v/>
      </c>
      <c r="AG2355" t="str">
        <f t="shared" si="329"/>
        <v/>
      </c>
      <c r="AH2355">
        <f t="shared" si="330"/>
        <v>4</v>
      </c>
      <c r="AI2355" t="str">
        <f t="shared" si="331"/>
        <v/>
      </c>
      <c r="AJ2355" t="str">
        <f t="shared" si="332"/>
        <v/>
      </c>
    </row>
    <row r="2356" spans="1:36">
      <c r="A2356" s="5">
        <v>2932</v>
      </c>
      <c r="B2356" s="5" t="s">
        <v>1362</v>
      </c>
      <c r="C2356" s="5" t="s">
        <v>1332</v>
      </c>
      <c r="D2356" s="5" t="s">
        <v>1359</v>
      </c>
      <c r="E2356" s="5" t="s">
        <v>1360</v>
      </c>
      <c r="F2356" s="5" t="str">
        <f t="shared" si="324"/>
        <v>Fundraising-Fund Administrator</v>
      </c>
      <c r="G2356" s="5" t="s">
        <v>147</v>
      </c>
      <c r="H2356" s="9">
        <v>44964.550104166665</v>
      </c>
      <c r="I2356" s="9">
        <v>44967.550104166665</v>
      </c>
      <c r="J2356" s="9" t="e">
        <f>I2356+#REF!</f>
        <v>#REF!</v>
      </c>
      <c r="K2356" s="9" t="e">
        <f>J2356+#REF!</f>
        <v>#REF!</v>
      </c>
      <c r="L2356" s="10" t="s">
        <v>41</v>
      </c>
      <c r="M2356" s="11">
        <v>44976.550104166665</v>
      </c>
      <c r="N2356" s="5" t="s">
        <v>48</v>
      </c>
      <c r="O2356" s="5"/>
      <c r="P2356" s="9">
        <v>44983.550104166665</v>
      </c>
      <c r="Q2356" s="5" t="s">
        <v>48</v>
      </c>
      <c r="R2356" s="5"/>
      <c r="S2356" s="5"/>
      <c r="T2356" s="9">
        <v>44979.550104166665</v>
      </c>
      <c r="U2356" s="5"/>
      <c r="V2356" s="5">
        <v>0</v>
      </c>
      <c r="W2356" s="5"/>
      <c r="X2356" s="5"/>
      <c r="Y2356" s="5"/>
      <c r="Z2356" s="5"/>
      <c r="AA2356" s="5"/>
      <c r="AC2356">
        <f t="shared" si="325"/>
        <v>9</v>
      </c>
      <c r="AD2356" t="str">
        <f t="shared" si="326"/>
        <v/>
      </c>
      <c r="AE2356">
        <f t="shared" si="327"/>
        <v>3</v>
      </c>
      <c r="AF2356" t="str">
        <f t="shared" si="328"/>
        <v/>
      </c>
      <c r="AG2356" t="str">
        <f t="shared" si="329"/>
        <v/>
      </c>
      <c r="AH2356">
        <f t="shared" si="330"/>
        <v>3</v>
      </c>
      <c r="AI2356" t="str">
        <f t="shared" si="331"/>
        <v/>
      </c>
      <c r="AJ2356" t="str">
        <f t="shared" si="332"/>
        <v/>
      </c>
    </row>
    <row r="2357" spans="1:36">
      <c r="A2357" s="5">
        <v>2934</v>
      </c>
      <c r="B2357" s="5" t="s">
        <v>2303</v>
      </c>
      <c r="C2357" s="5" t="s">
        <v>2229</v>
      </c>
      <c r="D2357" s="5" t="s">
        <v>2302</v>
      </c>
      <c r="E2357" s="5" t="s">
        <v>269</v>
      </c>
      <c r="F2357" s="5" t="str">
        <f t="shared" si="324"/>
        <v>Capacity Building-Manager</v>
      </c>
      <c r="G2357" s="5" t="s">
        <v>270</v>
      </c>
      <c r="H2357" s="9">
        <v>44967.550104166665</v>
      </c>
      <c r="I2357" s="9">
        <v>44968.550104166665</v>
      </c>
      <c r="J2357" s="9" t="e">
        <f>I2357+#REF!</f>
        <v>#REF!</v>
      </c>
      <c r="K2357" s="9" t="e">
        <f>J2357+#REF!</f>
        <v>#REF!</v>
      </c>
      <c r="L2357" s="10" t="s">
        <v>52</v>
      </c>
      <c r="M2357" s="11"/>
      <c r="N2357" s="5"/>
      <c r="O2357" s="5"/>
      <c r="P2357" s="9"/>
      <c r="Q2357" s="5"/>
      <c r="R2357" s="5"/>
      <c r="S2357" s="5"/>
      <c r="T2357" s="9"/>
      <c r="U2357" s="5"/>
      <c r="V2357" s="5">
        <v>0</v>
      </c>
      <c r="W2357" s="5"/>
      <c r="X2357" s="5"/>
      <c r="Y2357" s="5"/>
      <c r="Z2357" s="5"/>
      <c r="AA2357" s="5"/>
      <c r="AC2357" t="str">
        <f t="shared" si="325"/>
        <v/>
      </c>
      <c r="AD2357" t="str">
        <f t="shared" si="326"/>
        <v/>
      </c>
      <c r="AE2357" t="str">
        <f t="shared" si="327"/>
        <v/>
      </c>
      <c r="AF2357" t="str">
        <f t="shared" si="328"/>
        <v/>
      </c>
      <c r="AG2357" t="str">
        <f t="shared" si="329"/>
        <v/>
      </c>
      <c r="AH2357">
        <f t="shared" si="330"/>
        <v>1</v>
      </c>
      <c r="AI2357" t="str">
        <f t="shared" si="331"/>
        <v/>
      </c>
      <c r="AJ2357" t="str">
        <f t="shared" si="332"/>
        <v/>
      </c>
    </row>
    <row r="2358" spans="1:36">
      <c r="A2358" s="5">
        <v>2935</v>
      </c>
      <c r="B2358" s="5" t="s">
        <v>1453</v>
      </c>
      <c r="C2358" s="5" t="s">
        <v>1332</v>
      </c>
      <c r="D2358" s="5" t="s">
        <v>1448</v>
      </c>
      <c r="E2358" s="5" t="s">
        <v>597</v>
      </c>
      <c r="F2358" s="5" t="str">
        <f t="shared" si="324"/>
        <v>Fundraising-Business Partner</v>
      </c>
      <c r="G2358" s="5" t="s">
        <v>40</v>
      </c>
      <c r="H2358" s="9">
        <v>44966.550104166665</v>
      </c>
      <c r="I2358" s="9">
        <v>44969.550104166665</v>
      </c>
      <c r="J2358" s="9" t="e">
        <f>I2358+#REF!</f>
        <v>#REF!</v>
      </c>
      <c r="K2358" s="9" t="e">
        <f>J2358+#REF!</f>
        <v>#REF!</v>
      </c>
      <c r="L2358" s="10" t="s">
        <v>41</v>
      </c>
      <c r="M2358" s="11">
        <v>44977.550104166665</v>
      </c>
      <c r="N2358" s="5" t="s">
        <v>42</v>
      </c>
      <c r="O2358" s="5" t="s">
        <v>98</v>
      </c>
      <c r="P2358" s="9"/>
      <c r="Q2358" s="5"/>
      <c r="R2358" s="5"/>
      <c r="S2358" s="5"/>
      <c r="T2358" s="9"/>
      <c r="U2358" s="5"/>
      <c r="V2358" s="5">
        <v>0</v>
      </c>
      <c r="W2358" s="5"/>
      <c r="X2358" s="5"/>
      <c r="Y2358" s="5"/>
      <c r="Z2358" s="5"/>
      <c r="AA2358" s="5" t="s">
        <v>44</v>
      </c>
      <c r="AC2358">
        <f t="shared" si="325"/>
        <v>8</v>
      </c>
      <c r="AD2358" t="str">
        <f t="shared" si="326"/>
        <v/>
      </c>
      <c r="AE2358" t="str">
        <f t="shared" si="327"/>
        <v/>
      </c>
      <c r="AF2358" t="str">
        <f t="shared" si="328"/>
        <v/>
      </c>
      <c r="AG2358" t="str">
        <f t="shared" si="329"/>
        <v/>
      </c>
      <c r="AH2358">
        <f t="shared" si="330"/>
        <v>3</v>
      </c>
      <c r="AI2358" t="str">
        <f t="shared" si="331"/>
        <v/>
      </c>
      <c r="AJ2358" t="str">
        <f t="shared" si="332"/>
        <v/>
      </c>
    </row>
    <row r="2359" spans="1:36">
      <c r="A2359" s="5">
        <v>2936</v>
      </c>
      <c r="B2359" s="5" t="s">
        <v>1361</v>
      </c>
      <c r="C2359" s="5" t="s">
        <v>1332</v>
      </c>
      <c r="D2359" s="5" t="s">
        <v>1359</v>
      </c>
      <c r="E2359" s="5" t="s">
        <v>1360</v>
      </c>
      <c r="F2359" s="5" t="str">
        <f t="shared" si="324"/>
        <v>Fundraising-Fund Administrator</v>
      </c>
      <c r="G2359" s="5" t="s">
        <v>147</v>
      </c>
      <c r="H2359" s="9">
        <v>44967.550104166665</v>
      </c>
      <c r="I2359" s="9">
        <v>44971.550104166665</v>
      </c>
      <c r="J2359" s="9" t="e">
        <f>I2359+#REF!</f>
        <v>#REF!</v>
      </c>
      <c r="K2359" s="9" t="e">
        <f>J2359+#REF!</f>
        <v>#REF!</v>
      </c>
      <c r="L2359" s="10" t="s">
        <v>41</v>
      </c>
      <c r="M2359" s="11">
        <v>44983.550104166665</v>
      </c>
      <c r="N2359" s="5" t="s">
        <v>42</v>
      </c>
      <c r="O2359" s="5" t="s">
        <v>43</v>
      </c>
      <c r="P2359" s="9"/>
      <c r="Q2359" s="5"/>
      <c r="R2359" s="5"/>
      <c r="S2359" s="5"/>
      <c r="T2359" s="9">
        <v>44987.550104166665</v>
      </c>
      <c r="U2359" s="5"/>
      <c r="V2359" s="5">
        <v>0</v>
      </c>
      <c r="W2359" s="5"/>
      <c r="X2359" s="5"/>
      <c r="Y2359" s="5"/>
      <c r="Z2359" s="5"/>
      <c r="AA2359" s="5" t="s">
        <v>62</v>
      </c>
      <c r="AC2359">
        <f t="shared" si="325"/>
        <v>12</v>
      </c>
      <c r="AD2359" t="str">
        <f t="shared" si="326"/>
        <v/>
      </c>
      <c r="AE2359">
        <f t="shared" si="327"/>
        <v>4</v>
      </c>
      <c r="AF2359" t="str">
        <f t="shared" si="328"/>
        <v/>
      </c>
      <c r="AG2359" t="str">
        <f t="shared" si="329"/>
        <v/>
      </c>
      <c r="AH2359">
        <f t="shared" si="330"/>
        <v>4</v>
      </c>
      <c r="AI2359" t="str">
        <f t="shared" si="331"/>
        <v/>
      </c>
      <c r="AJ2359" t="str">
        <f t="shared" si="332"/>
        <v/>
      </c>
    </row>
    <row r="2360" spans="1:36">
      <c r="A2360" s="5">
        <v>2937</v>
      </c>
      <c r="B2360" s="5" t="s">
        <v>1452</v>
      </c>
      <c r="C2360" s="5" t="s">
        <v>1332</v>
      </c>
      <c r="D2360" s="5" t="s">
        <v>1448</v>
      </c>
      <c r="E2360" s="5" t="s">
        <v>597</v>
      </c>
      <c r="F2360" s="5" t="str">
        <f t="shared" si="324"/>
        <v>Fundraising-Business Partner</v>
      </c>
      <c r="G2360" s="5" t="s">
        <v>40</v>
      </c>
      <c r="H2360" s="9">
        <v>44967.550104166665</v>
      </c>
      <c r="I2360" s="9">
        <v>44969.550104166665</v>
      </c>
      <c r="J2360" s="9" t="e">
        <f>I2360+#REF!</f>
        <v>#REF!</v>
      </c>
      <c r="K2360" s="9" t="e">
        <f>J2360+#REF!</f>
        <v>#REF!</v>
      </c>
      <c r="L2360" s="10" t="s">
        <v>41</v>
      </c>
      <c r="M2360" s="11">
        <v>44981.550104166665</v>
      </c>
      <c r="N2360" s="5" t="s">
        <v>42</v>
      </c>
      <c r="O2360" s="5" t="s">
        <v>98</v>
      </c>
      <c r="P2360" s="9"/>
      <c r="Q2360" s="5"/>
      <c r="R2360" s="5"/>
      <c r="S2360" s="5"/>
      <c r="T2360" s="9">
        <v>44983.550104166665</v>
      </c>
      <c r="U2360" s="5"/>
      <c r="V2360" s="5">
        <v>0</v>
      </c>
      <c r="W2360" s="5"/>
      <c r="X2360" s="5"/>
      <c r="Y2360" s="5"/>
      <c r="Z2360" s="5"/>
      <c r="AA2360" s="5" t="s">
        <v>44</v>
      </c>
      <c r="AC2360">
        <f t="shared" si="325"/>
        <v>12</v>
      </c>
      <c r="AD2360" t="str">
        <f t="shared" si="326"/>
        <v/>
      </c>
      <c r="AE2360">
        <f t="shared" si="327"/>
        <v>2</v>
      </c>
      <c r="AF2360" t="str">
        <f t="shared" si="328"/>
        <v/>
      </c>
      <c r="AG2360" t="str">
        <f t="shared" si="329"/>
        <v/>
      </c>
      <c r="AH2360">
        <f t="shared" si="330"/>
        <v>2</v>
      </c>
      <c r="AI2360" t="str">
        <f t="shared" si="331"/>
        <v/>
      </c>
      <c r="AJ2360" t="str">
        <f t="shared" si="332"/>
        <v/>
      </c>
    </row>
    <row r="2361" spans="1:36">
      <c r="A2361" s="5">
        <v>2938</v>
      </c>
      <c r="B2361" s="5" t="s">
        <v>1451</v>
      </c>
      <c r="C2361" s="5" t="s">
        <v>1332</v>
      </c>
      <c r="D2361" s="5" t="s">
        <v>1448</v>
      </c>
      <c r="E2361" s="5" t="s">
        <v>597</v>
      </c>
      <c r="F2361" s="5" t="str">
        <f t="shared" si="324"/>
        <v>Fundraising-Business Partner</v>
      </c>
      <c r="G2361" s="5" t="s">
        <v>40</v>
      </c>
      <c r="H2361" s="9">
        <v>44968.550104166665</v>
      </c>
      <c r="I2361" s="9">
        <v>44972.550104166665</v>
      </c>
      <c r="J2361" s="9" t="e">
        <f>I2361+#REF!</f>
        <v>#REF!</v>
      </c>
      <c r="K2361" s="9" t="e">
        <f>J2361+#REF!</f>
        <v>#REF!</v>
      </c>
      <c r="L2361" s="10" t="s">
        <v>41</v>
      </c>
      <c r="M2361" s="11">
        <v>44978.550104166665</v>
      </c>
      <c r="N2361" s="5" t="s">
        <v>167</v>
      </c>
      <c r="O2361" s="5"/>
      <c r="P2361" s="9">
        <v>44983.550104166665</v>
      </c>
      <c r="Q2361" s="5" t="s">
        <v>167</v>
      </c>
      <c r="R2361" s="5"/>
      <c r="S2361" s="5"/>
      <c r="T2361" s="9">
        <v>44982.550104166665</v>
      </c>
      <c r="U2361" s="5"/>
      <c r="V2361" s="5">
        <v>0</v>
      </c>
      <c r="W2361" s="5"/>
      <c r="X2361" s="5"/>
      <c r="Y2361" s="5"/>
      <c r="Z2361" s="5"/>
      <c r="AA2361" s="5"/>
      <c r="AC2361">
        <f t="shared" si="325"/>
        <v>6</v>
      </c>
      <c r="AD2361" t="str">
        <f t="shared" si="326"/>
        <v/>
      </c>
      <c r="AE2361">
        <f t="shared" si="327"/>
        <v>4</v>
      </c>
      <c r="AF2361" t="str">
        <f t="shared" si="328"/>
        <v/>
      </c>
      <c r="AG2361" t="str">
        <f t="shared" si="329"/>
        <v/>
      </c>
      <c r="AH2361">
        <f t="shared" si="330"/>
        <v>4</v>
      </c>
      <c r="AI2361" t="str">
        <f t="shared" si="331"/>
        <v/>
      </c>
      <c r="AJ2361" t="str">
        <f t="shared" si="332"/>
        <v/>
      </c>
    </row>
    <row r="2362" spans="1:36">
      <c r="A2362" s="5">
        <v>2939</v>
      </c>
      <c r="B2362" s="5" t="s">
        <v>1358</v>
      </c>
      <c r="C2362" s="5" t="s">
        <v>1332</v>
      </c>
      <c r="D2362" s="5" t="s">
        <v>1359</v>
      </c>
      <c r="E2362" s="5" t="s">
        <v>1360</v>
      </c>
      <c r="F2362" s="5" t="str">
        <f t="shared" si="324"/>
        <v>Fundraising-Fund Administrator</v>
      </c>
      <c r="G2362" s="5" t="s">
        <v>147</v>
      </c>
      <c r="H2362" s="9">
        <v>44968.550104166665</v>
      </c>
      <c r="I2362" s="9">
        <v>44971.550104166665</v>
      </c>
      <c r="J2362" s="9" t="e">
        <f>I2362+#REF!</f>
        <v>#REF!</v>
      </c>
      <c r="K2362" s="9" t="e">
        <f>J2362+#REF!</f>
        <v>#REF!</v>
      </c>
      <c r="L2362" s="10" t="s">
        <v>41</v>
      </c>
      <c r="M2362" s="11">
        <v>44989.550104166665</v>
      </c>
      <c r="N2362" s="5" t="s">
        <v>42</v>
      </c>
      <c r="O2362" s="5" t="s">
        <v>113</v>
      </c>
      <c r="P2362" s="9"/>
      <c r="Q2362" s="5"/>
      <c r="R2362" s="5"/>
      <c r="S2362" s="5"/>
      <c r="T2362" s="9">
        <v>44991.550104166665</v>
      </c>
      <c r="U2362" s="5"/>
      <c r="V2362" s="5">
        <v>0</v>
      </c>
      <c r="W2362" s="5"/>
      <c r="X2362" s="5"/>
      <c r="Y2362" s="5"/>
      <c r="Z2362" s="5"/>
      <c r="AA2362" s="5" t="s">
        <v>44</v>
      </c>
      <c r="AC2362">
        <f t="shared" si="325"/>
        <v>18</v>
      </c>
      <c r="AD2362" t="str">
        <f t="shared" si="326"/>
        <v/>
      </c>
      <c r="AE2362">
        <f t="shared" si="327"/>
        <v>2</v>
      </c>
      <c r="AF2362" t="str">
        <f t="shared" si="328"/>
        <v/>
      </c>
      <c r="AG2362" t="str">
        <f t="shared" si="329"/>
        <v/>
      </c>
      <c r="AH2362">
        <f t="shared" si="330"/>
        <v>3</v>
      </c>
      <c r="AI2362" t="str">
        <f t="shared" si="331"/>
        <v/>
      </c>
      <c r="AJ2362" t="str">
        <f t="shared" si="332"/>
        <v/>
      </c>
    </row>
    <row r="2363" spans="1:36">
      <c r="A2363" s="5">
        <v>2941</v>
      </c>
      <c r="B2363" s="5" t="s">
        <v>2168</v>
      </c>
      <c r="C2363" s="10" t="s">
        <v>2089</v>
      </c>
      <c r="D2363" s="5" t="s">
        <v>2167</v>
      </c>
      <c r="E2363" s="5" t="s">
        <v>269</v>
      </c>
      <c r="F2363" s="5" t="str">
        <f t="shared" si="324"/>
        <v>Communication and Advocacy-Manager</v>
      </c>
      <c r="G2363" s="5" t="s">
        <v>270</v>
      </c>
      <c r="H2363" s="9">
        <v>44722.484722222223</v>
      </c>
      <c r="I2363" s="9">
        <v>44725.484722222223</v>
      </c>
      <c r="J2363" s="9" t="e">
        <f>I2363+#REF!</f>
        <v>#REF!</v>
      </c>
      <c r="K2363" s="9" t="e">
        <f>J2363+#REF!</f>
        <v>#REF!</v>
      </c>
      <c r="L2363" s="10" t="s">
        <v>52</v>
      </c>
      <c r="M2363" s="11"/>
      <c r="N2363" s="5"/>
      <c r="O2363" s="5"/>
      <c r="P2363" s="9"/>
      <c r="Q2363" s="5"/>
      <c r="R2363" s="5"/>
      <c r="S2363" s="5"/>
      <c r="T2363" s="9"/>
      <c r="U2363" s="5"/>
      <c r="V2363" s="5">
        <v>0</v>
      </c>
      <c r="W2363" s="5"/>
      <c r="X2363" s="5"/>
      <c r="Y2363" s="5"/>
      <c r="Z2363" s="5"/>
      <c r="AA2363" s="5"/>
      <c r="AC2363" t="str">
        <f t="shared" si="325"/>
        <v/>
      </c>
      <c r="AD2363" t="str">
        <f t="shared" si="326"/>
        <v/>
      </c>
      <c r="AE2363" t="str">
        <f t="shared" si="327"/>
        <v/>
      </c>
      <c r="AF2363" t="str">
        <f t="shared" si="328"/>
        <v/>
      </c>
      <c r="AG2363" t="str">
        <f t="shared" si="329"/>
        <v/>
      </c>
      <c r="AH2363">
        <f t="shared" si="330"/>
        <v>3</v>
      </c>
      <c r="AI2363" t="str">
        <f t="shared" si="331"/>
        <v/>
      </c>
      <c r="AJ2363" t="str">
        <f t="shared" si="332"/>
        <v/>
      </c>
    </row>
    <row r="2364" spans="1:36">
      <c r="A2364" s="5">
        <v>2942</v>
      </c>
      <c r="B2364" s="5" t="s">
        <v>1144</v>
      </c>
      <c r="C2364" s="10" t="s">
        <v>1122</v>
      </c>
      <c r="D2364" s="5" t="s">
        <v>1145</v>
      </c>
      <c r="E2364" s="5" t="s">
        <v>1146</v>
      </c>
      <c r="F2364" s="5" t="str">
        <f t="shared" si="324"/>
        <v>IT-Quality Assurance</v>
      </c>
      <c r="G2364" s="5" t="s">
        <v>147</v>
      </c>
      <c r="H2364" s="9">
        <v>44727.484722222223</v>
      </c>
      <c r="I2364" s="9">
        <v>44730.484722222223</v>
      </c>
      <c r="J2364" s="9" t="e">
        <f>I2364+#REF!</f>
        <v>#REF!</v>
      </c>
      <c r="K2364" s="9" t="e">
        <f>J2364+#REF!</f>
        <v>#REF!</v>
      </c>
      <c r="L2364" s="10" t="s">
        <v>41</v>
      </c>
      <c r="M2364" s="11">
        <v>44739.484722222223</v>
      </c>
      <c r="N2364" s="5" t="s">
        <v>42</v>
      </c>
      <c r="O2364" s="5" t="s">
        <v>43</v>
      </c>
      <c r="P2364" s="9"/>
      <c r="Q2364" s="5"/>
      <c r="R2364" s="5"/>
      <c r="S2364" s="5"/>
      <c r="T2364" s="9"/>
      <c r="U2364" s="5"/>
      <c r="V2364" s="5">
        <v>0</v>
      </c>
      <c r="W2364" s="5"/>
      <c r="X2364" s="5"/>
      <c r="Y2364" s="5"/>
      <c r="Z2364" s="5"/>
      <c r="AA2364" s="5" t="s">
        <v>44</v>
      </c>
      <c r="AC2364">
        <f t="shared" si="325"/>
        <v>9</v>
      </c>
      <c r="AD2364" t="str">
        <f t="shared" si="326"/>
        <v/>
      </c>
      <c r="AE2364" t="str">
        <f t="shared" si="327"/>
        <v/>
      </c>
      <c r="AF2364" t="str">
        <f t="shared" si="328"/>
        <v/>
      </c>
      <c r="AG2364" t="str">
        <f t="shared" si="329"/>
        <v/>
      </c>
      <c r="AH2364">
        <f t="shared" si="330"/>
        <v>3</v>
      </c>
      <c r="AI2364" t="str">
        <f t="shared" si="331"/>
        <v/>
      </c>
      <c r="AJ2364" t="str">
        <f t="shared" si="332"/>
        <v/>
      </c>
    </row>
    <row r="2365" spans="1:36">
      <c r="A2365" s="5">
        <v>2943</v>
      </c>
      <c r="B2365" s="5" t="s">
        <v>1124</v>
      </c>
      <c r="C2365" s="10" t="s">
        <v>1122</v>
      </c>
      <c r="D2365" s="5" t="s">
        <v>1123</v>
      </c>
      <c r="E2365" s="5" t="s">
        <v>102</v>
      </c>
      <c r="F2365" s="5" t="str">
        <f t="shared" si="324"/>
        <v>IT-Senior Manager</v>
      </c>
      <c r="G2365" s="5" t="s">
        <v>103</v>
      </c>
      <c r="H2365" s="9">
        <v>44724.484722222223</v>
      </c>
      <c r="I2365" s="9">
        <v>44725.484722222223</v>
      </c>
      <c r="J2365" s="9" t="e">
        <f>I2365+#REF!</f>
        <v>#REF!</v>
      </c>
      <c r="K2365" s="9" t="e">
        <f>J2365+#REF!</f>
        <v>#REF!</v>
      </c>
      <c r="L2365" s="10" t="s">
        <v>41</v>
      </c>
      <c r="M2365" s="11">
        <v>44744.484722222223</v>
      </c>
      <c r="N2365" s="5" t="s">
        <v>42</v>
      </c>
      <c r="O2365" s="5" t="s">
        <v>113</v>
      </c>
      <c r="P2365" s="9"/>
      <c r="Q2365" s="5"/>
      <c r="R2365" s="5"/>
      <c r="S2365" s="5"/>
      <c r="T2365" s="9">
        <v>44748.484722222223</v>
      </c>
      <c r="U2365" s="5"/>
      <c r="V2365" s="5">
        <v>0</v>
      </c>
      <c r="W2365" s="5"/>
      <c r="X2365" s="5"/>
      <c r="Y2365" s="5"/>
      <c r="Z2365" s="5"/>
      <c r="AA2365" s="5" t="s">
        <v>62</v>
      </c>
      <c r="AC2365">
        <f t="shared" si="325"/>
        <v>19</v>
      </c>
      <c r="AD2365" t="str">
        <f t="shared" si="326"/>
        <v/>
      </c>
      <c r="AE2365">
        <f t="shared" si="327"/>
        <v>4</v>
      </c>
      <c r="AF2365" t="str">
        <f t="shared" si="328"/>
        <v/>
      </c>
      <c r="AG2365" t="str">
        <f t="shared" si="329"/>
        <v/>
      </c>
      <c r="AH2365">
        <f t="shared" si="330"/>
        <v>1</v>
      </c>
      <c r="AI2365" t="str">
        <f t="shared" si="331"/>
        <v/>
      </c>
      <c r="AJ2365" t="str">
        <f t="shared" si="332"/>
        <v/>
      </c>
    </row>
    <row r="2366" spans="1:36">
      <c r="A2366" s="5">
        <v>2944</v>
      </c>
      <c r="B2366" s="5" t="s">
        <v>1252</v>
      </c>
      <c r="C2366" s="10" t="s">
        <v>1215</v>
      </c>
      <c r="D2366" s="5" t="s">
        <v>1249</v>
      </c>
      <c r="E2366" s="5" t="s">
        <v>1250</v>
      </c>
      <c r="F2366" s="5" t="str">
        <f t="shared" si="324"/>
        <v>HR-Screening Associate</v>
      </c>
      <c r="G2366" s="5" t="s">
        <v>40</v>
      </c>
      <c r="H2366" s="9">
        <v>44726.484722222223</v>
      </c>
      <c r="I2366" s="9">
        <v>44730.484722222223</v>
      </c>
      <c r="J2366" s="9" t="e">
        <f>I2366+#REF!</f>
        <v>#REF!</v>
      </c>
      <c r="K2366" s="9" t="e">
        <f>J2366+#REF!</f>
        <v>#REF!</v>
      </c>
      <c r="L2366" s="10" t="s">
        <v>41</v>
      </c>
      <c r="M2366" s="11">
        <v>44738.484722222223</v>
      </c>
      <c r="N2366" s="5" t="s">
        <v>167</v>
      </c>
      <c r="O2366" s="5"/>
      <c r="P2366" s="9">
        <v>44744.484722222223</v>
      </c>
      <c r="Q2366" s="5" t="s">
        <v>167</v>
      </c>
      <c r="R2366" s="5"/>
      <c r="S2366" s="5"/>
      <c r="T2366" s="9">
        <v>44741.484722222223</v>
      </c>
      <c r="U2366" s="5"/>
      <c r="V2366" s="5">
        <v>0</v>
      </c>
      <c r="W2366" s="5"/>
      <c r="X2366" s="5"/>
      <c r="Y2366" s="5"/>
      <c r="Z2366" s="5"/>
      <c r="AA2366" s="5"/>
      <c r="AC2366">
        <f t="shared" si="325"/>
        <v>8</v>
      </c>
      <c r="AD2366" t="str">
        <f t="shared" si="326"/>
        <v/>
      </c>
      <c r="AE2366">
        <f t="shared" si="327"/>
        <v>3</v>
      </c>
      <c r="AF2366" t="str">
        <f t="shared" si="328"/>
        <v/>
      </c>
      <c r="AG2366" t="str">
        <f t="shared" si="329"/>
        <v/>
      </c>
      <c r="AH2366">
        <f t="shared" si="330"/>
        <v>4</v>
      </c>
      <c r="AI2366" t="str">
        <f t="shared" si="331"/>
        <v/>
      </c>
      <c r="AJ2366" t="str">
        <f t="shared" si="332"/>
        <v/>
      </c>
    </row>
    <row r="2367" spans="1:36">
      <c r="A2367" s="5">
        <v>2945</v>
      </c>
      <c r="B2367" s="5" t="s">
        <v>1251</v>
      </c>
      <c r="C2367" s="10" t="s">
        <v>1215</v>
      </c>
      <c r="D2367" s="5" t="s">
        <v>1249</v>
      </c>
      <c r="E2367" s="5" t="s">
        <v>1250</v>
      </c>
      <c r="F2367" s="5" t="str">
        <f t="shared" si="324"/>
        <v>HR-Screening Associate</v>
      </c>
      <c r="G2367" s="5" t="s">
        <v>40</v>
      </c>
      <c r="H2367" s="9">
        <v>44724.484722222223</v>
      </c>
      <c r="I2367" s="9">
        <v>44726.484722222223</v>
      </c>
      <c r="J2367" s="9" t="e">
        <f>I2367+#REF!</f>
        <v>#REF!</v>
      </c>
      <c r="K2367" s="9" t="e">
        <f>J2367+#REF!</f>
        <v>#REF!</v>
      </c>
      <c r="L2367" s="10" t="s">
        <v>41</v>
      </c>
      <c r="M2367" s="11">
        <v>44747.484722222223</v>
      </c>
      <c r="N2367" s="5" t="s">
        <v>48</v>
      </c>
      <c r="O2367" s="5"/>
      <c r="P2367" s="9">
        <v>44753.484722222223</v>
      </c>
      <c r="Q2367" s="5" t="s">
        <v>48</v>
      </c>
      <c r="R2367" s="5"/>
      <c r="S2367" s="5"/>
      <c r="T2367" s="9">
        <v>44751.484722222223</v>
      </c>
      <c r="U2367" s="5"/>
      <c r="V2367" s="5">
        <v>0</v>
      </c>
      <c r="W2367" s="5"/>
      <c r="X2367" s="5"/>
      <c r="Y2367" s="5"/>
      <c r="Z2367" s="5"/>
      <c r="AA2367" s="5"/>
      <c r="AC2367">
        <f t="shared" si="325"/>
        <v>21</v>
      </c>
      <c r="AD2367" t="str">
        <f t="shared" si="326"/>
        <v/>
      </c>
      <c r="AE2367">
        <f t="shared" si="327"/>
        <v>4</v>
      </c>
      <c r="AF2367" t="str">
        <f t="shared" si="328"/>
        <v/>
      </c>
      <c r="AG2367" t="str">
        <f t="shared" si="329"/>
        <v/>
      </c>
      <c r="AH2367">
        <f t="shared" si="330"/>
        <v>2</v>
      </c>
      <c r="AI2367" t="str">
        <f t="shared" si="331"/>
        <v/>
      </c>
      <c r="AJ2367" t="str">
        <f t="shared" si="332"/>
        <v/>
      </c>
    </row>
    <row r="2368" spans="1:36">
      <c r="A2368" s="5">
        <v>2947</v>
      </c>
      <c r="B2368" s="5" t="s">
        <v>1121</v>
      </c>
      <c r="C2368" s="10" t="s">
        <v>1122</v>
      </c>
      <c r="D2368" s="5" t="s">
        <v>1123</v>
      </c>
      <c r="E2368" s="5" t="s">
        <v>102</v>
      </c>
      <c r="F2368" s="5" t="str">
        <f t="shared" si="324"/>
        <v>IT-Senior Manager</v>
      </c>
      <c r="G2368" s="5" t="s">
        <v>103</v>
      </c>
      <c r="H2368" s="9">
        <v>44725.484722222223</v>
      </c>
      <c r="I2368" s="9">
        <v>44729.484722222223</v>
      </c>
      <c r="J2368" s="9" t="e">
        <f>I2368+#REF!</f>
        <v>#REF!</v>
      </c>
      <c r="K2368" s="9" t="e">
        <f>J2368+#REF!</f>
        <v>#REF!</v>
      </c>
      <c r="L2368" s="10" t="s">
        <v>41</v>
      </c>
      <c r="M2368" s="11">
        <v>44744.484722222223</v>
      </c>
      <c r="N2368" s="5" t="s">
        <v>42</v>
      </c>
      <c r="O2368" s="5" t="s">
        <v>98</v>
      </c>
      <c r="P2368" s="9"/>
      <c r="Q2368" s="5"/>
      <c r="R2368" s="5"/>
      <c r="S2368" s="5"/>
      <c r="T2368" s="9"/>
      <c r="U2368" s="5"/>
      <c r="V2368" s="5">
        <v>0</v>
      </c>
      <c r="W2368" s="5"/>
      <c r="X2368" s="5"/>
      <c r="Y2368" s="5"/>
      <c r="Z2368" s="5"/>
      <c r="AA2368" s="5" t="s">
        <v>44</v>
      </c>
      <c r="AC2368">
        <f t="shared" si="325"/>
        <v>15</v>
      </c>
      <c r="AD2368" t="str">
        <f t="shared" si="326"/>
        <v/>
      </c>
      <c r="AE2368" t="str">
        <f t="shared" si="327"/>
        <v/>
      </c>
      <c r="AF2368" t="str">
        <f t="shared" si="328"/>
        <v/>
      </c>
      <c r="AG2368" t="str">
        <f t="shared" si="329"/>
        <v/>
      </c>
      <c r="AH2368">
        <f t="shared" si="330"/>
        <v>4</v>
      </c>
      <c r="AI2368" t="str">
        <f t="shared" si="331"/>
        <v/>
      </c>
      <c r="AJ2368" t="str">
        <f t="shared" si="332"/>
        <v/>
      </c>
    </row>
    <row r="2369" spans="1:36">
      <c r="A2369" s="5">
        <v>2948</v>
      </c>
      <c r="B2369" s="5" t="s">
        <v>2166</v>
      </c>
      <c r="C2369" s="10" t="s">
        <v>2089</v>
      </c>
      <c r="D2369" s="5" t="s">
        <v>2167</v>
      </c>
      <c r="E2369" s="5" t="s">
        <v>269</v>
      </c>
      <c r="F2369" s="5" t="str">
        <f t="shared" si="324"/>
        <v>Communication and Advocacy-Manager</v>
      </c>
      <c r="G2369" s="5" t="s">
        <v>270</v>
      </c>
      <c r="H2369" s="9">
        <v>44725.484722222223</v>
      </c>
      <c r="I2369" s="9">
        <v>44727.484722222223</v>
      </c>
      <c r="J2369" s="9" t="e">
        <f>I2369+#REF!</f>
        <v>#REF!</v>
      </c>
      <c r="K2369" s="9" t="e">
        <f>J2369+#REF!</f>
        <v>#REF!</v>
      </c>
      <c r="L2369" s="10" t="s">
        <v>52</v>
      </c>
      <c r="M2369" s="11"/>
      <c r="N2369" s="5"/>
      <c r="O2369" s="5"/>
      <c r="P2369" s="9"/>
      <c r="Q2369" s="5"/>
      <c r="R2369" s="5"/>
      <c r="S2369" s="5"/>
      <c r="T2369" s="9"/>
      <c r="U2369" s="5"/>
      <c r="V2369" s="5">
        <v>0</v>
      </c>
      <c r="W2369" s="5"/>
      <c r="X2369" s="5"/>
      <c r="Y2369" s="5"/>
      <c r="Z2369" s="5"/>
      <c r="AA2369" s="5"/>
      <c r="AC2369" t="str">
        <f t="shared" si="325"/>
        <v/>
      </c>
      <c r="AD2369" t="str">
        <f t="shared" si="326"/>
        <v/>
      </c>
      <c r="AE2369" t="str">
        <f t="shared" si="327"/>
        <v/>
      </c>
      <c r="AF2369" t="str">
        <f t="shared" si="328"/>
        <v/>
      </c>
      <c r="AG2369" t="str">
        <f t="shared" si="329"/>
        <v/>
      </c>
      <c r="AH2369">
        <f t="shared" si="330"/>
        <v>2</v>
      </c>
      <c r="AI2369" t="str">
        <f t="shared" si="331"/>
        <v/>
      </c>
      <c r="AJ2369" t="str">
        <f t="shared" si="332"/>
        <v/>
      </c>
    </row>
    <row r="2370" spans="1:36">
      <c r="A2370" s="5">
        <v>2949</v>
      </c>
      <c r="B2370" s="5" t="s">
        <v>1248</v>
      </c>
      <c r="C2370" s="10" t="s">
        <v>1215</v>
      </c>
      <c r="D2370" s="5" t="s">
        <v>1249</v>
      </c>
      <c r="E2370" s="5" t="s">
        <v>1250</v>
      </c>
      <c r="F2370" s="5" t="str">
        <f t="shared" ref="F2370:F2401" si="333">_xlfn.CONCAT(C2370,"-",E2370)</f>
        <v>HR-Screening Associate</v>
      </c>
      <c r="G2370" s="5" t="s">
        <v>40</v>
      </c>
      <c r="H2370" s="9">
        <v>44724.484722222223</v>
      </c>
      <c r="I2370" s="9">
        <v>44727.484722222223</v>
      </c>
      <c r="J2370" s="9" t="e">
        <f>I2370+#REF!</f>
        <v>#REF!</v>
      </c>
      <c r="K2370" s="9" t="e">
        <f>J2370+#REF!</f>
        <v>#REF!</v>
      </c>
      <c r="L2370" s="10" t="s">
        <v>41</v>
      </c>
      <c r="M2370" s="11">
        <v>44743.484722222223</v>
      </c>
      <c r="N2370" s="5" t="s">
        <v>42</v>
      </c>
      <c r="O2370" s="5" t="s">
        <v>98</v>
      </c>
      <c r="P2370" s="9"/>
      <c r="Q2370" s="5"/>
      <c r="R2370" s="5"/>
      <c r="S2370" s="5"/>
      <c r="T2370" s="9">
        <v>44746.484722222223</v>
      </c>
      <c r="U2370" s="5"/>
      <c r="V2370" s="5">
        <v>0</v>
      </c>
      <c r="W2370" s="5"/>
      <c r="X2370" s="5"/>
      <c r="Y2370" s="5"/>
      <c r="Z2370" s="5"/>
      <c r="AA2370" s="5" t="s">
        <v>44</v>
      </c>
      <c r="AC2370">
        <f t="shared" ref="AC2370:AC2400" si="334">IF(AND(ISNUMBER(M2370), ISNUMBER(I2370)), M2370 - I2370, "")</f>
        <v>16</v>
      </c>
      <c r="AD2370" t="str">
        <f t="shared" si="326"/>
        <v/>
      </c>
      <c r="AE2370">
        <f t="shared" si="327"/>
        <v>3</v>
      </c>
      <c r="AF2370" t="str">
        <f t="shared" si="328"/>
        <v/>
      </c>
      <c r="AG2370" t="str">
        <f t="shared" si="329"/>
        <v/>
      </c>
      <c r="AH2370">
        <f t="shared" si="330"/>
        <v>3</v>
      </c>
      <c r="AI2370" t="str">
        <f t="shared" si="331"/>
        <v/>
      </c>
      <c r="AJ2370" t="str">
        <f t="shared" si="332"/>
        <v/>
      </c>
    </row>
    <row r="2371" spans="1:36">
      <c r="A2371" s="5">
        <v>2950</v>
      </c>
      <c r="B2371" s="5" t="s">
        <v>1190</v>
      </c>
      <c r="C2371" s="10" t="s">
        <v>1122</v>
      </c>
      <c r="D2371" s="5" t="s">
        <v>1191</v>
      </c>
      <c r="E2371" s="5" t="s">
        <v>269</v>
      </c>
      <c r="F2371" s="5" t="str">
        <f t="shared" si="333"/>
        <v>IT-Manager</v>
      </c>
      <c r="G2371" s="5" t="s">
        <v>270</v>
      </c>
      <c r="H2371" s="9">
        <v>44726.484722222223</v>
      </c>
      <c r="I2371" s="9">
        <v>44728.484722222223</v>
      </c>
      <c r="J2371" s="9" t="e">
        <f>I2371+#REF!</f>
        <v>#REF!</v>
      </c>
      <c r="K2371" s="9" t="e">
        <f>J2371+#REF!</f>
        <v>#REF!</v>
      </c>
      <c r="L2371" s="10" t="s">
        <v>41</v>
      </c>
      <c r="M2371" s="11">
        <v>44739.484722222223</v>
      </c>
      <c r="N2371" s="5" t="s">
        <v>42</v>
      </c>
      <c r="O2371" s="5" t="s">
        <v>43</v>
      </c>
      <c r="P2371" s="9"/>
      <c r="Q2371" s="5"/>
      <c r="R2371" s="5"/>
      <c r="S2371" s="5"/>
      <c r="T2371" s="9">
        <v>44741.484722222223</v>
      </c>
      <c r="U2371" s="5"/>
      <c r="V2371" s="5">
        <v>0</v>
      </c>
      <c r="W2371" s="5"/>
      <c r="X2371" s="5"/>
      <c r="Y2371" s="5"/>
      <c r="Z2371" s="5"/>
      <c r="AA2371" s="5" t="s">
        <v>62</v>
      </c>
      <c r="AC2371">
        <f t="shared" si="334"/>
        <v>11</v>
      </c>
      <c r="AD2371" t="str">
        <f t="shared" ref="AD2371:AD2400" si="335">IF(AND(ISNUMBER(S2371), ISNUMBER(I2371)), S2371 - I2371, "")</f>
        <v/>
      </c>
      <c r="AE2371">
        <f t="shared" ref="AE2371:AE2400" si="336">IF(AND(ISNUMBER(T2371), ISNUMBER(M2371)), T2371-M2371, "")</f>
        <v>2</v>
      </c>
      <c r="AF2371" t="str">
        <f t="shared" ref="AF2371:AF2400" si="337">IF(AND(ISNUMBER(X2371), ISNUMBER(U2371)), X2371-U2371,"")</f>
        <v/>
      </c>
      <c r="AG2371" t="str">
        <f t="shared" ref="AG2371:AG2400" si="338">IF(AND(ISNUMBER(W2371), ISNUMBER(U2371)), W2371-U2371, "")</f>
        <v/>
      </c>
      <c r="AH2371">
        <f t="shared" ref="AH2371:AH2400" si="339">IF(AND(ISNUMBER(I2371), ISNUMBER(H2371)), I2371-H2371,"")</f>
        <v>2</v>
      </c>
      <c r="AI2371" t="str">
        <f t="shared" ref="AI2371:AI2400" si="340">IF(AND(ISNUMBER(J2371),ISNUMBER(K2371)),K2371-J2371,"")</f>
        <v/>
      </c>
      <c r="AJ2371" t="str">
        <f t="shared" ref="AJ2371:AJ2400" si="341">IF(AND(ISNUMBER(J2371),ISNUMBER(I2371)), J2371-I2371,"")</f>
        <v/>
      </c>
    </row>
    <row r="2372" spans="1:36">
      <c r="A2372" s="5">
        <v>2952</v>
      </c>
      <c r="B2372" s="5" t="s">
        <v>2301</v>
      </c>
      <c r="C2372" s="5" t="s">
        <v>2229</v>
      </c>
      <c r="D2372" s="5" t="s">
        <v>2302</v>
      </c>
      <c r="E2372" s="5" t="s">
        <v>269</v>
      </c>
      <c r="F2372" s="5" t="str">
        <f t="shared" si="333"/>
        <v>Capacity Building-Manager</v>
      </c>
      <c r="G2372" s="5" t="s">
        <v>270</v>
      </c>
      <c r="H2372" s="9">
        <v>45016.652233796296</v>
      </c>
      <c r="I2372" s="9">
        <v>45017.652233796296</v>
      </c>
      <c r="J2372" s="9" t="e">
        <f>I2372+#REF!</f>
        <v>#REF!</v>
      </c>
      <c r="K2372" s="9" t="e">
        <f>J2372+#REF!</f>
        <v>#REF!</v>
      </c>
      <c r="L2372" s="10" t="s">
        <v>52</v>
      </c>
      <c r="M2372" s="11"/>
      <c r="N2372" s="5"/>
      <c r="O2372" s="5"/>
      <c r="P2372" s="9"/>
      <c r="Q2372" s="5"/>
      <c r="R2372" s="5"/>
      <c r="S2372" s="5"/>
      <c r="T2372" s="9"/>
      <c r="U2372" s="5"/>
      <c r="V2372" s="5">
        <v>0</v>
      </c>
      <c r="W2372" s="5"/>
      <c r="X2372" s="5"/>
      <c r="Y2372" s="5"/>
      <c r="Z2372" s="5"/>
      <c r="AA2372" s="5"/>
      <c r="AC2372" t="str">
        <f t="shared" si="334"/>
        <v/>
      </c>
      <c r="AD2372" t="str">
        <f t="shared" si="335"/>
        <v/>
      </c>
      <c r="AE2372" t="str">
        <f t="shared" si="336"/>
        <v/>
      </c>
      <c r="AF2372" t="str">
        <f t="shared" si="337"/>
        <v/>
      </c>
      <c r="AG2372" t="str">
        <f t="shared" si="338"/>
        <v/>
      </c>
      <c r="AH2372">
        <f t="shared" si="339"/>
        <v>1</v>
      </c>
      <c r="AI2372" t="str">
        <f t="shared" si="340"/>
        <v/>
      </c>
      <c r="AJ2372" t="str">
        <f t="shared" si="341"/>
        <v/>
      </c>
    </row>
    <row r="2373" spans="1:36">
      <c r="A2373" s="5">
        <v>2953</v>
      </c>
      <c r="B2373" s="5" t="s">
        <v>2352</v>
      </c>
      <c r="C2373" s="5" t="s">
        <v>2229</v>
      </c>
      <c r="D2373" s="5" t="s">
        <v>2350</v>
      </c>
      <c r="E2373" s="5" t="s">
        <v>2351</v>
      </c>
      <c r="F2373" s="5" t="str">
        <f t="shared" si="333"/>
        <v>Capacity Building-Training Associate</v>
      </c>
      <c r="G2373" s="5" t="s">
        <v>40</v>
      </c>
      <c r="H2373" s="9">
        <v>45018.652233796296</v>
      </c>
      <c r="I2373" s="9">
        <v>45020.652233796296</v>
      </c>
      <c r="J2373" s="9" t="e">
        <f>I2373+#REF!</f>
        <v>#REF!</v>
      </c>
      <c r="K2373" s="9" t="e">
        <f>J2373+#REF!</f>
        <v>#REF!</v>
      </c>
      <c r="L2373" s="10" t="s">
        <v>52</v>
      </c>
      <c r="M2373" s="11"/>
      <c r="N2373" s="5"/>
      <c r="O2373" s="5"/>
      <c r="P2373" s="9"/>
      <c r="Q2373" s="5"/>
      <c r="R2373" s="5"/>
      <c r="S2373" s="5"/>
      <c r="T2373" s="9"/>
      <c r="U2373" s="5"/>
      <c r="V2373" s="5">
        <v>0</v>
      </c>
      <c r="W2373" s="5"/>
      <c r="X2373" s="5"/>
      <c r="Y2373" s="5"/>
      <c r="Z2373" s="5"/>
      <c r="AA2373" s="5"/>
      <c r="AC2373" t="str">
        <f t="shared" si="334"/>
        <v/>
      </c>
      <c r="AD2373" t="str">
        <f t="shared" si="335"/>
        <v/>
      </c>
      <c r="AE2373" t="str">
        <f t="shared" si="336"/>
        <v/>
      </c>
      <c r="AF2373" t="str">
        <f t="shared" si="337"/>
        <v/>
      </c>
      <c r="AG2373" t="str">
        <f t="shared" si="338"/>
        <v/>
      </c>
      <c r="AH2373">
        <f t="shared" si="339"/>
        <v>2</v>
      </c>
      <c r="AI2373" t="str">
        <f t="shared" si="340"/>
        <v/>
      </c>
      <c r="AJ2373" t="str">
        <f t="shared" si="341"/>
        <v/>
      </c>
    </row>
    <row r="2374" spans="1:36">
      <c r="A2374" s="5">
        <v>2954</v>
      </c>
      <c r="B2374" s="5" t="s">
        <v>1499</v>
      </c>
      <c r="C2374" s="5" t="s">
        <v>1332</v>
      </c>
      <c r="D2374" s="5" t="s">
        <v>1500</v>
      </c>
      <c r="E2374" s="5" t="s">
        <v>39</v>
      </c>
      <c r="F2374" s="5" t="str">
        <f t="shared" si="333"/>
        <v>Fundraising-Analyst</v>
      </c>
      <c r="G2374" s="5" t="s">
        <v>47</v>
      </c>
      <c r="H2374" s="9">
        <v>45015.652233796296</v>
      </c>
      <c r="I2374" s="9">
        <v>45017.652233796296</v>
      </c>
      <c r="J2374" s="9" t="e">
        <f>I2374+#REF!</f>
        <v>#REF!</v>
      </c>
      <c r="K2374" s="9" t="e">
        <f>J2374+#REF!</f>
        <v>#REF!</v>
      </c>
      <c r="L2374" s="10" t="s">
        <v>41</v>
      </c>
      <c r="M2374" s="11">
        <v>45037.652233796296</v>
      </c>
      <c r="N2374" s="5" t="s">
        <v>42</v>
      </c>
      <c r="O2374" s="5" t="s">
        <v>58</v>
      </c>
      <c r="P2374" s="9"/>
      <c r="Q2374" s="5"/>
      <c r="R2374" s="5"/>
      <c r="S2374" s="5"/>
      <c r="T2374" s="9"/>
      <c r="U2374" s="5"/>
      <c r="V2374" s="5">
        <v>0</v>
      </c>
      <c r="W2374" s="5"/>
      <c r="X2374" s="5"/>
      <c r="Y2374" s="5"/>
      <c r="Z2374" s="5"/>
      <c r="AA2374" s="5" t="s">
        <v>44</v>
      </c>
      <c r="AC2374">
        <f t="shared" si="334"/>
        <v>20</v>
      </c>
      <c r="AD2374" t="str">
        <f t="shared" si="335"/>
        <v/>
      </c>
      <c r="AE2374" t="str">
        <f t="shared" si="336"/>
        <v/>
      </c>
      <c r="AF2374" t="str">
        <f t="shared" si="337"/>
        <v/>
      </c>
      <c r="AG2374" t="str">
        <f t="shared" si="338"/>
        <v/>
      </c>
      <c r="AH2374">
        <f t="shared" si="339"/>
        <v>2</v>
      </c>
      <c r="AI2374" t="str">
        <f t="shared" si="340"/>
        <v/>
      </c>
      <c r="AJ2374" t="str">
        <f t="shared" si="341"/>
        <v/>
      </c>
    </row>
    <row r="2375" spans="1:36">
      <c r="A2375" s="5">
        <v>2955</v>
      </c>
      <c r="B2375" s="5" t="s">
        <v>1450</v>
      </c>
      <c r="C2375" s="5" t="s">
        <v>1332</v>
      </c>
      <c r="D2375" s="5" t="s">
        <v>1448</v>
      </c>
      <c r="E2375" s="5" t="s">
        <v>597</v>
      </c>
      <c r="F2375" s="5" t="str">
        <f t="shared" si="333"/>
        <v>Fundraising-Business Partner</v>
      </c>
      <c r="G2375" s="5" t="s">
        <v>40</v>
      </c>
      <c r="H2375" s="9">
        <v>45017.652233796296</v>
      </c>
      <c r="I2375" s="9">
        <v>45018.652233796296</v>
      </c>
      <c r="J2375" s="9" t="e">
        <f>I2375+#REF!</f>
        <v>#REF!</v>
      </c>
      <c r="K2375" s="9" t="e">
        <f>J2375+#REF!</f>
        <v>#REF!</v>
      </c>
      <c r="L2375" s="10" t="s">
        <v>41</v>
      </c>
      <c r="M2375" s="11">
        <v>45036.652233796296</v>
      </c>
      <c r="N2375" s="5" t="s">
        <v>42</v>
      </c>
      <c r="O2375" s="5" t="s">
        <v>113</v>
      </c>
      <c r="P2375" s="9"/>
      <c r="Q2375" s="5"/>
      <c r="R2375" s="5"/>
      <c r="S2375" s="5"/>
      <c r="T2375" s="9"/>
      <c r="U2375" s="5"/>
      <c r="V2375" s="5">
        <v>0</v>
      </c>
      <c r="W2375" s="5"/>
      <c r="X2375" s="5"/>
      <c r="Y2375" s="5"/>
      <c r="Z2375" s="5"/>
      <c r="AA2375" s="5" t="s">
        <v>62</v>
      </c>
      <c r="AC2375">
        <f t="shared" si="334"/>
        <v>18</v>
      </c>
      <c r="AD2375" t="str">
        <f t="shared" si="335"/>
        <v/>
      </c>
      <c r="AE2375" t="str">
        <f t="shared" si="336"/>
        <v/>
      </c>
      <c r="AF2375" t="str">
        <f t="shared" si="337"/>
        <v/>
      </c>
      <c r="AG2375" t="str">
        <f t="shared" si="338"/>
        <v/>
      </c>
      <c r="AH2375">
        <f t="shared" si="339"/>
        <v>1</v>
      </c>
      <c r="AI2375" t="str">
        <f t="shared" si="340"/>
        <v/>
      </c>
      <c r="AJ2375" t="str">
        <f t="shared" si="341"/>
        <v/>
      </c>
    </row>
    <row r="2376" spans="1:36">
      <c r="A2376" s="5">
        <v>2958</v>
      </c>
      <c r="B2376" s="5" t="s">
        <v>1449</v>
      </c>
      <c r="C2376" s="5" t="s">
        <v>1332</v>
      </c>
      <c r="D2376" s="5" t="s">
        <v>1448</v>
      </c>
      <c r="E2376" s="5" t="s">
        <v>597</v>
      </c>
      <c r="F2376" s="5" t="str">
        <f t="shared" si="333"/>
        <v>Fundraising-Business Partner</v>
      </c>
      <c r="G2376" s="5" t="s">
        <v>40</v>
      </c>
      <c r="H2376" s="9">
        <v>45018.652233796296</v>
      </c>
      <c r="I2376" s="9">
        <v>45021.652233796296</v>
      </c>
      <c r="J2376" s="9" t="e">
        <f>I2376+#REF!</f>
        <v>#REF!</v>
      </c>
      <c r="K2376" s="9" t="e">
        <f>J2376+#REF!</f>
        <v>#REF!</v>
      </c>
      <c r="L2376" s="10" t="s">
        <v>41</v>
      </c>
      <c r="M2376" s="11">
        <v>45030.652233796296</v>
      </c>
      <c r="N2376" s="5" t="s">
        <v>48</v>
      </c>
      <c r="O2376" s="5"/>
      <c r="P2376" s="9">
        <v>45035.652233796296</v>
      </c>
      <c r="Q2376" s="5" t="s">
        <v>48</v>
      </c>
      <c r="R2376" s="5"/>
      <c r="S2376" s="5"/>
      <c r="T2376" s="9">
        <v>45034.652233796296</v>
      </c>
      <c r="U2376" s="5"/>
      <c r="V2376" s="5">
        <v>0</v>
      </c>
      <c r="W2376" s="5"/>
      <c r="X2376" s="5"/>
      <c r="Y2376" s="5"/>
      <c r="Z2376" s="5"/>
      <c r="AA2376" s="5"/>
      <c r="AC2376">
        <f t="shared" si="334"/>
        <v>9</v>
      </c>
      <c r="AD2376" t="str">
        <f t="shared" si="335"/>
        <v/>
      </c>
      <c r="AE2376">
        <f t="shared" si="336"/>
        <v>4</v>
      </c>
      <c r="AF2376" t="str">
        <f t="shared" si="337"/>
        <v/>
      </c>
      <c r="AG2376" t="str">
        <f t="shared" si="338"/>
        <v/>
      </c>
      <c r="AH2376">
        <f t="shared" si="339"/>
        <v>3</v>
      </c>
      <c r="AI2376" t="str">
        <f t="shared" si="340"/>
        <v/>
      </c>
      <c r="AJ2376" t="str">
        <f t="shared" si="341"/>
        <v/>
      </c>
    </row>
    <row r="2377" spans="1:36">
      <c r="A2377" s="5">
        <v>2961</v>
      </c>
      <c r="B2377" s="5" t="s">
        <v>150</v>
      </c>
      <c r="C2377" s="5" t="s">
        <v>100</v>
      </c>
      <c r="D2377" s="5" t="s">
        <v>146</v>
      </c>
      <c r="E2377" s="5" t="s">
        <v>39</v>
      </c>
      <c r="F2377" s="5" t="str">
        <f t="shared" si="333"/>
        <v>Program Office-Analyst</v>
      </c>
      <c r="G2377" s="5" t="s">
        <v>147</v>
      </c>
      <c r="H2377" s="9">
        <v>44699.276689814818</v>
      </c>
      <c r="I2377" s="9">
        <v>44700.276689814818</v>
      </c>
      <c r="J2377" s="9" t="e">
        <f>I2377+#REF!</f>
        <v>#REF!</v>
      </c>
      <c r="K2377" s="9" t="e">
        <f>J2377+#REF!</f>
        <v>#REF!</v>
      </c>
      <c r="L2377" s="10" t="s">
        <v>41</v>
      </c>
      <c r="M2377" s="11">
        <v>44711.276689814818</v>
      </c>
      <c r="N2377" s="5" t="s">
        <v>42</v>
      </c>
      <c r="O2377" s="5" t="s">
        <v>58</v>
      </c>
      <c r="P2377" s="9"/>
      <c r="Q2377" s="5"/>
      <c r="R2377" s="5"/>
      <c r="S2377" s="5"/>
      <c r="T2377" s="9">
        <v>44713.276689814818</v>
      </c>
      <c r="U2377" s="5"/>
      <c r="V2377" s="5">
        <v>0</v>
      </c>
      <c r="W2377" s="5"/>
      <c r="X2377" s="5"/>
      <c r="Y2377" s="5"/>
      <c r="Z2377" s="5"/>
      <c r="AA2377" s="5" t="s">
        <v>62</v>
      </c>
      <c r="AC2377">
        <f t="shared" si="334"/>
        <v>11</v>
      </c>
      <c r="AD2377" t="str">
        <f t="shared" si="335"/>
        <v/>
      </c>
      <c r="AE2377">
        <f t="shared" si="336"/>
        <v>2</v>
      </c>
      <c r="AF2377" t="str">
        <f t="shared" si="337"/>
        <v/>
      </c>
      <c r="AG2377" t="str">
        <f t="shared" si="338"/>
        <v/>
      </c>
      <c r="AH2377">
        <f t="shared" si="339"/>
        <v>1</v>
      </c>
      <c r="AI2377" t="str">
        <f t="shared" si="340"/>
        <v/>
      </c>
      <c r="AJ2377" t="str">
        <f t="shared" si="341"/>
        <v/>
      </c>
    </row>
    <row r="2378" spans="1:36">
      <c r="A2378" s="5">
        <v>2964</v>
      </c>
      <c r="B2378" s="5" t="s">
        <v>149</v>
      </c>
      <c r="C2378" s="5" t="s">
        <v>100</v>
      </c>
      <c r="D2378" s="5" t="s">
        <v>146</v>
      </c>
      <c r="E2378" s="5" t="s">
        <v>39</v>
      </c>
      <c r="F2378" s="5" t="str">
        <f t="shared" si="333"/>
        <v>Program Office-Analyst</v>
      </c>
      <c r="G2378" s="5" t="s">
        <v>147</v>
      </c>
      <c r="H2378" s="9">
        <v>44697.276689814818</v>
      </c>
      <c r="I2378" s="9">
        <v>44699.276689814818</v>
      </c>
      <c r="J2378" s="9" t="e">
        <f>I2378+#REF!</f>
        <v>#REF!</v>
      </c>
      <c r="K2378" s="9" t="e">
        <f>J2378+#REF!</f>
        <v>#REF!</v>
      </c>
      <c r="L2378" s="10" t="s">
        <v>41</v>
      </c>
      <c r="M2378" s="11">
        <v>44719.276689814818</v>
      </c>
      <c r="N2378" s="5" t="s">
        <v>42</v>
      </c>
      <c r="O2378" s="5" t="s">
        <v>58</v>
      </c>
      <c r="P2378" s="9"/>
      <c r="Q2378" s="5"/>
      <c r="R2378" s="5"/>
      <c r="S2378" s="5"/>
      <c r="T2378" s="9">
        <v>44720.276689814818</v>
      </c>
      <c r="U2378" s="5"/>
      <c r="V2378" s="5">
        <v>0</v>
      </c>
      <c r="W2378" s="5"/>
      <c r="X2378" s="5"/>
      <c r="Y2378" s="5"/>
      <c r="Z2378" s="5"/>
      <c r="AA2378" s="5" t="s">
        <v>44</v>
      </c>
      <c r="AC2378">
        <f t="shared" si="334"/>
        <v>20</v>
      </c>
      <c r="AD2378" t="str">
        <f t="shared" si="335"/>
        <v/>
      </c>
      <c r="AE2378">
        <f t="shared" si="336"/>
        <v>1</v>
      </c>
      <c r="AF2378" t="str">
        <f t="shared" si="337"/>
        <v/>
      </c>
      <c r="AG2378" t="str">
        <f t="shared" si="338"/>
        <v/>
      </c>
      <c r="AH2378">
        <f t="shared" si="339"/>
        <v>2</v>
      </c>
      <c r="AI2378" t="str">
        <f t="shared" si="340"/>
        <v/>
      </c>
      <c r="AJ2378" t="str">
        <f t="shared" si="341"/>
        <v/>
      </c>
    </row>
    <row r="2379" spans="1:36">
      <c r="A2379" s="5">
        <v>2965</v>
      </c>
      <c r="B2379" s="5" t="s">
        <v>267</v>
      </c>
      <c r="C2379" s="5" t="s">
        <v>100</v>
      </c>
      <c r="D2379" s="5" t="s">
        <v>268</v>
      </c>
      <c r="E2379" s="5" t="s">
        <v>269</v>
      </c>
      <c r="F2379" s="5" t="str">
        <f t="shared" si="333"/>
        <v>Program Office-Manager</v>
      </c>
      <c r="G2379" s="5" t="s">
        <v>270</v>
      </c>
      <c r="H2379" s="9">
        <v>44700.276689814818</v>
      </c>
      <c r="I2379" s="9">
        <v>44702.276689814818</v>
      </c>
      <c r="J2379" s="9" t="e">
        <f>I2379+#REF!</f>
        <v>#REF!</v>
      </c>
      <c r="K2379" s="9" t="e">
        <f>J2379+#REF!</f>
        <v>#REF!</v>
      </c>
      <c r="L2379" s="10" t="s">
        <v>41</v>
      </c>
      <c r="M2379" s="11">
        <v>44709.276689814818</v>
      </c>
      <c r="N2379" s="5" t="s">
        <v>42</v>
      </c>
      <c r="O2379" s="5" t="s">
        <v>43</v>
      </c>
      <c r="P2379" s="9"/>
      <c r="Q2379" s="5"/>
      <c r="R2379" s="5"/>
      <c r="S2379" s="5"/>
      <c r="T2379" s="9"/>
      <c r="U2379" s="5"/>
      <c r="V2379" s="5">
        <v>0</v>
      </c>
      <c r="W2379" s="5"/>
      <c r="X2379" s="5"/>
      <c r="Y2379" s="5"/>
      <c r="Z2379" s="5"/>
      <c r="AA2379" s="5" t="s">
        <v>44</v>
      </c>
      <c r="AC2379">
        <f t="shared" si="334"/>
        <v>7</v>
      </c>
      <c r="AD2379" t="str">
        <f t="shared" si="335"/>
        <v/>
      </c>
      <c r="AE2379" t="str">
        <f t="shared" si="336"/>
        <v/>
      </c>
      <c r="AF2379" t="str">
        <f t="shared" si="337"/>
        <v/>
      </c>
      <c r="AG2379" t="str">
        <f t="shared" si="338"/>
        <v/>
      </c>
      <c r="AH2379">
        <f t="shared" si="339"/>
        <v>2</v>
      </c>
      <c r="AI2379" t="str">
        <f t="shared" si="340"/>
        <v/>
      </c>
      <c r="AJ2379" t="str">
        <f t="shared" si="341"/>
        <v/>
      </c>
    </row>
    <row r="2380" spans="1:36">
      <c r="A2380" s="5">
        <v>2966</v>
      </c>
      <c r="B2380" s="5" t="s">
        <v>148</v>
      </c>
      <c r="C2380" s="5" t="s">
        <v>100</v>
      </c>
      <c r="D2380" s="5" t="s">
        <v>146</v>
      </c>
      <c r="E2380" s="5" t="s">
        <v>39</v>
      </c>
      <c r="F2380" s="5" t="str">
        <f t="shared" si="333"/>
        <v>Program Office-Analyst</v>
      </c>
      <c r="G2380" s="5" t="s">
        <v>147</v>
      </c>
      <c r="H2380" s="9">
        <v>44697.276689814818</v>
      </c>
      <c r="I2380" s="9">
        <v>44700.276689814818</v>
      </c>
      <c r="J2380" s="9" t="e">
        <f>I2380+#REF!</f>
        <v>#REF!</v>
      </c>
      <c r="K2380" s="9" t="e">
        <f>J2380+#REF!</f>
        <v>#REF!</v>
      </c>
      <c r="L2380" s="10" t="s">
        <v>41</v>
      </c>
      <c r="M2380" s="11">
        <v>44711.276689814818</v>
      </c>
      <c r="N2380" s="5" t="s">
        <v>42</v>
      </c>
      <c r="O2380" s="5" t="s">
        <v>43</v>
      </c>
      <c r="P2380" s="9"/>
      <c r="Q2380" s="5"/>
      <c r="R2380" s="5"/>
      <c r="S2380" s="5"/>
      <c r="T2380" s="9"/>
      <c r="U2380" s="5"/>
      <c r="V2380" s="5">
        <v>0</v>
      </c>
      <c r="W2380" s="5"/>
      <c r="X2380" s="5"/>
      <c r="Y2380" s="5"/>
      <c r="Z2380" s="5"/>
      <c r="AA2380" s="5" t="s">
        <v>62</v>
      </c>
      <c r="AC2380">
        <f t="shared" si="334"/>
        <v>11</v>
      </c>
      <c r="AD2380" t="str">
        <f t="shared" si="335"/>
        <v/>
      </c>
      <c r="AE2380" t="str">
        <f t="shared" si="336"/>
        <v/>
      </c>
      <c r="AF2380" t="str">
        <f t="shared" si="337"/>
        <v/>
      </c>
      <c r="AG2380" t="str">
        <f t="shared" si="338"/>
        <v/>
      </c>
      <c r="AH2380">
        <f t="shared" si="339"/>
        <v>3</v>
      </c>
      <c r="AI2380" t="str">
        <f t="shared" si="340"/>
        <v/>
      </c>
      <c r="AJ2380" t="str">
        <f t="shared" si="341"/>
        <v/>
      </c>
    </row>
    <row r="2381" spans="1:36">
      <c r="A2381" s="5">
        <v>2967</v>
      </c>
      <c r="B2381" s="5" t="s">
        <v>557</v>
      </c>
      <c r="C2381" s="5" t="s">
        <v>100</v>
      </c>
      <c r="D2381" s="5" t="s">
        <v>554</v>
      </c>
      <c r="E2381" s="5" t="s">
        <v>39</v>
      </c>
      <c r="F2381" s="5" t="str">
        <f t="shared" si="333"/>
        <v>Program Office-Analyst</v>
      </c>
      <c r="G2381" s="5" t="s">
        <v>47</v>
      </c>
      <c r="H2381" s="9">
        <v>44699.276689814818</v>
      </c>
      <c r="I2381" s="9">
        <v>44701.276689814818</v>
      </c>
      <c r="J2381" s="9" t="e">
        <f>I2381+#REF!</f>
        <v>#REF!</v>
      </c>
      <c r="K2381" s="9" t="e">
        <f>J2381+#REF!</f>
        <v>#REF!</v>
      </c>
      <c r="L2381" s="10" t="s">
        <v>52</v>
      </c>
      <c r="M2381" s="11"/>
      <c r="N2381" s="5"/>
      <c r="O2381" s="5"/>
      <c r="P2381" s="9"/>
      <c r="Q2381" s="5"/>
      <c r="R2381" s="5"/>
      <c r="S2381" s="5"/>
      <c r="T2381" s="9"/>
      <c r="U2381" s="5"/>
      <c r="V2381" s="5">
        <v>0</v>
      </c>
      <c r="W2381" s="5"/>
      <c r="X2381" s="5"/>
      <c r="Y2381" s="5"/>
      <c r="Z2381" s="5"/>
      <c r="AA2381" s="5"/>
      <c r="AC2381" t="str">
        <f t="shared" si="334"/>
        <v/>
      </c>
      <c r="AD2381" t="str">
        <f t="shared" si="335"/>
        <v/>
      </c>
      <c r="AE2381" t="str">
        <f t="shared" si="336"/>
        <v/>
      </c>
      <c r="AF2381" t="str">
        <f t="shared" si="337"/>
        <v/>
      </c>
      <c r="AG2381" t="str">
        <f t="shared" si="338"/>
        <v/>
      </c>
      <c r="AH2381">
        <f t="shared" si="339"/>
        <v>2</v>
      </c>
      <c r="AI2381" t="str">
        <f t="shared" si="340"/>
        <v/>
      </c>
      <c r="AJ2381" t="str">
        <f t="shared" si="341"/>
        <v/>
      </c>
    </row>
    <row r="2382" spans="1:36">
      <c r="A2382" s="5">
        <v>2969</v>
      </c>
      <c r="B2382" s="5" t="s">
        <v>556</v>
      </c>
      <c r="C2382" s="5" t="s">
        <v>100</v>
      </c>
      <c r="D2382" s="5" t="s">
        <v>554</v>
      </c>
      <c r="E2382" s="5" t="s">
        <v>39</v>
      </c>
      <c r="F2382" s="5" t="str">
        <f t="shared" si="333"/>
        <v>Program Office-Analyst</v>
      </c>
      <c r="G2382" s="5" t="s">
        <v>47</v>
      </c>
      <c r="H2382" s="9">
        <v>44698.276689814818</v>
      </c>
      <c r="I2382" s="9">
        <v>44701.276689814818</v>
      </c>
      <c r="J2382" s="9" t="e">
        <f>I2382+#REF!</f>
        <v>#REF!</v>
      </c>
      <c r="K2382" s="9" t="e">
        <f>J2382+#REF!</f>
        <v>#REF!</v>
      </c>
      <c r="L2382" s="10" t="s">
        <v>52</v>
      </c>
      <c r="M2382" s="11"/>
      <c r="N2382" s="5"/>
      <c r="O2382" s="5"/>
      <c r="P2382" s="9"/>
      <c r="Q2382" s="5"/>
      <c r="R2382" s="5"/>
      <c r="S2382" s="5"/>
      <c r="T2382" s="9"/>
      <c r="U2382" s="5"/>
      <c r="V2382" s="5">
        <v>0</v>
      </c>
      <c r="W2382" s="5"/>
      <c r="X2382" s="5"/>
      <c r="Y2382" s="5"/>
      <c r="Z2382" s="5"/>
      <c r="AA2382" s="5"/>
      <c r="AC2382" t="str">
        <f t="shared" si="334"/>
        <v/>
      </c>
      <c r="AD2382" t="str">
        <f t="shared" si="335"/>
        <v/>
      </c>
      <c r="AE2382" t="str">
        <f t="shared" si="336"/>
        <v/>
      </c>
      <c r="AF2382" t="str">
        <f t="shared" si="337"/>
        <v/>
      </c>
      <c r="AG2382" t="str">
        <f t="shared" si="338"/>
        <v/>
      </c>
      <c r="AH2382">
        <f t="shared" si="339"/>
        <v>3</v>
      </c>
      <c r="AI2382" t="str">
        <f t="shared" si="340"/>
        <v/>
      </c>
      <c r="AJ2382" t="str">
        <f t="shared" si="341"/>
        <v/>
      </c>
    </row>
    <row r="2383" spans="1:36">
      <c r="A2383" s="5">
        <v>2970</v>
      </c>
      <c r="B2383" s="5" t="s">
        <v>104</v>
      </c>
      <c r="C2383" s="5" t="s">
        <v>100</v>
      </c>
      <c r="D2383" s="5" t="s">
        <v>101</v>
      </c>
      <c r="E2383" s="5" t="s">
        <v>102</v>
      </c>
      <c r="F2383" s="5" t="str">
        <f t="shared" si="333"/>
        <v>Program Office-Senior Manager</v>
      </c>
      <c r="G2383" s="5" t="s">
        <v>103</v>
      </c>
      <c r="H2383" s="9">
        <v>44701.276689814818</v>
      </c>
      <c r="I2383" s="9">
        <v>44703.276689814818</v>
      </c>
      <c r="J2383" s="9" t="e">
        <f>I2383+#REF!</f>
        <v>#REF!</v>
      </c>
      <c r="K2383" s="9" t="e">
        <f>J2383+#REF!</f>
        <v>#REF!</v>
      </c>
      <c r="L2383" s="10" t="s">
        <v>41</v>
      </c>
      <c r="M2383" s="11">
        <v>44712.276689814818</v>
      </c>
      <c r="N2383" s="5" t="s">
        <v>42</v>
      </c>
      <c r="O2383" s="5" t="s">
        <v>43</v>
      </c>
      <c r="P2383" s="9"/>
      <c r="Q2383" s="5"/>
      <c r="R2383" s="5"/>
      <c r="S2383" s="5"/>
      <c r="T2383" s="9"/>
      <c r="U2383" s="5"/>
      <c r="V2383" s="5">
        <v>0</v>
      </c>
      <c r="W2383" s="5"/>
      <c r="X2383" s="5"/>
      <c r="Y2383" s="5"/>
      <c r="Z2383" s="5"/>
      <c r="AA2383" s="5" t="s">
        <v>62</v>
      </c>
      <c r="AC2383">
        <f t="shared" si="334"/>
        <v>9</v>
      </c>
      <c r="AD2383" t="str">
        <f t="shared" si="335"/>
        <v/>
      </c>
      <c r="AE2383" t="str">
        <f t="shared" si="336"/>
        <v/>
      </c>
      <c r="AF2383" t="str">
        <f t="shared" si="337"/>
        <v/>
      </c>
      <c r="AG2383" t="str">
        <f t="shared" si="338"/>
        <v/>
      </c>
      <c r="AH2383">
        <f t="shared" si="339"/>
        <v>2</v>
      </c>
      <c r="AI2383" t="str">
        <f t="shared" si="340"/>
        <v/>
      </c>
      <c r="AJ2383" t="str">
        <f t="shared" si="341"/>
        <v/>
      </c>
    </row>
    <row r="2384" spans="1:36">
      <c r="A2384" s="5">
        <v>2972</v>
      </c>
      <c r="B2384" s="5" t="s">
        <v>555</v>
      </c>
      <c r="C2384" s="5" t="s">
        <v>100</v>
      </c>
      <c r="D2384" s="5" t="s">
        <v>554</v>
      </c>
      <c r="E2384" s="5" t="s">
        <v>39</v>
      </c>
      <c r="F2384" s="5" t="str">
        <f t="shared" si="333"/>
        <v>Program Office-Analyst</v>
      </c>
      <c r="G2384" s="5" t="s">
        <v>47</v>
      </c>
      <c r="H2384" s="9">
        <v>44761.636782407404</v>
      </c>
      <c r="I2384" s="9">
        <v>44764.636782407404</v>
      </c>
      <c r="J2384" s="9" t="e">
        <f>I2384+#REF!</f>
        <v>#REF!</v>
      </c>
      <c r="K2384" s="9" t="e">
        <f>J2384+#REF!</f>
        <v>#REF!</v>
      </c>
      <c r="L2384" s="10" t="s">
        <v>41</v>
      </c>
      <c r="M2384" s="11">
        <v>44773.636782407404</v>
      </c>
      <c r="N2384" s="5" t="s">
        <v>42</v>
      </c>
      <c r="O2384" s="5" t="s">
        <v>43</v>
      </c>
      <c r="P2384" s="9"/>
      <c r="Q2384" s="5"/>
      <c r="R2384" s="5"/>
      <c r="S2384" s="5"/>
      <c r="T2384" s="9"/>
      <c r="U2384" s="5"/>
      <c r="V2384" s="5">
        <v>0</v>
      </c>
      <c r="W2384" s="5"/>
      <c r="X2384" s="5"/>
      <c r="Y2384" s="5"/>
      <c r="Z2384" s="5"/>
      <c r="AA2384" s="5" t="s">
        <v>44</v>
      </c>
      <c r="AC2384">
        <f t="shared" si="334"/>
        <v>9</v>
      </c>
      <c r="AD2384" t="str">
        <f t="shared" si="335"/>
        <v/>
      </c>
      <c r="AE2384" t="str">
        <f t="shared" si="336"/>
        <v/>
      </c>
      <c r="AF2384" t="str">
        <f t="shared" si="337"/>
        <v/>
      </c>
      <c r="AG2384" t="str">
        <f t="shared" si="338"/>
        <v/>
      </c>
      <c r="AH2384">
        <f t="shared" si="339"/>
        <v>3</v>
      </c>
      <c r="AI2384" t="str">
        <f t="shared" si="340"/>
        <v/>
      </c>
      <c r="AJ2384" t="str">
        <f t="shared" si="341"/>
        <v/>
      </c>
    </row>
    <row r="2385" spans="1:36">
      <c r="A2385" s="5">
        <v>2973</v>
      </c>
      <c r="B2385" s="5" t="s">
        <v>145</v>
      </c>
      <c r="C2385" s="5" t="s">
        <v>100</v>
      </c>
      <c r="D2385" s="5" t="s">
        <v>146</v>
      </c>
      <c r="E2385" s="5" t="s">
        <v>39</v>
      </c>
      <c r="F2385" s="5" t="str">
        <f t="shared" si="333"/>
        <v>Program Office-Analyst</v>
      </c>
      <c r="G2385" s="5" t="s">
        <v>147</v>
      </c>
      <c r="H2385" s="9">
        <v>44757.636782407404</v>
      </c>
      <c r="I2385" s="9">
        <v>44761.636782407404</v>
      </c>
      <c r="J2385" s="9" t="e">
        <f>I2385+#REF!</f>
        <v>#REF!</v>
      </c>
      <c r="K2385" s="9" t="e">
        <f>J2385+#REF!</f>
        <v>#REF!</v>
      </c>
      <c r="L2385" s="10" t="s">
        <v>41</v>
      </c>
      <c r="M2385" s="11">
        <v>44773.636782407404</v>
      </c>
      <c r="N2385" s="5" t="s">
        <v>64</v>
      </c>
      <c r="O2385" s="5"/>
      <c r="P2385" s="9">
        <v>44776.636782407404</v>
      </c>
      <c r="Q2385" s="5" t="s">
        <v>64</v>
      </c>
      <c r="R2385" s="9">
        <v>44774.636782407404</v>
      </c>
      <c r="S2385" s="9">
        <v>44775.636782407404</v>
      </c>
      <c r="T2385" s="9">
        <v>44774.636782407404</v>
      </c>
      <c r="U2385" s="9">
        <v>44781.636782407404</v>
      </c>
      <c r="V2385" s="12">
        <v>1</v>
      </c>
      <c r="W2385" s="9">
        <v>44782.636782407404</v>
      </c>
      <c r="X2385" s="9">
        <v>44784.636782407404</v>
      </c>
      <c r="Y2385" s="9">
        <v>44787.636782407404</v>
      </c>
      <c r="Z2385" s="5"/>
      <c r="AA2385" s="5"/>
      <c r="AB2385" s="13">
        <v>44801.636782407404</v>
      </c>
      <c r="AC2385">
        <f t="shared" si="334"/>
        <v>12</v>
      </c>
      <c r="AD2385">
        <f t="shared" si="335"/>
        <v>14</v>
      </c>
      <c r="AE2385">
        <f t="shared" si="336"/>
        <v>1</v>
      </c>
      <c r="AF2385">
        <f t="shared" si="337"/>
        <v>3</v>
      </c>
      <c r="AG2385">
        <f t="shared" si="338"/>
        <v>1</v>
      </c>
      <c r="AH2385">
        <f t="shared" si="339"/>
        <v>4</v>
      </c>
      <c r="AI2385" t="str">
        <f t="shared" si="340"/>
        <v/>
      </c>
      <c r="AJ2385" t="str">
        <f t="shared" si="341"/>
        <v/>
      </c>
    </row>
    <row r="2386" spans="1:36">
      <c r="A2386" s="5">
        <v>2974</v>
      </c>
      <c r="B2386" s="5" t="s">
        <v>553</v>
      </c>
      <c r="C2386" s="5" t="s">
        <v>100</v>
      </c>
      <c r="D2386" s="5" t="s">
        <v>554</v>
      </c>
      <c r="E2386" s="5" t="s">
        <v>39</v>
      </c>
      <c r="F2386" s="5" t="str">
        <f t="shared" si="333"/>
        <v>Program Office-Analyst</v>
      </c>
      <c r="G2386" s="5" t="s">
        <v>47</v>
      </c>
      <c r="H2386" s="9">
        <v>44761.636782407404</v>
      </c>
      <c r="I2386" s="9">
        <v>44763.636782407404</v>
      </c>
      <c r="J2386" s="9" t="e">
        <f>I2386+#REF!</f>
        <v>#REF!</v>
      </c>
      <c r="K2386" s="9" t="e">
        <f>J2386+#REF!</f>
        <v>#REF!</v>
      </c>
      <c r="L2386" s="10" t="s">
        <v>41</v>
      </c>
      <c r="M2386" s="11">
        <v>44777.636782407404</v>
      </c>
      <c r="N2386" s="5" t="s">
        <v>64</v>
      </c>
      <c r="O2386" s="5"/>
      <c r="P2386" s="9">
        <v>44782.636782407404</v>
      </c>
      <c r="Q2386" s="5" t="s">
        <v>64</v>
      </c>
      <c r="R2386" s="9">
        <v>44779.636782407404</v>
      </c>
      <c r="S2386" s="9">
        <v>44782.636782407404</v>
      </c>
      <c r="T2386" s="9">
        <v>44780.636782407404</v>
      </c>
      <c r="U2386" s="9">
        <v>44782.636782407404</v>
      </c>
      <c r="V2386" s="12">
        <v>1</v>
      </c>
      <c r="W2386" s="9">
        <v>44783.636782407404</v>
      </c>
      <c r="X2386" s="9">
        <v>44786.636782407404</v>
      </c>
      <c r="Y2386" s="9">
        <v>44787.636782407404</v>
      </c>
      <c r="Z2386" s="5"/>
      <c r="AA2386" s="5"/>
      <c r="AB2386" s="13">
        <v>44807.636782407404</v>
      </c>
      <c r="AC2386">
        <f t="shared" si="334"/>
        <v>14</v>
      </c>
      <c r="AD2386">
        <f t="shared" si="335"/>
        <v>19</v>
      </c>
      <c r="AE2386">
        <f t="shared" si="336"/>
        <v>3</v>
      </c>
      <c r="AF2386">
        <f t="shared" si="337"/>
        <v>4</v>
      </c>
      <c r="AG2386">
        <f t="shared" si="338"/>
        <v>1</v>
      </c>
      <c r="AH2386">
        <f t="shared" si="339"/>
        <v>2</v>
      </c>
      <c r="AI2386" t="str">
        <f t="shared" si="340"/>
        <v/>
      </c>
      <c r="AJ2386" t="str">
        <f t="shared" si="341"/>
        <v/>
      </c>
    </row>
    <row r="2387" spans="1:36">
      <c r="A2387" s="5">
        <v>2975</v>
      </c>
      <c r="B2387" s="5" t="s">
        <v>99</v>
      </c>
      <c r="C2387" s="5" t="s">
        <v>100</v>
      </c>
      <c r="D2387" s="5" t="s">
        <v>101</v>
      </c>
      <c r="E2387" s="5" t="s">
        <v>102</v>
      </c>
      <c r="F2387" s="5" t="str">
        <f t="shared" si="333"/>
        <v>Program Office-Senior Manager</v>
      </c>
      <c r="G2387" s="5" t="s">
        <v>103</v>
      </c>
      <c r="H2387" s="9">
        <v>44762.636782407404</v>
      </c>
      <c r="I2387" s="9">
        <v>44765.636782407404</v>
      </c>
      <c r="J2387" s="9" t="e">
        <f>I2387+#REF!</f>
        <v>#REF!</v>
      </c>
      <c r="K2387" s="9" t="e">
        <f>J2387+#REF!</f>
        <v>#REF!</v>
      </c>
      <c r="L2387" s="10" t="s">
        <v>41</v>
      </c>
      <c r="M2387" s="11">
        <v>44776.636782407404</v>
      </c>
      <c r="N2387" s="5" t="s">
        <v>42</v>
      </c>
      <c r="O2387" s="5" t="s">
        <v>73</v>
      </c>
      <c r="P2387" s="9"/>
      <c r="Q2387" s="5"/>
      <c r="R2387" s="5"/>
      <c r="S2387" s="5"/>
      <c r="T2387" s="9">
        <v>44780.636782407404</v>
      </c>
      <c r="U2387" s="5"/>
      <c r="V2387" s="5">
        <v>0</v>
      </c>
      <c r="W2387" s="5"/>
      <c r="X2387" s="5"/>
      <c r="Y2387" s="5"/>
      <c r="Z2387" s="5"/>
      <c r="AA2387" s="5" t="s">
        <v>44</v>
      </c>
      <c r="AC2387">
        <f t="shared" si="334"/>
        <v>11</v>
      </c>
      <c r="AD2387" t="str">
        <f t="shared" si="335"/>
        <v/>
      </c>
      <c r="AE2387">
        <f t="shared" si="336"/>
        <v>4</v>
      </c>
      <c r="AF2387" t="str">
        <f t="shared" si="337"/>
        <v/>
      </c>
      <c r="AG2387" t="str">
        <f t="shared" si="338"/>
        <v/>
      </c>
      <c r="AH2387">
        <f t="shared" si="339"/>
        <v>3</v>
      </c>
      <c r="AI2387" t="str">
        <f t="shared" si="340"/>
        <v/>
      </c>
      <c r="AJ2387" t="str">
        <f t="shared" si="341"/>
        <v/>
      </c>
    </row>
    <row r="2388" spans="1:36">
      <c r="A2388" s="5">
        <v>2976</v>
      </c>
      <c r="B2388" s="5" t="s">
        <v>386</v>
      </c>
      <c r="C2388" s="5" t="s">
        <v>100</v>
      </c>
      <c r="D2388" s="5" t="s">
        <v>387</v>
      </c>
      <c r="E2388" s="5" t="s">
        <v>388</v>
      </c>
      <c r="F2388" s="5" t="str">
        <f t="shared" si="333"/>
        <v>Program Office-Extension Officer</v>
      </c>
      <c r="G2388" s="5" t="s">
        <v>40</v>
      </c>
      <c r="H2388" s="9">
        <v>44761.636782407404</v>
      </c>
      <c r="I2388" s="9">
        <v>44764.636782407404</v>
      </c>
      <c r="J2388" s="9" t="e">
        <f>I2388+#REF!</f>
        <v>#REF!</v>
      </c>
      <c r="K2388" s="9" t="e">
        <f>J2388+#REF!</f>
        <v>#REF!</v>
      </c>
      <c r="L2388" s="10" t="s">
        <v>41</v>
      </c>
      <c r="M2388" s="11">
        <v>44769.636782407404</v>
      </c>
      <c r="N2388" s="5" t="s">
        <v>42</v>
      </c>
      <c r="O2388" s="5" t="s">
        <v>113</v>
      </c>
      <c r="P2388" s="9"/>
      <c r="Q2388" s="5"/>
      <c r="R2388" s="5"/>
      <c r="S2388" s="5"/>
      <c r="T2388" s="9">
        <v>44770.636782407404</v>
      </c>
      <c r="U2388" s="5"/>
      <c r="V2388" s="5">
        <v>0</v>
      </c>
      <c r="W2388" s="5"/>
      <c r="X2388" s="5"/>
      <c r="Y2388" s="5"/>
      <c r="Z2388" s="5"/>
      <c r="AA2388" s="5" t="s">
        <v>44</v>
      </c>
      <c r="AC2388">
        <f t="shared" si="334"/>
        <v>5</v>
      </c>
      <c r="AD2388" t="str">
        <f t="shared" si="335"/>
        <v/>
      </c>
      <c r="AE2388">
        <f t="shared" si="336"/>
        <v>1</v>
      </c>
      <c r="AF2388" t="str">
        <f t="shared" si="337"/>
        <v/>
      </c>
      <c r="AG2388" t="str">
        <f t="shared" si="338"/>
        <v/>
      </c>
      <c r="AH2388">
        <f t="shared" si="339"/>
        <v>3</v>
      </c>
      <c r="AI2388" t="str">
        <f t="shared" si="340"/>
        <v/>
      </c>
      <c r="AJ2388" t="str">
        <f t="shared" si="341"/>
        <v/>
      </c>
    </row>
    <row r="2389" spans="1:36">
      <c r="A2389" s="5">
        <v>2981</v>
      </c>
      <c r="B2389" s="5" t="s">
        <v>798</v>
      </c>
      <c r="C2389" s="5" t="s">
        <v>796</v>
      </c>
      <c r="D2389" s="5" t="s">
        <v>797</v>
      </c>
      <c r="E2389" s="5" t="s">
        <v>709</v>
      </c>
      <c r="F2389" s="5" t="str">
        <f t="shared" si="333"/>
        <v>M and E-Lead</v>
      </c>
      <c r="G2389" s="5" t="s">
        <v>103</v>
      </c>
      <c r="H2389" s="9">
        <v>44924.987974537034</v>
      </c>
      <c r="I2389" s="9">
        <v>44926.987974537034</v>
      </c>
      <c r="J2389" s="9" t="e">
        <f>I2389+#REF!</f>
        <v>#REF!</v>
      </c>
      <c r="K2389" s="9" t="e">
        <f>J2389+#REF!</f>
        <v>#REF!</v>
      </c>
      <c r="L2389" s="10" t="s">
        <v>41</v>
      </c>
      <c r="M2389" s="11">
        <v>44946.987974537034</v>
      </c>
      <c r="N2389" s="5" t="s">
        <v>42</v>
      </c>
      <c r="O2389" s="5" t="s">
        <v>58</v>
      </c>
      <c r="P2389" s="9"/>
      <c r="Q2389" s="5"/>
      <c r="R2389" s="5"/>
      <c r="S2389" s="5"/>
      <c r="T2389" s="9"/>
      <c r="U2389" s="5"/>
      <c r="V2389" s="5">
        <v>0</v>
      </c>
      <c r="W2389" s="5"/>
      <c r="X2389" s="5"/>
      <c r="Y2389" s="5"/>
      <c r="Z2389" s="5"/>
      <c r="AA2389" s="5" t="s">
        <v>44</v>
      </c>
      <c r="AC2389">
        <f t="shared" si="334"/>
        <v>20</v>
      </c>
      <c r="AD2389" t="str">
        <f t="shared" si="335"/>
        <v/>
      </c>
      <c r="AE2389" t="str">
        <f t="shared" si="336"/>
        <v/>
      </c>
      <c r="AF2389" t="str">
        <f t="shared" si="337"/>
        <v/>
      </c>
      <c r="AG2389" t="str">
        <f t="shared" si="338"/>
        <v/>
      </c>
      <c r="AH2389">
        <f t="shared" si="339"/>
        <v>2</v>
      </c>
      <c r="AI2389" t="str">
        <f t="shared" si="340"/>
        <v/>
      </c>
      <c r="AJ2389" t="str">
        <f t="shared" si="341"/>
        <v/>
      </c>
    </row>
    <row r="2390" spans="1:36">
      <c r="A2390" s="5">
        <v>2982</v>
      </c>
      <c r="B2390" s="5" t="s">
        <v>1025</v>
      </c>
      <c r="C2390" s="5" t="s">
        <v>796</v>
      </c>
      <c r="D2390" s="5" t="s">
        <v>1026</v>
      </c>
      <c r="E2390" s="5" t="s">
        <v>709</v>
      </c>
      <c r="F2390" s="5" t="str">
        <f t="shared" si="333"/>
        <v>M and E-Lead</v>
      </c>
      <c r="G2390" s="5" t="s">
        <v>56</v>
      </c>
      <c r="H2390" s="9">
        <v>44922.987974537034</v>
      </c>
      <c r="I2390" s="9">
        <v>44926.987974537034</v>
      </c>
      <c r="J2390" s="9" t="e">
        <f>I2390+#REF!</f>
        <v>#REF!</v>
      </c>
      <c r="K2390" s="9" t="e">
        <f>J2390+#REF!</f>
        <v>#REF!</v>
      </c>
      <c r="L2390" s="10" t="s">
        <v>52</v>
      </c>
      <c r="M2390" s="11"/>
      <c r="N2390" s="5"/>
      <c r="O2390" s="5"/>
      <c r="P2390" s="9"/>
      <c r="Q2390" s="5"/>
      <c r="R2390" s="5"/>
      <c r="S2390" s="5"/>
      <c r="T2390" s="9"/>
      <c r="U2390" s="5"/>
      <c r="V2390" s="5">
        <v>0</v>
      </c>
      <c r="W2390" s="5"/>
      <c r="X2390" s="5"/>
      <c r="Y2390" s="5"/>
      <c r="Z2390" s="5"/>
      <c r="AA2390" s="5"/>
      <c r="AC2390" t="str">
        <f t="shared" si="334"/>
        <v/>
      </c>
      <c r="AD2390" t="str">
        <f t="shared" si="335"/>
        <v/>
      </c>
      <c r="AE2390" t="str">
        <f t="shared" si="336"/>
        <v/>
      </c>
      <c r="AF2390" t="str">
        <f t="shared" si="337"/>
        <v/>
      </c>
      <c r="AG2390" t="str">
        <f t="shared" si="338"/>
        <v/>
      </c>
      <c r="AH2390">
        <f t="shared" si="339"/>
        <v>4</v>
      </c>
      <c r="AI2390" t="str">
        <f t="shared" si="340"/>
        <v/>
      </c>
      <c r="AJ2390" t="str">
        <f t="shared" si="341"/>
        <v/>
      </c>
    </row>
    <row r="2391" spans="1:36">
      <c r="A2391" s="5">
        <v>2986</v>
      </c>
      <c r="B2391" s="5" t="s">
        <v>813</v>
      </c>
      <c r="C2391" s="5" t="s">
        <v>796</v>
      </c>
      <c r="D2391" s="5" t="s">
        <v>814</v>
      </c>
      <c r="E2391" s="5" t="s">
        <v>815</v>
      </c>
      <c r="F2391" s="5" t="str">
        <f t="shared" si="333"/>
        <v>M and E-Auditor</v>
      </c>
      <c r="G2391" s="5" t="s">
        <v>147</v>
      </c>
      <c r="H2391" s="9">
        <v>44926.987974537034</v>
      </c>
      <c r="I2391" s="9">
        <v>44929.987974537034</v>
      </c>
      <c r="J2391" s="9" t="e">
        <f>I2391+#REF!</f>
        <v>#REF!</v>
      </c>
      <c r="K2391" s="9" t="e">
        <f>J2391+#REF!</f>
        <v>#REF!</v>
      </c>
      <c r="L2391" s="10" t="s">
        <v>41</v>
      </c>
      <c r="M2391" s="11">
        <v>44935.987974537034</v>
      </c>
      <c r="N2391" s="5" t="s">
        <v>64</v>
      </c>
      <c r="O2391" s="5"/>
      <c r="P2391" s="9">
        <v>44940.987974537034</v>
      </c>
      <c r="Q2391" s="5" t="s">
        <v>64</v>
      </c>
      <c r="R2391" s="9">
        <v>44936.987974537034</v>
      </c>
      <c r="S2391" s="9">
        <v>44940.987974537034</v>
      </c>
      <c r="T2391" s="9">
        <v>44937.987974537034</v>
      </c>
      <c r="U2391" s="9">
        <v>44942.987974537034</v>
      </c>
      <c r="V2391" s="12">
        <v>1</v>
      </c>
      <c r="W2391" s="9">
        <v>44944.987974537034</v>
      </c>
      <c r="X2391" s="9">
        <v>44947.987974537034</v>
      </c>
      <c r="Y2391" s="9">
        <v>44949.987974537034</v>
      </c>
      <c r="Z2391" s="5"/>
      <c r="AA2391" s="5"/>
      <c r="AB2391" s="13">
        <v>44959.987974537034</v>
      </c>
      <c r="AC2391">
        <f t="shared" si="334"/>
        <v>6</v>
      </c>
      <c r="AD2391">
        <f t="shared" si="335"/>
        <v>11</v>
      </c>
      <c r="AE2391">
        <f t="shared" si="336"/>
        <v>2</v>
      </c>
      <c r="AF2391">
        <f t="shared" si="337"/>
        <v>5</v>
      </c>
      <c r="AG2391">
        <f t="shared" si="338"/>
        <v>2</v>
      </c>
      <c r="AH2391">
        <f t="shared" si="339"/>
        <v>3</v>
      </c>
      <c r="AI2391" t="str">
        <f t="shared" si="340"/>
        <v/>
      </c>
      <c r="AJ2391" t="str">
        <f t="shared" si="341"/>
        <v/>
      </c>
    </row>
    <row r="2392" spans="1:36">
      <c r="A2392" s="5">
        <v>2988</v>
      </c>
      <c r="B2392" s="5" t="s">
        <v>795</v>
      </c>
      <c r="C2392" s="5" t="s">
        <v>796</v>
      </c>
      <c r="D2392" s="5" t="s">
        <v>797</v>
      </c>
      <c r="E2392" s="5" t="s">
        <v>709</v>
      </c>
      <c r="F2392" s="5" t="str">
        <f t="shared" si="333"/>
        <v>M and E-Lead</v>
      </c>
      <c r="G2392" s="5" t="s">
        <v>103</v>
      </c>
      <c r="H2392" s="9">
        <v>44923.987974537034</v>
      </c>
      <c r="I2392" s="9">
        <v>44927.987974537034</v>
      </c>
      <c r="J2392" s="9" t="e">
        <f>I2392+#REF!</f>
        <v>#REF!</v>
      </c>
      <c r="K2392" s="9" t="e">
        <f>J2392+#REF!</f>
        <v>#REF!</v>
      </c>
      <c r="L2392" s="10" t="s">
        <v>41</v>
      </c>
      <c r="M2392" s="11">
        <v>44933.987974537034</v>
      </c>
      <c r="N2392" s="5" t="s">
        <v>42</v>
      </c>
      <c r="O2392" s="5" t="s">
        <v>73</v>
      </c>
      <c r="P2392" s="9"/>
      <c r="Q2392" s="5"/>
      <c r="R2392" s="5"/>
      <c r="S2392" s="5"/>
      <c r="T2392" s="9"/>
      <c r="U2392" s="5"/>
      <c r="V2392" s="5">
        <v>0</v>
      </c>
      <c r="W2392" s="5"/>
      <c r="X2392" s="5"/>
      <c r="Y2392" s="5"/>
      <c r="Z2392" s="5"/>
      <c r="AA2392" s="5" t="s">
        <v>44</v>
      </c>
      <c r="AC2392">
        <f t="shared" si="334"/>
        <v>6</v>
      </c>
      <c r="AD2392" t="str">
        <f t="shared" si="335"/>
        <v/>
      </c>
      <c r="AE2392" t="str">
        <f t="shared" si="336"/>
        <v/>
      </c>
      <c r="AF2392" t="str">
        <f t="shared" si="337"/>
        <v/>
      </c>
      <c r="AG2392" t="str">
        <f t="shared" si="338"/>
        <v/>
      </c>
      <c r="AH2392">
        <f t="shared" si="339"/>
        <v>4</v>
      </c>
      <c r="AI2392" t="str">
        <f t="shared" si="340"/>
        <v/>
      </c>
      <c r="AJ2392" t="str">
        <f t="shared" si="341"/>
        <v/>
      </c>
    </row>
    <row r="2393" spans="1:36">
      <c r="A2393" s="5">
        <v>2989</v>
      </c>
      <c r="B2393" s="5" t="s">
        <v>892</v>
      </c>
      <c r="C2393" s="5" t="s">
        <v>796</v>
      </c>
      <c r="D2393" s="5" t="s">
        <v>893</v>
      </c>
      <c r="E2393" s="5" t="s">
        <v>269</v>
      </c>
      <c r="F2393" s="5" t="str">
        <f t="shared" si="333"/>
        <v>M and E-Manager</v>
      </c>
      <c r="G2393" s="5" t="s">
        <v>270</v>
      </c>
      <c r="H2393" s="9">
        <v>44928.987974537034</v>
      </c>
      <c r="I2393" s="9">
        <v>44930.987974537034</v>
      </c>
      <c r="J2393" s="9" t="e">
        <f>I2393+#REF!</f>
        <v>#REF!</v>
      </c>
      <c r="K2393" s="9" t="e">
        <f>J2393+#REF!</f>
        <v>#REF!</v>
      </c>
      <c r="L2393" s="10" t="s">
        <v>41</v>
      </c>
      <c r="M2393" s="11">
        <v>44945.987974537034</v>
      </c>
      <c r="N2393" s="5" t="s">
        <v>42</v>
      </c>
      <c r="O2393" s="5" t="s">
        <v>58</v>
      </c>
      <c r="P2393" s="9"/>
      <c r="Q2393" s="5"/>
      <c r="R2393" s="5"/>
      <c r="S2393" s="5"/>
      <c r="T2393" s="9">
        <v>44947.987974537034</v>
      </c>
      <c r="U2393" s="5"/>
      <c r="V2393" s="5">
        <v>0</v>
      </c>
      <c r="W2393" s="5"/>
      <c r="X2393" s="5"/>
      <c r="Y2393" s="5"/>
      <c r="Z2393" s="5"/>
      <c r="AA2393" s="5" t="s">
        <v>62</v>
      </c>
      <c r="AC2393">
        <f t="shared" si="334"/>
        <v>15</v>
      </c>
      <c r="AD2393" t="str">
        <f t="shared" si="335"/>
        <v/>
      </c>
      <c r="AE2393">
        <f t="shared" si="336"/>
        <v>2</v>
      </c>
      <c r="AF2393" t="str">
        <f t="shared" si="337"/>
        <v/>
      </c>
      <c r="AG2393" t="str">
        <f t="shared" si="338"/>
        <v/>
      </c>
      <c r="AH2393">
        <f t="shared" si="339"/>
        <v>2</v>
      </c>
      <c r="AI2393" t="str">
        <f t="shared" si="340"/>
        <v/>
      </c>
      <c r="AJ2393" t="str">
        <f t="shared" si="341"/>
        <v/>
      </c>
    </row>
    <row r="2394" spans="1:36">
      <c r="A2394" s="5">
        <v>2992</v>
      </c>
      <c r="B2394" s="5" t="s">
        <v>2402</v>
      </c>
      <c r="C2394" s="5" t="s">
        <v>2229</v>
      </c>
      <c r="D2394" s="5" t="s">
        <v>2403</v>
      </c>
      <c r="E2394" s="5" t="s">
        <v>1039</v>
      </c>
      <c r="F2394" s="5" t="str">
        <f t="shared" si="333"/>
        <v>Capacity Building-Associate Director</v>
      </c>
      <c r="G2394" s="5" t="s">
        <v>56</v>
      </c>
      <c r="H2394" s="9">
        <v>44987.039479166669</v>
      </c>
      <c r="I2394" s="9">
        <v>44990.039479166669</v>
      </c>
      <c r="J2394" s="9" t="e">
        <f>I2394+#REF!</f>
        <v>#REF!</v>
      </c>
      <c r="K2394" s="9" t="e">
        <f>J2394+#REF!</f>
        <v>#REF!</v>
      </c>
      <c r="L2394" s="10" t="s">
        <v>52</v>
      </c>
      <c r="M2394" s="11"/>
      <c r="N2394" s="5"/>
      <c r="O2394" s="5"/>
      <c r="P2394" s="9"/>
      <c r="Q2394" s="5"/>
      <c r="R2394" s="5"/>
      <c r="S2394" s="5"/>
      <c r="T2394" s="9"/>
      <c r="U2394" s="5"/>
      <c r="V2394" s="5">
        <v>0</v>
      </c>
      <c r="W2394" s="5"/>
      <c r="X2394" s="5"/>
      <c r="Y2394" s="5"/>
      <c r="Z2394" s="5"/>
      <c r="AA2394" s="5"/>
      <c r="AC2394" t="str">
        <f t="shared" si="334"/>
        <v/>
      </c>
      <c r="AD2394" t="str">
        <f t="shared" si="335"/>
        <v/>
      </c>
      <c r="AE2394" t="str">
        <f t="shared" si="336"/>
        <v/>
      </c>
      <c r="AF2394" t="str">
        <f t="shared" si="337"/>
        <v/>
      </c>
      <c r="AG2394" t="str">
        <f t="shared" si="338"/>
        <v/>
      </c>
      <c r="AH2394">
        <f t="shared" si="339"/>
        <v>3</v>
      </c>
      <c r="AI2394" t="str">
        <f t="shared" si="340"/>
        <v/>
      </c>
      <c r="AJ2394" t="str">
        <f t="shared" si="341"/>
        <v/>
      </c>
    </row>
    <row r="2395" spans="1:36">
      <c r="A2395" s="5">
        <v>2993</v>
      </c>
      <c r="B2395" s="5" t="s">
        <v>1331</v>
      </c>
      <c r="C2395" s="5" t="s">
        <v>1332</v>
      </c>
      <c r="D2395" s="5" t="s">
        <v>1333</v>
      </c>
      <c r="E2395" s="5" t="s">
        <v>102</v>
      </c>
      <c r="F2395" s="5" t="str">
        <f t="shared" si="333"/>
        <v>Fundraising-Senior Manager</v>
      </c>
      <c r="G2395" s="5" t="s">
        <v>103</v>
      </c>
      <c r="H2395" s="9">
        <v>44985.039479166669</v>
      </c>
      <c r="I2395" s="9">
        <v>44988.039479166669</v>
      </c>
      <c r="J2395" s="9" t="e">
        <f>I2395+#REF!</f>
        <v>#REF!</v>
      </c>
      <c r="K2395" s="9" t="e">
        <f>J2395+#REF!</f>
        <v>#REF!</v>
      </c>
      <c r="L2395" s="10" t="s">
        <v>41</v>
      </c>
      <c r="M2395" s="11">
        <v>45009.039479166669</v>
      </c>
      <c r="N2395" s="5" t="s">
        <v>42</v>
      </c>
      <c r="O2395" s="5" t="s">
        <v>73</v>
      </c>
      <c r="P2395" s="9"/>
      <c r="Q2395" s="5"/>
      <c r="R2395" s="5"/>
      <c r="S2395" s="5"/>
      <c r="T2395" s="9">
        <v>45011.039479166669</v>
      </c>
      <c r="U2395" s="5"/>
      <c r="V2395" s="5">
        <v>0</v>
      </c>
      <c r="W2395" s="5"/>
      <c r="X2395" s="5"/>
      <c r="Y2395" s="5"/>
      <c r="Z2395" s="5"/>
      <c r="AA2395" s="5" t="s">
        <v>44</v>
      </c>
      <c r="AC2395">
        <f t="shared" si="334"/>
        <v>21</v>
      </c>
      <c r="AD2395" t="str">
        <f t="shared" si="335"/>
        <v/>
      </c>
      <c r="AE2395">
        <f t="shared" si="336"/>
        <v>2</v>
      </c>
      <c r="AF2395" t="str">
        <f t="shared" si="337"/>
        <v/>
      </c>
      <c r="AG2395" t="str">
        <f t="shared" si="338"/>
        <v/>
      </c>
      <c r="AH2395">
        <f t="shared" si="339"/>
        <v>3</v>
      </c>
      <c r="AI2395" t="str">
        <f t="shared" si="340"/>
        <v/>
      </c>
      <c r="AJ2395" t="str">
        <f t="shared" si="341"/>
        <v/>
      </c>
    </row>
    <row r="2396" spans="1:36">
      <c r="A2396" s="5">
        <v>2994</v>
      </c>
      <c r="B2396" s="5" t="s">
        <v>1447</v>
      </c>
      <c r="C2396" s="5" t="s">
        <v>1332</v>
      </c>
      <c r="D2396" s="5" t="s">
        <v>1448</v>
      </c>
      <c r="E2396" s="5" t="s">
        <v>597</v>
      </c>
      <c r="F2396" s="5" t="str">
        <f t="shared" si="333"/>
        <v>Fundraising-Business Partner</v>
      </c>
      <c r="G2396" s="5" t="s">
        <v>40</v>
      </c>
      <c r="H2396" s="9">
        <v>44989.039479166669</v>
      </c>
      <c r="I2396" s="9">
        <v>44991.039479166669</v>
      </c>
      <c r="J2396" s="9" t="e">
        <f>I2396+#REF!</f>
        <v>#REF!</v>
      </c>
      <c r="K2396" s="9" t="e">
        <f>J2396+#REF!</f>
        <v>#REF!</v>
      </c>
      <c r="L2396" s="10" t="s">
        <v>41</v>
      </c>
      <c r="M2396" s="11">
        <v>45011.039479166669</v>
      </c>
      <c r="N2396" s="5" t="s">
        <v>42</v>
      </c>
      <c r="O2396" s="5" t="s">
        <v>113</v>
      </c>
      <c r="P2396" s="9"/>
      <c r="Q2396" s="5"/>
      <c r="R2396" s="5"/>
      <c r="S2396" s="5"/>
      <c r="T2396" s="9"/>
      <c r="U2396" s="5"/>
      <c r="V2396" s="5">
        <v>0</v>
      </c>
      <c r="W2396" s="5"/>
      <c r="X2396" s="5"/>
      <c r="Y2396" s="5"/>
      <c r="Z2396" s="5"/>
      <c r="AA2396" s="5" t="s">
        <v>62</v>
      </c>
      <c r="AC2396">
        <f t="shared" si="334"/>
        <v>20</v>
      </c>
      <c r="AD2396" t="str">
        <f t="shared" si="335"/>
        <v/>
      </c>
      <c r="AE2396" t="str">
        <f t="shared" si="336"/>
        <v/>
      </c>
      <c r="AF2396" t="str">
        <f t="shared" si="337"/>
        <v/>
      </c>
      <c r="AG2396" t="str">
        <f t="shared" si="338"/>
        <v/>
      </c>
      <c r="AH2396">
        <f t="shared" si="339"/>
        <v>2</v>
      </c>
      <c r="AI2396" t="str">
        <f t="shared" si="340"/>
        <v/>
      </c>
      <c r="AJ2396" t="str">
        <f t="shared" si="341"/>
        <v/>
      </c>
    </row>
    <row r="2397" spans="1:36">
      <c r="A2397" s="5">
        <v>2996</v>
      </c>
      <c r="B2397" s="5" t="s">
        <v>1414</v>
      </c>
      <c r="C2397" s="5" t="s">
        <v>1332</v>
      </c>
      <c r="D2397" s="5" t="s">
        <v>1413</v>
      </c>
      <c r="E2397" s="5" t="s">
        <v>269</v>
      </c>
      <c r="F2397" s="5" t="str">
        <f t="shared" si="333"/>
        <v>Fundraising-Manager</v>
      </c>
      <c r="G2397" s="5" t="s">
        <v>270</v>
      </c>
      <c r="H2397" s="9">
        <v>44990.039479166669</v>
      </c>
      <c r="I2397" s="9">
        <v>44992.039479166669</v>
      </c>
      <c r="J2397" s="9" t="e">
        <f>I2397+#REF!</f>
        <v>#REF!</v>
      </c>
      <c r="K2397" s="9" t="e">
        <f>J2397+#REF!</f>
        <v>#REF!</v>
      </c>
      <c r="L2397" s="10" t="s">
        <v>41</v>
      </c>
      <c r="M2397" s="11">
        <v>44999.039479166669</v>
      </c>
      <c r="N2397" s="5" t="s">
        <v>48</v>
      </c>
      <c r="O2397" s="5"/>
      <c r="P2397" s="9">
        <v>45004.039479166669</v>
      </c>
      <c r="Q2397" s="5" t="s">
        <v>48</v>
      </c>
      <c r="R2397" s="5"/>
      <c r="S2397" s="5"/>
      <c r="T2397" s="9">
        <v>45003.039479166669</v>
      </c>
      <c r="U2397" s="5"/>
      <c r="V2397" s="5">
        <v>0</v>
      </c>
      <c r="W2397" s="5"/>
      <c r="X2397" s="5"/>
      <c r="Y2397" s="5"/>
      <c r="Z2397" s="5"/>
      <c r="AA2397" s="5"/>
      <c r="AC2397">
        <f t="shared" si="334"/>
        <v>7</v>
      </c>
      <c r="AD2397" t="str">
        <f t="shared" si="335"/>
        <v/>
      </c>
      <c r="AE2397">
        <f t="shared" si="336"/>
        <v>4</v>
      </c>
      <c r="AF2397" t="str">
        <f t="shared" si="337"/>
        <v/>
      </c>
      <c r="AG2397" t="str">
        <f t="shared" si="338"/>
        <v/>
      </c>
      <c r="AH2397">
        <f t="shared" si="339"/>
        <v>2</v>
      </c>
      <c r="AI2397" t="str">
        <f t="shared" si="340"/>
        <v/>
      </c>
      <c r="AJ2397" t="str">
        <f t="shared" si="341"/>
        <v/>
      </c>
    </row>
    <row r="2398" spans="1:36">
      <c r="A2398" s="5">
        <v>2997</v>
      </c>
      <c r="B2398" s="5" t="s">
        <v>2444</v>
      </c>
      <c r="C2398" s="5" t="s">
        <v>2229</v>
      </c>
      <c r="D2398" s="5" t="s">
        <v>2445</v>
      </c>
      <c r="E2398" s="5" t="s">
        <v>55</v>
      </c>
      <c r="F2398" s="5" t="str">
        <f t="shared" si="333"/>
        <v>Capacity Building-Director</v>
      </c>
      <c r="G2398" s="5" t="s">
        <v>47</v>
      </c>
      <c r="H2398" s="9">
        <v>44989.039479166669</v>
      </c>
      <c r="I2398" s="9">
        <v>44991.039479166669</v>
      </c>
      <c r="J2398" s="9" t="e">
        <f>I2398+#REF!</f>
        <v>#REF!</v>
      </c>
      <c r="K2398" s="9" t="e">
        <f>J2398+#REF!</f>
        <v>#REF!</v>
      </c>
      <c r="L2398" s="10" t="s">
        <v>52</v>
      </c>
      <c r="M2398" s="11"/>
      <c r="N2398" s="5"/>
      <c r="O2398" s="5"/>
      <c r="P2398" s="9"/>
      <c r="Q2398" s="5"/>
      <c r="R2398" s="5"/>
      <c r="S2398" s="5"/>
      <c r="T2398" s="9"/>
      <c r="U2398" s="5"/>
      <c r="V2398" s="5">
        <v>0</v>
      </c>
      <c r="W2398" s="5"/>
      <c r="X2398" s="5"/>
      <c r="Y2398" s="5"/>
      <c r="Z2398" s="5"/>
      <c r="AA2398" s="5"/>
      <c r="AC2398" t="str">
        <f t="shared" si="334"/>
        <v/>
      </c>
      <c r="AD2398" t="str">
        <f t="shared" si="335"/>
        <v/>
      </c>
      <c r="AE2398" t="str">
        <f t="shared" si="336"/>
        <v/>
      </c>
      <c r="AF2398" t="str">
        <f t="shared" si="337"/>
        <v/>
      </c>
      <c r="AG2398" t="str">
        <f t="shared" si="338"/>
        <v/>
      </c>
      <c r="AH2398">
        <f t="shared" si="339"/>
        <v>2</v>
      </c>
      <c r="AI2398" t="str">
        <f t="shared" si="340"/>
        <v/>
      </c>
      <c r="AJ2398" t="str">
        <f t="shared" si="341"/>
        <v/>
      </c>
    </row>
    <row r="2399" spans="1:36">
      <c r="A2399" s="5">
        <v>2998</v>
      </c>
      <c r="B2399" s="5" t="s">
        <v>1412</v>
      </c>
      <c r="C2399" s="5" t="s">
        <v>1332</v>
      </c>
      <c r="D2399" s="5" t="s">
        <v>1413</v>
      </c>
      <c r="E2399" s="5" t="s">
        <v>269</v>
      </c>
      <c r="F2399" s="5" t="str">
        <f t="shared" si="333"/>
        <v>Fundraising-Manager</v>
      </c>
      <c r="G2399" s="5" t="s">
        <v>270</v>
      </c>
      <c r="H2399" s="9">
        <v>44990.039479166669</v>
      </c>
      <c r="I2399" s="9">
        <v>44991.039479166669</v>
      </c>
      <c r="J2399" s="9" t="e">
        <f>I2399+#REF!</f>
        <v>#REF!</v>
      </c>
      <c r="K2399" s="9" t="e">
        <f>J2399+#REF!</f>
        <v>#REF!</v>
      </c>
      <c r="L2399" s="10" t="s">
        <v>41</v>
      </c>
      <c r="M2399" s="11">
        <v>45003.039479166669</v>
      </c>
      <c r="N2399" s="5" t="s">
        <v>42</v>
      </c>
      <c r="O2399" s="5" t="s">
        <v>98</v>
      </c>
      <c r="P2399" s="9"/>
      <c r="Q2399" s="5"/>
      <c r="R2399" s="5"/>
      <c r="S2399" s="5"/>
      <c r="T2399" s="9">
        <v>45005.039479166669</v>
      </c>
      <c r="U2399" s="5"/>
      <c r="V2399" s="5">
        <v>0</v>
      </c>
      <c r="W2399" s="5"/>
      <c r="X2399" s="5"/>
      <c r="Y2399" s="5"/>
      <c r="Z2399" s="5"/>
      <c r="AA2399" s="5" t="s">
        <v>44</v>
      </c>
      <c r="AC2399">
        <f t="shared" si="334"/>
        <v>12</v>
      </c>
      <c r="AD2399" t="str">
        <f t="shared" si="335"/>
        <v/>
      </c>
      <c r="AE2399">
        <f t="shared" si="336"/>
        <v>2</v>
      </c>
      <c r="AF2399" t="str">
        <f t="shared" si="337"/>
        <v/>
      </c>
      <c r="AG2399" t="str">
        <f t="shared" si="338"/>
        <v/>
      </c>
      <c r="AH2399">
        <f t="shared" si="339"/>
        <v>1</v>
      </c>
      <c r="AI2399" t="str">
        <f t="shared" si="340"/>
        <v/>
      </c>
      <c r="AJ2399" t="str">
        <f t="shared" si="341"/>
        <v/>
      </c>
    </row>
    <row r="2400" spans="1:36">
      <c r="A2400" s="5">
        <v>2999</v>
      </c>
      <c r="B2400" s="5" t="s">
        <v>2349</v>
      </c>
      <c r="C2400" s="5" t="s">
        <v>2229</v>
      </c>
      <c r="D2400" s="5" t="s">
        <v>2350</v>
      </c>
      <c r="E2400" s="5" t="s">
        <v>2351</v>
      </c>
      <c r="F2400" s="5" t="str">
        <f t="shared" si="333"/>
        <v>Capacity Building-Training Associate</v>
      </c>
      <c r="G2400" s="5" t="s">
        <v>40</v>
      </c>
      <c r="H2400" s="9">
        <v>44989.039479166669</v>
      </c>
      <c r="I2400" s="9">
        <v>44990.039479166669</v>
      </c>
      <c r="J2400" s="9" t="e">
        <f>I2400+#REF!</f>
        <v>#REF!</v>
      </c>
      <c r="K2400" s="9" t="e">
        <f>J2400+#REF!</f>
        <v>#REF!</v>
      </c>
      <c r="L2400" s="10" t="s">
        <v>41</v>
      </c>
      <c r="M2400" s="11">
        <v>44997.039479166669</v>
      </c>
      <c r="N2400" s="5" t="s">
        <v>64</v>
      </c>
      <c r="O2400" s="5"/>
      <c r="P2400" s="9">
        <v>45000.039479166669</v>
      </c>
      <c r="Q2400" s="5" t="s">
        <v>64</v>
      </c>
      <c r="R2400" s="9">
        <v>44998.039479166669</v>
      </c>
      <c r="S2400" s="9">
        <v>45000.039479166669</v>
      </c>
      <c r="T2400" s="9">
        <v>44998.039479166669</v>
      </c>
      <c r="U2400" s="9">
        <v>45007.039479166669</v>
      </c>
      <c r="V2400" s="12">
        <v>1</v>
      </c>
      <c r="W2400" s="9">
        <v>45011.039479166669</v>
      </c>
      <c r="X2400" s="9">
        <v>45014.039479166669</v>
      </c>
      <c r="Y2400" s="9">
        <v>45017.039479166669</v>
      </c>
      <c r="Z2400" s="5"/>
      <c r="AA2400" s="5"/>
      <c r="AB2400" s="13">
        <v>45038.039479166669</v>
      </c>
      <c r="AC2400">
        <f t="shared" si="334"/>
        <v>7</v>
      </c>
      <c r="AD2400">
        <f t="shared" si="335"/>
        <v>10</v>
      </c>
      <c r="AE2400">
        <f t="shared" si="336"/>
        <v>1</v>
      </c>
      <c r="AF2400">
        <f t="shared" si="337"/>
        <v>7</v>
      </c>
      <c r="AG2400">
        <f t="shared" si="338"/>
        <v>4</v>
      </c>
      <c r="AH2400">
        <f t="shared" si="339"/>
        <v>1</v>
      </c>
      <c r="AI2400" t="str">
        <f t="shared" si="340"/>
        <v/>
      </c>
      <c r="AJ2400" t="str">
        <f t="shared" si="341"/>
        <v/>
      </c>
    </row>
    <row r="2401" spans="1:34">
      <c r="A2401" s="5">
        <v>3000</v>
      </c>
      <c r="B2401" s="5" t="s">
        <v>2249</v>
      </c>
      <c r="C2401" s="5" t="s">
        <v>2229</v>
      </c>
      <c r="D2401" s="5" t="s">
        <v>2250</v>
      </c>
      <c r="E2401" s="5" t="s">
        <v>388</v>
      </c>
      <c r="F2401" s="5" t="str">
        <f t="shared" si="333"/>
        <v>Capacity Building-Extension Officer</v>
      </c>
      <c r="G2401" s="5" t="s">
        <v>147</v>
      </c>
      <c r="H2401" s="9">
        <v>44989.039479166669</v>
      </c>
      <c r="I2401" s="9">
        <v>44992.039479166669</v>
      </c>
      <c r="J2401" s="9" t="e">
        <f>I2401+#REF!</f>
        <v>#REF!</v>
      </c>
      <c r="K2401" s="9" t="e">
        <f>J2401+#REF!</f>
        <v>#REF!</v>
      </c>
      <c r="L2401" s="10" t="s">
        <v>52</v>
      </c>
      <c r="M2401" s="11"/>
      <c r="N2401" s="5"/>
      <c r="O2401" s="5"/>
      <c r="P2401" s="9"/>
      <c r="Q2401" s="5"/>
      <c r="R2401" s="5"/>
      <c r="S2401" s="5"/>
      <c r="T2401" s="9"/>
      <c r="U2401" s="5"/>
      <c r="V2401" s="5">
        <v>0</v>
      </c>
      <c r="W2401" s="5"/>
      <c r="X2401" s="5"/>
      <c r="Y2401" s="5"/>
      <c r="Z2401" s="5"/>
      <c r="AA2401" s="5"/>
    </row>
    <row r="2402" spans="1:34">
      <c r="AH2402">
        <f>AVERAGE(AH2:AH2400)</f>
        <v>2.5006252605252191</v>
      </c>
    </row>
    <row r="2403" spans="1:34">
      <c r="L2403" s="28">
        <f>COUNTIF(L2:L2401, "Yes")</f>
        <v>1990</v>
      </c>
      <c r="AD2403">
        <f>AVERAGE(AD17:AD503)</f>
        <v>17.75531914893617</v>
      </c>
    </row>
  </sheetData>
  <autoFilter ref="A1:AJ2401" xr:uid="{372366C8-21F8-47D6-8557-65F377FD540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0B6E-B0AF-4EA9-BE6A-250C4D73B0D2}">
  <dimension ref="E2:K40"/>
  <sheetViews>
    <sheetView showGridLines="0" topLeftCell="A15" workbookViewId="0">
      <selection activeCell="F48" sqref="F48"/>
    </sheetView>
  </sheetViews>
  <sheetFormatPr defaultRowHeight="14"/>
  <cols>
    <col min="1" max="1" width="10.1640625" customWidth="1"/>
    <col min="13" max="13" width="12.75" customWidth="1"/>
    <col min="14" max="14" width="10.1640625" customWidth="1"/>
  </cols>
  <sheetData>
    <row r="2" spans="5:10" ht="17">
      <c r="E2" s="32"/>
      <c r="F2" s="33" t="s">
        <v>2579</v>
      </c>
      <c r="G2" s="32"/>
      <c r="H2" s="32"/>
      <c r="I2" s="32"/>
      <c r="J2" s="32"/>
    </row>
    <row r="40" spans="8:11" ht="17">
      <c r="H40" s="31" t="s">
        <v>2580</v>
      </c>
      <c r="I40" s="15"/>
      <c r="J40" s="15"/>
      <c r="K40" s="15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59F9-B6D2-4B49-9D77-018D6F886B51}">
  <dimension ref="A1:L2400"/>
  <sheetViews>
    <sheetView tabSelected="1" workbookViewId="0">
      <selection activeCell="J1" sqref="J1"/>
    </sheetView>
  </sheetViews>
  <sheetFormatPr defaultRowHeight="14"/>
  <cols>
    <col min="1" max="1" width="19" customWidth="1"/>
    <col min="2" max="2" width="10.1640625" customWidth="1"/>
    <col min="5" max="5" width="14.9140625" customWidth="1"/>
    <col min="6" max="6" width="10.1640625" customWidth="1"/>
    <col min="7" max="8" width="8.6640625" customWidth="1"/>
    <col min="10" max="10" width="19.75" customWidth="1"/>
    <col min="12" max="12" width="19.75" customWidth="1"/>
  </cols>
  <sheetData>
    <row r="1" spans="1:12">
      <c r="A1" t="s">
        <v>2568</v>
      </c>
      <c r="B1" t="s">
        <v>2569</v>
      </c>
      <c r="J1" s="41"/>
      <c r="L1" s="41"/>
    </row>
    <row r="2" spans="1:12">
      <c r="A2" t="s">
        <v>2564</v>
      </c>
      <c r="B2">
        <v>2400</v>
      </c>
      <c r="J2" t="str">
        <f>IF(AND(ISNUMBER(#REF!), ISNUMBER(#REF!)),#REF! -#REF!,"")</f>
        <v/>
      </c>
      <c r="L2" t="str">
        <f>IF(AND(ISNUMBER(#REF!), ISNUMBER(#REF!)),#REF! -#REF!,"")</f>
        <v/>
      </c>
    </row>
    <row r="3" spans="1:12">
      <c r="A3" t="s">
        <v>2565</v>
      </c>
      <c r="B3">
        <v>1990</v>
      </c>
      <c r="J3" t="str">
        <f t="shared" ref="J3:J66" si="0">IF(AND(ISNUMBER(#REF!), ISNUMBER(#REF!)),#REF! -#REF!,"")</f>
        <v/>
      </c>
      <c r="L3" t="str">
        <f t="shared" ref="L3:L66" si="1">IF(AND(ISNUMBER(#REF!), ISNUMBER(#REF!)),#REF! -#REF!,"")</f>
        <v/>
      </c>
    </row>
    <row r="4" spans="1:12">
      <c r="A4" t="s">
        <v>2566</v>
      </c>
      <c r="B4">
        <v>911</v>
      </c>
      <c r="J4" t="str">
        <f t="shared" ref="J4:J67" si="2">IF(AND(ISNUMBER(#REF!), ISNUMBER(#REF!)),#REF! -#REF!,"")</f>
        <v/>
      </c>
      <c r="L4" t="str">
        <f t="shared" ref="L4:L67" si="3">IF(AND(ISNUMBER(#REF!), ISNUMBER(#REF!)),#REF! -#REF!,"")</f>
        <v/>
      </c>
    </row>
    <row r="5" spans="1:12">
      <c r="A5" t="s">
        <v>2567</v>
      </c>
      <c r="B5">
        <v>397</v>
      </c>
      <c r="J5" t="str">
        <f t="shared" ref="J5:J68" si="4">IF(AND(ISNUMBER(#REF!), ISNUMBER(#REF!)),#REF! -#REF!,"")</f>
        <v/>
      </c>
      <c r="L5" t="str">
        <f t="shared" ref="L5:L68" si="5">IF(AND(ISNUMBER(#REF!), ISNUMBER(#REF!)),#REF! -#REF!,"")</f>
        <v/>
      </c>
    </row>
    <row r="6" spans="1:12">
      <c r="J6" t="str">
        <f t="shared" ref="J6:J69" si="6">IF(AND(ISNUMBER(#REF!), ISNUMBER(#REF!)),#REF! -#REF!,"")</f>
        <v/>
      </c>
      <c r="L6" t="str">
        <f t="shared" ref="L6:L69" si="7">IF(AND(ISNUMBER(#REF!), ISNUMBER(#REF!)),#REF! -#REF!,"")</f>
        <v/>
      </c>
    </row>
    <row r="7" spans="1:12">
      <c r="J7" t="str">
        <f t="shared" ref="J7:J70" si="8">IF(AND(ISNUMBER(#REF!), ISNUMBER(#REF!)),#REF! -#REF!,"")</f>
        <v/>
      </c>
      <c r="L7" t="str">
        <f t="shared" ref="L7:L70" si="9">IF(AND(ISNUMBER(#REF!), ISNUMBER(#REF!)),#REF! -#REF!,"")</f>
        <v/>
      </c>
    </row>
    <row r="8" spans="1:12">
      <c r="A8" t="s">
        <v>2562</v>
      </c>
      <c r="B8" t="s">
        <v>2563</v>
      </c>
      <c r="J8" t="str">
        <f t="shared" ref="J8:J71" si="10">IF(AND(ISNUMBER(#REF!), ISNUMBER(#REF!)),#REF! -#REF!,"")</f>
        <v/>
      </c>
      <c r="L8" t="str">
        <f t="shared" ref="L8:L71" si="11">IF(AND(ISNUMBER(#REF!), ISNUMBER(#REF!)),#REF! -#REF!,"")</f>
        <v/>
      </c>
    </row>
    <row r="9" spans="1:12">
      <c r="A9" t="s">
        <v>2575</v>
      </c>
      <c r="B9">
        <v>17.760000000000002</v>
      </c>
      <c r="J9" t="str">
        <f t="shared" ref="J9:J72" si="12">IF(AND(ISNUMBER(#REF!), ISNUMBER(#REF!)),#REF! -#REF!,"")</f>
        <v/>
      </c>
      <c r="L9" t="str">
        <f t="shared" ref="L9:L72" si="13">IF(AND(ISNUMBER(#REF!), ISNUMBER(#REF!)),#REF! -#REF!,"")</f>
        <v/>
      </c>
    </row>
    <row r="10" spans="1:12">
      <c r="A10" t="s">
        <v>2571</v>
      </c>
      <c r="B10">
        <v>17.63</v>
      </c>
      <c r="J10" t="str">
        <f t="shared" ref="J10:J73" si="14">IF(AND(ISNUMBER(#REF!), ISNUMBER(#REF!)),#REF! -#REF!,"")</f>
        <v/>
      </c>
      <c r="L10" t="str">
        <f t="shared" ref="L10:L73" si="15">IF(AND(ISNUMBER(#REF!), ISNUMBER(#REF!)),#REF! -#REF!,"")</f>
        <v/>
      </c>
    </row>
    <row r="11" spans="1:12">
      <c r="A11" t="s">
        <v>2573</v>
      </c>
      <c r="B11">
        <v>17.07</v>
      </c>
      <c r="H11" s="41"/>
      <c r="J11" t="str">
        <f t="shared" ref="J11:J74" si="16">IF(AND(ISNUMBER(#REF!), ISNUMBER(#REF!)),#REF! -#REF!,"")</f>
        <v/>
      </c>
      <c r="L11" t="str">
        <f t="shared" ref="L11:L74" si="17">IF(AND(ISNUMBER(#REF!), ISNUMBER(#REF!)),#REF! -#REF!,"")</f>
        <v/>
      </c>
    </row>
    <row r="12" spans="1:12">
      <c r="A12" t="s">
        <v>2570</v>
      </c>
      <c r="B12">
        <v>17.059999999999999</v>
      </c>
      <c r="J12" t="str">
        <f t="shared" ref="J12:J75" si="18">IF(AND(ISNUMBER(#REF!), ISNUMBER(#REF!)),#REF! -#REF!,"")</f>
        <v/>
      </c>
      <c r="L12" t="str">
        <f t="shared" ref="L12:L75" si="19">IF(AND(ISNUMBER(#REF!), ISNUMBER(#REF!)),#REF! -#REF!,"")</f>
        <v/>
      </c>
    </row>
    <row r="13" spans="1:12">
      <c r="A13" t="s">
        <v>2574</v>
      </c>
      <c r="B13">
        <v>17.04</v>
      </c>
      <c r="J13" t="str">
        <f t="shared" ref="J13:J76" si="20">IF(AND(ISNUMBER(#REF!), ISNUMBER(#REF!)),#REF! -#REF!,"")</f>
        <v/>
      </c>
      <c r="L13" t="str">
        <f t="shared" ref="L13:L76" si="21">IF(AND(ISNUMBER(#REF!), ISNUMBER(#REF!)),#REF! -#REF!,"")</f>
        <v/>
      </c>
    </row>
    <row r="14" spans="1:12">
      <c r="A14" t="s">
        <v>2572</v>
      </c>
      <c r="B14">
        <v>17.03</v>
      </c>
      <c r="J14" t="str">
        <f t="shared" ref="J14:J77" si="22">IF(AND(ISNUMBER(#REF!), ISNUMBER(#REF!)),#REF! -#REF!,"")</f>
        <v/>
      </c>
      <c r="L14" t="str">
        <f t="shared" ref="L14:L77" si="23">IF(AND(ISNUMBER(#REF!), ISNUMBER(#REF!)),#REF! -#REF!,"")</f>
        <v/>
      </c>
    </row>
    <row r="15" spans="1:12">
      <c r="J15" t="str">
        <f t="shared" ref="J15:J78" si="24">IF(AND(ISNUMBER(#REF!), ISNUMBER(#REF!)),#REF! -#REF!,"")</f>
        <v/>
      </c>
      <c r="L15" t="str">
        <f t="shared" ref="L15:L78" si="25">IF(AND(ISNUMBER(#REF!), ISNUMBER(#REF!)),#REF! -#REF!,"")</f>
        <v/>
      </c>
    </row>
    <row r="16" spans="1:12">
      <c r="J16" t="str">
        <f t="shared" ref="J16:J79" si="26">IF(AND(ISNUMBER(#REF!), ISNUMBER(#REF!)),#REF! -#REF!,"")</f>
        <v/>
      </c>
      <c r="L16" t="str">
        <f t="shared" ref="L16:L79" si="27">IF(AND(ISNUMBER(#REF!), ISNUMBER(#REF!)),#REF! -#REF!,"")</f>
        <v/>
      </c>
    </row>
    <row r="17" spans="1:12">
      <c r="A17" t="s">
        <v>2562</v>
      </c>
      <c r="B17" t="s">
        <v>2563</v>
      </c>
      <c r="J17" t="str">
        <f t="shared" ref="J17:J80" si="28">IF(AND(ISNUMBER(#REF!), ISNUMBER(#REF!)),#REF! -#REF!,"")</f>
        <v/>
      </c>
      <c r="L17" t="str">
        <f t="shared" ref="L17:L80" si="29">IF(AND(ISNUMBER(#REF!), ISNUMBER(#REF!)),#REF! -#REF!,"")</f>
        <v/>
      </c>
    </row>
    <row r="18" spans="1:12">
      <c r="A18" t="s">
        <v>2576</v>
      </c>
      <c r="B18">
        <v>17.87</v>
      </c>
      <c r="J18" t="str">
        <f t="shared" ref="J18:J81" si="30">IF(AND(ISNUMBER(#REF!), ISNUMBER(#REF!)),#REF! -#REF!,"")</f>
        <v/>
      </c>
      <c r="L18" t="str">
        <f t="shared" ref="L18:L81" si="31">IF(AND(ISNUMBER(#REF!), ISNUMBER(#REF!)),#REF! -#REF!,"")</f>
        <v/>
      </c>
    </row>
    <row r="19" spans="1:12">
      <c r="A19" t="s">
        <v>2229</v>
      </c>
      <c r="B19">
        <v>17.05</v>
      </c>
      <c r="J19" t="str">
        <f t="shared" ref="J19:J82" si="32">IF(AND(ISNUMBER(#REF!), ISNUMBER(#REF!)),#REF! -#REF!,"")</f>
        <v/>
      </c>
      <c r="L19" t="str">
        <f t="shared" ref="L19:L82" si="33">IF(AND(ISNUMBER(#REF!), ISNUMBER(#REF!)),#REF! -#REF!,"")</f>
        <v/>
      </c>
    </row>
    <row r="20" spans="1:12">
      <c r="A20" t="s">
        <v>2577</v>
      </c>
      <c r="B20">
        <v>17.149999999999999</v>
      </c>
      <c r="J20" t="str">
        <f t="shared" ref="J20:J83" si="34">IF(AND(ISNUMBER(#REF!), ISNUMBER(#REF!)),#REF! -#REF!,"")</f>
        <v/>
      </c>
      <c r="L20" t="str">
        <f t="shared" ref="L20:L83" si="35">IF(AND(ISNUMBER(#REF!), ISNUMBER(#REF!)),#REF! -#REF!,"")</f>
        <v/>
      </c>
    </row>
    <row r="21" spans="1:12">
      <c r="A21" t="s">
        <v>1540</v>
      </c>
      <c r="B21">
        <v>17.07</v>
      </c>
      <c r="J21" t="str">
        <f t="shared" ref="J21:J84" si="36">IF(AND(ISNUMBER(#REF!), ISNUMBER(#REF!)),#REF! -#REF!,"")</f>
        <v/>
      </c>
      <c r="L21" t="str">
        <f t="shared" ref="L21:L84" si="37">IF(AND(ISNUMBER(#REF!), ISNUMBER(#REF!)),#REF! -#REF!,"")</f>
        <v/>
      </c>
    </row>
    <row r="22" spans="1:12">
      <c r="A22" t="s">
        <v>1332</v>
      </c>
      <c r="B22">
        <v>16.75</v>
      </c>
      <c r="J22" t="str">
        <f t="shared" ref="J22:J85" si="38">IF(AND(ISNUMBER(#REF!), ISNUMBER(#REF!)),#REF! -#REF!,"")</f>
        <v/>
      </c>
      <c r="L22" t="str">
        <f t="shared" ref="L22:L85" si="39">IF(AND(ISNUMBER(#REF!), ISNUMBER(#REF!)),#REF! -#REF!,"")</f>
        <v/>
      </c>
    </row>
    <row r="23" spans="1:12">
      <c r="A23" t="s">
        <v>1215</v>
      </c>
      <c r="B23">
        <v>16.690000000000001</v>
      </c>
      <c r="J23" t="str">
        <f t="shared" ref="J23:J86" si="40">IF(AND(ISNUMBER(#REF!), ISNUMBER(#REF!)),#REF! -#REF!,"")</f>
        <v/>
      </c>
      <c r="L23" t="str">
        <f t="shared" ref="L23:L86" si="41">IF(AND(ISNUMBER(#REF!), ISNUMBER(#REF!)),#REF! -#REF!,"")</f>
        <v/>
      </c>
    </row>
    <row r="24" spans="1:12">
      <c r="A24" t="s">
        <v>1122</v>
      </c>
      <c r="B24">
        <v>16.88</v>
      </c>
      <c r="J24" t="str">
        <f t="shared" ref="J24:J87" si="42">IF(AND(ISNUMBER(#REF!), ISNUMBER(#REF!)),#REF! -#REF!,"")</f>
        <v/>
      </c>
      <c r="L24" t="str">
        <f t="shared" ref="L24:L87" si="43">IF(AND(ISNUMBER(#REF!), ISNUMBER(#REF!)),#REF! -#REF!,"")</f>
        <v/>
      </c>
    </row>
    <row r="25" spans="1:12">
      <c r="A25" t="s">
        <v>2578</v>
      </c>
      <c r="B25">
        <v>16.84</v>
      </c>
      <c r="J25" t="str">
        <f t="shared" ref="J25:J88" si="44">IF(AND(ISNUMBER(#REF!), ISNUMBER(#REF!)),#REF! -#REF!,"")</f>
        <v/>
      </c>
      <c r="L25" t="str">
        <f t="shared" ref="L25:L88" si="45">IF(AND(ISNUMBER(#REF!), ISNUMBER(#REF!)),#REF! -#REF!,"")</f>
        <v/>
      </c>
    </row>
    <row r="26" spans="1:12">
      <c r="J26" t="str">
        <f t="shared" ref="J26:J89" si="46">IF(AND(ISNUMBER(#REF!), ISNUMBER(#REF!)),#REF! -#REF!,"")</f>
        <v/>
      </c>
      <c r="L26" t="str">
        <f t="shared" ref="L26:L89" si="47">IF(AND(ISNUMBER(#REF!), ISNUMBER(#REF!)),#REF! -#REF!,"")</f>
        <v/>
      </c>
    </row>
    <row r="27" spans="1:12">
      <c r="J27" t="str">
        <f t="shared" ref="J27:J90" si="48">IF(AND(ISNUMBER(#REF!), ISNUMBER(#REF!)),#REF! -#REF!,"")</f>
        <v/>
      </c>
      <c r="L27" t="str">
        <f t="shared" ref="L27:L90" si="49">IF(AND(ISNUMBER(#REF!), ISNUMBER(#REF!)),#REF! -#REF!,"")</f>
        <v/>
      </c>
    </row>
    <row r="28" spans="1:12">
      <c r="J28" t="str">
        <f>IF(AND(ISNUMBER(#REF!), ISNUMBER(#REF!)),#REF! -#REF!,"")</f>
        <v/>
      </c>
      <c r="L28" t="str">
        <f t="shared" ref="L28:L91" si="50">IF(AND(ISNUMBER(#REF!), ISNUMBER(#REF!)),#REF! -#REF!,"")</f>
        <v/>
      </c>
    </row>
    <row r="29" spans="1:12">
      <c r="J29" t="str">
        <f t="shared" ref="J29:J92" si="51">IF(AND(ISNUMBER(#REF!), ISNUMBER(#REF!)),#REF! -#REF!,"")</f>
        <v/>
      </c>
      <c r="L29" t="str">
        <f t="shared" ref="L29:L92" si="52">IF(AND(ISNUMBER(#REF!), ISNUMBER(#REF!)),#REF! -#REF!,"")</f>
        <v/>
      </c>
    </row>
    <row r="30" spans="1:12">
      <c r="J30" t="str">
        <f t="shared" ref="J30:J93" si="53">IF(AND(ISNUMBER(#REF!), ISNUMBER(#REF!)),#REF! -#REF!,"")</f>
        <v/>
      </c>
      <c r="L30" t="str">
        <f t="shared" ref="L30:L93" si="54">IF(AND(ISNUMBER(#REF!), ISNUMBER(#REF!)),#REF! -#REF!,"")</f>
        <v/>
      </c>
    </row>
    <row r="31" spans="1:12">
      <c r="J31" t="str">
        <f t="shared" ref="J31:J94" si="55">IF(AND(ISNUMBER(#REF!), ISNUMBER(#REF!)),#REF! -#REF!,"")</f>
        <v/>
      </c>
      <c r="L31" t="str">
        <f t="shared" ref="L31:L94" si="56">IF(AND(ISNUMBER(#REF!), ISNUMBER(#REF!)),#REF! -#REF!,"")</f>
        <v/>
      </c>
    </row>
    <row r="32" spans="1:12">
      <c r="J32" t="str">
        <f t="shared" ref="J32:J95" si="57">IF(AND(ISNUMBER(#REF!), ISNUMBER(#REF!)),#REF! -#REF!,"")</f>
        <v/>
      </c>
      <c r="L32" t="str">
        <f t="shared" ref="L32:L95" si="58">IF(AND(ISNUMBER(#REF!), ISNUMBER(#REF!)),#REF! -#REF!,"")</f>
        <v/>
      </c>
    </row>
    <row r="33" spans="10:12">
      <c r="J33" t="str">
        <f t="shared" ref="J33:J96" si="59">IF(AND(ISNUMBER(#REF!), ISNUMBER(#REF!)),#REF! -#REF!,"")</f>
        <v/>
      </c>
      <c r="L33" t="str">
        <f t="shared" ref="L33:L96" si="60">IF(AND(ISNUMBER(#REF!), ISNUMBER(#REF!)),#REF! -#REF!,"")</f>
        <v/>
      </c>
    </row>
    <row r="34" spans="10:12">
      <c r="J34" t="str">
        <f t="shared" ref="J34:J97" si="61">IF(AND(ISNUMBER(#REF!), ISNUMBER(#REF!)),#REF! -#REF!,"")</f>
        <v/>
      </c>
      <c r="L34" t="str">
        <f t="shared" ref="L34:L97" si="62">IF(AND(ISNUMBER(#REF!), ISNUMBER(#REF!)),#REF! -#REF!,"")</f>
        <v/>
      </c>
    </row>
    <row r="35" spans="10:12">
      <c r="J35" t="str">
        <f t="shared" ref="J35:J98" si="63">IF(AND(ISNUMBER(#REF!), ISNUMBER(#REF!)),#REF! -#REF!,"")</f>
        <v/>
      </c>
      <c r="L35" t="str">
        <f t="shared" ref="L35:L98" si="64">IF(AND(ISNUMBER(#REF!), ISNUMBER(#REF!)),#REF! -#REF!,"")</f>
        <v/>
      </c>
    </row>
    <row r="36" spans="10:12">
      <c r="J36" t="str">
        <f t="shared" ref="J36:J99" si="65">IF(AND(ISNUMBER(#REF!), ISNUMBER(#REF!)),#REF! -#REF!,"")</f>
        <v/>
      </c>
      <c r="L36" t="str">
        <f t="shared" ref="L36:L99" si="66">IF(AND(ISNUMBER(#REF!), ISNUMBER(#REF!)),#REF! -#REF!,"")</f>
        <v/>
      </c>
    </row>
    <row r="37" spans="10:12">
      <c r="J37" t="str">
        <f t="shared" ref="J37:J100" si="67">IF(AND(ISNUMBER(#REF!), ISNUMBER(#REF!)),#REF! -#REF!,"")</f>
        <v/>
      </c>
      <c r="L37" t="str">
        <f t="shared" ref="L37:L100" si="68">IF(AND(ISNUMBER(#REF!), ISNUMBER(#REF!)),#REF! -#REF!,"")</f>
        <v/>
      </c>
    </row>
    <row r="38" spans="10:12">
      <c r="J38" t="str">
        <f t="shared" ref="J38:J101" si="69">IF(AND(ISNUMBER(#REF!), ISNUMBER(#REF!)),#REF! -#REF!,"")</f>
        <v/>
      </c>
      <c r="L38" t="str">
        <f t="shared" ref="L38:L101" si="70">IF(AND(ISNUMBER(#REF!), ISNUMBER(#REF!)),#REF! -#REF!,"")</f>
        <v/>
      </c>
    </row>
    <row r="39" spans="10:12">
      <c r="J39" t="str">
        <f t="shared" ref="J39:J102" si="71">IF(AND(ISNUMBER(#REF!), ISNUMBER(#REF!)),#REF! -#REF!,"")</f>
        <v/>
      </c>
      <c r="L39" t="str">
        <f t="shared" ref="L39:L102" si="72">IF(AND(ISNUMBER(#REF!), ISNUMBER(#REF!)),#REF! -#REF!,"")</f>
        <v/>
      </c>
    </row>
    <row r="40" spans="10:12">
      <c r="J40" t="str">
        <f t="shared" ref="J40:J103" si="73">IF(AND(ISNUMBER(#REF!), ISNUMBER(#REF!)),#REF! -#REF!,"")</f>
        <v/>
      </c>
      <c r="L40" t="str">
        <f t="shared" ref="L40:L103" si="74">IF(AND(ISNUMBER(#REF!), ISNUMBER(#REF!)),#REF! -#REF!,"")</f>
        <v/>
      </c>
    </row>
    <row r="41" spans="10:12">
      <c r="J41" t="str">
        <f t="shared" ref="J41:J104" si="75">IF(AND(ISNUMBER(#REF!), ISNUMBER(#REF!)),#REF! -#REF!,"")</f>
        <v/>
      </c>
      <c r="L41" t="str">
        <f t="shared" ref="L41:L104" si="76">IF(AND(ISNUMBER(#REF!), ISNUMBER(#REF!)),#REF! -#REF!,"")</f>
        <v/>
      </c>
    </row>
    <row r="42" spans="10:12">
      <c r="J42" t="str">
        <f t="shared" ref="J42:J105" si="77">IF(AND(ISNUMBER(#REF!), ISNUMBER(#REF!)),#REF! -#REF!,"")</f>
        <v/>
      </c>
      <c r="L42" t="str">
        <f t="shared" ref="L42:L105" si="78">IF(AND(ISNUMBER(#REF!), ISNUMBER(#REF!)),#REF! -#REF!,"")</f>
        <v/>
      </c>
    </row>
    <row r="43" spans="10:12">
      <c r="J43" t="str">
        <f t="shared" ref="J43:J106" si="79">IF(AND(ISNUMBER(#REF!), ISNUMBER(#REF!)),#REF! -#REF!,"")</f>
        <v/>
      </c>
      <c r="L43" t="str">
        <f t="shared" ref="L43:L106" si="80">IF(AND(ISNUMBER(#REF!), ISNUMBER(#REF!)),#REF! -#REF!,"")</f>
        <v/>
      </c>
    </row>
    <row r="44" spans="10:12">
      <c r="J44" t="str">
        <f t="shared" ref="J44:J107" si="81">IF(AND(ISNUMBER(#REF!), ISNUMBER(#REF!)),#REF! -#REF!,"")</f>
        <v/>
      </c>
      <c r="L44" t="str">
        <f t="shared" ref="L44:L107" si="82">IF(AND(ISNUMBER(#REF!), ISNUMBER(#REF!)),#REF! -#REF!,"")</f>
        <v/>
      </c>
    </row>
    <row r="45" spans="10:12">
      <c r="J45" t="str">
        <f t="shared" ref="J45:J108" si="83">IF(AND(ISNUMBER(#REF!), ISNUMBER(#REF!)),#REF! -#REF!,"")</f>
        <v/>
      </c>
      <c r="L45" t="str">
        <f t="shared" ref="L45:L108" si="84">IF(AND(ISNUMBER(#REF!), ISNUMBER(#REF!)),#REF! -#REF!,"")</f>
        <v/>
      </c>
    </row>
    <row r="46" spans="10:12">
      <c r="J46" t="str">
        <f t="shared" ref="J46:J109" si="85">IF(AND(ISNUMBER(#REF!), ISNUMBER(#REF!)),#REF! -#REF!,"")</f>
        <v/>
      </c>
      <c r="L46" t="str">
        <f t="shared" ref="L46:L109" si="86">IF(AND(ISNUMBER(#REF!), ISNUMBER(#REF!)),#REF! -#REF!,"")</f>
        <v/>
      </c>
    </row>
    <row r="47" spans="10:12">
      <c r="J47" t="str">
        <f t="shared" ref="J47:J110" si="87">IF(AND(ISNUMBER(#REF!), ISNUMBER(#REF!)),#REF! -#REF!,"")</f>
        <v/>
      </c>
      <c r="L47" t="str">
        <f t="shared" ref="L47:L110" si="88">IF(AND(ISNUMBER(#REF!), ISNUMBER(#REF!)),#REF! -#REF!,"")</f>
        <v/>
      </c>
    </row>
    <row r="48" spans="10:12">
      <c r="J48" t="str">
        <f t="shared" ref="J48:J111" si="89">IF(AND(ISNUMBER(#REF!), ISNUMBER(#REF!)),#REF! -#REF!,"")</f>
        <v/>
      </c>
      <c r="L48" t="str">
        <f t="shared" ref="L48:L111" si="90">IF(AND(ISNUMBER(#REF!), ISNUMBER(#REF!)),#REF! -#REF!,"")</f>
        <v/>
      </c>
    </row>
    <row r="49" spans="10:12">
      <c r="J49" t="str">
        <f t="shared" ref="J49:J112" si="91">IF(AND(ISNUMBER(#REF!), ISNUMBER(#REF!)),#REF! -#REF!,"")</f>
        <v/>
      </c>
      <c r="L49" t="str">
        <f t="shared" ref="L49:L112" si="92">IF(AND(ISNUMBER(#REF!), ISNUMBER(#REF!)),#REF! -#REF!,"")</f>
        <v/>
      </c>
    </row>
    <row r="50" spans="10:12">
      <c r="J50" t="str">
        <f t="shared" ref="J50:J113" si="93">IF(AND(ISNUMBER(#REF!), ISNUMBER(#REF!)),#REF! -#REF!,"")</f>
        <v/>
      </c>
      <c r="L50" t="str">
        <f t="shared" ref="L50:L113" si="94">IF(AND(ISNUMBER(#REF!), ISNUMBER(#REF!)),#REF! -#REF!,"")</f>
        <v/>
      </c>
    </row>
    <row r="51" spans="10:12">
      <c r="J51" t="str">
        <f t="shared" ref="J51:J114" si="95">IF(AND(ISNUMBER(#REF!), ISNUMBER(#REF!)),#REF! -#REF!,"")</f>
        <v/>
      </c>
      <c r="L51" t="str">
        <f t="shared" ref="L51:L114" si="96">IF(AND(ISNUMBER(#REF!), ISNUMBER(#REF!)),#REF! -#REF!,"")</f>
        <v/>
      </c>
    </row>
    <row r="52" spans="10:12">
      <c r="J52" t="str">
        <f t="shared" ref="J52:J115" si="97">IF(AND(ISNUMBER(#REF!), ISNUMBER(#REF!)),#REF! -#REF!,"")</f>
        <v/>
      </c>
      <c r="L52" t="str">
        <f t="shared" ref="L52:L115" si="98">IF(AND(ISNUMBER(#REF!), ISNUMBER(#REF!)),#REF! -#REF!,"")</f>
        <v/>
      </c>
    </row>
    <row r="53" spans="10:12">
      <c r="J53" t="str">
        <f t="shared" ref="J53:J116" si="99">IF(AND(ISNUMBER(#REF!), ISNUMBER(#REF!)),#REF! -#REF!,"")</f>
        <v/>
      </c>
      <c r="L53" t="str">
        <f t="shared" ref="L53:L116" si="100">IF(AND(ISNUMBER(#REF!), ISNUMBER(#REF!)),#REF! -#REF!,"")</f>
        <v/>
      </c>
    </row>
    <row r="54" spans="10:12">
      <c r="J54" t="str">
        <f t="shared" ref="J54:J117" si="101">IF(AND(ISNUMBER(#REF!), ISNUMBER(#REF!)),#REF! -#REF!,"")</f>
        <v/>
      </c>
      <c r="L54" t="str">
        <f t="shared" ref="L54:L117" si="102">IF(AND(ISNUMBER(#REF!), ISNUMBER(#REF!)),#REF! -#REF!,"")</f>
        <v/>
      </c>
    </row>
    <row r="55" spans="10:12">
      <c r="J55" t="str">
        <f t="shared" ref="J55:J118" si="103">IF(AND(ISNUMBER(#REF!), ISNUMBER(#REF!)),#REF! -#REF!,"")</f>
        <v/>
      </c>
      <c r="L55" t="str">
        <f t="shared" ref="L55:L118" si="104">IF(AND(ISNUMBER(#REF!), ISNUMBER(#REF!)),#REF! -#REF!,"")</f>
        <v/>
      </c>
    </row>
    <row r="56" spans="10:12">
      <c r="J56" t="str">
        <f t="shared" ref="J56:J119" si="105">IF(AND(ISNUMBER(#REF!), ISNUMBER(#REF!)),#REF! -#REF!,"")</f>
        <v/>
      </c>
      <c r="L56" t="str">
        <f t="shared" ref="L56:L119" si="106">IF(AND(ISNUMBER(#REF!), ISNUMBER(#REF!)),#REF! -#REF!,"")</f>
        <v/>
      </c>
    </row>
    <row r="57" spans="10:12">
      <c r="J57" t="str">
        <f t="shared" ref="J57:J120" si="107">IF(AND(ISNUMBER(#REF!), ISNUMBER(#REF!)),#REF! -#REF!,"")</f>
        <v/>
      </c>
      <c r="L57" t="str">
        <f t="shared" ref="L57:L120" si="108">IF(AND(ISNUMBER(#REF!), ISNUMBER(#REF!)),#REF! -#REF!,"")</f>
        <v/>
      </c>
    </row>
    <row r="58" spans="10:12">
      <c r="J58" t="str">
        <f t="shared" ref="J58:J121" si="109">IF(AND(ISNUMBER(#REF!), ISNUMBER(#REF!)),#REF! -#REF!,"")</f>
        <v/>
      </c>
      <c r="L58" t="str">
        <f t="shared" ref="L58:L121" si="110">IF(AND(ISNUMBER(#REF!), ISNUMBER(#REF!)),#REF! -#REF!,"")</f>
        <v/>
      </c>
    </row>
    <row r="59" spans="10:12">
      <c r="J59" t="str">
        <f t="shared" ref="J59:J122" si="111">IF(AND(ISNUMBER(#REF!), ISNUMBER(#REF!)),#REF! -#REF!,"")</f>
        <v/>
      </c>
      <c r="L59" t="str">
        <f t="shared" ref="L59:L122" si="112">IF(AND(ISNUMBER(#REF!), ISNUMBER(#REF!)),#REF! -#REF!,"")</f>
        <v/>
      </c>
    </row>
    <row r="60" spans="10:12">
      <c r="J60" t="str">
        <f t="shared" ref="J60:J123" si="113">IF(AND(ISNUMBER(#REF!), ISNUMBER(#REF!)),#REF! -#REF!,"")</f>
        <v/>
      </c>
      <c r="L60" t="str">
        <f t="shared" ref="L60:L123" si="114">IF(AND(ISNUMBER(#REF!), ISNUMBER(#REF!)),#REF! -#REF!,"")</f>
        <v/>
      </c>
    </row>
    <row r="61" spans="10:12">
      <c r="J61" t="str">
        <f t="shared" ref="J61:J124" si="115">IF(AND(ISNUMBER(#REF!), ISNUMBER(#REF!)),#REF! -#REF!,"")</f>
        <v/>
      </c>
      <c r="L61" t="str">
        <f t="shared" ref="L61:L124" si="116">IF(AND(ISNUMBER(#REF!), ISNUMBER(#REF!)),#REF! -#REF!,"")</f>
        <v/>
      </c>
    </row>
    <row r="62" spans="10:12">
      <c r="J62" t="str">
        <f t="shared" ref="J62:J125" si="117">IF(AND(ISNUMBER(#REF!), ISNUMBER(#REF!)),#REF! -#REF!,"")</f>
        <v/>
      </c>
      <c r="L62" t="str">
        <f t="shared" ref="L62:L125" si="118">IF(AND(ISNUMBER(#REF!), ISNUMBER(#REF!)),#REF! -#REF!,"")</f>
        <v/>
      </c>
    </row>
    <row r="63" spans="10:12">
      <c r="J63" t="str">
        <f t="shared" ref="J63:J126" si="119">IF(AND(ISNUMBER(#REF!), ISNUMBER(#REF!)),#REF! -#REF!,"")</f>
        <v/>
      </c>
      <c r="L63" t="str">
        <f t="shared" ref="L63:L126" si="120">IF(AND(ISNUMBER(#REF!), ISNUMBER(#REF!)),#REF! -#REF!,"")</f>
        <v/>
      </c>
    </row>
    <row r="64" spans="10:12">
      <c r="J64" t="str">
        <f t="shared" ref="J64:J127" si="121">IF(AND(ISNUMBER(#REF!), ISNUMBER(#REF!)),#REF! -#REF!,"")</f>
        <v/>
      </c>
      <c r="L64" t="str">
        <f t="shared" ref="L64:L127" si="122">IF(AND(ISNUMBER(#REF!), ISNUMBER(#REF!)),#REF! -#REF!,"")</f>
        <v/>
      </c>
    </row>
    <row r="65" spans="5:12">
      <c r="J65" t="str">
        <f t="shared" ref="J65:J128" si="123">IF(AND(ISNUMBER(#REF!), ISNUMBER(#REF!)),#REF! -#REF!,"")</f>
        <v/>
      </c>
      <c r="L65" t="str">
        <f t="shared" ref="L65:L128" si="124">IF(AND(ISNUMBER(#REF!), ISNUMBER(#REF!)),#REF! -#REF!,"")</f>
        <v/>
      </c>
    </row>
    <row r="66" spans="5:12">
      <c r="J66" t="str">
        <f t="shared" ref="J66:J129" si="125">IF(AND(ISNUMBER(#REF!), ISNUMBER(#REF!)),#REF! -#REF!,"")</f>
        <v/>
      </c>
      <c r="L66" t="str">
        <f t="shared" ref="L66:L129" si="126">IF(AND(ISNUMBER(#REF!), ISNUMBER(#REF!)),#REF! -#REF!,"")</f>
        <v/>
      </c>
    </row>
    <row r="67" spans="5:12">
      <c r="J67" t="str">
        <f t="shared" ref="J67:J130" si="127">IF(AND(ISNUMBER(#REF!), ISNUMBER(#REF!)),#REF! -#REF!,"")</f>
        <v/>
      </c>
      <c r="L67" t="str">
        <f t="shared" ref="L67:L130" si="128">IF(AND(ISNUMBER(#REF!), ISNUMBER(#REF!)),#REF! -#REF!,"")</f>
        <v/>
      </c>
    </row>
    <row r="68" spans="5:12">
      <c r="J68" t="str">
        <f t="shared" ref="J68:J131" si="129">IF(AND(ISNUMBER(#REF!), ISNUMBER(#REF!)),#REF! -#REF!,"")</f>
        <v/>
      </c>
      <c r="L68" t="str">
        <f t="shared" ref="L68:L131" si="130">IF(AND(ISNUMBER(#REF!), ISNUMBER(#REF!)),#REF! -#REF!,"")</f>
        <v/>
      </c>
    </row>
    <row r="69" spans="5:12">
      <c r="J69" t="str">
        <f t="shared" ref="J69:J132" si="131">IF(AND(ISNUMBER(#REF!), ISNUMBER(#REF!)),#REF! -#REF!,"")</f>
        <v/>
      </c>
      <c r="L69" t="str">
        <f t="shared" ref="L69:L132" si="132">IF(AND(ISNUMBER(#REF!), ISNUMBER(#REF!)),#REF! -#REF!,"")</f>
        <v/>
      </c>
    </row>
    <row r="70" spans="5:12">
      <c r="J70" t="str">
        <f t="shared" ref="J70:J133" si="133">IF(AND(ISNUMBER(#REF!), ISNUMBER(#REF!)),#REF! -#REF!,"")</f>
        <v/>
      </c>
      <c r="L70" t="str">
        <f t="shared" ref="L70:L133" si="134">IF(AND(ISNUMBER(#REF!), ISNUMBER(#REF!)),#REF! -#REF!,"")</f>
        <v/>
      </c>
    </row>
    <row r="71" spans="5:12">
      <c r="J71" t="str">
        <f t="shared" ref="J71:J134" si="135">IF(AND(ISNUMBER(#REF!), ISNUMBER(#REF!)),#REF! -#REF!,"")</f>
        <v/>
      </c>
      <c r="L71" t="str">
        <f t="shared" ref="L71:L134" si="136">IF(AND(ISNUMBER(#REF!), ISNUMBER(#REF!)),#REF! -#REF!,"")</f>
        <v/>
      </c>
    </row>
    <row r="72" spans="5:12">
      <c r="E72" t="s">
        <v>2562</v>
      </c>
      <c r="F72" t="s">
        <v>2563</v>
      </c>
      <c r="J72" t="str">
        <f t="shared" ref="J72:J135" si="137">IF(AND(ISNUMBER(#REF!), ISNUMBER(#REF!)),#REF! -#REF!,"")</f>
        <v/>
      </c>
      <c r="L72" t="str">
        <f t="shared" ref="L72:L135" si="138">IF(AND(ISNUMBER(#REF!), ISNUMBER(#REF!)),#REF! -#REF!,"")</f>
        <v/>
      </c>
    </row>
    <row r="73" spans="5:12">
      <c r="E73" t="s">
        <v>2582</v>
      </c>
      <c r="F73">
        <v>2.5</v>
      </c>
      <c r="J73" t="str">
        <f t="shared" ref="J73:J136" si="139">IF(AND(ISNUMBER(#REF!), ISNUMBER(#REF!)),#REF! -#REF!,"")</f>
        <v/>
      </c>
      <c r="L73" t="str">
        <f t="shared" ref="L73:L136" si="140">IF(AND(ISNUMBER(#REF!), ISNUMBER(#REF!)),#REF! -#REF!,"")</f>
        <v/>
      </c>
    </row>
    <row r="74" spans="5:12">
      <c r="J74" t="str">
        <f t="shared" ref="J74:J137" si="141">IF(AND(ISNUMBER(#REF!), ISNUMBER(#REF!)),#REF! -#REF!,"")</f>
        <v/>
      </c>
      <c r="L74" t="str">
        <f t="shared" ref="L74:L137" si="142">IF(AND(ISNUMBER(#REF!), ISNUMBER(#REF!)),#REF! -#REF!,"")</f>
        <v/>
      </c>
    </row>
    <row r="75" spans="5:12">
      <c r="J75" t="str">
        <f t="shared" ref="J75:J138" si="143">IF(AND(ISNUMBER(#REF!), ISNUMBER(#REF!)),#REF! -#REF!,"")</f>
        <v/>
      </c>
      <c r="L75" t="str">
        <f t="shared" ref="L75:L138" si="144">IF(AND(ISNUMBER(#REF!), ISNUMBER(#REF!)),#REF! -#REF!,"")</f>
        <v/>
      </c>
    </row>
    <row r="76" spans="5:12">
      <c r="J76" t="str">
        <f t="shared" ref="J76:J139" si="145">IF(AND(ISNUMBER(#REF!), ISNUMBER(#REF!)),#REF! -#REF!,"")</f>
        <v/>
      </c>
      <c r="L76" t="str">
        <f t="shared" ref="L76:L139" si="146">IF(AND(ISNUMBER(#REF!), ISNUMBER(#REF!)),#REF! -#REF!,"")</f>
        <v/>
      </c>
    </row>
    <row r="77" spans="5:12">
      <c r="J77" t="str">
        <f t="shared" ref="J77:J140" si="147">IF(AND(ISNUMBER(#REF!), ISNUMBER(#REF!)),#REF! -#REF!,"")</f>
        <v/>
      </c>
      <c r="L77" t="str">
        <f t="shared" ref="L77:L140" si="148">IF(AND(ISNUMBER(#REF!), ISNUMBER(#REF!)),#REF! -#REF!,"")</f>
        <v/>
      </c>
    </row>
    <row r="78" spans="5:12">
      <c r="J78" t="str">
        <f t="shared" ref="J78:J141" si="149">IF(AND(ISNUMBER(#REF!), ISNUMBER(#REF!)),#REF! -#REF!,"")</f>
        <v/>
      </c>
      <c r="L78" t="str">
        <f t="shared" ref="L78:L141" si="150">IF(AND(ISNUMBER(#REF!), ISNUMBER(#REF!)),#REF! -#REF!,"")</f>
        <v/>
      </c>
    </row>
    <row r="79" spans="5:12">
      <c r="J79" t="str">
        <f t="shared" ref="J79:J142" si="151">IF(AND(ISNUMBER(#REF!), ISNUMBER(#REF!)),#REF! -#REF!,"")</f>
        <v/>
      </c>
      <c r="L79" t="str">
        <f t="shared" ref="L79:L142" si="152">IF(AND(ISNUMBER(#REF!), ISNUMBER(#REF!)),#REF! -#REF!,"")</f>
        <v/>
      </c>
    </row>
    <row r="80" spans="5:12">
      <c r="J80" t="str">
        <f t="shared" ref="J80:J143" si="153">IF(AND(ISNUMBER(#REF!), ISNUMBER(#REF!)),#REF! -#REF!,"")</f>
        <v/>
      </c>
      <c r="L80" t="str">
        <f t="shared" ref="L80:L143" si="154">IF(AND(ISNUMBER(#REF!), ISNUMBER(#REF!)),#REF! -#REF!,"")</f>
        <v/>
      </c>
    </row>
    <row r="81" spans="1:12">
      <c r="J81" t="str">
        <f t="shared" ref="J81:J144" si="155">IF(AND(ISNUMBER(#REF!), ISNUMBER(#REF!)),#REF! -#REF!,"")</f>
        <v/>
      </c>
      <c r="L81" t="str">
        <f t="shared" ref="L81:L144" si="156">IF(AND(ISNUMBER(#REF!), ISNUMBER(#REF!)),#REF! -#REF!,"")</f>
        <v/>
      </c>
    </row>
    <row r="82" spans="1:12">
      <c r="A82" s="34"/>
      <c r="B82" s="35"/>
      <c r="F82" s="40"/>
      <c r="J82" t="str">
        <f t="shared" ref="J82:J145" si="157">IF(AND(ISNUMBER(#REF!), ISNUMBER(#REF!)),#REF! -#REF!,"")</f>
        <v/>
      </c>
      <c r="L82" t="str">
        <f t="shared" ref="L82:L145" si="158">IF(AND(ISNUMBER(#REF!), ISNUMBER(#REF!)),#REF! -#REF!,"")</f>
        <v/>
      </c>
    </row>
    <row r="83" spans="1:12">
      <c r="A83" s="36"/>
      <c r="B83" s="37"/>
      <c r="J83" t="str">
        <f t="shared" ref="J83:J146" si="159">IF(AND(ISNUMBER(#REF!), ISNUMBER(#REF!)),#REF! -#REF!,"")</f>
        <v/>
      </c>
      <c r="L83" t="str">
        <f t="shared" ref="L83:L146" si="160">IF(AND(ISNUMBER(#REF!), ISNUMBER(#REF!)),#REF! -#REF!,"")</f>
        <v/>
      </c>
    </row>
    <row r="84" spans="1:12">
      <c r="A84" s="38"/>
      <c r="B84" s="39"/>
      <c r="J84" t="str">
        <f t="shared" ref="J84:J147" si="161">IF(AND(ISNUMBER(#REF!), ISNUMBER(#REF!)),#REF! -#REF!,"")</f>
        <v/>
      </c>
      <c r="L84" t="str">
        <f t="shared" ref="L84:L147" si="162">IF(AND(ISNUMBER(#REF!), ISNUMBER(#REF!)),#REF! -#REF!,"")</f>
        <v/>
      </c>
    </row>
    <row r="85" spans="1:12">
      <c r="A85" s="29"/>
      <c r="B85" s="30"/>
      <c r="E85" t="s">
        <v>2583</v>
      </c>
      <c r="F85" cm="1">
        <f t="array" ref="F85">Table7[Column2]</f>
        <v>2.5</v>
      </c>
      <c r="J85" t="str">
        <f t="shared" ref="J85:J148" si="163">IF(AND(ISNUMBER(#REF!), ISNUMBER(#REF!)),#REF! -#REF!,"")</f>
        <v/>
      </c>
      <c r="L85" t="str">
        <f t="shared" ref="L85:L148" si="164">IF(AND(ISNUMBER(#REF!), ISNUMBER(#REF!)),#REF! -#REF!,"")</f>
        <v/>
      </c>
    </row>
    <row r="86" spans="1:12">
      <c r="E86" t="s">
        <v>2581</v>
      </c>
      <c r="F86">
        <v>0.5</v>
      </c>
      <c r="J86" t="str">
        <f t="shared" ref="J86:J149" si="165">IF(AND(ISNUMBER(#REF!), ISNUMBER(#REF!)),#REF! -#REF!,"")</f>
        <v/>
      </c>
      <c r="L86" t="str">
        <f t="shared" ref="L86:L149" si="166">IF(AND(ISNUMBER(#REF!), ISNUMBER(#REF!)),#REF! -#REF!,"")</f>
        <v/>
      </c>
    </row>
    <row r="87" spans="1:12">
      <c r="E87" t="s">
        <v>2584</v>
      </c>
      <c r="F87">
        <f>10-(SUM(F85:F86))</f>
        <v>7</v>
      </c>
      <c r="J87" t="str">
        <f t="shared" ref="J87:J150" si="167">IF(AND(ISNUMBER(#REF!), ISNUMBER(#REF!)),#REF! -#REF!,"")</f>
        <v/>
      </c>
      <c r="L87" t="str">
        <f t="shared" ref="L87:L150" si="168">IF(AND(ISNUMBER(#REF!), ISNUMBER(#REF!)),#REF! -#REF!,"")</f>
        <v/>
      </c>
    </row>
    <row r="88" spans="1:12">
      <c r="J88" t="str">
        <f t="shared" ref="J88:J151" si="169">IF(AND(ISNUMBER(#REF!), ISNUMBER(#REF!)),#REF! -#REF!,"")</f>
        <v/>
      </c>
      <c r="L88" t="str">
        <f t="shared" ref="L88:L151" si="170">IF(AND(ISNUMBER(#REF!), ISNUMBER(#REF!)),#REF! -#REF!,"")</f>
        <v/>
      </c>
    </row>
    <row r="89" spans="1:12">
      <c r="J89" t="str">
        <f t="shared" ref="J89:J152" si="171">IF(AND(ISNUMBER(#REF!), ISNUMBER(#REF!)),#REF! -#REF!,"")</f>
        <v/>
      </c>
      <c r="L89" t="str">
        <f t="shared" ref="L89:L152" si="172">IF(AND(ISNUMBER(#REF!), ISNUMBER(#REF!)),#REF! -#REF!,"")</f>
        <v/>
      </c>
    </row>
    <row r="90" spans="1:12">
      <c r="J90" t="str">
        <f t="shared" ref="J90:J153" si="173">IF(AND(ISNUMBER(#REF!), ISNUMBER(#REF!)),#REF! -#REF!,"")</f>
        <v/>
      </c>
      <c r="L90" t="str">
        <f t="shared" ref="L90:L153" si="174">IF(AND(ISNUMBER(#REF!), ISNUMBER(#REF!)),#REF! -#REF!,"")</f>
        <v/>
      </c>
    </row>
    <row r="91" spans="1:12">
      <c r="J91" t="str">
        <f t="shared" ref="J91:J154" si="175">IF(AND(ISNUMBER(#REF!), ISNUMBER(#REF!)),#REF! -#REF!,"")</f>
        <v/>
      </c>
      <c r="L91" t="str">
        <f t="shared" ref="L91:L154" si="176">IF(AND(ISNUMBER(#REF!), ISNUMBER(#REF!)),#REF! -#REF!,"")</f>
        <v/>
      </c>
    </row>
    <row r="92" spans="1:12">
      <c r="J92" t="str">
        <f t="shared" ref="J92:J155" si="177">IF(AND(ISNUMBER(#REF!), ISNUMBER(#REF!)),#REF! -#REF!,"")</f>
        <v/>
      </c>
      <c r="L92" t="str">
        <f t="shared" ref="L92:L155" si="178">IF(AND(ISNUMBER(#REF!), ISNUMBER(#REF!)),#REF! -#REF!,"")</f>
        <v/>
      </c>
    </row>
    <row r="93" spans="1:12">
      <c r="J93" t="str">
        <f t="shared" ref="J93:J156" si="179">IF(AND(ISNUMBER(#REF!), ISNUMBER(#REF!)),#REF! -#REF!,"")</f>
        <v/>
      </c>
      <c r="L93" t="str">
        <f t="shared" ref="L93:L156" si="180">IF(AND(ISNUMBER(#REF!), ISNUMBER(#REF!)),#REF! -#REF!,"")</f>
        <v/>
      </c>
    </row>
    <row r="94" spans="1:12">
      <c r="J94" t="str">
        <f t="shared" ref="J94:J157" si="181">IF(AND(ISNUMBER(#REF!), ISNUMBER(#REF!)),#REF! -#REF!,"")</f>
        <v/>
      </c>
      <c r="L94" t="str">
        <f t="shared" ref="L94:L157" si="182">IF(AND(ISNUMBER(#REF!), ISNUMBER(#REF!)),#REF! -#REF!,"")</f>
        <v/>
      </c>
    </row>
    <row r="95" spans="1:12">
      <c r="J95" t="str">
        <f t="shared" ref="J95:J158" si="183">IF(AND(ISNUMBER(#REF!), ISNUMBER(#REF!)),#REF! -#REF!,"")</f>
        <v/>
      </c>
      <c r="L95" t="str">
        <f t="shared" ref="L95:L158" si="184">IF(AND(ISNUMBER(#REF!), ISNUMBER(#REF!)),#REF! -#REF!,"")</f>
        <v/>
      </c>
    </row>
    <row r="96" spans="1:12">
      <c r="J96" t="str">
        <f t="shared" ref="J96:J159" si="185">IF(AND(ISNUMBER(#REF!), ISNUMBER(#REF!)),#REF! -#REF!,"")</f>
        <v/>
      </c>
      <c r="L96" t="str">
        <f t="shared" ref="L96:L159" si="186">IF(AND(ISNUMBER(#REF!), ISNUMBER(#REF!)),#REF! -#REF!,"")</f>
        <v/>
      </c>
    </row>
    <row r="97" spans="10:12">
      <c r="J97" t="str">
        <f t="shared" ref="J97:J160" si="187">IF(AND(ISNUMBER(#REF!), ISNUMBER(#REF!)),#REF! -#REF!,"")</f>
        <v/>
      </c>
      <c r="L97" t="str">
        <f t="shared" ref="L97:L160" si="188">IF(AND(ISNUMBER(#REF!), ISNUMBER(#REF!)),#REF! -#REF!,"")</f>
        <v/>
      </c>
    </row>
    <row r="98" spans="10:12">
      <c r="J98" t="str">
        <f t="shared" ref="J98:J161" si="189">IF(AND(ISNUMBER(#REF!), ISNUMBER(#REF!)),#REF! -#REF!,"")</f>
        <v/>
      </c>
      <c r="L98" t="str">
        <f t="shared" ref="L98:L161" si="190">IF(AND(ISNUMBER(#REF!), ISNUMBER(#REF!)),#REF! -#REF!,"")</f>
        <v/>
      </c>
    </row>
    <row r="99" spans="10:12">
      <c r="J99" t="str">
        <f t="shared" ref="J99:J162" si="191">IF(AND(ISNUMBER(#REF!), ISNUMBER(#REF!)),#REF! -#REF!,"")</f>
        <v/>
      </c>
      <c r="L99" t="str">
        <f t="shared" ref="L99:L162" si="192">IF(AND(ISNUMBER(#REF!), ISNUMBER(#REF!)),#REF! -#REF!,"")</f>
        <v/>
      </c>
    </row>
    <row r="100" spans="10:12">
      <c r="J100" t="str">
        <f t="shared" ref="J100:J163" si="193">IF(AND(ISNUMBER(#REF!), ISNUMBER(#REF!)),#REF! -#REF!,"")</f>
        <v/>
      </c>
      <c r="L100" t="str">
        <f t="shared" ref="L100:L163" si="194">IF(AND(ISNUMBER(#REF!), ISNUMBER(#REF!)),#REF! -#REF!,"")</f>
        <v/>
      </c>
    </row>
    <row r="101" spans="10:12">
      <c r="J101" t="str">
        <f t="shared" ref="J101:J164" si="195">IF(AND(ISNUMBER(#REF!), ISNUMBER(#REF!)),#REF! -#REF!,"")</f>
        <v/>
      </c>
      <c r="L101" t="str">
        <f t="shared" ref="L101:L164" si="196">IF(AND(ISNUMBER(#REF!), ISNUMBER(#REF!)),#REF! -#REF!,"")</f>
        <v/>
      </c>
    </row>
    <row r="102" spans="10:12">
      <c r="J102" t="str">
        <f t="shared" ref="J102:J165" si="197">IF(AND(ISNUMBER(#REF!), ISNUMBER(#REF!)),#REF! -#REF!,"")</f>
        <v/>
      </c>
      <c r="L102" t="str">
        <f t="shared" ref="L102:L165" si="198">IF(AND(ISNUMBER(#REF!), ISNUMBER(#REF!)),#REF! -#REF!,"")</f>
        <v/>
      </c>
    </row>
    <row r="103" spans="10:12">
      <c r="J103" t="str">
        <f t="shared" ref="J103:J166" si="199">IF(AND(ISNUMBER(#REF!), ISNUMBER(#REF!)),#REF! -#REF!,"")</f>
        <v/>
      </c>
      <c r="L103" t="str">
        <f t="shared" ref="L103:L166" si="200">IF(AND(ISNUMBER(#REF!), ISNUMBER(#REF!)),#REF! -#REF!,"")</f>
        <v/>
      </c>
    </row>
    <row r="104" spans="10:12">
      <c r="J104" t="str">
        <f t="shared" ref="J104:J167" si="201">IF(AND(ISNUMBER(#REF!), ISNUMBER(#REF!)),#REF! -#REF!,"")</f>
        <v/>
      </c>
      <c r="L104" t="str">
        <f t="shared" ref="L104:L167" si="202">IF(AND(ISNUMBER(#REF!), ISNUMBER(#REF!)),#REF! -#REF!,"")</f>
        <v/>
      </c>
    </row>
    <row r="105" spans="10:12">
      <c r="J105" t="str">
        <f t="shared" ref="J105:J168" si="203">IF(AND(ISNUMBER(#REF!), ISNUMBER(#REF!)),#REF! -#REF!,"")</f>
        <v/>
      </c>
      <c r="L105" t="str">
        <f t="shared" ref="L105:L168" si="204">IF(AND(ISNUMBER(#REF!), ISNUMBER(#REF!)),#REF! -#REF!,"")</f>
        <v/>
      </c>
    </row>
    <row r="106" spans="10:12">
      <c r="J106" t="str">
        <f t="shared" ref="J106:J169" si="205">IF(AND(ISNUMBER(#REF!), ISNUMBER(#REF!)),#REF! -#REF!,"")</f>
        <v/>
      </c>
      <c r="L106" t="str">
        <f t="shared" ref="L106:L169" si="206">IF(AND(ISNUMBER(#REF!), ISNUMBER(#REF!)),#REF! -#REF!,"")</f>
        <v/>
      </c>
    </row>
    <row r="107" spans="10:12">
      <c r="J107" t="str">
        <f t="shared" ref="J107:J170" si="207">IF(AND(ISNUMBER(#REF!), ISNUMBER(#REF!)),#REF! -#REF!,"")</f>
        <v/>
      </c>
      <c r="L107" t="str">
        <f t="shared" ref="L107:L170" si="208">IF(AND(ISNUMBER(#REF!), ISNUMBER(#REF!)),#REF! -#REF!,"")</f>
        <v/>
      </c>
    </row>
    <row r="108" spans="10:12">
      <c r="J108" t="str">
        <f t="shared" ref="J108:J171" si="209">IF(AND(ISNUMBER(#REF!), ISNUMBER(#REF!)),#REF! -#REF!,"")</f>
        <v/>
      </c>
      <c r="L108" t="str">
        <f t="shared" ref="L108:L171" si="210">IF(AND(ISNUMBER(#REF!), ISNUMBER(#REF!)),#REF! -#REF!,"")</f>
        <v/>
      </c>
    </row>
    <row r="109" spans="10:12">
      <c r="J109" t="str">
        <f t="shared" ref="J109:J172" si="211">IF(AND(ISNUMBER(#REF!), ISNUMBER(#REF!)),#REF! -#REF!,"")</f>
        <v/>
      </c>
      <c r="L109" t="str">
        <f t="shared" ref="L109:L172" si="212">IF(AND(ISNUMBER(#REF!), ISNUMBER(#REF!)),#REF! -#REF!,"")</f>
        <v/>
      </c>
    </row>
    <row r="110" spans="10:12">
      <c r="J110" t="str">
        <f t="shared" ref="J110:J173" si="213">IF(AND(ISNUMBER(#REF!), ISNUMBER(#REF!)),#REF! -#REF!,"")</f>
        <v/>
      </c>
      <c r="L110" t="str">
        <f t="shared" ref="L110:L173" si="214">IF(AND(ISNUMBER(#REF!), ISNUMBER(#REF!)),#REF! -#REF!,"")</f>
        <v/>
      </c>
    </row>
    <row r="111" spans="10:12">
      <c r="J111" t="str">
        <f t="shared" ref="J111:J174" si="215">IF(AND(ISNUMBER(#REF!), ISNUMBER(#REF!)),#REF! -#REF!,"")</f>
        <v/>
      </c>
      <c r="L111" t="str">
        <f t="shared" ref="L111:L174" si="216">IF(AND(ISNUMBER(#REF!), ISNUMBER(#REF!)),#REF! -#REF!,"")</f>
        <v/>
      </c>
    </row>
    <row r="112" spans="10:12">
      <c r="J112" t="str">
        <f t="shared" ref="J112:J175" si="217">IF(AND(ISNUMBER(#REF!), ISNUMBER(#REF!)),#REF! -#REF!,"")</f>
        <v/>
      </c>
      <c r="L112" t="str">
        <f t="shared" ref="L112:L175" si="218">IF(AND(ISNUMBER(#REF!), ISNUMBER(#REF!)),#REF! -#REF!,"")</f>
        <v/>
      </c>
    </row>
    <row r="113" spans="10:12">
      <c r="J113" t="str">
        <f t="shared" ref="J113:J176" si="219">IF(AND(ISNUMBER(#REF!), ISNUMBER(#REF!)),#REF! -#REF!,"")</f>
        <v/>
      </c>
      <c r="L113" t="str">
        <f t="shared" ref="L113:L176" si="220">IF(AND(ISNUMBER(#REF!), ISNUMBER(#REF!)),#REF! -#REF!,"")</f>
        <v/>
      </c>
    </row>
    <row r="114" spans="10:12">
      <c r="J114" t="str">
        <f t="shared" ref="J114:J177" si="221">IF(AND(ISNUMBER(#REF!), ISNUMBER(#REF!)),#REF! -#REF!,"")</f>
        <v/>
      </c>
      <c r="L114" t="str">
        <f t="shared" ref="L114:L177" si="222">IF(AND(ISNUMBER(#REF!), ISNUMBER(#REF!)),#REF! -#REF!,"")</f>
        <v/>
      </c>
    </row>
    <row r="115" spans="10:12">
      <c r="J115" t="str">
        <f t="shared" ref="J115:J178" si="223">IF(AND(ISNUMBER(#REF!), ISNUMBER(#REF!)),#REF! -#REF!,"")</f>
        <v/>
      </c>
      <c r="L115" t="str">
        <f t="shared" ref="L115:L178" si="224">IF(AND(ISNUMBER(#REF!), ISNUMBER(#REF!)),#REF! -#REF!,"")</f>
        <v/>
      </c>
    </row>
    <row r="116" spans="10:12">
      <c r="J116" t="str">
        <f t="shared" ref="J116:J179" si="225">IF(AND(ISNUMBER(#REF!), ISNUMBER(#REF!)),#REF! -#REF!,"")</f>
        <v/>
      </c>
      <c r="L116" t="str">
        <f t="shared" ref="L116:L179" si="226">IF(AND(ISNUMBER(#REF!), ISNUMBER(#REF!)),#REF! -#REF!,"")</f>
        <v/>
      </c>
    </row>
    <row r="117" spans="10:12">
      <c r="J117" t="str">
        <f t="shared" ref="J117:J180" si="227">IF(AND(ISNUMBER(#REF!), ISNUMBER(#REF!)),#REF! -#REF!,"")</f>
        <v/>
      </c>
      <c r="L117" t="str">
        <f t="shared" ref="L117:L180" si="228">IF(AND(ISNUMBER(#REF!), ISNUMBER(#REF!)),#REF! -#REF!,"")</f>
        <v/>
      </c>
    </row>
    <row r="118" spans="10:12">
      <c r="J118" t="str">
        <f t="shared" ref="J118:J181" si="229">IF(AND(ISNUMBER(#REF!), ISNUMBER(#REF!)),#REF! -#REF!,"")</f>
        <v/>
      </c>
      <c r="L118" t="str">
        <f t="shared" ref="L118:L181" si="230">IF(AND(ISNUMBER(#REF!), ISNUMBER(#REF!)),#REF! -#REF!,"")</f>
        <v/>
      </c>
    </row>
    <row r="119" spans="10:12">
      <c r="J119" t="str">
        <f t="shared" ref="J119:J182" si="231">IF(AND(ISNUMBER(#REF!), ISNUMBER(#REF!)),#REF! -#REF!,"")</f>
        <v/>
      </c>
      <c r="L119" t="str">
        <f t="shared" ref="L119:L182" si="232">IF(AND(ISNUMBER(#REF!), ISNUMBER(#REF!)),#REF! -#REF!,"")</f>
        <v/>
      </c>
    </row>
    <row r="120" spans="10:12">
      <c r="J120" t="str">
        <f t="shared" ref="J120:J183" si="233">IF(AND(ISNUMBER(#REF!), ISNUMBER(#REF!)),#REF! -#REF!,"")</f>
        <v/>
      </c>
      <c r="L120" t="str">
        <f t="shared" ref="L120:L183" si="234">IF(AND(ISNUMBER(#REF!), ISNUMBER(#REF!)),#REF! -#REF!,"")</f>
        <v/>
      </c>
    </row>
    <row r="121" spans="10:12">
      <c r="J121" t="str">
        <f t="shared" ref="J121:J184" si="235">IF(AND(ISNUMBER(#REF!), ISNUMBER(#REF!)),#REF! -#REF!,"")</f>
        <v/>
      </c>
      <c r="L121" t="str">
        <f t="shared" ref="L121:L184" si="236">IF(AND(ISNUMBER(#REF!), ISNUMBER(#REF!)),#REF! -#REF!,"")</f>
        <v/>
      </c>
    </row>
    <row r="122" spans="10:12">
      <c r="J122" t="str">
        <f t="shared" ref="J122:J185" si="237">IF(AND(ISNUMBER(#REF!), ISNUMBER(#REF!)),#REF! -#REF!,"")</f>
        <v/>
      </c>
      <c r="L122" t="str">
        <f t="shared" ref="L122:L185" si="238">IF(AND(ISNUMBER(#REF!), ISNUMBER(#REF!)),#REF! -#REF!,"")</f>
        <v/>
      </c>
    </row>
    <row r="123" spans="10:12">
      <c r="J123" t="str">
        <f t="shared" ref="J123:J186" si="239">IF(AND(ISNUMBER(#REF!), ISNUMBER(#REF!)),#REF! -#REF!,"")</f>
        <v/>
      </c>
      <c r="L123" t="str">
        <f t="shared" ref="L123:L186" si="240">IF(AND(ISNUMBER(#REF!), ISNUMBER(#REF!)),#REF! -#REF!,"")</f>
        <v/>
      </c>
    </row>
    <row r="124" spans="10:12">
      <c r="J124" t="str">
        <f t="shared" ref="J124:J187" si="241">IF(AND(ISNUMBER(#REF!), ISNUMBER(#REF!)),#REF! -#REF!,"")</f>
        <v/>
      </c>
      <c r="L124" t="str">
        <f t="shared" ref="L124:L187" si="242">IF(AND(ISNUMBER(#REF!), ISNUMBER(#REF!)),#REF! -#REF!,"")</f>
        <v/>
      </c>
    </row>
    <row r="125" spans="10:12">
      <c r="J125" t="str">
        <f t="shared" ref="J125:J188" si="243">IF(AND(ISNUMBER(#REF!), ISNUMBER(#REF!)),#REF! -#REF!,"")</f>
        <v/>
      </c>
      <c r="L125" t="str">
        <f t="shared" ref="L125:L188" si="244">IF(AND(ISNUMBER(#REF!), ISNUMBER(#REF!)),#REF! -#REF!,"")</f>
        <v/>
      </c>
    </row>
    <row r="126" spans="10:12">
      <c r="J126" t="str">
        <f t="shared" ref="J126:J189" si="245">IF(AND(ISNUMBER(#REF!), ISNUMBER(#REF!)),#REF! -#REF!,"")</f>
        <v/>
      </c>
      <c r="L126" t="str">
        <f t="shared" ref="L126:L189" si="246">IF(AND(ISNUMBER(#REF!), ISNUMBER(#REF!)),#REF! -#REF!,"")</f>
        <v/>
      </c>
    </row>
    <row r="127" spans="10:12">
      <c r="J127" t="str">
        <f t="shared" ref="J127:J190" si="247">IF(AND(ISNUMBER(#REF!), ISNUMBER(#REF!)),#REF! -#REF!,"")</f>
        <v/>
      </c>
      <c r="L127" t="str">
        <f t="shared" ref="L127:L190" si="248">IF(AND(ISNUMBER(#REF!), ISNUMBER(#REF!)),#REF! -#REF!,"")</f>
        <v/>
      </c>
    </row>
    <row r="128" spans="10:12">
      <c r="J128" t="str">
        <f t="shared" ref="J128:J191" si="249">IF(AND(ISNUMBER(#REF!), ISNUMBER(#REF!)),#REF! -#REF!,"")</f>
        <v/>
      </c>
      <c r="L128" t="str">
        <f t="shared" ref="L128:L191" si="250">IF(AND(ISNUMBER(#REF!), ISNUMBER(#REF!)),#REF! -#REF!,"")</f>
        <v/>
      </c>
    </row>
    <row r="129" spans="10:12">
      <c r="J129" t="str">
        <f t="shared" ref="J129:J192" si="251">IF(AND(ISNUMBER(#REF!), ISNUMBER(#REF!)),#REF! -#REF!,"")</f>
        <v/>
      </c>
      <c r="L129" t="str">
        <f t="shared" ref="L129:L192" si="252">IF(AND(ISNUMBER(#REF!), ISNUMBER(#REF!)),#REF! -#REF!,"")</f>
        <v/>
      </c>
    </row>
    <row r="130" spans="10:12">
      <c r="J130" t="str">
        <f t="shared" ref="J130:J193" si="253">IF(AND(ISNUMBER(#REF!), ISNUMBER(#REF!)),#REF! -#REF!,"")</f>
        <v/>
      </c>
      <c r="L130" t="str">
        <f t="shared" ref="L130:L193" si="254">IF(AND(ISNUMBER(#REF!), ISNUMBER(#REF!)),#REF! -#REF!,"")</f>
        <v/>
      </c>
    </row>
    <row r="131" spans="10:12">
      <c r="J131" t="str">
        <f t="shared" ref="J131:J194" si="255">IF(AND(ISNUMBER(#REF!), ISNUMBER(#REF!)),#REF! -#REF!,"")</f>
        <v/>
      </c>
      <c r="L131" t="str">
        <f t="shared" ref="L131:L194" si="256">IF(AND(ISNUMBER(#REF!), ISNUMBER(#REF!)),#REF! -#REF!,"")</f>
        <v/>
      </c>
    </row>
    <row r="132" spans="10:12">
      <c r="J132" t="str">
        <f t="shared" ref="J132:J195" si="257">IF(AND(ISNUMBER(#REF!), ISNUMBER(#REF!)),#REF! -#REF!,"")</f>
        <v/>
      </c>
      <c r="L132" t="str">
        <f t="shared" ref="L132:L195" si="258">IF(AND(ISNUMBER(#REF!), ISNUMBER(#REF!)),#REF! -#REF!,"")</f>
        <v/>
      </c>
    </row>
    <row r="133" spans="10:12">
      <c r="J133" t="str">
        <f t="shared" ref="J133:J196" si="259">IF(AND(ISNUMBER(#REF!), ISNUMBER(#REF!)),#REF! -#REF!,"")</f>
        <v/>
      </c>
      <c r="L133" t="str">
        <f t="shared" ref="L133:L196" si="260">IF(AND(ISNUMBER(#REF!), ISNUMBER(#REF!)),#REF! -#REF!,"")</f>
        <v/>
      </c>
    </row>
    <row r="134" spans="10:12">
      <c r="J134" t="str">
        <f t="shared" ref="J134:J197" si="261">IF(AND(ISNUMBER(#REF!), ISNUMBER(#REF!)),#REF! -#REF!,"")</f>
        <v/>
      </c>
      <c r="L134" t="str">
        <f t="shared" ref="L134:L197" si="262">IF(AND(ISNUMBER(#REF!), ISNUMBER(#REF!)),#REF! -#REF!,"")</f>
        <v/>
      </c>
    </row>
    <row r="135" spans="10:12">
      <c r="J135" t="str">
        <f t="shared" ref="J135:J198" si="263">IF(AND(ISNUMBER(#REF!), ISNUMBER(#REF!)),#REF! -#REF!,"")</f>
        <v/>
      </c>
      <c r="L135" t="str">
        <f t="shared" ref="L135:L198" si="264">IF(AND(ISNUMBER(#REF!), ISNUMBER(#REF!)),#REF! -#REF!,"")</f>
        <v/>
      </c>
    </row>
    <row r="136" spans="10:12">
      <c r="J136" t="str">
        <f t="shared" ref="J136:J199" si="265">IF(AND(ISNUMBER(#REF!), ISNUMBER(#REF!)),#REF! -#REF!,"")</f>
        <v/>
      </c>
      <c r="L136" t="str">
        <f t="shared" ref="L136:L199" si="266">IF(AND(ISNUMBER(#REF!), ISNUMBER(#REF!)),#REF! -#REF!,"")</f>
        <v/>
      </c>
    </row>
    <row r="137" spans="10:12">
      <c r="J137" t="str">
        <f t="shared" ref="J137:J200" si="267">IF(AND(ISNUMBER(#REF!), ISNUMBER(#REF!)),#REF! -#REF!,"")</f>
        <v/>
      </c>
      <c r="L137" t="str">
        <f t="shared" ref="L137:L200" si="268">IF(AND(ISNUMBER(#REF!), ISNUMBER(#REF!)),#REF! -#REF!,"")</f>
        <v/>
      </c>
    </row>
    <row r="138" spans="10:12">
      <c r="J138" t="str">
        <f t="shared" ref="J138:J201" si="269">IF(AND(ISNUMBER(#REF!), ISNUMBER(#REF!)),#REF! -#REF!,"")</f>
        <v/>
      </c>
      <c r="L138" t="str">
        <f t="shared" ref="L138:L201" si="270">IF(AND(ISNUMBER(#REF!), ISNUMBER(#REF!)),#REF! -#REF!,"")</f>
        <v/>
      </c>
    </row>
    <row r="139" spans="10:12">
      <c r="J139" t="str">
        <f t="shared" ref="J139:J202" si="271">IF(AND(ISNUMBER(#REF!), ISNUMBER(#REF!)),#REF! -#REF!,"")</f>
        <v/>
      </c>
      <c r="L139" t="str">
        <f t="shared" ref="L139:L202" si="272">IF(AND(ISNUMBER(#REF!), ISNUMBER(#REF!)),#REF! -#REF!,"")</f>
        <v/>
      </c>
    </row>
    <row r="140" spans="10:12">
      <c r="J140" t="str">
        <f t="shared" ref="J140:J203" si="273">IF(AND(ISNUMBER(#REF!), ISNUMBER(#REF!)),#REF! -#REF!,"")</f>
        <v/>
      </c>
      <c r="L140" t="str">
        <f t="shared" ref="L140:L203" si="274">IF(AND(ISNUMBER(#REF!), ISNUMBER(#REF!)),#REF! -#REF!,"")</f>
        <v/>
      </c>
    </row>
    <row r="141" spans="10:12">
      <c r="J141" t="str">
        <f t="shared" ref="J141:J204" si="275">IF(AND(ISNUMBER(#REF!), ISNUMBER(#REF!)),#REF! -#REF!,"")</f>
        <v/>
      </c>
      <c r="L141" t="str">
        <f t="shared" ref="L141:L204" si="276">IF(AND(ISNUMBER(#REF!), ISNUMBER(#REF!)),#REF! -#REF!,"")</f>
        <v/>
      </c>
    </row>
    <row r="142" spans="10:12">
      <c r="J142" t="str">
        <f t="shared" ref="J142:J205" si="277">IF(AND(ISNUMBER(#REF!), ISNUMBER(#REF!)),#REF! -#REF!,"")</f>
        <v/>
      </c>
      <c r="L142" t="str">
        <f t="shared" ref="L142:L205" si="278">IF(AND(ISNUMBER(#REF!), ISNUMBER(#REF!)),#REF! -#REF!,"")</f>
        <v/>
      </c>
    </row>
    <row r="143" spans="10:12">
      <c r="J143" t="str">
        <f t="shared" ref="J143:J206" si="279">IF(AND(ISNUMBER(#REF!), ISNUMBER(#REF!)),#REF! -#REF!,"")</f>
        <v/>
      </c>
      <c r="L143" t="str">
        <f t="shared" ref="L143:L206" si="280">IF(AND(ISNUMBER(#REF!), ISNUMBER(#REF!)),#REF! -#REF!,"")</f>
        <v/>
      </c>
    </row>
    <row r="144" spans="10:12">
      <c r="J144" t="str">
        <f t="shared" ref="J144:J207" si="281">IF(AND(ISNUMBER(#REF!), ISNUMBER(#REF!)),#REF! -#REF!,"")</f>
        <v/>
      </c>
      <c r="L144" t="str">
        <f t="shared" ref="L144:L207" si="282">IF(AND(ISNUMBER(#REF!), ISNUMBER(#REF!)),#REF! -#REF!,"")</f>
        <v/>
      </c>
    </row>
    <row r="145" spans="10:12">
      <c r="J145" t="str">
        <f t="shared" ref="J145:J208" si="283">IF(AND(ISNUMBER(#REF!), ISNUMBER(#REF!)),#REF! -#REF!,"")</f>
        <v/>
      </c>
      <c r="L145" t="str">
        <f t="shared" ref="L145:L208" si="284">IF(AND(ISNUMBER(#REF!), ISNUMBER(#REF!)),#REF! -#REF!,"")</f>
        <v/>
      </c>
    </row>
    <row r="146" spans="10:12">
      <c r="J146" t="str">
        <f t="shared" ref="J146:J209" si="285">IF(AND(ISNUMBER(#REF!), ISNUMBER(#REF!)),#REF! -#REF!,"")</f>
        <v/>
      </c>
      <c r="L146" t="str">
        <f t="shared" ref="L146:L209" si="286">IF(AND(ISNUMBER(#REF!), ISNUMBER(#REF!)),#REF! -#REF!,"")</f>
        <v/>
      </c>
    </row>
    <row r="147" spans="10:12">
      <c r="J147" t="str">
        <f t="shared" ref="J147:J210" si="287">IF(AND(ISNUMBER(#REF!), ISNUMBER(#REF!)),#REF! -#REF!,"")</f>
        <v/>
      </c>
      <c r="L147" t="str">
        <f t="shared" ref="L147:L210" si="288">IF(AND(ISNUMBER(#REF!), ISNUMBER(#REF!)),#REF! -#REF!,"")</f>
        <v/>
      </c>
    </row>
    <row r="148" spans="10:12">
      <c r="J148" t="str">
        <f t="shared" ref="J148:J211" si="289">IF(AND(ISNUMBER(#REF!), ISNUMBER(#REF!)),#REF! -#REF!,"")</f>
        <v/>
      </c>
      <c r="L148" t="str">
        <f t="shared" ref="L148:L211" si="290">IF(AND(ISNUMBER(#REF!), ISNUMBER(#REF!)),#REF! -#REF!,"")</f>
        <v/>
      </c>
    </row>
    <row r="149" spans="10:12">
      <c r="J149" t="str">
        <f t="shared" ref="J149:J212" si="291">IF(AND(ISNUMBER(#REF!), ISNUMBER(#REF!)),#REF! -#REF!,"")</f>
        <v/>
      </c>
      <c r="L149" t="str">
        <f t="shared" ref="L149:L212" si="292">IF(AND(ISNUMBER(#REF!), ISNUMBER(#REF!)),#REF! -#REF!,"")</f>
        <v/>
      </c>
    </row>
    <row r="150" spans="10:12">
      <c r="J150" t="str">
        <f t="shared" ref="J150:J213" si="293">IF(AND(ISNUMBER(#REF!), ISNUMBER(#REF!)),#REF! -#REF!,"")</f>
        <v/>
      </c>
      <c r="L150" t="str">
        <f t="shared" ref="L150:L213" si="294">IF(AND(ISNUMBER(#REF!), ISNUMBER(#REF!)),#REF! -#REF!,"")</f>
        <v/>
      </c>
    </row>
    <row r="151" spans="10:12">
      <c r="J151" t="str">
        <f t="shared" ref="J151:J214" si="295">IF(AND(ISNUMBER(#REF!), ISNUMBER(#REF!)),#REF! -#REF!,"")</f>
        <v/>
      </c>
      <c r="L151" t="str">
        <f t="shared" ref="L151:L214" si="296">IF(AND(ISNUMBER(#REF!), ISNUMBER(#REF!)),#REF! -#REF!,"")</f>
        <v/>
      </c>
    </row>
    <row r="152" spans="10:12">
      <c r="J152" t="str">
        <f t="shared" ref="J152:J215" si="297">IF(AND(ISNUMBER(#REF!), ISNUMBER(#REF!)),#REF! -#REF!,"")</f>
        <v/>
      </c>
      <c r="L152" t="str">
        <f t="shared" ref="L152:L215" si="298">IF(AND(ISNUMBER(#REF!), ISNUMBER(#REF!)),#REF! -#REF!,"")</f>
        <v/>
      </c>
    </row>
    <row r="153" spans="10:12">
      <c r="J153" t="str">
        <f t="shared" ref="J153:J216" si="299">IF(AND(ISNUMBER(#REF!), ISNUMBER(#REF!)),#REF! -#REF!,"")</f>
        <v/>
      </c>
      <c r="L153" t="str">
        <f t="shared" ref="L153:L216" si="300">IF(AND(ISNUMBER(#REF!), ISNUMBER(#REF!)),#REF! -#REF!,"")</f>
        <v/>
      </c>
    </row>
    <row r="154" spans="10:12">
      <c r="J154" t="str">
        <f t="shared" ref="J154:J217" si="301">IF(AND(ISNUMBER(#REF!), ISNUMBER(#REF!)),#REF! -#REF!,"")</f>
        <v/>
      </c>
      <c r="L154" t="str">
        <f t="shared" ref="L154:L217" si="302">IF(AND(ISNUMBER(#REF!), ISNUMBER(#REF!)),#REF! -#REF!,"")</f>
        <v/>
      </c>
    </row>
    <row r="155" spans="10:12">
      <c r="J155" t="str">
        <f t="shared" ref="J155:J218" si="303">IF(AND(ISNUMBER(#REF!), ISNUMBER(#REF!)),#REF! -#REF!,"")</f>
        <v/>
      </c>
      <c r="L155" t="str">
        <f t="shared" ref="L155:L218" si="304">IF(AND(ISNUMBER(#REF!), ISNUMBER(#REF!)),#REF! -#REF!,"")</f>
        <v/>
      </c>
    </row>
    <row r="156" spans="10:12">
      <c r="J156" t="str">
        <f t="shared" ref="J156:J219" si="305">IF(AND(ISNUMBER(#REF!), ISNUMBER(#REF!)),#REF! -#REF!,"")</f>
        <v/>
      </c>
      <c r="L156" t="str">
        <f t="shared" ref="L156:L219" si="306">IF(AND(ISNUMBER(#REF!), ISNUMBER(#REF!)),#REF! -#REF!,"")</f>
        <v/>
      </c>
    </row>
    <row r="157" spans="10:12">
      <c r="J157" t="str">
        <f t="shared" ref="J157:J220" si="307">IF(AND(ISNUMBER(#REF!), ISNUMBER(#REF!)),#REF! -#REF!,"")</f>
        <v/>
      </c>
      <c r="L157" t="str">
        <f t="shared" ref="L157:L220" si="308">IF(AND(ISNUMBER(#REF!), ISNUMBER(#REF!)),#REF! -#REF!,"")</f>
        <v/>
      </c>
    </row>
    <row r="158" spans="10:12">
      <c r="J158" t="str">
        <f t="shared" ref="J158:J221" si="309">IF(AND(ISNUMBER(#REF!), ISNUMBER(#REF!)),#REF! -#REF!,"")</f>
        <v/>
      </c>
      <c r="L158" t="str">
        <f t="shared" ref="L158:L221" si="310">IF(AND(ISNUMBER(#REF!), ISNUMBER(#REF!)),#REF! -#REF!,"")</f>
        <v/>
      </c>
    </row>
    <row r="159" spans="10:12">
      <c r="J159" t="str">
        <f t="shared" ref="J159:J222" si="311">IF(AND(ISNUMBER(#REF!), ISNUMBER(#REF!)),#REF! -#REF!,"")</f>
        <v/>
      </c>
      <c r="L159" t="str">
        <f t="shared" ref="L159:L222" si="312">IF(AND(ISNUMBER(#REF!), ISNUMBER(#REF!)),#REF! -#REF!,"")</f>
        <v/>
      </c>
    </row>
    <row r="160" spans="10:12">
      <c r="J160" t="str">
        <f t="shared" ref="J160:J223" si="313">IF(AND(ISNUMBER(#REF!), ISNUMBER(#REF!)),#REF! -#REF!,"")</f>
        <v/>
      </c>
      <c r="L160" t="str">
        <f t="shared" ref="L160:L223" si="314">IF(AND(ISNUMBER(#REF!), ISNUMBER(#REF!)),#REF! -#REF!,"")</f>
        <v/>
      </c>
    </row>
    <row r="161" spans="10:12">
      <c r="J161" t="str">
        <f t="shared" ref="J161:J224" si="315">IF(AND(ISNUMBER(#REF!), ISNUMBER(#REF!)),#REF! -#REF!,"")</f>
        <v/>
      </c>
      <c r="L161" t="str">
        <f t="shared" ref="L161:L224" si="316">IF(AND(ISNUMBER(#REF!), ISNUMBER(#REF!)),#REF! -#REF!,"")</f>
        <v/>
      </c>
    </row>
    <row r="162" spans="10:12">
      <c r="J162" t="str">
        <f t="shared" ref="J162:J225" si="317">IF(AND(ISNUMBER(#REF!), ISNUMBER(#REF!)),#REF! -#REF!,"")</f>
        <v/>
      </c>
      <c r="L162" t="str">
        <f t="shared" ref="L162:L225" si="318">IF(AND(ISNUMBER(#REF!), ISNUMBER(#REF!)),#REF! -#REF!,"")</f>
        <v/>
      </c>
    </row>
    <row r="163" spans="10:12">
      <c r="J163" t="str">
        <f t="shared" ref="J163:J226" si="319">IF(AND(ISNUMBER(#REF!), ISNUMBER(#REF!)),#REF! -#REF!,"")</f>
        <v/>
      </c>
      <c r="L163" t="str">
        <f t="shared" ref="L163:L226" si="320">IF(AND(ISNUMBER(#REF!), ISNUMBER(#REF!)),#REF! -#REF!,"")</f>
        <v/>
      </c>
    </row>
    <row r="164" spans="10:12">
      <c r="J164" t="str">
        <f t="shared" ref="J164:J227" si="321">IF(AND(ISNUMBER(#REF!), ISNUMBER(#REF!)),#REF! -#REF!,"")</f>
        <v/>
      </c>
      <c r="L164" t="str">
        <f t="shared" ref="L164:L227" si="322">IF(AND(ISNUMBER(#REF!), ISNUMBER(#REF!)),#REF! -#REF!,"")</f>
        <v/>
      </c>
    </row>
    <row r="165" spans="10:12">
      <c r="J165" t="str">
        <f t="shared" ref="J165:J228" si="323">IF(AND(ISNUMBER(#REF!), ISNUMBER(#REF!)),#REF! -#REF!,"")</f>
        <v/>
      </c>
      <c r="L165" t="str">
        <f t="shared" ref="L165:L228" si="324">IF(AND(ISNUMBER(#REF!), ISNUMBER(#REF!)),#REF! -#REF!,"")</f>
        <v/>
      </c>
    </row>
    <row r="166" spans="10:12">
      <c r="J166" t="str">
        <f t="shared" ref="J166:J229" si="325">IF(AND(ISNUMBER(#REF!), ISNUMBER(#REF!)),#REF! -#REF!,"")</f>
        <v/>
      </c>
      <c r="L166" t="str">
        <f t="shared" ref="L166:L229" si="326">IF(AND(ISNUMBER(#REF!), ISNUMBER(#REF!)),#REF! -#REF!,"")</f>
        <v/>
      </c>
    </row>
    <row r="167" spans="10:12">
      <c r="J167" t="str">
        <f t="shared" ref="J167:J230" si="327">IF(AND(ISNUMBER(#REF!), ISNUMBER(#REF!)),#REF! -#REF!,"")</f>
        <v/>
      </c>
      <c r="L167" t="str">
        <f t="shared" ref="L167:L230" si="328">IF(AND(ISNUMBER(#REF!), ISNUMBER(#REF!)),#REF! -#REF!,"")</f>
        <v/>
      </c>
    </row>
    <row r="168" spans="10:12">
      <c r="J168" t="str">
        <f t="shared" ref="J168:J231" si="329">IF(AND(ISNUMBER(#REF!), ISNUMBER(#REF!)),#REF! -#REF!,"")</f>
        <v/>
      </c>
      <c r="L168" t="str">
        <f t="shared" ref="L168:L231" si="330">IF(AND(ISNUMBER(#REF!), ISNUMBER(#REF!)),#REF! -#REF!,"")</f>
        <v/>
      </c>
    </row>
    <row r="169" spans="10:12">
      <c r="J169" t="str">
        <f t="shared" ref="J169:J232" si="331">IF(AND(ISNUMBER(#REF!), ISNUMBER(#REF!)),#REF! -#REF!,"")</f>
        <v/>
      </c>
      <c r="L169" t="str">
        <f t="shared" ref="L169:L232" si="332">IF(AND(ISNUMBER(#REF!), ISNUMBER(#REF!)),#REF! -#REF!,"")</f>
        <v/>
      </c>
    </row>
    <row r="170" spans="10:12">
      <c r="J170" t="str">
        <f t="shared" ref="J170:J233" si="333">IF(AND(ISNUMBER(#REF!), ISNUMBER(#REF!)),#REF! -#REF!,"")</f>
        <v/>
      </c>
      <c r="L170" t="str">
        <f t="shared" ref="L170:L233" si="334">IF(AND(ISNUMBER(#REF!), ISNUMBER(#REF!)),#REF! -#REF!,"")</f>
        <v/>
      </c>
    </row>
    <row r="171" spans="10:12">
      <c r="J171" t="str">
        <f t="shared" ref="J171:J234" si="335">IF(AND(ISNUMBER(#REF!), ISNUMBER(#REF!)),#REF! -#REF!,"")</f>
        <v/>
      </c>
      <c r="L171" t="str">
        <f t="shared" ref="L171:L234" si="336">IF(AND(ISNUMBER(#REF!), ISNUMBER(#REF!)),#REF! -#REF!,"")</f>
        <v/>
      </c>
    </row>
    <row r="172" spans="10:12">
      <c r="J172" t="str">
        <f t="shared" ref="J172:J235" si="337">IF(AND(ISNUMBER(#REF!), ISNUMBER(#REF!)),#REF! -#REF!,"")</f>
        <v/>
      </c>
      <c r="L172" t="str">
        <f t="shared" ref="L172:L235" si="338">IF(AND(ISNUMBER(#REF!), ISNUMBER(#REF!)),#REF! -#REF!,"")</f>
        <v/>
      </c>
    </row>
    <row r="173" spans="10:12">
      <c r="J173" t="str">
        <f t="shared" ref="J173:J236" si="339">IF(AND(ISNUMBER(#REF!), ISNUMBER(#REF!)),#REF! -#REF!,"")</f>
        <v/>
      </c>
      <c r="L173" t="str">
        <f t="shared" ref="L173:L236" si="340">IF(AND(ISNUMBER(#REF!), ISNUMBER(#REF!)),#REF! -#REF!,"")</f>
        <v/>
      </c>
    </row>
    <row r="174" spans="10:12">
      <c r="J174" t="str">
        <f t="shared" ref="J174:J237" si="341">IF(AND(ISNUMBER(#REF!), ISNUMBER(#REF!)),#REF! -#REF!,"")</f>
        <v/>
      </c>
      <c r="L174" t="str">
        <f t="shared" ref="L174:L237" si="342">IF(AND(ISNUMBER(#REF!), ISNUMBER(#REF!)),#REF! -#REF!,"")</f>
        <v/>
      </c>
    </row>
    <row r="175" spans="10:12">
      <c r="J175" t="str">
        <f t="shared" ref="J175:J238" si="343">IF(AND(ISNUMBER(#REF!), ISNUMBER(#REF!)),#REF! -#REF!,"")</f>
        <v/>
      </c>
      <c r="L175" t="str">
        <f t="shared" ref="L175:L238" si="344">IF(AND(ISNUMBER(#REF!), ISNUMBER(#REF!)),#REF! -#REF!,"")</f>
        <v/>
      </c>
    </row>
    <row r="176" spans="10:12">
      <c r="J176" t="str">
        <f t="shared" ref="J176:J239" si="345">IF(AND(ISNUMBER(#REF!), ISNUMBER(#REF!)),#REF! -#REF!,"")</f>
        <v/>
      </c>
      <c r="L176" t="str">
        <f t="shared" ref="L176:L239" si="346">IF(AND(ISNUMBER(#REF!), ISNUMBER(#REF!)),#REF! -#REF!,"")</f>
        <v/>
      </c>
    </row>
    <row r="177" spans="10:12">
      <c r="J177" t="str">
        <f t="shared" ref="J177:J240" si="347">IF(AND(ISNUMBER(#REF!), ISNUMBER(#REF!)),#REF! -#REF!,"")</f>
        <v/>
      </c>
      <c r="L177" t="str">
        <f t="shared" ref="L177:L240" si="348">IF(AND(ISNUMBER(#REF!), ISNUMBER(#REF!)),#REF! -#REF!,"")</f>
        <v/>
      </c>
    </row>
    <row r="178" spans="10:12">
      <c r="J178" t="str">
        <f t="shared" ref="J178:J241" si="349">IF(AND(ISNUMBER(#REF!), ISNUMBER(#REF!)),#REF! -#REF!,"")</f>
        <v/>
      </c>
      <c r="L178" t="str">
        <f t="shared" ref="L178:L241" si="350">IF(AND(ISNUMBER(#REF!), ISNUMBER(#REF!)),#REF! -#REF!,"")</f>
        <v/>
      </c>
    </row>
    <row r="179" spans="10:12">
      <c r="J179" t="str">
        <f t="shared" ref="J179:J242" si="351">IF(AND(ISNUMBER(#REF!), ISNUMBER(#REF!)),#REF! -#REF!,"")</f>
        <v/>
      </c>
      <c r="L179" t="str">
        <f t="shared" ref="L179:L242" si="352">IF(AND(ISNUMBER(#REF!), ISNUMBER(#REF!)),#REF! -#REF!,"")</f>
        <v/>
      </c>
    </row>
    <row r="180" spans="10:12">
      <c r="J180" t="str">
        <f t="shared" ref="J180:J243" si="353">IF(AND(ISNUMBER(#REF!), ISNUMBER(#REF!)),#REF! -#REF!,"")</f>
        <v/>
      </c>
      <c r="L180" t="str">
        <f t="shared" ref="L180:L243" si="354">IF(AND(ISNUMBER(#REF!), ISNUMBER(#REF!)),#REF! -#REF!,"")</f>
        <v/>
      </c>
    </row>
    <row r="181" spans="10:12">
      <c r="J181" t="str">
        <f t="shared" ref="J181:J244" si="355">IF(AND(ISNUMBER(#REF!), ISNUMBER(#REF!)),#REF! -#REF!,"")</f>
        <v/>
      </c>
      <c r="L181" t="str">
        <f t="shared" ref="L181:L244" si="356">IF(AND(ISNUMBER(#REF!), ISNUMBER(#REF!)),#REF! -#REF!,"")</f>
        <v/>
      </c>
    </row>
    <row r="182" spans="10:12">
      <c r="J182" t="str">
        <f t="shared" ref="J182:J245" si="357">IF(AND(ISNUMBER(#REF!), ISNUMBER(#REF!)),#REF! -#REF!,"")</f>
        <v/>
      </c>
      <c r="L182" t="str">
        <f t="shared" ref="L182:L245" si="358">IF(AND(ISNUMBER(#REF!), ISNUMBER(#REF!)),#REF! -#REF!,"")</f>
        <v/>
      </c>
    </row>
    <row r="183" spans="10:12">
      <c r="J183" t="str">
        <f t="shared" ref="J183:J246" si="359">IF(AND(ISNUMBER(#REF!), ISNUMBER(#REF!)),#REF! -#REF!,"")</f>
        <v/>
      </c>
      <c r="L183" t="str">
        <f t="shared" ref="L183:L246" si="360">IF(AND(ISNUMBER(#REF!), ISNUMBER(#REF!)),#REF! -#REF!,"")</f>
        <v/>
      </c>
    </row>
    <row r="184" spans="10:12">
      <c r="J184" t="str">
        <f t="shared" ref="J184:J247" si="361">IF(AND(ISNUMBER(#REF!), ISNUMBER(#REF!)),#REF! -#REF!,"")</f>
        <v/>
      </c>
      <c r="L184" t="str">
        <f t="shared" ref="L184:L247" si="362">IF(AND(ISNUMBER(#REF!), ISNUMBER(#REF!)),#REF! -#REF!,"")</f>
        <v/>
      </c>
    </row>
    <row r="185" spans="10:12">
      <c r="J185" t="str">
        <f t="shared" ref="J185:J248" si="363">IF(AND(ISNUMBER(#REF!), ISNUMBER(#REF!)),#REF! -#REF!,"")</f>
        <v/>
      </c>
      <c r="L185" t="str">
        <f t="shared" ref="L185:L248" si="364">IF(AND(ISNUMBER(#REF!), ISNUMBER(#REF!)),#REF! -#REF!,"")</f>
        <v/>
      </c>
    </row>
    <row r="186" spans="10:12">
      <c r="J186" t="str">
        <f t="shared" ref="J186:J249" si="365">IF(AND(ISNUMBER(#REF!), ISNUMBER(#REF!)),#REF! -#REF!,"")</f>
        <v/>
      </c>
      <c r="L186" t="str">
        <f t="shared" ref="L186:L249" si="366">IF(AND(ISNUMBER(#REF!), ISNUMBER(#REF!)),#REF! -#REF!,"")</f>
        <v/>
      </c>
    </row>
    <row r="187" spans="10:12">
      <c r="J187" t="str">
        <f t="shared" ref="J187:J250" si="367">IF(AND(ISNUMBER(#REF!), ISNUMBER(#REF!)),#REF! -#REF!,"")</f>
        <v/>
      </c>
      <c r="L187" t="str">
        <f t="shared" ref="L187:L250" si="368">IF(AND(ISNUMBER(#REF!), ISNUMBER(#REF!)),#REF! -#REF!,"")</f>
        <v/>
      </c>
    </row>
    <row r="188" spans="10:12">
      <c r="J188" t="str">
        <f t="shared" ref="J188:J251" si="369">IF(AND(ISNUMBER(#REF!), ISNUMBER(#REF!)),#REF! -#REF!,"")</f>
        <v/>
      </c>
      <c r="L188" t="str">
        <f t="shared" ref="L188:L251" si="370">IF(AND(ISNUMBER(#REF!), ISNUMBER(#REF!)),#REF! -#REF!,"")</f>
        <v/>
      </c>
    </row>
    <row r="189" spans="10:12">
      <c r="J189" t="str">
        <f t="shared" ref="J189:J252" si="371">IF(AND(ISNUMBER(#REF!), ISNUMBER(#REF!)),#REF! -#REF!,"")</f>
        <v/>
      </c>
      <c r="L189" t="str">
        <f t="shared" ref="L189:L252" si="372">IF(AND(ISNUMBER(#REF!), ISNUMBER(#REF!)),#REF! -#REF!,"")</f>
        <v/>
      </c>
    </row>
    <row r="190" spans="10:12">
      <c r="J190" t="str">
        <f t="shared" ref="J190:J253" si="373">IF(AND(ISNUMBER(#REF!), ISNUMBER(#REF!)),#REF! -#REF!,"")</f>
        <v/>
      </c>
      <c r="L190" t="str">
        <f t="shared" ref="L190:L253" si="374">IF(AND(ISNUMBER(#REF!), ISNUMBER(#REF!)),#REF! -#REF!,"")</f>
        <v/>
      </c>
    </row>
    <row r="191" spans="10:12">
      <c r="J191" t="str">
        <f t="shared" ref="J191:J254" si="375">IF(AND(ISNUMBER(#REF!), ISNUMBER(#REF!)),#REF! -#REF!,"")</f>
        <v/>
      </c>
      <c r="L191" t="str">
        <f t="shared" ref="L191:L254" si="376">IF(AND(ISNUMBER(#REF!), ISNUMBER(#REF!)),#REF! -#REF!,"")</f>
        <v/>
      </c>
    </row>
    <row r="192" spans="10:12">
      <c r="J192" t="str">
        <f t="shared" ref="J192:J255" si="377">IF(AND(ISNUMBER(#REF!), ISNUMBER(#REF!)),#REF! -#REF!,"")</f>
        <v/>
      </c>
      <c r="L192" t="str">
        <f t="shared" ref="L192:L255" si="378">IF(AND(ISNUMBER(#REF!), ISNUMBER(#REF!)),#REF! -#REF!,"")</f>
        <v/>
      </c>
    </row>
    <row r="193" spans="10:12">
      <c r="J193" t="str">
        <f t="shared" ref="J193:J256" si="379">IF(AND(ISNUMBER(#REF!), ISNUMBER(#REF!)),#REF! -#REF!,"")</f>
        <v/>
      </c>
      <c r="L193" t="str">
        <f t="shared" ref="L193:L256" si="380">IF(AND(ISNUMBER(#REF!), ISNUMBER(#REF!)),#REF! -#REF!,"")</f>
        <v/>
      </c>
    </row>
    <row r="194" spans="10:12">
      <c r="J194" t="str">
        <f t="shared" ref="J194:J257" si="381">IF(AND(ISNUMBER(#REF!), ISNUMBER(#REF!)),#REF! -#REF!,"")</f>
        <v/>
      </c>
      <c r="L194" t="str">
        <f t="shared" ref="L194:L257" si="382">IF(AND(ISNUMBER(#REF!), ISNUMBER(#REF!)),#REF! -#REF!,"")</f>
        <v/>
      </c>
    </row>
    <row r="195" spans="10:12">
      <c r="J195" t="str">
        <f t="shared" ref="J195:J258" si="383">IF(AND(ISNUMBER(#REF!), ISNUMBER(#REF!)),#REF! -#REF!,"")</f>
        <v/>
      </c>
      <c r="L195" t="str">
        <f t="shared" ref="L195:L258" si="384">IF(AND(ISNUMBER(#REF!), ISNUMBER(#REF!)),#REF! -#REF!,"")</f>
        <v/>
      </c>
    </row>
    <row r="196" spans="10:12">
      <c r="J196" t="str">
        <f t="shared" ref="J196:J259" si="385">IF(AND(ISNUMBER(#REF!), ISNUMBER(#REF!)),#REF! -#REF!,"")</f>
        <v/>
      </c>
      <c r="L196" t="str">
        <f t="shared" ref="L196:L259" si="386">IF(AND(ISNUMBER(#REF!), ISNUMBER(#REF!)),#REF! -#REF!,"")</f>
        <v/>
      </c>
    </row>
    <row r="197" spans="10:12">
      <c r="J197" t="str">
        <f t="shared" ref="J197:J260" si="387">IF(AND(ISNUMBER(#REF!), ISNUMBER(#REF!)),#REF! -#REF!,"")</f>
        <v/>
      </c>
      <c r="L197" t="str">
        <f t="shared" ref="L197:L260" si="388">IF(AND(ISNUMBER(#REF!), ISNUMBER(#REF!)),#REF! -#REF!,"")</f>
        <v/>
      </c>
    </row>
    <row r="198" spans="10:12">
      <c r="J198" t="str">
        <f t="shared" ref="J198:J261" si="389">IF(AND(ISNUMBER(#REF!), ISNUMBER(#REF!)),#REF! -#REF!,"")</f>
        <v/>
      </c>
      <c r="L198" t="str">
        <f t="shared" ref="L198:L261" si="390">IF(AND(ISNUMBER(#REF!), ISNUMBER(#REF!)),#REF! -#REF!,"")</f>
        <v/>
      </c>
    </row>
    <row r="199" spans="10:12">
      <c r="J199" t="str">
        <f t="shared" ref="J199:J262" si="391">IF(AND(ISNUMBER(#REF!), ISNUMBER(#REF!)),#REF! -#REF!,"")</f>
        <v/>
      </c>
      <c r="L199" t="str">
        <f t="shared" ref="L199:L262" si="392">IF(AND(ISNUMBER(#REF!), ISNUMBER(#REF!)),#REF! -#REF!,"")</f>
        <v/>
      </c>
    </row>
    <row r="200" spans="10:12">
      <c r="J200" t="str">
        <f t="shared" ref="J200:J263" si="393">IF(AND(ISNUMBER(#REF!), ISNUMBER(#REF!)),#REF! -#REF!,"")</f>
        <v/>
      </c>
      <c r="L200" t="str">
        <f t="shared" ref="L200:L263" si="394">IF(AND(ISNUMBER(#REF!), ISNUMBER(#REF!)),#REF! -#REF!,"")</f>
        <v/>
      </c>
    </row>
    <row r="201" spans="10:12">
      <c r="J201" t="str">
        <f t="shared" ref="J201:J264" si="395">IF(AND(ISNUMBER(#REF!), ISNUMBER(#REF!)),#REF! -#REF!,"")</f>
        <v/>
      </c>
      <c r="L201" t="str">
        <f t="shared" ref="L201:L264" si="396">IF(AND(ISNUMBER(#REF!), ISNUMBER(#REF!)),#REF! -#REF!,"")</f>
        <v/>
      </c>
    </row>
    <row r="202" spans="10:12">
      <c r="J202" t="str">
        <f t="shared" ref="J202:J265" si="397">IF(AND(ISNUMBER(#REF!), ISNUMBER(#REF!)),#REF! -#REF!,"")</f>
        <v/>
      </c>
      <c r="L202" t="str">
        <f t="shared" ref="L202:L265" si="398">IF(AND(ISNUMBER(#REF!), ISNUMBER(#REF!)),#REF! -#REF!,"")</f>
        <v/>
      </c>
    </row>
    <row r="203" spans="10:12">
      <c r="J203" t="str">
        <f t="shared" ref="J203:J266" si="399">IF(AND(ISNUMBER(#REF!), ISNUMBER(#REF!)),#REF! -#REF!,"")</f>
        <v/>
      </c>
      <c r="L203" t="str">
        <f t="shared" ref="L203:L266" si="400">IF(AND(ISNUMBER(#REF!), ISNUMBER(#REF!)),#REF! -#REF!,"")</f>
        <v/>
      </c>
    </row>
    <row r="204" spans="10:12">
      <c r="J204" t="str">
        <f t="shared" ref="J204:J267" si="401">IF(AND(ISNUMBER(#REF!), ISNUMBER(#REF!)),#REF! -#REF!,"")</f>
        <v/>
      </c>
      <c r="L204" t="str">
        <f t="shared" ref="L204:L267" si="402">IF(AND(ISNUMBER(#REF!), ISNUMBER(#REF!)),#REF! -#REF!,"")</f>
        <v/>
      </c>
    </row>
    <row r="205" spans="10:12">
      <c r="J205" t="str">
        <f t="shared" ref="J205:J268" si="403">IF(AND(ISNUMBER(#REF!), ISNUMBER(#REF!)),#REF! -#REF!,"")</f>
        <v/>
      </c>
      <c r="L205" t="str">
        <f t="shared" ref="L205:L268" si="404">IF(AND(ISNUMBER(#REF!), ISNUMBER(#REF!)),#REF! -#REF!,"")</f>
        <v/>
      </c>
    </row>
    <row r="206" spans="10:12">
      <c r="J206" t="str">
        <f t="shared" ref="J206:J269" si="405">IF(AND(ISNUMBER(#REF!), ISNUMBER(#REF!)),#REF! -#REF!,"")</f>
        <v/>
      </c>
      <c r="L206" t="str">
        <f t="shared" ref="L206:L269" si="406">IF(AND(ISNUMBER(#REF!), ISNUMBER(#REF!)),#REF! -#REF!,"")</f>
        <v/>
      </c>
    </row>
    <row r="207" spans="10:12">
      <c r="J207" t="str">
        <f t="shared" ref="J207:J270" si="407">IF(AND(ISNUMBER(#REF!), ISNUMBER(#REF!)),#REF! -#REF!,"")</f>
        <v/>
      </c>
      <c r="L207" t="str">
        <f t="shared" ref="L207:L270" si="408">IF(AND(ISNUMBER(#REF!), ISNUMBER(#REF!)),#REF! -#REF!,"")</f>
        <v/>
      </c>
    </row>
    <row r="208" spans="10:12">
      <c r="J208" t="str">
        <f t="shared" ref="J208:J271" si="409">IF(AND(ISNUMBER(#REF!), ISNUMBER(#REF!)),#REF! -#REF!,"")</f>
        <v/>
      </c>
      <c r="L208" t="str">
        <f t="shared" ref="L208:L271" si="410">IF(AND(ISNUMBER(#REF!), ISNUMBER(#REF!)),#REF! -#REF!,"")</f>
        <v/>
      </c>
    </row>
    <row r="209" spans="10:12">
      <c r="J209" t="str">
        <f t="shared" ref="J209:J272" si="411">IF(AND(ISNUMBER(#REF!), ISNUMBER(#REF!)),#REF! -#REF!,"")</f>
        <v/>
      </c>
      <c r="L209" t="str">
        <f t="shared" ref="L209:L272" si="412">IF(AND(ISNUMBER(#REF!), ISNUMBER(#REF!)),#REF! -#REF!,"")</f>
        <v/>
      </c>
    </row>
    <row r="210" spans="10:12">
      <c r="J210" t="str">
        <f t="shared" ref="J210:J273" si="413">IF(AND(ISNUMBER(#REF!), ISNUMBER(#REF!)),#REF! -#REF!,"")</f>
        <v/>
      </c>
      <c r="L210" t="str">
        <f t="shared" ref="L210:L273" si="414">IF(AND(ISNUMBER(#REF!), ISNUMBER(#REF!)),#REF! -#REF!,"")</f>
        <v/>
      </c>
    </row>
    <row r="211" spans="10:12">
      <c r="J211" t="str">
        <f t="shared" ref="J211:J274" si="415">IF(AND(ISNUMBER(#REF!), ISNUMBER(#REF!)),#REF! -#REF!,"")</f>
        <v/>
      </c>
      <c r="L211" t="str">
        <f t="shared" ref="L211:L274" si="416">IF(AND(ISNUMBER(#REF!), ISNUMBER(#REF!)),#REF! -#REF!,"")</f>
        <v/>
      </c>
    </row>
    <row r="212" spans="10:12">
      <c r="J212" t="str">
        <f t="shared" ref="J212:J275" si="417">IF(AND(ISNUMBER(#REF!), ISNUMBER(#REF!)),#REF! -#REF!,"")</f>
        <v/>
      </c>
      <c r="L212" t="str">
        <f t="shared" ref="L212:L275" si="418">IF(AND(ISNUMBER(#REF!), ISNUMBER(#REF!)),#REF! -#REF!,"")</f>
        <v/>
      </c>
    </row>
    <row r="213" spans="10:12">
      <c r="J213" t="str">
        <f t="shared" ref="J213:J276" si="419">IF(AND(ISNUMBER(#REF!), ISNUMBER(#REF!)),#REF! -#REF!,"")</f>
        <v/>
      </c>
      <c r="L213" t="str">
        <f t="shared" ref="L213:L276" si="420">IF(AND(ISNUMBER(#REF!), ISNUMBER(#REF!)),#REF! -#REF!,"")</f>
        <v/>
      </c>
    </row>
    <row r="214" spans="10:12">
      <c r="J214" t="str">
        <f t="shared" ref="J214:J277" si="421">IF(AND(ISNUMBER(#REF!), ISNUMBER(#REF!)),#REF! -#REF!,"")</f>
        <v/>
      </c>
      <c r="L214" t="str">
        <f t="shared" ref="L214:L277" si="422">IF(AND(ISNUMBER(#REF!), ISNUMBER(#REF!)),#REF! -#REF!,"")</f>
        <v/>
      </c>
    </row>
    <row r="215" spans="10:12">
      <c r="J215" t="str">
        <f t="shared" ref="J215:J278" si="423">IF(AND(ISNUMBER(#REF!), ISNUMBER(#REF!)),#REF! -#REF!,"")</f>
        <v/>
      </c>
      <c r="L215" t="str">
        <f t="shared" ref="L215:L278" si="424">IF(AND(ISNUMBER(#REF!), ISNUMBER(#REF!)),#REF! -#REF!,"")</f>
        <v/>
      </c>
    </row>
    <row r="216" spans="10:12">
      <c r="J216" t="str">
        <f t="shared" ref="J216:J279" si="425">IF(AND(ISNUMBER(#REF!), ISNUMBER(#REF!)),#REF! -#REF!,"")</f>
        <v/>
      </c>
      <c r="L216" t="str">
        <f t="shared" ref="L216:L279" si="426">IF(AND(ISNUMBER(#REF!), ISNUMBER(#REF!)),#REF! -#REF!,"")</f>
        <v/>
      </c>
    </row>
    <row r="217" spans="10:12">
      <c r="J217" t="str">
        <f t="shared" ref="J217:J280" si="427">IF(AND(ISNUMBER(#REF!), ISNUMBER(#REF!)),#REF! -#REF!,"")</f>
        <v/>
      </c>
      <c r="L217" t="str">
        <f t="shared" ref="L217:L280" si="428">IF(AND(ISNUMBER(#REF!), ISNUMBER(#REF!)),#REF! -#REF!,"")</f>
        <v/>
      </c>
    </row>
    <row r="218" spans="10:12">
      <c r="J218" t="str">
        <f t="shared" ref="J218:J281" si="429">IF(AND(ISNUMBER(#REF!), ISNUMBER(#REF!)),#REF! -#REF!,"")</f>
        <v/>
      </c>
      <c r="L218" t="str">
        <f t="shared" ref="L218:L281" si="430">IF(AND(ISNUMBER(#REF!), ISNUMBER(#REF!)),#REF! -#REF!,"")</f>
        <v/>
      </c>
    </row>
    <row r="219" spans="10:12">
      <c r="J219" t="str">
        <f t="shared" ref="J219:J282" si="431">IF(AND(ISNUMBER(#REF!), ISNUMBER(#REF!)),#REF! -#REF!,"")</f>
        <v/>
      </c>
      <c r="L219" t="str">
        <f t="shared" ref="L219:L282" si="432">IF(AND(ISNUMBER(#REF!), ISNUMBER(#REF!)),#REF! -#REF!,"")</f>
        <v/>
      </c>
    </row>
    <row r="220" spans="10:12">
      <c r="J220" t="str">
        <f t="shared" ref="J220:J283" si="433">IF(AND(ISNUMBER(#REF!), ISNUMBER(#REF!)),#REF! -#REF!,"")</f>
        <v/>
      </c>
      <c r="L220" t="str">
        <f t="shared" ref="L220:L283" si="434">IF(AND(ISNUMBER(#REF!), ISNUMBER(#REF!)),#REF! -#REF!,"")</f>
        <v/>
      </c>
    </row>
    <row r="221" spans="10:12">
      <c r="J221" t="str">
        <f t="shared" ref="J221:J284" si="435">IF(AND(ISNUMBER(#REF!), ISNUMBER(#REF!)),#REF! -#REF!,"")</f>
        <v/>
      </c>
      <c r="L221" t="str">
        <f t="shared" ref="L221:L284" si="436">IF(AND(ISNUMBER(#REF!), ISNUMBER(#REF!)),#REF! -#REF!,"")</f>
        <v/>
      </c>
    </row>
    <row r="222" spans="10:12">
      <c r="J222" t="str">
        <f t="shared" ref="J222:J285" si="437">IF(AND(ISNUMBER(#REF!), ISNUMBER(#REF!)),#REF! -#REF!,"")</f>
        <v/>
      </c>
      <c r="L222" t="str">
        <f t="shared" ref="L222:L285" si="438">IF(AND(ISNUMBER(#REF!), ISNUMBER(#REF!)),#REF! -#REF!,"")</f>
        <v/>
      </c>
    </row>
    <row r="223" spans="10:12">
      <c r="J223" t="str">
        <f t="shared" ref="J223:J286" si="439">IF(AND(ISNUMBER(#REF!), ISNUMBER(#REF!)),#REF! -#REF!,"")</f>
        <v/>
      </c>
      <c r="L223" t="str">
        <f t="shared" ref="L223:L286" si="440">IF(AND(ISNUMBER(#REF!), ISNUMBER(#REF!)),#REF! -#REF!,"")</f>
        <v/>
      </c>
    </row>
    <row r="224" spans="10:12">
      <c r="J224" t="str">
        <f t="shared" ref="J224:J287" si="441">IF(AND(ISNUMBER(#REF!), ISNUMBER(#REF!)),#REF! -#REF!,"")</f>
        <v/>
      </c>
      <c r="L224" t="str">
        <f t="shared" ref="L224:L287" si="442">IF(AND(ISNUMBER(#REF!), ISNUMBER(#REF!)),#REF! -#REF!,"")</f>
        <v/>
      </c>
    </row>
    <row r="225" spans="10:12">
      <c r="J225" t="str">
        <f t="shared" ref="J225:J288" si="443">IF(AND(ISNUMBER(#REF!), ISNUMBER(#REF!)),#REF! -#REF!,"")</f>
        <v/>
      </c>
      <c r="L225" t="str">
        <f t="shared" ref="L225:L288" si="444">IF(AND(ISNUMBER(#REF!), ISNUMBER(#REF!)),#REF! -#REF!,"")</f>
        <v/>
      </c>
    </row>
    <row r="226" spans="10:12">
      <c r="J226" t="str">
        <f t="shared" ref="J226:J289" si="445">IF(AND(ISNUMBER(#REF!), ISNUMBER(#REF!)),#REF! -#REF!,"")</f>
        <v/>
      </c>
      <c r="L226" t="str">
        <f t="shared" ref="L226:L289" si="446">IF(AND(ISNUMBER(#REF!), ISNUMBER(#REF!)),#REF! -#REF!,"")</f>
        <v/>
      </c>
    </row>
    <row r="227" spans="10:12">
      <c r="J227" t="str">
        <f t="shared" ref="J227:J290" si="447">IF(AND(ISNUMBER(#REF!), ISNUMBER(#REF!)),#REF! -#REF!,"")</f>
        <v/>
      </c>
      <c r="L227" t="str">
        <f t="shared" ref="L227:L290" si="448">IF(AND(ISNUMBER(#REF!), ISNUMBER(#REF!)),#REF! -#REF!,"")</f>
        <v/>
      </c>
    </row>
    <row r="228" spans="10:12">
      <c r="J228" t="str">
        <f t="shared" ref="J228:J291" si="449">IF(AND(ISNUMBER(#REF!), ISNUMBER(#REF!)),#REF! -#REF!,"")</f>
        <v/>
      </c>
      <c r="L228" t="str">
        <f t="shared" ref="L228:L291" si="450">IF(AND(ISNUMBER(#REF!), ISNUMBER(#REF!)),#REF! -#REF!,"")</f>
        <v/>
      </c>
    </row>
    <row r="229" spans="10:12">
      <c r="J229" t="str">
        <f t="shared" ref="J229:J292" si="451">IF(AND(ISNUMBER(#REF!), ISNUMBER(#REF!)),#REF! -#REF!,"")</f>
        <v/>
      </c>
      <c r="L229" t="str">
        <f t="shared" ref="L229:L292" si="452">IF(AND(ISNUMBER(#REF!), ISNUMBER(#REF!)),#REF! -#REF!,"")</f>
        <v/>
      </c>
    </row>
    <row r="230" spans="10:12">
      <c r="J230" t="str">
        <f t="shared" ref="J230:J293" si="453">IF(AND(ISNUMBER(#REF!), ISNUMBER(#REF!)),#REF! -#REF!,"")</f>
        <v/>
      </c>
      <c r="L230" t="str">
        <f t="shared" ref="L230:L293" si="454">IF(AND(ISNUMBER(#REF!), ISNUMBER(#REF!)),#REF! -#REF!,"")</f>
        <v/>
      </c>
    </row>
    <row r="231" spans="10:12">
      <c r="J231" t="str">
        <f t="shared" ref="J231:J294" si="455">IF(AND(ISNUMBER(#REF!), ISNUMBER(#REF!)),#REF! -#REF!,"")</f>
        <v/>
      </c>
      <c r="L231" t="str">
        <f t="shared" ref="L231:L294" si="456">IF(AND(ISNUMBER(#REF!), ISNUMBER(#REF!)),#REF! -#REF!,"")</f>
        <v/>
      </c>
    </row>
    <row r="232" spans="10:12">
      <c r="J232" t="str">
        <f t="shared" ref="J232:J295" si="457">IF(AND(ISNUMBER(#REF!), ISNUMBER(#REF!)),#REF! -#REF!,"")</f>
        <v/>
      </c>
      <c r="L232" t="str">
        <f t="shared" ref="L232:L295" si="458">IF(AND(ISNUMBER(#REF!), ISNUMBER(#REF!)),#REF! -#REF!,"")</f>
        <v/>
      </c>
    </row>
    <row r="233" spans="10:12">
      <c r="J233" t="str">
        <f t="shared" ref="J233:J296" si="459">IF(AND(ISNUMBER(#REF!), ISNUMBER(#REF!)),#REF! -#REF!,"")</f>
        <v/>
      </c>
      <c r="L233" t="str">
        <f t="shared" ref="L233:L296" si="460">IF(AND(ISNUMBER(#REF!), ISNUMBER(#REF!)),#REF! -#REF!,"")</f>
        <v/>
      </c>
    </row>
    <row r="234" spans="10:12">
      <c r="J234" t="str">
        <f t="shared" ref="J234:J297" si="461">IF(AND(ISNUMBER(#REF!), ISNUMBER(#REF!)),#REF! -#REF!,"")</f>
        <v/>
      </c>
      <c r="L234" t="str">
        <f t="shared" ref="L234:L297" si="462">IF(AND(ISNUMBER(#REF!), ISNUMBER(#REF!)),#REF! -#REF!,"")</f>
        <v/>
      </c>
    </row>
    <row r="235" spans="10:12">
      <c r="J235" t="str">
        <f t="shared" ref="J235:J298" si="463">IF(AND(ISNUMBER(#REF!), ISNUMBER(#REF!)),#REF! -#REF!,"")</f>
        <v/>
      </c>
      <c r="L235" t="str">
        <f t="shared" ref="L235:L298" si="464">IF(AND(ISNUMBER(#REF!), ISNUMBER(#REF!)),#REF! -#REF!,"")</f>
        <v/>
      </c>
    </row>
    <row r="236" spans="10:12">
      <c r="J236" t="str">
        <f t="shared" ref="J236:J299" si="465">IF(AND(ISNUMBER(#REF!), ISNUMBER(#REF!)),#REF! -#REF!,"")</f>
        <v/>
      </c>
      <c r="L236" t="str">
        <f t="shared" ref="L236:L299" si="466">IF(AND(ISNUMBER(#REF!), ISNUMBER(#REF!)),#REF! -#REF!,"")</f>
        <v/>
      </c>
    </row>
    <row r="237" spans="10:12">
      <c r="J237" t="str">
        <f t="shared" ref="J237:J300" si="467">IF(AND(ISNUMBER(#REF!), ISNUMBER(#REF!)),#REF! -#REF!,"")</f>
        <v/>
      </c>
      <c r="L237" t="str">
        <f t="shared" ref="L237:L300" si="468">IF(AND(ISNUMBER(#REF!), ISNUMBER(#REF!)),#REF! -#REF!,"")</f>
        <v/>
      </c>
    </row>
    <row r="238" spans="10:12">
      <c r="J238" t="str">
        <f t="shared" ref="J238:J301" si="469">IF(AND(ISNUMBER(#REF!), ISNUMBER(#REF!)),#REF! -#REF!,"")</f>
        <v/>
      </c>
      <c r="L238" t="str">
        <f t="shared" ref="L238:L301" si="470">IF(AND(ISNUMBER(#REF!), ISNUMBER(#REF!)),#REF! -#REF!,"")</f>
        <v/>
      </c>
    </row>
    <row r="239" spans="10:12">
      <c r="J239" t="str">
        <f t="shared" ref="J239:J302" si="471">IF(AND(ISNUMBER(#REF!), ISNUMBER(#REF!)),#REF! -#REF!,"")</f>
        <v/>
      </c>
      <c r="L239" t="str">
        <f t="shared" ref="L239:L302" si="472">IF(AND(ISNUMBER(#REF!), ISNUMBER(#REF!)),#REF! -#REF!,"")</f>
        <v/>
      </c>
    </row>
    <row r="240" spans="10:12">
      <c r="J240" t="str">
        <f t="shared" ref="J240:J303" si="473">IF(AND(ISNUMBER(#REF!), ISNUMBER(#REF!)),#REF! -#REF!,"")</f>
        <v/>
      </c>
      <c r="L240" t="str">
        <f t="shared" ref="L240:L303" si="474">IF(AND(ISNUMBER(#REF!), ISNUMBER(#REF!)),#REF! -#REF!,"")</f>
        <v/>
      </c>
    </row>
    <row r="241" spans="10:12">
      <c r="J241" t="str">
        <f t="shared" ref="J241:J304" si="475">IF(AND(ISNUMBER(#REF!), ISNUMBER(#REF!)),#REF! -#REF!,"")</f>
        <v/>
      </c>
      <c r="L241" t="str">
        <f t="shared" ref="L241:L304" si="476">IF(AND(ISNUMBER(#REF!), ISNUMBER(#REF!)),#REF! -#REF!,"")</f>
        <v/>
      </c>
    </row>
    <row r="242" spans="10:12">
      <c r="J242" t="str">
        <f t="shared" ref="J242:J305" si="477">IF(AND(ISNUMBER(#REF!), ISNUMBER(#REF!)),#REF! -#REF!,"")</f>
        <v/>
      </c>
      <c r="L242" t="str">
        <f t="shared" ref="L242:L305" si="478">IF(AND(ISNUMBER(#REF!), ISNUMBER(#REF!)),#REF! -#REF!,"")</f>
        <v/>
      </c>
    </row>
    <row r="243" spans="10:12">
      <c r="J243" t="str">
        <f t="shared" ref="J243:J306" si="479">IF(AND(ISNUMBER(#REF!), ISNUMBER(#REF!)),#REF! -#REF!,"")</f>
        <v/>
      </c>
      <c r="L243" t="str">
        <f t="shared" ref="L243:L306" si="480">IF(AND(ISNUMBER(#REF!), ISNUMBER(#REF!)),#REF! -#REF!,"")</f>
        <v/>
      </c>
    </row>
    <row r="244" spans="10:12">
      <c r="J244" t="str">
        <f t="shared" ref="J244:J307" si="481">IF(AND(ISNUMBER(#REF!), ISNUMBER(#REF!)),#REF! -#REF!,"")</f>
        <v/>
      </c>
      <c r="L244" t="str">
        <f t="shared" ref="L244:L307" si="482">IF(AND(ISNUMBER(#REF!), ISNUMBER(#REF!)),#REF! -#REF!,"")</f>
        <v/>
      </c>
    </row>
    <row r="245" spans="10:12">
      <c r="J245" t="str">
        <f t="shared" ref="J245:J308" si="483">IF(AND(ISNUMBER(#REF!), ISNUMBER(#REF!)),#REF! -#REF!,"")</f>
        <v/>
      </c>
      <c r="L245" t="str">
        <f t="shared" ref="L245:L308" si="484">IF(AND(ISNUMBER(#REF!), ISNUMBER(#REF!)),#REF! -#REF!,"")</f>
        <v/>
      </c>
    </row>
    <row r="246" spans="10:12">
      <c r="J246" t="str">
        <f t="shared" ref="J246:J309" si="485">IF(AND(ISNUMBER(#REF!), ISNUMBER(#REF!)),#REF! -#REF!,"")</f>
        <v/>
      </c>
      <c r="L246" t="str">
        <f t="shared" ref="L246:L309" si="486">IF(AND(ISNUMBER(#REF!), ISNUMBER(#REF!)),#REF! -#REF!,"")</f>
        <v/>
      </c>
    </row>
    <row r="247" spans="10:12">
      <c r="J247" t="str">
        <f t="shared" ref="J247:J310" si="487">IF(AND(ISNUMBER(#REF!), ISNUMBER(#REF!)),#REF! -#REF!,"")</f>
        <v/>
      </c>
      <c r="L247" t="str">
        <f t="shared" ref="L247:L310" si="488">IF(AND(ISNUMBER(#REF!), ISNUMBER(#REF!)),#REF! -#REF!,"")</f>
        <v/>
      </c>
    </row>
    <row r="248" spans="10:12">
      <c r="J248" t="str">
        <f t="shared" ref="J248:J311" si="489">IF(AND(ISNUMBER(#REF!), ISNUMBER(#REF!)),#REF! -#REF!,"")</f>
        <v/>
      </c>
      <c r="L248" t="str">
        <f t="shared" ref="L248:L311" si="490">IF(AND(ISNUMBER(#REF!), ISNUMBER(#REF!)),#REF! -#REF!,"")</f>
        <v/>
      </c>
    </row>
    <row r="249" spans="10:12">
      <c r="J249" t="str">
        <f t="shared" ref="J249:J312" si="491">IF(AND(ISNUMBER(#REF!), ISNUMBER(#REF!)),#REF! -#REF!,"")</f>
        <v/>
      </c>
      <c r="L249" t="str">
        <f t="shared" ref="L249:L312" si="492">IF(AND(ISNUMBER(#REF!), ISNUMBER(#REF!)),#REF! -#REF!,"")</f>
        <v/>
      </c>
    </row>
    <row r="250" spans="10:12">
      <c r="J250" t="str">
        <f t="shared" ref="J250:J313" si="493">IF(AND(ISNUMBER(#REF!), ISNUMBER(#REF!)),#REF! -#REF!,"")</f>
        <v/>
      </c>
      <c r="L250" t="str">
        <f t="shared" ref="L250:L313" si="494">IF(AND(ISNUMBER(#REF!), ISNUMBER(#REF!)),#REF! -#REF!,"")</f>
        <v/>
      </c>
    </row>
    <row r="251" spans="10:12">
      <c r="J251" t="str">
        <f t="shared" ref="J251:J314" si="495">IF(AND(ISNUMBER(#REF!), ISNUMBER(#REF!)),#REF! -#REF!,"")</f>
        <v/>
      </c>
      <c r="L251" t="str">
        <f t="shared" ref="L251:L314" si="496">IF(AND(ISNUMBER(#REF!), ISNUMBER(#REF!)),#REF! -#REF!,"")</f>
        <v/>
      </c>
    </row>
    <row r="252" spans="10:12">
      <c r="J252" t="str">
        <f t="shared" ref="J252:J315" si="497">IF(AND(ISNUMBER(#REF!), ISNUMBER(#REF!)),#REF! -#REF!,"")</f>
        <v/>
      </c>
      <c r="L252" t="str">
        <f t="shared" ref="L252:L315" si="498">IF(AND(ISNUMBER(#REF!), ISNUMBER(#REF!)),#REF! -#REF!,"")</f>
        <v/>
      </c>
    </row>
    <row r="253" spans="10:12">
      <c r="J253" t="str">
        <f t="shared" ref="J253:J316" si="499">IF(AND(ISNUMBER(#REF!), ISNUMBER(#REF!)),#REF! -#REF!,"")</f>
        <v/>
      </c>
      <c r="L253" t="str">
        <f t="shared" ref="L253:L316" si="500">IF(AND(ISNUMBER(#REF!), ISNUMBER(#REF!)),#REF! -#REF!,"")</f>
        <v/>
      </c>
    </row>
    <row r="254" spans="10:12">
      <c r="J254" t="str">
        <f t="shared" ref="J254:J317" si="501">IF(AND(ISNUMBER(#REF!), ISNUMBER(#REF!)),#REF! -#REF!,"")</f>
        <v/>
      </c>
      <c r="L254" t="str">
        <f t="shared" ref="L254:L317" si="502">IF(AND(ISNUMBER(#REF!), ISNUMBER(#REF!)),#REF! -#REF!,"")</f>
        <v/>
      </c>
    </row>
    <row r="255" spans="10:12">
      <c r="J255" t="str">
        <f t="shared" ref="J255:J318" si="503">IF(AND(ISNUMBER(#REF!), ISNUMBER(#REF!)),#REF! -#REF!,"")</f>
        <v/>
      </c>
      <c r="L255" t="str">
        <f t="shared" ref="L255:L318" si="504">IF(AND(ISNUMBER(#REF!), ISNUMBER(#REF!)),#REF! -#REF!,"")</f>
        <v/>
      </c>
    </row>
    <row r="256" spans="10:12">
      <c r="J256" t="str">
        <f t="shared" ref="J256:J319" si="505">IF(AND(ISNUMBER(#REF!), ISNUMBER(#REF!)),#REF! -#REF!,"")</f>
        <v/>
      </c>
      <c r="L256" t="str">
        <f t="shared" ref="L256:L319" si="506">IF(AND(ISNUMBER(#REF!), ISNUMBER(#REF!)),#REF! -#REF!,"")</f>
        <v/>
      </c>
    </row>
    <row r="257" spans="10:12">
      <c r="J257" t="str">
        <f t="shared" ref="J257:J320" si="507">IF(AND(ISNUMBER(#REF!), ISNUMBER(#REF!)),#REF! -#REF!,"")</f>
        <v/>
      </c>
      <c r="L257" t="str">
        <f t="shared" ref="L257:L320" si="508">IF(AND(ISNUMBER(#REF!), ISNUMBER(#REF!)),#REF! -#REF!,"")</f>
        <v/>
      </c>
    </row>
    <row r="258" spans="10:12">
      <c r="J258" t="str">
        <f t="shared" ref="J258:J321" si="509">IF(AND(ISNUMBER(#REF!), ISNUMBER(#REF!)),#REF! -#REF!,"")</f>
        <v/>
      </c>
      <c r="L258" t="str">
        <f t="shared" ref="L258:L321" si="510">IF(AND(ISNUMBER(#REF!), ISNUMBER(#REF!)),#REF! -#REF!,"")</f>
        <v/>
      </c>
    </row>
    <row r="259" spans="10:12">
      <c r="J259" t="str">
        <f t="shared" ref="J259:J322" si="511">IF(AND(ISNUMBER(#REF!), ISNUMBER(#REF!)),#REF! -#REF!,"")</f>
        <v/>
      </c>
      <c r="L259" t="str">
        <f t="shared" ref="L259:L322" si="512">IF(AND(ISNUMBER(#REF!), ISNUMBER(#REF!)),#REF! -#REF!,"")</f>
        <v/>
      </c>
    </row>
    <row r="260" spans="10:12">
      <c r="J260" t="str">
        <f t="shared" ref="J260:J323" si="513">IF(AND(ISNUMBER(#REF!), ISNUMBER(#REF!)),#REF! -#REF!,"")</f>
        <v/>
      </c>
      <c r="L260" t="str">
        <f t="shared" ref="L260:L323" si="514">IF(AND(ISNUMBER(#REF!), ISNUMBER(#REF!)),#REF! -#REF!,"")</f>
        <v/>
      </c>
    </row>
    <row r="261" spans="10:12">
      <c r="J261" t="str">
        <f t="shared" ref="J261:J324" si="515">IF(AND(ISNUMBER(#REF!), ISNUMBER(#REF!)),#REF! -#REF!,"")</f>
        <v/>
      </c>
      <c r="L261" t="str">
        <f t="shared" ref="L261:L324" si="516">IF(AND(ISNUMBER(#REF!), ISNUMBER(#REF!)),#REF! -#REF!,"")</f>
        <v/>
      </c>
    </row>
    <row r="262" spans="10:12">
      <c r="J262" t="str">
        <f t="shared" ref="J262:J325" si="517">IF(AND(ISNUMBER(#REF!), ISNUMBER(#REF!)),#REF! -#REF!,"")</f>
        <v/>
      </c>
      <c r="L262" t="str">
        <f t="shared" ref="L262:L325" si="518">IF(AND(ISNUMBER(#REF!), ISNUMBER(#REF!)),#REF! -#REF!,"")</f>
        <v/>
      </c>
    </row>
    <row r="263" spans="10:12">
      <c r="J263" t="str">
        <f t="shared" ref="J263:J326" si="519">IF(AND(ISNUMBER(#REF!), ISNUMBER(#REF!)),#REF! -#REF!,"")</f>
        <v/>
      </c>
      <c r="L263" t="str">
        <f t="shared" ref="L263:L326" si="520">IF(AND(ISNUMBER(#REF!), ISNUMBER(#REF!)),#REF! -#REF!,"")</f>
        <v/>
      </c>
    </row>
    <row r="264" spans="10:12">
      <c r="J264" t="str">
        <f t="shared" ref="J264:J327" si="521">IF(AND(ISNUMBER(#REF!), ISNUMBER(#REF!)),#REF! -#REF!,"")</f>
        <v/>
      </c>
      <c r="L264" t="str">
        <f t="shared" ref="L264:L327" si="522">IF(AND(ISNUMBER(#REF!), ISNUMBER(#REF!)),#REF! -#REF!,"")</f>
        <v/>
      </c>
    </row>
    <row r="265" spans="10:12">
      <c r="J265" t="str">
        <f t="shared" ref="J265:J328" si="523">IF(AND(ISNUMBER(#REF!), ISNUMBER(#REF!)),#REF! -#REF!,"")</f>
        <v/>
      </c>
      <c r="L265" t="str">
        <f t="shared" ref="L265:L328" si="524">IF(AND(ISNUMBER(#REF!), ISNUMBER(#REF!)),#REF! -#REF!,"")</f>
        <v/>
      </c>
    </row>
    <row r="266" spans="10:12">
      <c r="J266" t="str">
        <f t="shared" ref="J266:J329" si="525">IF(AND(ISNUMBER(#REF!), ISNUMBER(#REF!)),#REF! -#REF!,"")</f>
        <v/>
      </c>
      <c r="L266" t="str">
        <f t="shared" ref="L266:L329" si="526">IF(AND(ISNUMBER(#REF!), ISNUMBER(#REF!)),#REF! -#REF!,"")</f>
        <v/>
      </c>
    </row>
    <row r="267" spans="10:12">
      <c r="J267" t="str">
        <f t="shared" ref="J267:J330" si="527">IF(AND(ISNUMBER(#REF!), ISNUMBER(#REF!)),#REF! -#REF!,"")</f>
        <v/>
      </c>
      <c r="L267" t="str">
        <f t="shared" ref="L267:L330" si="528">IF(AND(ISNUMBER(#REF!), ISNUMBER(#REF!)),#REF! -#REF!,"")</f>
        <v/>
      </c>
    </row>
    <row r="268" spans="10:12">
      <c r="J268" t="str">
        <f t="shared" ref="J268:J331" si="529">IF(AND(ISNUMBER(#REF!), ISNUMBER(#REF!)),#REF! -#REF!,"")</f>
        <v/>
      </c>
      <c r="L268" t="str">
        <f t="shared" ref="L268:L331" si="530">IF(AND(ISNUMBER(#REF!), ISNUMBER(#REF!)),#REF! -#REF!,"")</f>
        <v/>
      </c>
    </row>
    <row r="269" spans="10:12">
      <c r="J269" t="str">
        <f t="shared" ref="J269:J332" si="531">IF(AND(ISNUMBER(#REF!), ISNUMBER(#REF!)),#REF! -#REF!,"")</f>
        <v/>
      </c>
      <c r="L269" t="str">
        <f t="shared" ref="L269:L332" si="532">IF(AND(ISNUMBER(#REF!), ISNUMBER(#REF!)),#REF! -#REF!,"")</f>
        <v/>
      </c>
    </row>
    <row r="270" spans="10:12">
      <c r="J270" t="str">
        <f t="shared" ref="J270:J333" si="533">IF(AND(ISNUMBER(#REF!), ISNUMBER(#REF!)),#REF! -#REF!,"")</f>
        <v/>
      </c>
      <c r="L270" t="str">
        <f t="shared" ref="L270:L333" si="534">IF(AND(ISNUMBER(#REF!), ISNUMBER(#REF!)),#REF! -#REF!,"")</f>
        <v/>
      </c>
    </row>
    <row r="271" spans="10:12">
      <c r="J271" t="str">
        <f t="shared" ref="J271:J334" si="535">IF(AND(ISNUMBER(#REF!), ISNUMBER(#REF!)),#REF! -#REF!,"")</f>
        <v/>
      </c>
      <c r="L271" t="str">
        <f t="shared" ref="L271:L334" si="536">IF(AND(ISNUMBER(#REF!), ISNUMBER(#REF!)),#REF! -#REF!,"")</f>
        <v/>
      </c>
    </row>
    <row r="272" spans="10:12">
      <c r="J272" t="str">
        <f t="shared" ref="J272:J335" si="537">IF(AND(ISNUMBER(#REF!), ISNUMBER(#REF!)),#REF! -#REF!,"")</f>
        <v/>
      </c>
      <c r="L272" t="str">
        <f t="shared" ref="L272:L335" si="538">IF(AND(ISNUMBER(#REF!), ISNUMBER(#REF!)),#REF! -#REF!,"")</f>
        <v/>
      </c>
    </row>
    <row r="273" spans="10:12">
      <c r="J273" t="str">
        <f t="shared" ref="J273:J336" si="539">IF(AND(ISNUMBER(#REF!), ISNUMBER(#REF!)),#REF! -#REF!,"")</f>
        <v/>
      </c>
      <c r="L273" t="str">
        <f t="shared" ref="L273:L336" si="540">IF(AND(ISNUMBER(#REF!), ISNUMBER(#REF!)),#REF! -#REF!,"")</f>
        <v/>
      </c>
    </row>
    <row r="274" spans="10:12">
      <c r="J274" t="str">
        <f t="shared" ref="J274:J337" si="541">IF(AND(ISNUMBER(#REF!), ISNUMBER(#REF!)),#REF! -#REF!,"")</f>
        <v/>
      </c>
      <c r="L274" t="str">
        <f t="shared" ref="L274:L337" si="542">IF(AND(ISNUMBER(#REF!), ISNUMBER(#REF!)),#REF! -#REF!,"")</f>
        <v/>
      </c>
    </row>
    <row r="275" spans="10:12">
      <c r="J275" t="str">
        <f t="shared" ref="J275:J338" si="543">IF(AND(ISNUMBER(#REF!), ISNUMBER(#REF!)),#REF! -#REF!,"")</f>
        <v/>
      </c>
      <c r="L275" t="str">
        <f t="shared" ref="L275:L338" si="544">IF(AND(ISNUMBER(#REF!), ISNUMBER(#REF!)),#REF! -#REF!,"")</f>
        <v/>
      </c>
    </row>
    <row r="276" spans="10:12">
      <c r="J276" t="str">
        <f t="shared" ref="J276:J339" si="545">IF(AND(ISNUMBER(#REF!), ISNUMBER(#REF!)),#REF! -#REF!,"")</f>
        <v/>
      </c>
      <c r="L276" t="str">
        <f t="shared" ref="L276:L339" si="546">IF(AND(ISNUMBER(#REF!), ISNUMBER(#REF!)),#REF! -#REF!,"")</f>
        <v/>
      </c>
    </row>
    <row r="277" spans="10:12">
      <c r="J277" t="str">
        <f t="shared" ref="J277:J340" si="547">IF(AND(ISNUMBER(#REF!), ISNUMBER(#REF!)),#REF! -#REF!,"")</f>
        <v/>
      </c>
      <c r="L277" t="str">
        <f t="shared" ref="L277:L340" si="548">IF(AND(ISNUMBER(#REF!), ISNUMBER(#REF!)),#REF! -#REF!,"")</f>
        <v/>
      </c>
    </row>
    <row r="278" spans="10:12">
      <c r="J278" t="str">
        <f t="shared" ref="J278:J341" si="549">IF(AND(ISNUMBER(#REF!), ISNUMBER(#REF!)),#REF! -#REF!,"")</f>
        <v/>
      </c>
      <c r="L278" t="str">
        <f t="shared" ref="L278:L341" si="550">IF(AND(ISNUMBER(#REF!), ISNUMBER(#REF!)),#REF! -#REF!,"")</f>
        <v/>
      </c>
    </row>
    <row r="279" spans="10:12">
      <c r="J279" t="str">
        <f t="shared" ref="J279:J342" si="551">IF(AND(ISNUMBER(#REF!), ISNUMBER(#REF!)),#REF! -#REF!,"")</f>
        <v/>
      </c>
      <c r="L279" t="str">
        <f t="shared" ref="L279:L342" si="552">IF(AND(ISNUMBER(#REF!), ISNUMBER(#REF!)),#REF! -#REF!,"")</f>
        <v/>
      </c>
    </row>
    <row r="280" spans="10:12">
      <c r="J280" t="str">
        <f t="shared" ref="J280:J343" si="553">IF(AND(ISNUMBER(#REF!), ISNUMBER(#REF!)),#REF! -#REF!,"")</f>
        <v/>
      </c>
      <c r="L280" t="str">
        <f t="shared" ref="L280:L343" si="554">IF(AND(ISNUMBER(#REF!), ISNUMBER(#REF!)),#REF! -#REF!,"")</f>
        <v/>
      </c>
    </row>
    <row r="281" spans="10:12">
      <c r="J281" t="str">
        <f t="shared" ref="J281:J344" si="555">IF(AND(ISNUMBER(#REF!), ISNUMBER(#REF!)),#REF! -#REF!,"")</f>
        <v/>
      </c>
      <c r="L281" t="str">
        <f t="shared" ref="L281:L344" si="556">IF(AND(ISNUMBER(#REF!), ISNUMBER(#REF!)),#REF! -#REF!,"")</f>
        <v/>
      </c>
    </row>
    <row r="282" spans="10:12">
      <c r="J282" t="str">
        <f t="shared" ref="J282:J345" si="557">IF(AND(ISNUMBER(#REF!), ISNUMBER(#REF!)),#REF! -#REF!,"")</f>
        <v/>
      </c>
      <c r="L282" t="str">
        <f t="shared" ref="L282:L345" si="558">IF(AND(ISNUMBER(#REF!), ISNUMBER(#REF!)),#REF! -#REF!,"")</f>
        <v/>
      </c>
    </row>
    <row r="283" spans="10:12">
      <c r="J283" t="str">
        <f t="shared" ref="J283:J346" si="559">IF(AND(ISNUMBER(#REF!), ISNUMBER(#REF!)),#REF! -#REF!,"")</f>
        <v/>
      </c>
      <c r="L283" t="str">
        <f t="shared" ref="L283:L346" si="560">IF(AND(ISNUMBER(#REF!), ISNUMBER(#REF!)),#REF! -#REF!,"")</f>
        <v/>
      </c>
    </row>
    <row r="284" spans="10:12">
      <c r="J284" t="str">
        <f t="shared" ref="J284:J347" si="561">IF(AND(ISNUMBER(#REF!), ISNUMBER(#REF!)),#REF! -#REF!,"")</f>
        <v/>
      </c>
      <c r="L284" t="str">
        <f t="shared" ref="L284:L347" si="562">IF(AND(ISNUMBER(#REF!), ISNUMBER(#REF!)),#REF! -#REF!,"")</f>
        <v/>
      </c>
    </row>
    <row r="285" spans="10:12">
      <c r="J285" t="str">
        <f t="shared" ref="J285:J348" si="563">IF(AND(ISNUMBER(#REF!), ISNUMBER(#REF!)),#REF! -#REF!,"")</f>
        <v/>
      </c>
      <c r="L285" t="str">
        <f t="shared" ref="L285:L348" si="564">IF(AND(ISNUMBER(#REF!), ISNUMBER(#REF!)),#REF! -#REF!,"")</f>
        <v/>
      </c>
    </row>
    <row r="286" spans="10:12">
      <c r="J286" t="str">
        <f t="shared" ref="J286:J349" si="565">IF(AND(ISNUMBER(#REF!), ISNUMBER(#REF!)),#REF! -#REF!,"")</f>
        <v/>
      </c>
      <c r="L286" t="str">
        <f t="shared" ref="L286:L349" si="566">IF(AND(ISNUMBER(#REF!), ISNUMBER(#REF!)),#REF! -#REF!,"")</f>
        <v/>
      </c>
    </row>
    <row r="287" spans="10:12">
      <c r="J287" t="str">
        <f t="shared" ref="J287:J350" si="567">IF(AND(ISNUMBER(#REF!), ISNUMBER(#REF!)),#REF! -#REF!,"")</f>
        <v/>
      </c>
      <c r="L287" t="str">
        <f t="shared" ref="L287:L350" si="568">IF(AND(ISNUMBER(#REF!), ISNUMBER(#REF!)),#REF! -#REF!,"")</f>
        <v/>
      </c>
    </row>
    <row r="288" spans="10:12">
      <c r="J288" t="str">
        <f t="shared" ref="J288:J351" si="569">IF(AND(ISNUMBER(#REF!), ISNUMBER(#REF!)),#REF! -#REF!,"")</f>
        <v/>
      </c>
      <c r="L288" t="str">
        <f t="shared" ref="L288:L351" si="570">IF(AND(ISNUMBER(#REF!), ISNUMBER(#REF!)),#REF! -#REF!,"")</f>
        <v/>
      </c>
    </row>
    <row r="289" spans="10:12">
      <c r="J289" t="str">
        <f t="shared" ref="J289:J352" si="571">IF(AND(ISNUMBER(#REF!), ISNUMBER(#REF!)),#REF! -#REF!,"")</f>
        <v/>
      </c>
      <c r="L289" t="str">
        <f t="shared" ref="L289:L352" si="572">IF(AND(ISNUMBER(#REF!), ISNUMBER(#REF!)),#REF! -#REF!,"")</f>
        <v/>
      </c>
    </row>
    <row r="290" spans="10:12">
      <c r="J290" t="str">
        <f t="shared" ref="J290:J353" si="573">IF(AND(ISNUMBER(#REF!), ISNUMBER(#REF!)),#REF! -#REF!,"")</f>
        <v/>
      </c>
      <c r="L290" t="str">
        <f t="shared" ref="L290:L353" si="574">IF(AND(ISNUMBER(#REF!), ISNUMBER(#REF!)),#REF! -#REF!,"")</f>
        <v/>
      </c>
    </row>
    <row r="291" spans="10:12">
      <c r="J291" t="str">
        <f t="shared" ref="J291:J354" si="575">IF(AND(ISNUMBER(#REF!), ISNUMBER(#REF!)),#REF! -#REF!,"")</f>
        <v/>
      </c>
      <c r="L291" t="str">
        <f t="shared" ref="L291:L354" si="576">IF(AND(ISNUMBER(#REF!), ISNUMBER(#REF!)),#REF! -#REF!,"")</f>
        <v/>
      </c>
    </row>
    <row r="292" spans="10:12">
      <c r="J292" t="str">
        <f t="shared" ref="J292:J355" si="577">IF(AND(ISNUMBER(#REF!), ISNUMBER(#REF!)),#REF! -#REF!,"")</f>
        <v/>
      </c>
      <c r="L292" t="str">
        <f t="shared" ref="L292:L355" si="578">IF(AND(ISNUMBER(#REF!), ISNUMBER(#REF!)),#REF! -#REF!,"")</f>
        <v/>
      </c>
    </row>
    <row r="293" spans="10:12">
      <c r="J293" t="str">
        <f t="shared" ref="J293:J356" si="579">IF(AND(ISNUMBER(#REF!), ISNUMBER(#REF!)),#REF! -#REF!,"")</f>
        <v/>
      </c>
      <c r="L293" t="str">
        <f t="shared" ref="L293:L356" si="580">IF(AND(ISNUMBER(#REF!), ISNUMBER(#REF!)),#REF! -#REF!,"")</f>
        <v/>
      </c>
    </row>
    <row r="294" spans="10:12">
      <c r="J294" t="str">
        <f t="shared" ref="J294:J357" si="581">IF(AND(ISNUMBER(#REF!), ISNUMBER(#REF!)),#REF! -#REF!,"")</f>
        <v/>
      </c>
      <c r="L294" t="str">
        <f t="shared" ref="L294:L357" si="582">IF(AND(ISNUMBER(#REF!), ISNUMBER(#REF!)),#REF! -#REF!,"")</f>
        <v/>
      </c>
    </row>
    <row r="295" spans="10:12">
      <c r="J295" t="str">
        <f t="shared" ref="J295:J358" si="583">IF(AND(ISNUMBER(#REF!), ISNUMBER(#REF!)),#REF! -#REF!,"")</f>
        <v/>
      </c>
      <c r="L295" t="str">
        <f t="shared" ref="L295:L358" si="584">IF(AND(ISNUMBER(#REF!), ISNUMBER(#REF!)),#REF! -#REF!,"")</f>
        <v/>
      </c>
    </row>
    <row r="296" spans="10:12">
      <c r="J296" t="str">
        <f t="shared" ref="J296:J359" si="585">IF(AND(ISNUMBER(#REF!), ISNUMBER(#REF!)),#REF! -#REF!,"")</f>
        <v/>
      </c>
      <c r="L296" t="str">
        <f t="shared" ref="L296:L359" si="586">IF(AND(ISNUMBER(#REF!), ISNUMBER(#REF!)),#REF! -#REF!,"")</f>
        <v/>
      </c>
    </row>
    <row r="297" spans="10:12">
      <c r="J297" t="str">
        <f t="shared" ref="J297:J360" si="587">IF(AND(ISNUMBER(#REF!), ISNUMBER(#REF!)),#REF! -#REF!,"")</f>
        <v/>
      </c>
      <c r="L297" t="str">
        <f t="shared" ref="L297:L360" si="588">IF(AND(ISNUMBER(#REF!), ISNUMBER(#REF!)),#REF! -#REF!,"")</f>
        <v/>
      </c>
    </row>
    <row r="298" spans="10:12">
      <c r="J298" t="str">
        <f t="shared" ref="J298:J361" si="589">IF(AND(ISNUMBER(#REF!), ISNUMBER(#REF!)),#REF! -#REF!,"")</f>
        <v/>
      </c>
      <c r="L298" t="str">
        <f t="shared" ref="L298:L361" si="590">IF(AND(ISNUMBER(#REF!), ISNUMBER(#REF!)),#REF! -#REF!,"")</f>
        <v/>
      </c>
    </row>
    <row r="299" spans="10:12">
      <c r="J299" t="str">
        <f t="shared" ref="J299:J362" si="591">IF(AND(ISNUMBER(#REF!), ISNUMBER(#REF!)),#REF! -#REF!,"")</f>
        <v/>
      </c>
      <c r="L299" t="str">
        <f t="shared" ref="L299:L362" si="592">IF(AND(ISNUMBER(#REF!), ISNUMBER(#REF!)),#REF! -#REF!,"")</f>
        <v/>
      </c>
    </row>
    <row r="300" spans="10:12">
      <c r="J300" t="str">
        <f t="shared" ref="J300:J363" si="593">IF(AND(ISNUMBER(#REF!), ISNUMBER(#REF!)),#REF! -#REF!,"")</f>
        <v/>
      </c>
      <c r="L300" t="str">
        <f t="shared" ref="L300:L363" si="594">IF(AND(ISNUMBER(#REF!), ISNUMBER(#REF!)),#REF! -#REF!,"")</f>
        <v/>
      </c>
    </row>
    <row r="301" spans="10:12">
      <c r="J301" t="str">
        <f t="shared" ref="J301:J364" si="595">IF(AND(ISNUMBER(#REF!), ISNUMBER(#REF!)),#REF! -#REF!,"")</f>
        <v/>
      </c>
      <c r="L301" t="str">
        <f t="shared" ref="L301:L364" si="596">IF(AND(ISNUMBER(#REF!), ISNUMBER(#REF!)),#REF! -#REF!,"")</f>
        <v/>
      </c>
    </row>
    <row r="302" spans="10:12">
      <c r="J302" t="str">
        <f t="shared" ref="J302:J365" si="597">IF(AND(ISNUMBER(#REF!), ISNUMBER(#REF!)),#REF! -#REF!,"")</f>
        <v/>
      </c>
      <c r="L302" t="str">
        <f t="shared" ref="L302:L365" si="598">IF(AND(ISNUMBER(#REF!), ISNUMBER(#REF!)),#REF! -#REF!,"")</f>
        <v/>
      </c>
    </row>
    <row r="303" spans="10:12">
      <c r="J303" t="str">
        <f t="shared" ref="J303:J366" si="599">IF(AND(ISNUMBER(#REF!), ISNUMBER(#REF!)),#REF! -#REF!,"")</f>
        <v/>
      </c>
      <c r="L303" t="str">
        <f t="shared" ref="L303:L366" si="600">IF(AND(ISNUMBER(#REF!), ISNUMBER(#REF!)),#REF! -#REF!,"")</f>
        <v/>
      </c>
    </row>
    <row r="304" spans="10:12">
      <c r="J304" t="str">
        <f t="shared" ref="J304:J367" si="601">IF(AND(ISNUMBER(#REF!), ISNUMBER(#REF!)),#REF! -#REF!,"")</f>
        <v/>
      </c>
      <c r="L304" t="str">
        <f t="shared" ref="L304:L367" si="602">IF(AND(ISNUMBER(#REF!), ISNUMBER(#REF!)),#REF! -#REF!,"")</f>
        <v/>
      </c>
    </row>
    <row r="305" spans="10:12">
      <c r="J305" t="str">
        <f t="shared" ref="J305:J368" si="603">IF(AND(ISNUMBER(#REF!), ISNUMBER(#REF!)),#REF! -#REF!,"")</f>
        <v/>
      </c>
      <c r="L305" t="str">
        <f t="shared" ref="L305:L368" si="604">IF(AND(ISNUMBER(#REF!), ISNUMBER(#REF!)),#REF! -#REF!,"")</f>
        <v/>
      </c>
    </row>
    <row r="306" spans="10:12">
      <c r="J306" t="str">
        <f t="shared" ref="J306:J369" si="605">IF(AND(ISNUMBER(#REF!), ISNUMBER(#REF!)),#REF! -#REF!,"")</f>
        <v/>
      </c>
      <c r="L306" t="str">
        <f t="shared" ref="L306:L369" si="606">IF(AND(ISNUMBER(#REF!), ISNUMBER(#REF!)),#REF! -#REF!,"")</f>
        <v/>
      </c>
    </row>
    <row r="307" spans="10:12">
      <c r="J307" t="str">
        <f t="shared" ref="J307:J370" si="607">IF(AND(ISNUMBER(#REF!), ISNUMBER(#REF!)),#REF! -#REF!,"")</f>
        <v/>
      </c>
      <c r="L307" t="str">
        <f t="shared" ref="L307:L370" si="608">IF(AND(ISNUMBER(#REF!), ISNUMBER(#REF!)),#REF! -#REF!,"")</f>
        <v/>
      </c>
    </row>
    <row r="308" spans="10:12">
      <c r="J308" t="str">
        <f t="shared" ref="J308:J371" si="609">IF(AND(ISNUMBER(#REF!), ISNUMBER(#REF!)),#REF! -#REF!,"")</f>
        <v/>
      </c>
      <c r="L308" t="str">
        <f t="shared" ref="L308:L371" si="610">IF(AND(ISNUMBER(#REF!), ISNUMBER(#REF!)),#REF! -#REF!,"")</f>
        <v/>
      </c>
    </row>
    <row r="309" spans="10:12">
      <c r="J309" t="str">
        <f t="shared" ref="J309:J372" si="611">IF(AND(ISNUMBER(#REF!), ISNUMBER(#REF!)),#REF! -#REF!,"")</f>
        <v/>
      </c>
      <c r="L309" t="str">
        <f t="shared" ref="L309:L372" si="612">IF(AND(ISNUMBER(#REF!), ISNUMBER(#REF!)),#REF! -#REF!,"")</f>
        <v/>
      </c>
    </row>
    <row r="310" spans="10:12">
      <c r="J310" t="str">
        <f t="shared" ref="J310:J373" si="613">IF(AND(ISNUMBER(#REF!), ISNUMBER(#REF!)),#REF! -#REF!,"")</f>
        <v/>
      </c>
      <c r="L310" t="str">
        <f t="shared" ref="L310:L373" si="614">IF(AND(ISNUMBER(#REF!), ISNUMBER(#REF!)),#REF! -#REF!,"")</f>
        <v/>
      </c>
    </row>
    <row r="311" spans="10:12">
      <c r="J311" t="str">
        <f t="shared" ref="J311:J374" si="615">IF(AND(ISNUMBER(#REF!), ISNUMBER(#REF!)),#REF! -#REF!,"")</f>
        <v/>
      </c>
      <c r="L311" t="str">
        <f t="shared" ref="L311:L374" si="616">IF(AND(ISNUMBER(#REF!), ISNUMBER(#REF!)),#REF! -#REF!,"")</f>
        <v/>
      </c>
    </row>
    <row r="312" spans="10:12">
      <c r="J312" t="str">
        <f t="shared" ref="J312:J375" si="617">IF(AND(ISNUMBER(#REF!), ISNUMBER(#REF!)),#REF! -#REF!,"")</f>
        <v/>
      </c>
      <c r="L312" t="str">
        <f t="shared" ref="L312:L375" si="618">IF(AND(ISNUMBER(#REF!), ISNUMBER(#REF!)),#REF! -#REF!,"")</f>
        <v/>
      </c>
    </row>
    <row r="313" spans="10:12">
      <c r="J313" t="str">
        <f t="shared" ref="J313:J376" si="619">IF(AND(ISNUMBER(#REF!), ISNUMBER(#REF!)),#REF! -#REF!,"")</f>
        <v/>
      </c>
      <c r="L313" t="str">
        <f t="shared" ref="L313:L376" si="620">IF(AND(ISNUMBER(#REF!), ISNUMBER(#REF!)),#REF! -#REF!,"")</f>
        <v/>
      </c>
    </row>
    <row r="314" spans="10:12">
      <c r="J314" t="str">
        <f t="shared" ref="J314:J377" si="621">IF(AND(ISNUMBER(#REF!), ISNUMBER(#REF!)),#REF! -#REF!,"")</f>
        <v/>
      </c>
      <c r="L314" t="str">
        <f t="shared" ref="L314:L377" si="622">IF(AND(ISNUMBER(#REF!), ISNUMBER(#REF!)),#REF! -#REF!,"")</f>
        <v/>
      </c>
    </row>
    <row r="315" spans="10:12">
      <c r="J315" t="str">
        <f t="shared" ref="J315:J378" si="623">IF(AND(ISNUMBER(#REF!), ISNUMBER(#REF!)),#REF! -#REF!,"")</f>
        <v/>
      </c>
      <c r="L315" t="str">
        <f t="shared" ref="L315:L378" si="624">IF(AND(ISNUMBER(#REF!), ISNUMBER(#REF!)),#REF! -#REF!,"")</f>
        <v/>
      </c>
    </row>
    <row r="316" spans="10:12">
      <c r="J316" t="str">
        <f t="shared" ref="J316:J379" si="625">IF(AND(ISNUMBER(#REF!), ISNUMBER(#REF!)),#REF! -#REF!,"")</f>
        <v/>
      </c>
      <c r="L316" t="str">
        <f t="shared" ref="L316:L379" si="626">IF(AND(ISNUMBER(#REF!), ISNUMBER(#REF!)),#REF! -#REF!,"")</f>
        <v/>
      </c>
    </row>
    <row r="317" spans="10:12">
      <c r="J317" t="str">
        <f t="shared" ref="J317:J380" si="627">IF(AND(ISNUMBER(#REF!), ISNUMBER(#REF!)),#REF! -#REF!,"")</f>
        <v/>
      </c>
      <c r="L317" t="str">
        <f t="shared" ref="L317:L380" si="628">IF(AND(ISNUMBER(#REF!), ISNUMBER(#REF!)),#REF! -#REF!,"")</f>
        <v/>
      </c>
    </row>
    <row r="318" spans="10:12">
      <c r="J318" t="str">
        <f t="shared" ref="J318:J381" si="629">IF(AND(ISNUMBER(#REF!), ISNUMBER(#REF!)),#REF! -#REF!,"")</f>
        <v/>
      </c>
      <c r="L318" t="str">
        <f t="shared" ref="L318:L381" si="630">IF(AND(ISNUMBER(#REF!), ISNUMBER(#REF!)),#REF! -#REF!,"")</f>
        <v/>
      </c>
    </row>
    <row r="319" spans="10:12">
      <c r="J319" t="str">
        <f t="shared" ref="J319:J382" si="631">IF(AND(ISNUMBER(#REF!), ISNUMBER(#REF!)),#REF! -#REF!,"")</f>
        <v/>
      </c>
      <c r="L319" t="str">
        <f t="shared" ref="L319:L382" si="632">IF(AND(ISNUMBER(#REF!), ISNUMBER(#REF!)),#REF! -#REF!,"")</f>
        <v/>
      </c>
    </row>
    <row r="320" spans="10:12">
      <c r="J320" t="str">
        <f t="shared" ref="J320:J383" si="633">IF(AND(ISNUMBER(#REF!), ISNUMBER(#REF!)),#REF! -#REF!,"")</f>
        <v/>
      </c>
      <c r="L320" t="str">
        <f t="shared" ref="L320:L383" si="634">IF(AND(ISNUMBER(#REF!), ISNUMBER(#REF!)),#REF! -#REF!,"")</f>
        <v/>
      </c>
    </row>
    <row r="321" spans="10:12">
      <c r="J321" t="str">
        <f t="shared" ref="J321:J384" si="635">IF(AND(ISNUMBER(#REF!), ISNUMBER(#REF!)),#REF! -#REF!,"")</f>
        <v/>
      </c>
      <c r="L321" t="str">
        <f t="shared" ref="L321:L384" si="636">IF(AND(ISNUMBER(#REF!), ISNUMBER(#REF!)),#REF! -#REF!,"")</f>
        <v/>
      </c>
    </row>
    <row r="322" spans="10:12">
      <c r="J322" t="str">
        <f t="shared" ref="J322:J385" si="637">IF(AND(ISNUMBER(#REF!), ISNUMBER(#REF!)),#REF! -#REF!,"")</f>
        <v/>
      </c>
      <c r="L322" t="str">
        <f t="shared" ref="L322:L385" si="638">IF(AND(ISNUMBER(#REF!), ISNUMBER(#REF!)),#REF! -#REF!,"")</f>
        <v/>
      </c>
    </row>
    <row r="323" spans="10:12">
      <c r="J323" t="str">
        <f t="shared" ref="J323:J386" si="639">IF(AND(ISNUMBER(#REF!), ISNUMBER(#REF!)),#REF! -#REF!,"")</f>
        <v/>
      </c>
      <c r="L323" t="str">
        <f t="shared" ref="L323:L386" si="640">IF(AND(ISNUMBER(#REF!), ISNUMBER(#REF!)),#REF! -#REF!,"")</f>
        <v/>
      </c>
    </row>
    <row r="324" spans="10:12">
      <c r="J324" t="str">
        <f t="shared" ref="J324:J387" si="641">IF(AND(ISNUMBER(#REF!), ISNUMBER(#REF!)),#REF! -#REF!,"")</f>
        <v/>
      </c>
      <c r="L324" t="str">
        <f t="shared" ref="L324:L387" si="642">IF(AND(ISNUMBER(#REF!), ISNUMBER(#REF!)),#REF! -#REF!,"")</f>
        <v/>
      </c>
    </row>
    <row r="325" spans="10:12">
      <c r="J325" t="str">
        <f t="shared" ref="J325:J388" si="643">IF(AND(ISNUMBER(#REF!), ISNUMBER(#REF!)),#REF! -#REF!,"")</f>
        <v/>
      </c>
      <c r="L325" t="str">
        <f t="shared" ref="L325:L388" si="644">IF(AND(ISNUMBER(#REF!), ISNUMBER(#REF!)),#REF! -#REF!,"")</f>
        <v/>
      </c>
    </row>
    <row r="326" spans="10:12">
      <c r="J326" t="str">
        <f t="shared" ref="J326:J389" si="645">IF(AND(ISNUMBER(#REF!), ISNUMBER(#REF!)),#REF! -#REF!,"")</f>
        <v/>
      </c>
      <c r="L326" t="str">
        <f t="shared" ref="L326:L389" si="646">IF(AND(ISNUMBER(#REF!), ISNUMBER(#REF!)),#REF! -#REF!,"")</f>
        <v/>
      </c>
    </row>
    <row r="327" spans="10:12">
      <c r="J327" t="str">
        <f t="shared" ref="J327:J390" si="647">IF(AND(ISNUMBER(#REF!), ISNUMBER(#REF!)),#REF! -#REF!,"")</f>
        <v/>
      </c>
      <c r="L327" t="str">
        <f t="shared" ref="L327:L390" si="648">IF(AND(ISNUMBER(#REF!), ISNUMBER(#REF!)),#REF! -#REF!,"")</f>
        <v/>
      </c>
    </row>
    <row r="328" spans="10:12">
      <c r="J328" t="str">
        <f t="shared" ref="J328:J391" si="649">IF(AND(ISNUMBER(#REF!), ISNUMBER(#REF!)),#REF! -#REF!,"")</f>
        <v/>
      </c>
      <c r="L328" t="str">
        <f t="shared" ref="L328:L391" si="650">IF(AND(ISNUMBER(#REF!), ISNUMBER(#REF!)),#REF! -#REF!,"")</f>
        <v/>
      </c>
    </row>
    <row r="329" spans="10:12">
      <c r="J329" t="str">
        <f t="shared" ref="J329:J392" si="651">IF(AND(ISNUMBER(#REF!), ISNUMBER(#REF!)),#REF! -#REF!,"")</f>
        <v/>
      </c>
      <c r="L329" t="str">
        <f t="shared" ref="L329:L392" si="652">IF(AND(ISNUMBER(#REF!), ISNUMBER(#REF!)),#REF! -#REF!,"")</f>
        <v/>
      </c>
    </row>
    <row r="330" spans="10:12">
      <c r="J330" t="str">
        <f t="shared" ref="J330:J393" si="653">IF(AND(ISNUMBER(#REF!), ISNUMBER(#REF!)),#REF! -#REF!,"")</f>
        <v/>
      </c>
      <c r="L330" t="str">
        <f t="shared" ref="L330:L393" si="654">IF(AND(ISNUMBER(#REF!), ISNUMBER(#REF!)),#REF! -#REF!,"")</f>
        <v/>
      </c>
    </row>
    <row r="331" spans="10:12">
      <c r="J331" t="str">
        <f t="shared" ref="J331:J394" si="655">IF(AND(ISNUMBER(#REF!), ISNUMBER(#REF!)),#REF! -#REF!,"")</f>
        <v/>
      </c>
      <c r="L331" t="str">
        <f t="shared" ref="L331:L394" si="656">IF(AND(ISNUMBER(#REF!), ISNUMBER(#REF!)),#REF! -#REF!,"")</f>
        <v/>
      </c>
    </row>
    <row r="332" spans="10:12">
      <c r="J332" t="str">
        <f t="shared" ref="J332:J395" si="657">IF(AND(ISNUMBER(#REF!), ISNUMBER(#REF!)),#REF! -#REF!,"")</f>
        <v/>
      </c>
      <c r="L332" t="str">
        <f t="shared" ref="L332:L395" si="658">IF(AND(ISNUMBER(#REF!), ISNUMBER(#REF!)),#REF! -#REF!,"")</f>
        <v/>
      </c>
    </row>
    <row r="333" spans="10:12">
      <c r="J333" t="str">
        <f t="shared" ref="J333:J396" si="659">IF(AND(ISNUMBER(#REF!), ISNUMBER(#REF!)),#REF! -#REF!,"")</f>
        <v/>
      </c>
      <c r="L333" t="str">
        <f t="shared" ref="L333:L396" si="660">IF(AND(ISNUMBER(#REF!), ISNUMBER(#REF!)),#REF! -#REF!,"")</f>
        <v/>
      </c>
    </row>
    <row r="334" spans="10:12">
      <c r="J334" t="str">
        <f t="shared" ref="J334:J397" si="661">IF(AND(ISNUMBER(#REF!), ISNUMBER(#REF!)),#REF! -#REF!,"")</f>
        <v/>
      </c>
      <c r="L334" t="str">
        <f t="shared" ref="L334:L397" si="662">IF(AND(ISNUMBER(#REF!), ISNUMBER(#REF!)),#REF! -#REF!,"")</f>
        <v/>
      </c>
    </row>
    <row r="335" spans="10:12">
      <c r="J335" t="str">
        <f t="shared" ref="J335:J398" si="663">IF(AND(ISNUMBER(#REF!), ISNUMBER(#REF!)),#REF! -#REF!,"")</f>
        <v/>
      </c>
      <c r="L335" t="str">
        <f t="shared" ref="L335:L398" si="664">IF(AND(ISNUMBER(#REF!), ISNUMBER(#REF!)),#REF! -#REF!,"")</f>
        <v/>
      </c>
    </row>
    <row r="336" spans="10:12">
      <c r="J336" t="str">
        <f t="shared" ref="J336:J399" si="665">IF(AND(ISNUMBER(#REF!), ISNUMBER(#REF!)),#REF! -#REF!,"")</f>
        <v/>
      </c>
      <c r="L336" t="str">
        <f t="shared" ref="L336:L399" si="666">IF(AND(ISNUMBER(#REF!), ISNUMBER(#REF!)),#REF! -#REF!,"")</f>
        <v/>
      </c>
    </row>
    <row r="337" spans="10:12">
      <c r="J337" t="str">
        <f t="shared" ref="J337:J400" si="667">IF(AND(ISNUMBER(#REF!), ISNUMBER(#REF!)),#REF! -#REF!,"")</f>
        <v/>
      </c>
      <c r="L337" t="str">
        <f t="shared" ref="L337:L400" si="668">IF(AND(ISNUMBER(#REF!), ISNUMBER(#REF!)),#REF! -#REF!,"")</f>
        <v/>
      </c>
    </row>
    <row r="338" spans="10:12">
      <c r="J338" t="str">
        <f t="shared" ref="J338:J401" si="669">IF(AND(ISNUMBER(#REF!), ISNUMBER(#REF!)),#REF! -#REF!,"")</f>
        <v/>
      </c>
      <c r="L338" t="str">
        <f t="shared" ref="L338:L401" si="670">IF(AND(ISNUMBER(#REF!), ISNUMBER(#REF!)),#REF! -#REF!,"")</f>
        <v/>
      </c>
    </row>
    <row r="339" spans="10:12">
      <c r="J339" t="str">
        <f t="shared" ref="J339:J402" si="671">IF(AND(ISNUMBER(#REF!), ISNUMBER(#REF!)),#REF! -#REF!,"")</f>
        <v/>
      </c>
      <c r="L339" t="str">
        <f t="shared" ref="L339:L402" si="672">IF(AND(ISNUMBER(#REF!), ISNUMBER(#REF!)),#REF! -#REF!,"")</f>
        <v/>
      </c>
    </row>
    <row r="340" spans="10:12">
      <c r="J340" t="str">
        <f t="shared" ref="J340:J403" si="673">IF(AND(ISNUMBER(#REF!), ISNUMBER(#REF!)),#REF! -#REF!,"")</f>
        <v/>
      </c>
      <c r="L340" t="str">
        <f t="shared" ref="L340:L403" si="674">IF(AND(ISNUMBER(#REF!), ISNUMBER(#REF!)),#REF! -#REF!,"")</f>
        <v/>
      </c>
    </row>
    <row r="341" spans="10:12">
      <c r="J341" t="str">
        <f t="shared" ref="J341:J404" si="675">IF(AND(ISNUMBER(#REF!), ISNUMBER(#REF!)),#REF! -#REF!,"")</f>
        <v/>
      </c>
      <c r="L341" t="str">
        <f t="shared" ref="L341:L404" si="676">IF(AND(ISNUMBER(#REF!), ISNUMBER(#REF!)),#REF! -#REF!,"")</f>
        <v/>
      </c>
    </row>
    <row r="342" spans="10:12">
      <c r="J342" t="str">
        <f t="shared" ref="J342:J405" si="677">IF(AND(ISNUMBER(#REF!), ISNUMBER(#REF!)),#REF! -#REF!,"")</f>
        <v/>
      </c>
      <c r="L342" t="str">
        <f t="shared" ref="L342:L405" si="678">IF(AND(ISNUMBER(#REF!), ISNUMBER(#REF!)),#REF! -#REF!,"")</f>
        <v/>
      </c>
    </row>
    <row r="343" spans="10:12">
      <c r="J343" t="str">
        <f t="shared" ref="J343:J406" si="679">IF(AND(ISNUMBER(#REF!), ISNUMBER(#REF!)),#REF! -#REF!,"")</f>
        <v/>
      </c>
      <c r="L343" t="str">
        <f t="shared" ref="L343:L406" si="680">IF(AND(ISNUMBER(#REF!), ISNUMBER(#REF!)),#REF! -#REF!,"")</f>
        <v/>
      </c>
    </row>
    <row r="344" spans="10:12">
      <c r="J344" t="str">
        <f t="shared" ref="J344:J407" si="681">IF(AND(ISNUMBER(#REF!), ISNUMBER(#REF!)),#REF! -#REF!,"")</f>
        <v/>
      </c>
      <c r="L344" t="str">
        <f t="shared" ref="L344:L407" si="682">IF(AND(ISNUMBER(#REF!), ISNUMBER(#REF!)),#REF! -#REF!,"")</f>
        <v/>
      </c>
    </row>
    <row r="345" spans="10:12">
      <c r="J345" t="str">
        <f t="shared" ref="J345:J408" si="683">IF(AND(ISNUMBER(#REF!), ISNUMBER(#REF!)),#REF! -#REF!,"")</f>
        <v/>
      </c>
      <c r="L345" t="str">
        <f t="shared" ref="L345:L408" si="684">IF(AND(ISNUMBER(#REF!), ISNUMBER(#REF!)),#REF! -#REF!,"")</f>
        <v/>
      </c>
    </row>
    <row r="346" spans="10:12">
      <c r="J346" t="str">
        <f t="shared" ref="J346:J409" si="685">IF(AND(ISNUMBER(#REF!), ISNUMBER(#REF!)),#REF! -#REF!,"")</f>
        <v/>
      </c>
      <c r="L346" t="str">
        <f t="shared" ref="L346:L409" si="686">IF(AND(ISNUMBER(#REF!), ISNUMBER(#REF!)),#REF! -#REF!,"")</f>
        <v/>
      </c>
    </row>
    <row r="347" spans="10:12">
      <c r="J347" t="str">
        <f t="shared" ref="J347:J410" si="687">IF(AND(ISNUMBER(#REF!), ISNUMBER(#REF!)),#REF! -#REF!,"")</f>
        <v/>
      </c>
      <c r="L347" t="str">
        <f t="shared" ref="L347:L410" si="688">IF(AND(ISNUMBER(#REF!), ISNUMBER(#REF!)),#REF! -#REF!,"")</f>
        <v/>
      </c>
    </row>
    <row r="348" spans="10:12">
      <c r="J348" t="str">
        <f t="shared" ref="J348:J411" si="689">IF(AND(ISNUMBER(#REF!), ISNUMBER(#REF!)),#REF! -#REF!,"")</f>
        <v/>
      </c>
      <c r="L348" t="str">
        <f t="shared" ref="L348:L411" si="690">IF(AND(ISNUMBER(#REF!), ISNUMBER(#REF!)),#REF! -#REF!,"")</f>
        <v/>
      </c>
    </row>
    <row r="349" spans="10:12">
      <c r="J349" t="str">
        <f t="shared" ref="J349:J412" si="691">IF(AND(ISNUMBER(#REF!), ISNUMBER(#REF!)),#REF! -#REF!,"")</f>
        <v/>
      </c>
      <c r="L349" t="str">
        <f t="shared" ref="L349:L412" si="692">IF(AND(ISNUMBER(#REF!), ISNUMBER(#REF!)),#REF! -#REF!,"")</f>
        <v/>
      </c>
    </row>
    <row r="350" spans="10:12">
      <c r="J350" t="str">
        <f t="shared" ref="J350:J413" si="693">IF(AND(ISNUMBER(#REF!), ISNUMBER(#REF!)),#REF! -#REF!,"")</f>
        <v/>
      </c>
      <c r="L350" t="str">
        <f t="shared" ref="L350:L413" si="694">IF(AND(ISNUMBER(#REF!), ISNUMBER(#REF!)),#REF! -#REF!,"")</f>
        <v/>
      </c>
    </row>
    <row r="351" spans="10:12">
      <c r="J351" t="str">
        <f t="shared" ref="J351:J414" si="695">IF(AND(ISNUMBER(#REF!), ISNUMBER(#REF!)),#REF! -#REF!,"")</f>
        <v/>
      </c>
      <c r="L351" t="str">
        <f t="shared" ref="L351:L414" si="696">IF(AND(ISNUMBER(#REF!), ISNUMBER(#REF!)),#REF! -#REF!,"")</f>
        <v/>
      </c>
    </row>
    <row r="352" spans="10:12">
      <c r="J352" t="str">
        <f t="shared" ref="J352:J415" si="697">IF(AND(ISNUMBER(#REF!), ISNUMBER(#REF!)),#REF! -#REF!,"")</f>
        <v/>
      </c>
      <c r="L352" t="str">
        <f t="shared" ref="L352:L415" si="698">IF(AND(ISNUMBER(#REF!), ISNUMBER(#REF!)),#REF! -#REF!,"")</f>
        <v/>
      </c>
    </row>
    <row r="353" spans="10:12">
      <c r="J353" t="str">
        <f t="shared" ref="J353:J416" si="699">IF(AND(ISNUMBER(#REF!), ISNUMBER(#REF!)),#REF! -#REF!,"")</f>
        <v/>
      </c>
      <c r="L353" t="str">
        <f t="shared" ref="L353:L416" si="700">IF(AND(ISNUMBER(#REF!), ISNUMBER(#REF!)),#REF! -#REF!,"")</f>
        <v/>
      </c>
    </row>
    <row r="354" spans="10:12">
      <c r="J354" t="str">
        <f t="shared" ref="J354:J417" si="701">IF(AND(ISNUMBER(#REF!), ISNUMBER(#REF!)),#REF! -#REF!,"")</f>
        <v/>
      </c>
      <c r="L354" t="str">
        <f t="shared" ref="L354:L417" si="702">IF(AND(ISNUMBER(#REF!), ISNUMBER(#REF!)),#REF! -#REF!,"")</f>
        <v/>
      </c>
    </row>
    <row r="355" spans="10:12">
      <c r="J355" t="str">
        <f t="shared" ref="J355:J418" si="703">IF(AND(ISNUMBER(#REF!), ISNUMBER(#REF!)),#REF! -#REF!,"")</f>
        <v/>
      </c>
      <c r="L355" t="str">
        <f t="shared" ref="L355:L418" si="704">IF(AND(ISNUMBER(#REF!), ISNUMBER(#REF!)),#REF! -#REF!,"")</f>
        <v/>
      </c>
    </row>
    <row r="356" spans="10:12">
      <c r="J356" t="str">
        <f t="shared" ref="J356:J419" si="705">IF(AND(ISNUMBER(#REF!), ISNUMBER(#REF!)),#REF! -#REF!,"")</f>
        <v/>
      </c>
      <c r="L356" t="str">
        <f t="shared" ref="L356:L419" si="706">IF(AND(ISNUMBER(#REF!), ISNUMBER(#REF!)),#REF! -#REF!,"")</f>
        <v/>
      </c>
    </row>
    <row r="357" spans="10:12">
      <c r="J357" t="str">
        <f t="shared" ref="J357:J420" si="707">IF(AND(ISNUMBER(#REF!), ISNUMBER(#REF!)),#REF! -#REF!,"")</f>
        <v/>
      </c>
      <c r="L357" t="str">
        <f t="shared" ref="L357:L420" si="708">IF(AND(ISNUMBER(#REF!), ISNUMBER(#REF!)),#REF! -#REF!,"")</f>
        <v/>
      </c>
    </row>
    <row r="358" spans="10:12">
      <c r="J358" t="str">
        <f t="shared" ref="J358:J421" si="709">IF(AND(ISNUMBER(#REF!), ISNUMBER(#REF!)),#REF! -#REF!,"")</f>
        <v/>
      </c>
      <c r="L358" t="str">
        <f t="shared" ref="L358:L421" si="710">IF(AND(ISNUMBER(#REF!), ISNUMBER(#REF!)),#REF! -#REF!,"")</f>
        <v/>
      </c>
    </row>
    <row r="359" spans="10:12">
      <c r="J359" t="str">
        <f t="shared" ref="J359:J422" si="711">IF(AND(ISNUMBER(#REF!), ISNUMBER(#REF!)),#REF! -#REF!,"")</f>
        <v/>
      </c>
      <c r="L359" t="str">
        <f t="shared" ref="L359:L422" si="712">IF(AND(ISNUMBER(#REF!), ISNUMBER(#REF!)),#REF! -#REF!,"")</f>
        <v/>
      </c>
    </row>
    <row r="360" spans="10:12">
      <c r="J360" t="str">
        <f t="shared" ref="J360:J423" si="713">IF(AND(ISNUMBER(#REF!), ISNUMBER(#REF!)),#REF! -#REF!,"")</f>
        <v/>
      </c>
      <c r="L360" t="str">
        <f t="shared" ref="L360:L423" si="714">IF(AND(ISNUMBER(#REF!), ISNUMBER(#REF!)),#REF! -#REF!,"")</f>
        <v/>
      </c>
    </row>
    <row r="361" spans="10:12">
      <c r="J361" t="str">
        <f t="shared" ref="J361:J424" si="715">IF(AND(ISNUMBER(#REF!), ISNUMBER(#REF!)),#REF! -#REF!,"")</f>
        <v/>
      </c>
      <c r="L361" t="str">
        <f t="shared" ref="L361:L424" si="716">IF(AND(ISNUMBER(#REF!), ISNUMBER(#REF!)),#REF! -#REF!,"")</f>
        <v/>
      </c>
    </row>
    <row r="362" spans="10:12">
      <c r="J362" t="str">
        <f t="shared" ref="J362:J425" si="717">IF(AND(ISNUMBER(#REF!), ISNUMBER(#REF!)),#REF! -#REF!,"")</f>
        <v/>
      </c>
      <c r="L362" t="str">
        <f t="shared" ref="L362:L425" si="718">IF(AND(ISNUMBER(#REF!), ISNUMBER(#REF!)),#REF! -#REF!,"")</f>
        <v/>
      </c>
    </row>
    <row r="363" spans="10:12">
      <c r="J363" t="str">
        <f t="shared" ref="J363:J426" si="719">IF(AND(ISNUMBER(#REF!), ISNUMBER(#REF!)),#REF! -#REF!,"")</f>
        <v/>
      </c>
      <c r="L363" t="str">
        <f t="shared" ref="L363:L426" si="720">IF(AND(ISNUMBER(#REF!), ISNUMBER(#REF!)),#REF! -#REF!,"")</f>
        <v/>
      </c>
    </row>
    <row r="364" spans="10:12">
      <c r="J364" t="str">
        <f t="shared" ref="J364:J427" si="721">IF(AND(ISNUMBER(#REF!), ISNUMBER(#REF!)),#REF! -#REF!,"")</f>
        <v/>
      </c>
      <c r="L364" t="str">
        <f t="shared" ref="L364:L427" si="722">IF(AND(ISNUMBER(#REF!), ISNUMBER(#REF!)),#REF! -#REF!,"")</f>
        <v/>
      </c>
    </row>
    <row r="365" spans="10:12">
      <c r="J365" t="str">
        <f t="shared" ref="J365:J428" si="723">IF(AND(ISNUMBER(#REF!), ISNUMBER(#REF!)),#REF! -#REF!,"")</f>
        <v/>
      </c>
      <c r="L365" t="str">
        <f t="shared" ref="L365:L428" si="724">IF(AND(ISNUMBER(#REF!), ISNUMBER(#REF!)),#REF! -#REF!,"")</f>
        <v/>
      </c>
    </row>
    <row r="366" spans="10:12">
      <c r="J366" t="str">
        <f t="shared" ref="J366:J429" si="725">IF(AND(ISNUMBER(#REF!), ISNUMBER(#REF!)),#REF! -#REF!,"")</f>
        <v/>
      </c>
      <c r="L366" t="str">
        <f t="shared" ref="L366:L429" si="726">IF(AND(ISNUMBER(#REF!), ISNUMBER(#REF!)),#REF! -#REF!,"")</f>
        <v/>
      </c>
    </row>
    <row r="367" spans="10:12">
      <c r="J367" t="str">
        <f t="shared" ref="J367:J430" si="727">IF(AND(ISNUMBER(#REF!), ISNUMBER(#REF!)),#REF! -#REF!,"")</f>
        <v/>
      </c>
      <c r="L367" t="str">
        <f t="shared" ref="L367:L430" si="728">IF(AND(ISNUMBER(#REF!), ISNUMBER(#REF!)),#REF! -#REF!,"")</f>
        <v/>
      </c>
    </row>
    <row r="368" spans="10:12">
      <c r="J368" t="str">
        <f t="shared" ref="J368:J431" si="729">IF(AND(ISNUMBER(#REF!), ISNUMBER(#REF!)),#REF! -#REF!,"")</f>
        <v/>
      </c>
      <c r="L368" t="str">
        <f t="shared" ref="L368:L431" si="730">IF(AND(ISNUMBER(#REF!), ISNUMBER(#REF!)),#REF! -#REF!,"")</f>
        <v/>
      </c>
    </row>
    <row r="369" spans="10:12">
      <c r="J369" t="str">
        <f t="shared" ref="J369:J432" si="731">IF(AND(ISNUMBER(#REF!), ISNUMBER(#REF!)),#REF! -#REF!,"")</f>
        <v/>
      </c>
      <c r="L369" t="str">
        <f t="shared" ref="L369:L432" si="732">IF(AND(ISNUMBER(#REF!), ISNUMBER(#REF!)),#REF! -#REF!,"")</f>
        <v/>
      </c>
    </row>
    <row r="370" spans="10:12">
      <c r="J370" t="str">
        <f t="shared" ref="J370:J433" si="733">IF(AND(ISNUMBER(#REF!), ISNUMBER(#REF!)),#REF! -#REF!,"")</f>
        <v/>
      </c>
      <c r="L370" t="str">
        <f t="shared" ref="L370:L433" si="734">IF(AND(ISNUMBER(#REF!), ISNUMBER(#REF!)),#REF! -#REF!,"")</f>
        <v/>
      </c>
    </row>
    <row r="371" spans="10:12">
      <c r="J371" t="str">
        <f t="shared" ref="J371:J434" si="735">IF(AND(ISNUMBER(#REF!), ISNUMBER(#REF!)),#REF! -#REF!,"")</f>
        <v/>
      </c>
      <c r="L371" t="str">
        <f t="shared" ref="L371:L434" si="736">IF(AND(ISNUMBER(#REF!), ISNUMBER(#REF!)),#REF! -#REF!,"")</f>
        <v/>
      </c>
    </row>
    <row r="372" spans="10:12">
      <c r="J372" t="str">
        <f t="shared" ref="J372:J435" si="737">IF(AND(ISNUMBER(#REF!), ISNUMBER(#REF!)),#REF! -#REF!,"")</f>
        <v/>
      </c>
      <c r="L372" t="str">
        <f t="shared" ref="L372:L435" si="738">IF(AND(ISNUMBER(#REF!), ISNUMBER(#REF!)),#REF! -#REF!,"")</f>
        <v/>
      </c>
    </row>
    <row r="373" spans="10:12">
      <c r="J373" t="str">
        <f t="shared" ref="J373:J436" si="739">IF(AND(ISNUMBER(#REF!), ISNUMBER(#REF!)),#REF! -#REF!,"")</f>
        <v/>
      </c>
      <c r="L373" t="str">
        <f t="shared" ref="L373:L436" si="740">IF(AND(ISNUMBER(#REF!), ISNUMBER(#REF!)),#REF! -#REF!,"")</f>
        <v/>
      </c>
    </row>
    <row r="374" spans="10:12">
      <c r="J374" t="str">
        <f t="shared" ref="J374:J437" si="741">IF(AND(ISNUMBER(#REF!), ISNUMBER(#REF!)),#REF! -#REF!,"")</f>
        <v/>
      </c>
      <c r="L374" t="str">
        <f t="shared" ref="L374:L437" si="742">IF(AND(ISNUMBER(#REF!), ISNUMBER(#REF!)),#REF! -#REF!,"")</f>
        <v/>
      </c>
    </row>
    <row r="375" spans="10:12">
      <c r="J375" t="str">
        <f t="shared" ref="J375:J438" si="743">IF(AND(ISNUMBER(#REF!), ISNUMBER(#REF!)),#REF! -#REF!,"")</f>
        <v/>
      </c>
      <c r="L375" t="str">
        <f t="shared" ref="L375:L438" si="744">IF(AND(ISNUMBER(#REF!), ISNUMBER(#REF!)),#REF! -#REF!,"")</f>
        <v/>
      </c>
    </row>
    <row r="376" spans="10:12">
      <c r="J376" t="str">
        <f t="shared" ref="J376:J439" si="745">IF(AND(ISNUMBER(#REF!), ISNUMBER(#REF!)),#REF! -#REF!,"")</f>
        <v/>
      </c>
      <c r="L376" t="str">
        <f t="shared" ref="L376:L439" si="746">IF(AND(ISNUMBER(#REF!), ISNUMBER(#REF!)),#REF! -#REF!,"")</f>
        <v/>
      </c>
    </row>
    <row r="377" spans="10:12">
      <c r="J377" t="str">
        <f t="shared" ref="J377:J440" si="747">IF(AND(ISNUMBER(#REF!), ISNUMBER(#REF!)),#REF! -#REF!,"")</f>
        <v/>
      </c>
      <c r="L377" t="str">
        <f t="shared" ref="L377:L440" si="748">IF(AND(ISNUMBER(#REF!), ISNUMBER(#REF!)),#REF! -#REF!,"")</f>
        <v/>
      </c>
    </row>
    <row r="378" spans="10:12">
      <c r="J378" t="str">
        <f t="shared" ref="J378:J441" si="749">IF(AND(ISNUMBER(#REF!), ISNUMBER(#REF!)),#REF! -#REF!,"")</f>
        <v/>
      </c>
      <c r="L378" t="str">
        <f t="shared" ref="L378:L441" si="750">IF(AND(ISNUMBER(#REF!), ISNUMBER(#REF!)),#REF! -#REF!,"")</f>
        <v/>
      </c>
    </row>
    <row r="379" spans="10:12">
      <c r="J379" t="str">
        <f t="shared" ref="J379:J442" si="751">IF(AND(ISNUMBER(#REF!), ISNUMBER(#REF!)),#REF! -#REF!,"")</f>
        <v/>
      </c>
      <c r="L379" t="str">
        <f t="shared" ref="L379:L442" si="752">IF(AND(ISNUMBER(#REF!), ISNUMBER(#REF!)),#REF! -#REF!,"")</f>
        <v/>
      </c>
    </row>
    <row r="380" spans="10:12">
      <c r="J380" t="str">
        <f t="shared" ref="J380:J443" si="753">IF(AND(ISNUMBER(#REF!), ISNUMBER(#REF!)),#REF! -#REF!,"")</f>
        <v/>
      </c>
      <c r="L380" t="str">
        <f t="shared" ref="L380:L443" si="754">IF(AND(ISNUMBER(#REF!), ISNUMBER(#REF!)),#REF! -#REF!,"")</f>
        <v/>
      </c>
    </row>
    <row r="381" spans="10:12">
      <c r="J381" t="str">
        <f t="shared" ref="J381:J444" si="755">IF(AND(ISNUMBER(#REF!), ISNUMBER(#REF!)),#REF! -#REF!,"")</f>
        <v/>
      </c>
      <c r="L381" t="str">
        <f t="shared" ref="L381:L444" si="756">IF(AND(ISNUMBER(#REF!), ISNUMBER(#REF!)),#REF! -#REF!,"")</f>
        <v/>
      </c>
    </row>
    <row r="382" spans="10:12">
      <c r="J382" t="str">
        <f t="shared" ref="J382:J445" si="757">IF(AND(ISNUMBER(#REF!), ISNUMBER(#REF!)),#REF! -#REF!,"")</f>
        <v/>
      </c>
      <c r="L382" t="str">
        <f t="shared" ref="L382:L445" si="758">IF(AND(ISNUMBER(#REF!), ISNUMBER(#REF!)),#REF! -#REF!,"")</f>
        <v/>
      </c>
    </row>
    <row r="383" spans="10:12">
      <c r="J383" t="str">
        <f t="shared" ref="J383:J446" si="759">IF(AND(ISNUMBER(#REF!), ISNUMBER(#REF!)),#REF! -#REF!,"")</f>
        <v/>
      </c>
      <c r="L383" t="str">
        <f t="shared" ref="L383:L446" si="760">IF(AND(ISNUMBER(#REF!), ISNUMBER(#REF!)),#REF! -#REF!,"")</f>
        <v/>
      </c>
    </row>
    <row r="384" spans="10:12">
      <c r="J384" t="str">
        <f t="shared" ref="J384:J447" si="761">IF(AND(ISNUMBER(#REF!), ISNUMBER(#REF!)),#REF! -#REF!,"")</f>
        <v/>
      </c>
      <c r="L384" t="str">
        <f t="shared" ref="L384:L447" si="762">IF(AND(ISNUMBER(#REF!), ISNUMBER(#REF!)),#REF! -#REF!,"")</f>
        <v/>
      </c>
    </row>
    <row r="385" spans="10:12">
      <c r="J385" t="str">
        <f t="shared" ref="J385:J448" si="763">IF(AND(ISNUMBER(#REF!), ISNUMBER(#REF!)),#REF! -#REF!,"")</f>
        <v/>
      </c>
      <c r="L385" t="str">
        <f t="shared" ref="L385:L448" si="764">IF(AND(ISNUMBER(#REF!), ISNUMBER(#REF!)),#REF! -#REF!,"")</f>
        <v/>
      </c>
    </row>
    <row r="386" spans="10:12">
      <c r="J386" t="str">
        <f t="shared" ref="J386:J449" si="765">IF(AND(ISNUMBER(#REF!), ISNUMBER(#REF!)),#REF! -#REF!,"")</f>
        <v/>
      </c>
      <c r="L386" t="str">
        <f t="shared" ref="L386:L449" si="766">IF(AND(ISNUMBER(#REF!), ISNUMBER(#REF!)),#REF! -#REF!,"")</f>
        <v/>
      </c>
    </row>
    <row r="387" spans="10:12">
      <c r="J387" t="str">
        <f t="shared" ref="J387:J450" si="767">IF(AND(ISNUMBER(#REF!), ISNUMBER(#REF!)),#REF! -#REF!,"")</f>
        <v/>
      </c>
      <c r="L387" t="str">
        <f t="shared" ref="L387:L450" si="768">IF(AND(ISNUMBER(#REF!), ISNUMBER(#REF!)),#REF! -#REF!,"")</f>
        <v/>
      </c>
    </row>
    <row r="388" spans="10:12">
      <c r="J388" t="str">
        <f t="shared" ref="J388:J451" si="769">IF(AND(ISNUMBER(#REF!), ISNUMBER(#REF!)),#REF! -#REF!,"")</f>
        <v/>
      </c>
      <c r="L388" t="str">
        <f t="shared" ref="L388:L451" si="770">IF(AND(ISNUMBER(#REF!), ISNUMBER(#REF!)),#REF! -#REF!,"")</f>
        <v/>
      </c>
    </row>
    <row r="389" spans="10:12">
      <c r="J389" t="str">
        <f t="shared" ref="J389:J452" si="771">IF(AND(ISNUMBER(#REF!), ISNUMBER(#REF!)),#REF! -#REF!,"")</f>
        <v/>
      </c>
      <c r="L389" t="str">
        <f t="shared" ref="L389:L452" si="772">IF(AND(ISNUMBER(#REF!), ISNUMBER(#REF!)),#REF! -#REF!,"")</f>
        <v/>
      </c>
    </row>
    <row r="390" spans="10:12">
      <c r="J390" t="str">
        <f t="shared" ref="J390:J453" si="773">IF(AND(ISNUMBER(#REF!), ISNUMBER(#REF!)),#REF! -#REF!,"")</f>
        <v/>
      </c>
      <c r="L390" t="str">
        <f t="shared" ref="L390:L453" si="774">IF(AND(ISNUMBER(#REF!), ISNUMBER(#REF!)),#REF! -#REF!,"")</f>
        <v/>
      </c>
    </row>
    <row r="391" spans="10:12">
      <c r="J391" t="str">
        <f t="shared" ref="J391:J454" si="775">IF(AND(ISNUMBER(#REF!), ISNUMBER(#REF!)),#REF! -#REF!,"")</f>
        <v/>
      </c>
      <c r="L391" t="str">
        <f t="shared" ref="L391:L454" si="776">IF(AND(ISNUMBER(#REF!), ISNUMBER(#REF!)),#REF! -#REF!,"")</f>
        <v/>
      </c>
    </row>
    <row r="392" spans="10:12">
      <c r="J392" t="str">
        <f t="shared" ref="J392:J455" si="777">IF(AND(ISNUMBER(#REF!), ISNUMBER(#REF!)),#REF! -#REF!,"")</f>
        <v/>
      </c>
      <c r="L392" t="str">
        <f t="shared" ref="L392:L455" si="778">IF(AND(ISNUMBER(#REF!), ISNUMBER(#REF!)),#REF! -#REF!,"")</f>
        <v/>
      </c>
    </row>
    <row r="393" spans="10:12">
      <c r="J393" t="str">
        <f t="shared" ref="J393:J456" si="779">IF(AND(ISNUMBER(#REF!), ISNUMBER(#REF!)),#REF! -#REF!,"")</f>
        <v/>
      </c>
      <c r="L393" t="str">
        <f t="shared" ref="L393:L456" si="780">IF(AND(ISNUMBER(#REF!), ISNUMBER(#REF!)),#REF! -#REF!,"")</f>
        <v/>
      </c>
    </row>
    <row r="394" spans="10:12">
      <c r="J394" t="str">
        <f t="shared" ref="J394:J457" si="781">IF(AND(ISNUMBER(#REF!), ISNUMBER(#REF!)),#REF! -#REF!,"")</f>
        <v/>
      </c>
      <c r="L394" t="str">
        <f t="shared" ref="L394:L457" si="782">IF(AND(ISNUMBER(#REF!), ISNUMBER(#REF!)),#REF! -#REF!,"")</f>
        <v/>
      </c>
    </row>
    <row r="395" spans="10:12">
      <c r="J395" t="str">
        <f t="shared" ref="J395:J458" si="783">IF(AND(ISNUMBER(#REF!), ISNUMBER(#REF!)),#REF! -#REF!,"")</f>
        <v/>
      </c>
      <c r="L395" t="str">
        <f t="shared" ref="L395:L458" si="784">IF(AND(ISNUMBER(#REF!), ISNUMBER(#REF!)),#REF! -#REF!,"")</f>
        <v/>
      </c>
    </row>
    <row r="396" spans="10:12">
      <c r="J396" t="str">
        <f t="shared" ref="J396:J459" si="785">IF(AND(ISNUMBER(#REF!), ISNUMBER(#REF!)),#REF! -#REF!,"")</f>
        <v/>
      </c>
      <c r="L396" t="str">
        <f t="shared" ref="L396:L459" si="786">IF(AND(ISNUMBER(#REF!), ISNUMBER(#REF!)),#REF! -#REF!,"")</f>
        <v/>
      </c>
    </row>
    <row r="397" spans="10:12">
      <c r="J397" t="str">
        <f t="shared" ref="J397:J460" si="787">IF(AND(ISNUMBER(#REF!), ISNUMBER(#REF!)),#REF! -#REF!,"")</f>
        <v/>
      </c>
      <c r="L397" t="str">
        <f t="shared" ref="L397:L460" si="788">IF(AND(ISNUMBER(#REF!), ISNUMBER(#REF!)),#REF! -#REF!,"")</f>
        <v/>
      </c>
    </row>
    <row r="398" spans="10:12">
      <c r="J398" t="str">
        <f t="shared" ref="J398:J461" si="789">IF(AND(ISNUMBER(#REF!), ISNUMBER(#REF!)),#REF! -#REF!,"")</f>
        <v/>
      </c>
      <c r="L398" t="str">
        <f t="shared" ref="L398:L461" si="790">IF(AND(ISNUMBER(#REF!), ISNUMBER(#REF!)),#REF! -#REF!,"")</f>
        <v/>
      </c>
    </row>
    <row r="399" spans="10:12">
      <c r="J399" t="str">
        <f t="shared" ref="J399:J462" si="791">IF(AND(ISNUMBER(#REF!), ISNUMBER(#REF!)),#REF! -#REF!,"")</f>
        <v/>
      </c>
      <c r="L399" t="str">
        <f t="shared" ref="L399:L462" si="792">IF(AND(ISNUMBER(#REF!), ISNUMBER(#REF!)),#REF! -#REF!,"")</f>
        <v/>
      </c>
    </row>
    <row r="400" spans="10:12">
      <c r="J400" t="str">
        <f t="shared" ref="J400:J463" si="793">IF(AND(ISNUMBER(#REF!), ISNUMBER(#REF!)),#REF! -#REF!,"")</f>
        <v/>
      </c>
      <c r="L400" t="str">
        <f t="shared" ref="L400:L463" si="794">IF(AND(ISNUMBER(#REF!), ISNUMBER(#REF!)),#REF! -#REF!,"")</f>
        <v/>
      </c>
    </row>
    <row r="401" spans="10:12">
      <c r="J401" t="str">
        <f t="shared" ref="J401:J464" si="795">IF(AND(ISNUMBER(#REF!), ISNUMBER(#REF!)),#REF! -#REF!,"")</f>
        <v/>
      </c>
      <c r="L401" t="str">
        <f t="shared" ref="L401:L464" si="796">IF(AND(ISNUMBER(#REF!), ISNUMBER(#REF!)),#REF! -#REF!,"")</f>
        <v/>
      </c>
    </row>
    <row r="402" spans="10:12">
      <c r="J402" t="str">
        <f t="shared" ref="J402:J465" si="797">IF(AND(ISNUMBER(#REF!), ISNUMBER(#REF!)),#REF! -#REF!,"")</f>
        <v/>
      </c>
      <c r="L402" t="str">
        <f t="shared" ref="L402:L465" si="798">IF(AND(ISNUMBER(#REF!), ISNUMBER(#REF!)),#REF! -#REF!,"")</f>
        <v/>
      </c>
    </row>
    <row r="403" spans="10:12">
      <c r="J403" t="str">
        <f t="shared" ref="J403:J466" si="799">IF(AND(ISNUMBER(#REF!), ISNUMBER(#REF!)),#REF! -#REF!,"")</f>
        <v/>
      </c>
      <c r="L403" t="str">
        <f t="shared" ref="L403:L466" si="800">IF(AND(ISNUMBER(#REF!), ISNUMBER(#REF!)),#REF! -#REF!,"")</f>
        <v/>
      </c>
    </row>
    <row r="404" spans="10:12">
      <c r="J404" t="str">
        <f t="shared" ref="J404:J467" si="801">IF(AND(ISNUMBER(#REF!), ISNUMBER(#REF!)),#REF! -#REF!,"")</f>
        <v/>
      </c>
      <c r="L404" t="str">
        <f t="shared" ref="L404:L467" si="802">IF(AND(ISNUMBER(#REF!), ISNUMBER(#REF!)),#REF! -#REF!,"")</f>
        <v/>
      </c>
    </row>
    <row r="405" spans="10:12">
      <c r="J405" t="str">
        <f t="shared" ref="J405:J468" si="803">IF(AND(ISNUMBER(#REF!), ISNUMBER(#REF!)),#REF! -#REF!,"")</f>
        <v/>
      </c>
      <c r="L405" t="str">
        <f t="shared" ref="L405:L468" si="804">IF(AND(ISNUMBER(#REF!), ISNUMBER(#REF!)),#REF! -#REF!,"")</f>
        <v/>
      </c>
    </row>
    <row r="406" spans="10:12">
      <c r="J406" t="str">
        <f t="shared" ref="J406:J469" si="805">IF(AND(ISNUMBER(#REF!), ISNUMBER(#REF!)),#REF! -#REF!,"")</f>
        <v/>
      </c>
      <c r="L406" t="str">
        <f t="shared" ref="L406:L469" si="806">IF(AND(ISNUMBER(#REF!), ISNUMBER(#REF!)),#REF! -#REF!,"")</f>
        <v/>
      </c>
    </row>
    <row r="407" spans="10:12">
      <c r="J407" t="str">
        <f t="shared" ref="J407:J470" si="807">IF(AND(ISNUMBER(#REF!), ISNUMBER(#REF!)),#REF! -#REF!,"")</f>
        <v/>
      </c>
      <c r="L407" t="str">
        <f t="shared" ref="L407:L470" si="808">IF(AND(ISNUMBER(#REF!), ISNUMBER(#REF!)),#REF! -#REF!,"")</f>
        <v/>
      </c>
    </row>
    <row r="408" spans="10:12">
      <c r="J408" t="str">
        <f t="shared" ref="J408:J471" si="809">IF(AND(ISNUMBER(#REF!), ISNUMBER(#REF!)),#REF! -#REF!,"")</f>
        <v/>
      </c>
      <c r="L408" t="str">
        <f t="shared" ref="L408:L471" si="810">IF(AND(ISNUMBER(#REF!), ISNUMBER(#REF!)),#REF! -#REF!,"")</f>
        <v/>
      </c>
    </row>
    <row r="409" spans="10:12">
      <c r="J409" t="str">
        <f t="shared" ref="J409:J472" si="811">IF(AND(ISNUMBER(#REF!), ISNUMBER(#REF!)),#REF! -#REF!,"")</f>
        <v/>
      </c>
      <c r="L409" t="str">
        <f t="shared" ref="L409:L472" si="812">IF(AND(ISNUMBER(#REF!), ISNUMBER(#REF!)),#REF! -#REF!,"")</f>
        <v/>
      </c>
    </row>
    <row r="410" spans="10:12">
      <c r="J410" t="str">
        <f t="shared" ref="J410:J473" si="813">IF(AND(ISNUMBER(#REF!), ISNUMBER(#REF!)),#REF! -#REF!,"")</f>
        <v/>
      </c>
      <c r="L410" t="str">
        <f t="shared" ref="L410:L473" si="814">IF(AND(ISNUMBER(#REF!), ISNUMBER(#REF!)),#REF! -#REF!,"")</f>
        <v/>
      </c>
    </row>
    <row r="411" spans="10:12">
      <c r="J411" t="str">
        <f t="shared" ref="J411:J474" si="815">IF(AND(ISNUMBER(#REF!), ISNUMBER(#REF!)),#REF! -#REF!,"")</f>
        <v/>
      </c>
      <c r="L411" t="str">
        <f t="shared" ref="L411:L474" si="816">IF(AND(ISNUMBER(#REF!), ISNUMBER(#REF!)),#REF! -#REF!,"")</f>
        <v/>
      </c>
    </row>
    <row r="412" spans="10:12">
      <c r="J412" t="str">
        <f t="shared" ref="J412:J475" si="817">IF(AND(ISNUMBER(#REF!), ISNUMBER(#REF!)),#REF! -#REF!,"")</f>
        <v/>
      </c>
      <c r="L412" t="str">
        <f t="shared" ref="L412:L475" si="818">IF(AND(ISNUMBER(#REF!), ISNUMBER(#REF!)),#REF! -#REF!,"")</f>
        <v/>
      </c>
    </row>
    <row r="413" spans="10:12">
      <c r="J413" t="str">
        <f t="shared" ref="J413:J476" si="819">IF(AND(ISNUMBER(#REF!), ISNUMBER(#REF!)),#REF! -#REF!,"")</f>
        <v/>
      </c>
      <c r="L413" t="str">
        <f t="shared" ref="L413:L476" si="820">IF(AND(ISNUMBER(#REF!), ISNUMBER(#REF!)),#REF! -#REF!,"")</f>
        <v/>
      </c>
    </row>
    <row r="414" spans="10:12">
      <c r="J414" t="str">
        <f t="shared" ref="J414:J477" si="821">IF(AND(ISNUMBER(#REF!), ISNUMBER(#REF!)),#REF! -#REF!,"")</f>
        <v/>
      </c>
      <c r="L414" t="str">
        <f t="shared" ref="L414:L477" si="822">IF(AND(ISNUMBER(#REF!), ISNUMBER(#REF!)),#REF! -#REF!,"")</f>
        <v/>
      </c>
    </row>
    <row r="415" spans="10:12">
      <c r="J415" t="str">
        <f t="shared" ref="J415:J478" si="823">IF(AND(ISNUMBER(#REF!), ISNUMBER(#REF!)),#REF! -#REF!,"")</f>
        <v/>
      </c>
      <c r="L415" t="str">
        <f t="shared" ref="L415:L478" si="824">IF(AND(ISNUMBER(#REF!), ISNUMBER(#REF!)),#REF! -#REF!,"")</f>
        <v/>
      </c>
    </row>
    <row r="416" spans="10:12">
      <c r="J416" t="str">
        <f t="shared" ref="J416:J479" si="825">IF(AND(ISNUMBER(#REF!), ISNUMBER(#REF!)),#REF! -#REF!,"")</f>
        <v/>
      </c>
      <c r="L416" t="str">
        <f t="shared" ref="L416:L479" si="826">IF(AND(ISNUMBER(#REF!), ISNUMBER(#REF!)),#REF! -#REF!,"")</f>
        <v/>
      </c>
    </row>
    <row r="417" spans="10:12">
      <c r="J417" t="str">
        <f t="shared" ref="J417:J480" si="827">IF(AND(ISNUMBER(#REF!), ISNUMBER(#REF!)),#REF! -#REF!,"")</f>
        <v/>
      </c>
      <c r="L417" t="str">
        <f t="shared" ref="L417:L480" si="828">IF(AND(ISNUMBER(#REF!), ISNUMBER(#REF!)),#REF! -#REF!,"")</f>
        <v/>
      </c>
    </row>
    <row r="418" spans="10:12">
      <c r="J418" t="str">
        <f t="shared" ref="J418:J481" si="829">IF(AND(ISNUMBER(#REF!), ISNUMBER(#REF!)),#REF! -#REF!,"")</f>
        <v/>
      </c>
      <c r="L418" t="str">
        <f t="shared" ref="L418:L481" si="830">IF(AND(ISNUMBER(#REF!), ISNUMBER(#REF!)),#REF! -#REF!,"")</f>
        <v/>
      </c>
    </row>
    <row r="419" spans="10:12">
      <c r="J419" t="str">
        <f t="shared" ref="J419:J482" si="831">IF(AND(ISNUMBER(#REF!), ISNUMBER(#REF!)),#REF! -#REF!,"")</f>
        <v/>
      </c>
      <c r="L419" t="str">
        <f t="shared" ref="L419:L482" si="832">IF(AND(ISNUMBER(#REF!), ISNUMBER(#REF!)),#REF! -#REF!,"")</f>
        <v/>
      </c>
    </row>
    <row r="420" spans="10:12">
      <c r="J420" t="str">
        <f t="shared" ref="J420:J483" si="833">IF(AND(ISNUMBER(#REF!), ISNUMBER(#REF!)),#REF! -#REF!,"")</f>
        <v/>
      </c>
      <c r="L420" t="str">
        <f t="shared" ref="L420:L483" si="834">IF(AND(ISNUMBER(#REF!), ISNUMBER(#REF!)),#REF! -#REF!,"")</f>
        <v/>
      </c>
    </row>
    <row r="421" spans="10:12">
      <c r="J421" t="str">
        <f t="shared" ref="J421:J484" si="835">IF(AND(ISNUMBER(#REF!), ISNUMBER(#REF!)),#REF! -#REF!,"")</f>
        <v/>
      </c>
      <c r="L421" t="str">
        <f t="shared" ref="L421:L484" si="836">IF(AND(ISNUMBER(#REF!), ISNUMBER(#REF!)),#REF! -#REF!,"")</f>
        <v/>
      </c>
    </row>
    <row r="422" spans="10:12">
      <c r="J422" t="str">
        <f t="shared" ref="J422:J485" si="837">IF(AND(ISNUMBER(#REF!), ISNUMBER(#REF!)),#REF! -#REF!,"")</f>
        <v/>
      </c>
      <c r="L422" t="str">
        <f t="shared" ref="L422:L485" si="838">IF(AND(ISNUMBER(#REF!), ISNUMBER(#REF!)),#REF! -#REF!,"")</f>
        <v/>
      </c>
    </row>
    <row r="423" spans="10:12">
      <c r="J423" t="str">
        <f t="shared" ref="J423:J486" si="839">IF(AND(ISNUMBER(#REF!), ISNUMBER(#REF!)),#REF! -#REF!,"")</f>
        <v/>
      </c>
      <c r="L423" t="str">
        <f t="shared" ref="L423:L486" si="840">IF(AND(ISNUMBER(#REF!), ISNUMBER(#REF!)),#REF! -#REF!,"")</f>
        <v/>
      </c>
    </row>
    <row r="424" spans="10:12">
      <c r="J424" t="str">
        <f t="shared" ref="J424:J487" si="841">IF(AND(ISNUMBER(#REF!), ISNUMBER(#REF!)),#REF! -#REF!,"")</f>
        <v/>
      </c>
      <c r="L424" t="str">
        <f t="shared" ref="L424:L487" si="842">IF(AND(ISNUMBER(#REF!), ISNUMBER(#REF!)),#REF! -#REF!,"")</f>
        <v/>
      </c>
    </row>
    <row r="425" spans="10:12">
      <c r="J425" t="str">
        <f t="shared" ref="J425:J488" si="843">IF(AND(ISNUMBER(#REF!), ISNUMBER(#REF!)),#REF! -#REF!,"")</f>
        <v/>
      </c>
      <c r="L425" t="str">
        <f t="shared" ref="L425:L488" si="844">IF(AND(ISNUMBER(#REF!), ISNUMBER(#REF!)),#REF! -#REF!,"")</f>
        <v/>
      </c>
    </row>
    <row r="426" spans="10:12">
      <c r="J426" t="str">
        <f t="shared" ref="J426:J489" si="845">IF(AND(ISNUMBER(#REF!), ISNUMBER(#REF!)),#REF! -#REF!,"")</f>
        <v/>
      </c>
      <c r="L426" t="str">
        <f t="shared" ref="L426:L489" si="846">IF(AND(ISNUMBER(#REF!), ISNUMBER(#REF!)),#REF! -#REF!,"")</f>
        <v/>
      </c>
    </row>
    <row r="427" spans="10:12">
      <c r="J427" t="str">
        <f t="shared" ref="J427:J490" si="847">IF(AND(ISNUMBER(#REF!), ISNUMBER(#REF!)),#REF! -#REF!,"")</f>
        <v/>
      </c>
      <c r="L427" t="str">
        <f t="shared" ref="L427:L490" si="848">IF(AND(ISNUMBER(#REF!), ISNUMBER(#REF!)),#REF! -#REF!,"")</f>
        <v/>
      </c>
    </row>
    <row r="428" spans="10:12">
      <c r="J428" t="str">
        <f t="shared" ref="J428:J491" si="849">IF(AND(ISNUMBER(#REF!), ISNUMBER(#REF!)),#REF! -#REF!,"")</f>
        <v/>
      </c>
      <c r="L428" t="str">
        <f t="shared" ref="L428:L491" si="850">IF(AND(ISNUMBER(#REF!), ISNUMBER(#REF!)),#REF! -#REF!,"")</f>
        <v/>
      </c>
    </row>
    <row r="429" spans="10:12">
      <c r="J429" t="str">
        <f t="shared" ref="J429:J492" si="851">IF(AND(ISNUMBER(#REF!), ISNUMBER(#REF!)),#REF! -#REF!,"")</f>
        <v/>
      </c>
      <c r="L429" t="str">
        <f t="shared" ref="L429:L492" si="852">IF(AND(ISNUMBER(#REF!), ISNUMBER(#REF!)),#REF! -#REF!,"")</f>
        <v/>
      </c>
    </row>
    <row r="430" spans="10:12">
      <c r="J430" t="str">
        <f t="shared" ref="J430:J493" si="853">IF(AND(ISNUMBER(#REF!), ISNUMBER(#REF!)),#REF! -#REF!,"")</f>
        <v/>
      </c>
      <c r="L430" t="str">
        <f t="shared" ref="L430:L493" si="854">IF(AND(ISNUMBER(#REF!), ISNUMBER(#REF!)),#REF! -#REF!,"")</f>
        <v/>
      </c>
    </row>
    <row r="431" spans="10:12">
      <c r="J431" t="str">
        <f t="shared" ref="J431:J494" si="855">IF(AND(ISNUMBER(#REF!), ISNUMBER(#REF!)),#REF! -#REF!,"")</f>
        <v/>
      </c>
      <c r="L431" t="str">
        <f t="shared" ref="L431:L494" si="856">IF(AND(ISNUMBER(#REF!), ISNUMBER(#REF!)),#REF! -#REF!,"")</f>
        <v/>
      </c>
    </row>
    <row r="432" spans="10:12">
      <c r="J432" t="str">
        <f t="shared" ref="J432:J495" si="857">IF(AND(ISNUMBER(#REF!), ISNUMBER(#REF!)),#REF! -#REF!,"")</f>
        <v/>
      </c>
      <c r="L432" t="str">
        <f t="shared" ref="L432:L495" si="858">IF(AND(ISNUMBER(#REF!), ISNUMBER(#REF!)),#REF! -#REF!,"")</f>
        <v/>
      </c>
    </row>
    <row r="433" spans="10:12">
      <c r="J433" t="str">
        <f t="shared" ref="J433:J496" si="859">IF(AND(ISNUMBER(#REF!), ISNUMBER(#REF!)),#REF! -#REF!,"")</f>
        <v/>
      </c>
      <c r="L433" t="str">
        <f t="shared" ref="L433:L496" si="860">IF(AND(ISNUMBER(#REF!), ISNUMBER(#REF!)),#REF! -#REF!,"")</f>
        <v/>
      </c>
    </row>
    <row r="434" spans="10:12">
      <c r="J434" t="str">
        <f t="shared" ref="J434:J497" si="861">IF(AND(ISNUMBER(#REF!), ISNUMBER(#REF!)),#REF! -#REF!,"")</f>
        <v/>
      </c>
      <c r="L434" t="str">
        <f t="shared" ref="L434:L497" si="862">IF(AND(ISNUMBER(#REF!), ISNUMBER(#REF!)),#REF! -#REF!,"")</f>
        <v/>
      </c>
    </row>
    <row r="435" spans="10:12">
      <c r="J435" t="str">
        <f t="shared" ref="J435:J498" si="863">IF(AND(ISNUMBER(#REF!), ISNUMBER(#REF!)),#REF! -#REF!,"")</f>
        <v/>
      </c>
      <c r="L435" t="str">
        <f t="shared" ref="L435:L498" si="864">IF(AND(ISNUMBER(#REF!), ISNUMBER(#REF!)),#REF! -#REF!,"")</f>
        <v/>
      </c>
    </row>
    <row r="436" spans="10:12">
      <c r="J436" t="str">
        <f t="shared" ref="J436:J499" si="865">IF(AND(ISNUMBER(#REF!), ISNUMBER(#REF!)),#REF! -#REF!,"")</f>
        <v/>
      </c>
      <c r="L436" t="str">
        <f t="shared" ref="L436:L499" si="866">IF(AND(ISNUMBER(#REF!), ISNUMBER(#REF!)),#REF! -#REF!,"")</f>
        <v/>
      </c>
    </row>
    <row r="437" spans="10:12">
      <c r="J437" t="str">
        <f t="shared" ref="J437:J500" si="867">IF(AND(ISNUMBER(#REF!), ISNUMBER(#REF!)),#REF! -#REF!,"")</f>
        <v/>
      </c>
      <c r="L437" t="str">
        <f t="shared" ref="L437:L500" si="868">IF(AND(ISNUMBER(#REF!), ISNUMBER(#REF!)),#REF! -#REF!,"")</f>
        <v/>
      </c>
    </row>
    <row r="438" spans="10:12">
      <c r="J438" t="str">
        <f t="shared" ref="J438:J501" si="869">IF(AND(ISNUMBER(#REF!), ISNUMBER(#REF!)),#REF! -#REF!,"")</f>
        <v/>
      </c>
      <c r="L438" t="str">
        <f t="shared" ref="L438:L501" si="870">IF(AND(ISNUMBER(#REF!), ISNUMBER(#REF!)),#REF! -#REF!,"")</f>
        <v/>
      </c>
    </row>
    <row r="439" spans="10:12">
      <c r="J439" t="str">
        <f t="shared" ref="J439:J502" si="871">IF(AND(ISNUMBER(#REF!), ISNUMBER(#REF!)),#REF! -#REF!,"")</f>
        <v/>
      </c>
      <c r="L439" t="str">
        <f t="shared" ref="L439:L502" si="872">IF(AND(ISNUMBER(#REF!), ISNUMBER(#REF!)),#REF! -#REF!,"")</f>
        <v/>
      </c>
    </row>
    <row r="440" spans="10:12">
      <c r="J440" t="str">
        <f t="shared" ref="J440:J503" si="873">IF(AND(ISNUMBER(#REF!), ISNUMBER(#REF!)),#REF! -#REF!,"")</f>
        <v/>
      </c>
      <c r="L440" t="str">
        <f t="shared" ref="L440:L503" si="874">IF(AND(ISNUMBER(#REF!), ISNUMBER(#REF!)),#REF! -#REF!,"")</f>
        <v/>
      </c>
    </row>
    <row r="441" spans="10:12">
      <c r="J441" t="str">
        <f t="shared" ref="J441:J504" si="875">IF(AND(ISNUMBER(#REF!), ISNUMBER(#REF!)),#REF! -#REF!,"")</f>
        <v/>
      </c>
      <c r="L441" t="str">
        <f t="shared" ref="L441:L504" si="876">IF(AND(ISNUMBER(#REF!), ISNUMBER(#REF!)),#REF! -#REF!,"")</f>
        <v/>
      </c>
    </row>
    <row r="442" spans="10:12">
      <c r="J442" t="str">
        <f t="shared" ref="J442:J505" si="877">IF(AND(ISNUMBER(#REF!), ISNUMBER(#REF!)),#REF! -#REF!,"")</f>
        <v/>
      </c>
      <c r="L442" t="str">
        <f t="shared" ref="L442:L505" si="878">IF(AND(ISNUMBER(#REF!), ISNUMBER(#REF!)),#REF! -#REF!,"")</f>
        <v/>
      </c>
    </row>
    <row r="443" spans="10:12">
      <c r="J443" t="str">
        <f t="shared" ref="J443:J506" si="879">IF(AND(ISNUMBER(#REF!), ISNUMBER(#REF!)),#REF! -#REF!,"")</f>
        <v/>
      </c>
      <c r="L443" t="str">
        <f t="shared" ref="L443:L506" si="880">IF(AND(ISNUMBER(#REF!), ISNUMBER(#REF!)),#REF! -#REF!,"")</f>
        <v/>
      </c>
    </row>
    <row r="444" spans="10:12">
      <c r="J444" t="str">
        <f t="shared" ref="J444:J507" si="881">IF(AND(ISNUMBER(#REF!), ISNUMBER(#REF!)),#REF! -#REF!,"")</f>
        <v/>
      </c>
      <c r="L444" t="str">
        <f t="shared" ref="L444:L507" si="882">IF(AND(ISNUMBER(#REF!), ISNUMBER(#REF!)),#REF! -#REF!,"")</f>
        <v/>
      </c>
    </row>
    <row r="445" spans="10:12">
      <c r="J445" t="str">
        <f t="shared" ref="J445:J508" si="883">IF(AND(ISNUMBER(#REF!), ISNUMBER(#REF!)),#REF! -#REF!,"")</f>
        <v/>
      </c>
      <c r="L445" t="str">
        <f t="shared" ref="L445:L508" si="884">IF(AND(ISNUMBER(#REF!), ISNUMBER(#REF!)),#REF! -#REF!,"")</f>
        <v/>
      </c>
    </row>
    <row r="446" spans="10:12">
      <c r="J446" t="str">
        <f t="shared" ref="J446:J509" si="885">IF(AND(ISNUMBER(#REF!), ISNUMBER(#REF!)),#REF! -#REF!,"")</f>
        <v/>
      </c>
      <c r="L446" t="str">
        <f t="shared" ref="L446:L509" si="886">IF(AND(ISNUMBER(#REF!), ISNUMBER(#REF!)),#REF! -#REF!,"")</f>
        <v/>
      </c>
    </row>
    <row r="447" spans="10:12">
      <c r="J447" t="str">
        <f t="shared" ref="J447:J510" si="887">IF(AND(ISNUMBER(#REF!), ISNUMBER(#REF!)),#REF! -#REF!,"")</f>
        <v/>
      </c>
      <c r="L447" t="str">
        <f t="shared" ref="L447:L510" si="888">IF(AND(ISNUMBER(#REF!), ISNUMBER(#REF!)),#REF! -#REF!,"")</f>
        <v/>
      </c>
    </row>
    <row r="448" spans="10:12">
      <c r="J448" t="str">
        <f t="shared" ref="J448:J511" si="889">IF(AND(ISNUMBER(#REF!), ISNUMBER(#REF!)),#REF! -#REF!,"")</f>
        <v/>
      </c>
      <c r="L448" t="str">
        <f t="shared" ref="L448:L511" si="890">IF(AND(ISNUMBER(#REF!), ISNUMBER(#REF!)),#REF! -#REF!,"")</f>
        <v/>
      </c>
    </row>
    <row r="449" spans="10:12">
      <c r="J449" t="str">
        <f t="shared" ref="J449:J512" si="891">IF(AND(ISNUMBER(#REF!), ISNUMBER(#REF!)),#REF! -#REF!,"")</f>
        <v/>
      </c>
      <c r="L449" t="str">
        <f t="shared" ref="L449:L512" si="892">IF(AND(ISNUMBER(#REF!), ISNUMBER(#REF!)),#REF! -#REF!,"")</f>
        <v/>
      </c>
    </row>
    <row r="450" spans="10:12">
      <c r="J450" t="str">
        <f t="shared" ref="J450:J513" si="893">IF(AND(ISNUMBER(#REF!), ISNUMBER(#REF!)),#REF! -#REF!,"")</f>
        <v/>
      </c>
      <c r="L450" t="str">
        <f t="shared" ref="L450:L513" si="894">IF(AND(ISNUMBER(#REF!), ISNUMBER(#REF!)),#REF! -#REF!,"")</f>
        <v/>
      </c>
    </row>
    <row r="451" spans="10:12">
      <c r="J451" t="str">
        <f t="shared" ref="J451:J514" si="895">IF(AND(ISNUMBER(#REF!), ISNUMBER(#REF!)),#REF! -#REF!,"")</f>
        <v/>
      </c>
      <c r="L451" t="str">
        <f t="shared" ref="L451:L514" si="896">IF(AND(ISNUMBER(#REF!), ISNUMBER(#REF!)),#REF! -#REF!,"")</f>
        <v/>
      </c>
    </row>
    <row r="452" spans="10:12">
      <c r="J452" t="str">
        <f t="shared" ref="J452:J515" si="897">IF(AND(ISNUMBER(#REF!), ISNUMBER(#REF!)),#REF! -#REF!,"")</f>
        <v/>
      </c>
      <c r="L452" t="str">
        <f t="shared" ref="L452:L515" si="898">IF(AND(ISNUMBER(#REF!), ISNUMBER(#REF!)),#REF! -#REF!,"")</f>
        <v/>
      </c>
    </row>
    <row r="453" spans="10:12">
      <c r="J453" t="str">
        <f t="shared" ref="J453:J516" si="899">IF(AND(ISNUMBER(#REF!), ISNUMBER(#REF!)),#REF! -#REF!,"")</f>
        <v/>
      </c>
      <c r="L453" t="str">
        <f t="shared" ref="L453:L516" si="900">IF(AND(ISNUMBER(#REF!), ISNUMBER(#REF!)),#REF! -#REF!,"")</f>
        <v/>
      </c>
    </row>
    <row r="454" spans="10:12">
      <c r="J454" t="str">
        <f t="shared" ref="J454:J517" si="901">IF(AND(ISNUMBER(#REF!), ISNUMBER(#REF!)),#REF! -#REF!,"")</f>
        <v/>
      </c>
      <c r="L454" t="str">
        <f t="shared" ref="L454:L517" si="902">IF(AND(ISNUMBER(#REF!), ISNUMBER(#REF!)),#REF! -#REF!,"")</f>
        <v/>
      </c>
    </row>
    <row r="455" spans="10:12">
      <c r="J455" t="str">
        <f t="shared" ref="J455:J518" si="903">IF(AND(ISNUMBER(#REF!), ISNUMBER(#REF!)),#REF! -#REF!,"")</f>
        <v/>
      </c>
      <c r="L455" t="str">
        <f t="shared" ref="L455:L518" si="904">IF(AND(ISNUMBER(#REF!), ISNUMBER(#REF!)),#REF! -#REF!,"")</f>
        <v/>
      </c>
    </row>
    <row r="456" spans="10:12">
      <c r="J456" t="str">
        <f t="shared" ref="J456:J519" si="905">IF(AND(ISNUMBER(#REF!), ISNUMBER(#REF!)),#REF! -#REF!,"")</f>
        <v/>
      </c>
      <c r="L456" t="str">
        <f t="shared" ref="L456:L519" si="906">IF(AND(ISNUMBER(#REF!), ISNUMBER(#REF!)),#REF! -#REF!,"")</f>
        <v/>
      </c>
    </row>
    <row r="457" spans="10:12">
      <c r="J457" t="str">
        <f t="shared" ref="J457:J520" si="907">IF(AND(ISNUMBER(#REF!), ISNUMBER(#REF!)),#REF! -#REF!,"")</f>
        <v/>
      </c>
      <c r="L457" t="str">
        <f t="shared" ref="L457:L520" si="908">IF(AND(ISNUMBER(#REF!), ISNUMBER(#REF!)),#REF! -#REF!,"")</f>
        <v/>
      </c>
    </row>
    <row r="458" spans="10:12">
      <c r="J458" t="str">
        <f t="shared" ref="J458:J521" si="909">IF(AND(ISNUMBER(#REF!), ISNUMBER(#REF!)),#REF! -#REF!,"")</f>
        <v/>
      </c>
      <c r="L458" t="str">
        <f t="shared" ref="L458:L521" si="910">IF(AND(ISNUMBER(#REF!), ISNUMBER(#REF!)),#REF! -#REF!,"")</f>
        <v/>
      </c>
    </row>
    <row r="459" spans="10:12">
      <c r="J459" t="str">
        <f t="shared" ref="J459:J522" si="911">IF(AND(ISNUMBER(#REF!), ISNUMBER(#REF!)),#REF! -#REF!,"")</f>
        <v/>
      </c>
      <c r="L459" t="str">
        <f t="shared" ref="L459:L522" si="912">IF(AND(ISNUMBER(#REF!), ISNUMBER(#REF!)),#REF! -#REF!,"")</f>
        <v/>
      </c>
    </row>
    <row r="460" spans="10:12">
      <c r="J460" t="str">
        <f t="shared" ref="J460:J523" si="913">IF(AND(ISNUMBER(#REF!), ISNUMBER(#REF!)),#REF! -#REF!,"")</f>
        <v/>
      </c>
      <c r="L460" t="str">
        <f t="shared" ref="L460:L523" si="914">IF(AND(ISNUMBER(#REF!), ISNUMBER(#REF!)),#REF! -#REF!,"")</f>
        <v/>
      </c>
    </row>
    <row r="461" spans="10:12">
      <c r="J461" t="str">
        <f t="shared" ref="J461:J524" si="915">IF(AND(ISNUMBER(#REF!), ISNUMBER(#REF!)),#REF! -#REF!,"")</f>
        <v/>
      </c>
      <c r="L461" t="str">
        <f t="shared" ref="L461:L524" si="916">IF(AND(ISNUMBER(#REF!), ISNUMBER(#REF!)),#REF! -#REF!,"")</f>
        <v/>
      </c>
    </row>
    <row r="462" spans="10:12">
      <c r="J462" t="str">
        <f t="shared" ref="J462:J525" si="917">IF(AND(ISNUMBER(#REF!), ISNUMBER(#REF!)),#REF! -#REF!,"")</f>
        <v/>
      </c>
      <c r="L462" t="str">
        <f t="shared" ref="L462:L525" si="918">IF(AND(ISNUMBER(#REF!), ISNUMBER(#REF!)),#REF! -#REF!,"")</f>
        <v/>
      </c>
    </row>
    <row r="463" spans="10:12">
      <c r="J463" t="str">
        <f t="shared" ref="J463:J526" si="919">IF(AND(ISNUMBER(#REF!), ISNUMBER(#REF!)),#REF! -#REF!,"")</f>
        <v/>
      </c>
      <c r="L463" t="str">
        <f t="shared" ref="L463:L526" si="920">IF(AND(ISNUMBER(#REF!), ISNUMBER(#REF!)),#REF! -#REF!,"")</f>
        <v/>
      </c>
    </row>
    <row r="464" spans="10:12">
      <c r="J464" t="str">
        <f t="shared" ref="J464:J527" si="921">IF(AND(ISNUMBER(#REF!), ISNUMBER(#REF!)),#REF! -#REF!,"")</f>
        <v/>
      </c>
      <c r="L464" t="str">
        <f t="shared" ref="L464:L527" si="922">IF(AND(ISNUMBER(#REF!), ISNUMBER(#REF!)),#REF! -#REF!,"")</f>
        <v/>
      </c>
    </row>
    <row r="465" spans="10:12">
      <c r="J465" t="str">
        <f t="shared" ref="J465:J528" si="923">IF(AND(ISNUMBER(#REF!), ISNUMBER(#REF!)),#REF! -#REF!,"")</f>
        <v/>
      </c>
      <c r="L465" t="str">
        <f t="shared" ref="L465:L528" si="924">IF(AND(ISNUMBER(#REF!), ISNUMBER(#REF!)),#REF! -#REF!,"")</f>
        <v/>
      </c>
    </row>
    <row r="466" spans="10:12">
      <c r="J466" t="str">
        <f t="shared" ref="J466:J529" si="925">IF(AND(ISNUMBER(#REF!), ISNUMBER(#REF!)),#REF! -#REF!,"")</f>
        <v/>
      </c>
      <c r="L466" t="str">
        <f t="shared" ref="L466:L529" si="926">IF(AND(ISNUMBER(#REF!), ISNUMBER(#REF!)),#REF! -#REF!,"")</f>
        <v/>
      </c>
    </row>
    <row r="467" spans="10:12">
      <c r="J467" t="str">
        <f t="shared" ref="J467:J530" si="927">IF(AND(ISNUMBER(#REF!), ISNUMBER(#REF!)),#REF! -#REF!,"")</f>
        <v/>
      </c>
      <c r="L467" t="str">
        <f t="shared" ref="L467:L530" si="928">IF(AND(ISNUMBER(#REF!), ISNUMBER(#REF!)),#REF! -#REF!,"")</f>
        <v/>
      </c>
    </row>
    <row r="468" spans="10:12">
      <c r="J468" t="str">
        <f t="shared" ref="J468:J531" si="929">IF(AND(ISNUMBER(#REF!), ISNUMBER(#REF!)),#REF! -#REF!,"")</f>
        <v/>
      </c>
      <c r="L468" t="str">
        <f t="shared" ref="L468:L531" si="930">IF(AND(ISNUMBER(#REF!), ISNUMBER(#REF!)),#REF! -#REF!,"")</f>
        <v/>
      </c>
    </row>
    <row r="469" spans="10:12">
      <c r="J469" t="str">
        <f t="shared" ref="J469:J532" si="931">IF(AND(ISNUMBER(#REF!), ISNUMBER(#REF!)),#REF! -#REF!,"")</f>
        <v/>
      </c>
      <c r="L469" t="str">
        <f t="shared" ref="L469:L532" si="932">IF(AND(ISNUMBER(#REF!), ISNUMBER(#REF!)),#REF! -#REF!,"")</f>
        <v/>
      </c>
    </row>
    <row r="470" spans="10:12">
      <c r="J470" t="str">
        <f t="shared" ref="J470:J533" si="933">IF(AND(ISNUMBER(#REF!), ISNUMBER(#REF!)),#REF! -#REF!,"")</f>
        <v/>
      </c>
      <c r="L470" t="str">
        <f t="shared" ref="L470:L533" si="934">IF(AND(ISNUMBER(#REF!), ISNUMBER(#REF!)),#REF! -#REF!,"")</f>
        <v/>
      </c>
    </row>
    <row r="471" spans="10:12">
      <c r="J471" t="str">
        <f t="shared" ref="J471:J534" si="935">IF(AND(ISNUMBER(#REF!), ISNUMBER(#REF!)),#REF! -#REF!,"")</f>
        <v/>
      </c>
      <c r="L471" t="str">
        <f t="shared" ref="L471:L534" si="936">IF(AND(ISNUMBER(#REF!), ISNUMBER(#REF!)),#REF! -#REF!,"")</f>
        <v/>
      </c>
    </row>
    <row r="472" spans="10:12">
      <c r="J472" t="str">
        <f t="shared" ref="J472:J535" si="937">IF(AND(ISNUMBER(#REF!), ISNUMBER(#REF!)),#REF! -#REF!,"")</f>
        <v/>
      </c>
      <c r="L472" t="str">
        <f t="shared" ref="L472:L535" si="938">IF(AND(ISNUMBER(#REF!), ISNUMBER(#REF!)),#REF! -#REF!,"")</f>
        <v/>
      </c>
    </row>
    <row r="473" spans="10:12">
      <c r="J473" t="str">
        <f t="shared" ref="J473:J536" si="939">IF(AND(ISNUMBER(#REF!), ISNUMBER(#REF!)),#REF! -#REF!,"")</f>
        <v/>
      </c>
      <c r="L473" t="str">
        <f t="shared" ref="L473:L536" si="940">IF(AND(ISNUMBER(#REF!), ISNUMBER(#REF!)),#REF! -#REF!,"")</f>
        <v/>
      </c>
    </row>
    <row r="474" spans="10:12">
      <c r="J474" t="str">
        <f t="shared" ref="J474:J537" si="941">IF(AND(ISNUMBER(#REF!), ISNUMBER(#REF!)),#REF! -#REF!,"")</f>
        <v/>
      </c>
      <c r="L474" t="str">
        <f t="shared" ref="L474:L537" si="942">IF(AND(ISNUMBER(#REF!), ISNUMBER(#REF!)),#REF! -#REF!,"")</f>
        <v/>
      </c>
    </row>
    <row r="475" spans="10:12">
      <c r="J475" t="str">
        <f t="shared" ref="J475:J538" si="943">IF(AND(ISNUMBER(#REF!), ISNUMBER(#REF!)),#REF! -#REF!,"")</f>
        <v/>
      </c>
      <c r="L475" t="str">
        <f t="shared" ref="L475:L538" si="944">IF(AND(ISNUMBER(#REF!), ISNUMBER(#REF!)),#REF! -#REF!,"")</f>
        <v/>
      </c>
    </row>
    <row r="476" spans="10:12">
      <c r="J476" t="str">
        <f t="shared" ref="J476:J539" si="945">IF(AND(ISNUMBER(#REF!), ISNUMBER(#REF!)),#REF! -#REF!,"")</f>
        <v/>
      </c>
      <c r="L476" t="str">
        <f t="shared" ref="L476:L539" si="946">IF(AND(ISNUMBER(#REF!), ISNUMBER(#REF!)),#REF! -#REF!,"")</f>
        <v/>
      </c>
    </row>
    <row r="477" spans="10:12">
      <c r="J477" t="str">
        <f t="shared" ref="J477:J540" si="947">IF(AND(ISNUMBER(#REF!), ISNUMBER(#REF!)),#REF! -#REF!,"")</f>
        <v/>
      </c>
      <c r="L477" t="str">
        <f t="shared" ref="L477:L540" si="948">IF(AND(ISNUMBER(#REF!), ISNUMBER(#REF!)),#REF! -#REF!,"")</f>
        <v/>
      </c>
    </row>
    <row r="478" spans="10:12">
      <c r="J478" t="str">
        <f t="shared" ref="J478:J541" si="949">IF(AND(ISNUMBER(#REF!), ISNUMBER(#REF!)),#REF! -#REF!,"")</f>
        <v/>
      </c>
      <c r="L478" t="str">
        <f t="shared" ref="L478:L541" si="950">IF(AND(ISNUMBER(#REF!), ISNUMBER(#REF!)),#REF! -#REF!,"")</f>
        <v/>
      </c>
    </row>
    <row r="479" spans="10:12">
      <c r="J479" t="str">
        <f t="shared" ref="J479:J542" si="951">IF(AND(ISNUMBER(#REF!), ISNUMBER(#REF!)),#REF! -#REF!,"")</f>
        <v/>
      </c>
      <c r="L479" t="str">
        <f t="shared" ref="L479:L542" si="952">IF(AND(ISNUMBER(#REF!), ISNUMBER(#REF!)),#REF! -#REF!,"")</f>
        <v/>
      </c>
    </row>
    <row r="480" spans="10:12">
      <c r="J480" t="str">
        <f t="shared" ref="J480:J543" si="953">IF(AND(ISNUMBER(#REF!), ISNUMBER(#REF!)),#REF! -#REF!,"")</f>
        <v/>
      </c>
      <c r="L480" t="str">
        <f t="shared" ref="L480:L543" si="954">IF(AND(ISNUMBER(#REF!), ISNUMBER(#REF!)),#REF! -#REF!,"")</f>
        <v/>
      </c>
    </row>
    <row r="481" spans="10:12">
      <c r="J481" t="str">
        <f t="shared" ref="J481:J544" si="955">IF(AND(ISNUMBER(#REF!), ISNUMBER(#REF!)),#REF! -#REF!,"")</f>
        <v/>
      </c>
      <c r="L481" t="str">
        <f t="shared" ref="L481:L544" si="956">IF(AND(ISNUMBER(#REF!), ISNUMBER(#REF!)),#REF! -#REF!,"")</f>
        <v/>
      </c>
    </row>
    <row r="482" spans="10:12">
      <c r="J482" t="str">
        <f t="shared" ref="J482:J545" si="957">IF(AND(ISNUMBER(#REF!), ISNUMBER(#REF!)),#REF! -#REF!,"")</f>
        <v/>
      </c>
      <c r="L482" t="str">
        <f t="shared" ref="L482:L545" si="958">IF(AND(ISNUMBER(#REF!), ISNUMBER(#REF!)),#REF! -#REF!,"")</f>
        <v/>
      </c>
    </row>
    <row r="483" spans="10:12">
      <c r="J483" t="str">
        <f t="shared" ref="J483:J546" si="959">IF(AND(ISNUMBER(#REF!), ISNUMBER(#REF!)),#REF! -#REF!,"")</f>
        <v/>
      </c>
      <c r="L483" t="str">
        <f t="shared" ref="L483:L546" si="960">IF(AND(ISNUMBER(#REF!), ISNUMBER(#REF!)),#REF! -#REF!,"")</f>
        <v/>
      </c>
    </row>
    <row r="484" spans="10:12">
      <c r="J484" t="str">
        <f t="shared" ref="J484:J547" si="961">IF(AND(ISNUMBER(#REF!), ISNUMBER(#REF!)),#REF! -#REF!,"")</f>
        <v/>
      </c>
      <c r="L484" t="str">
        <f t="shared" ref="L484:L547" si="962">IF(AND(ISNUMBER(#REF!), ISNUMBER(#REF!)),#REF! -#REF!,"")</f>
        <v/>
      </c>
    </row>
    <row r="485" spans="10:12">
      <c r="J485" t="str">
        <f t="shared" ref="J485:J548" si="963">IF(AND(ISNUMBER(#REF!), ISNUMBER(#REF!)),#REF! -#REF!,"")</f>
        <v/>
      </c>
      <c r="L485" t="str">
        <f t="shared" ref="L485:L548" si="964">IF(AND(ISNUMBER(#REF!), ISNUMBER(#REF!)),#REF! -#REF!,"")</f>
        <v/>
      </c>
    </row>
    <row r="486" spans="10:12">
      <c r="J486" t="str">
        <f t="shared" ref="J486:J549" si="965">IF(AND(ISNUMBER(#REF!), ISNUMBER(#REF!)),#REF! -#REF!,"")</f>
        <v/>
      </c>
      <c r="L486" t="str">
        <f t="shared" ref="L486:L549" si="966">IF(AND(ISNUMBER(#REF!), ISNUMBER(#REF!)),#REF! -#REF!,"")</f>
        <v/>
      </c>
    </row>
    <row r="487" spans="10:12">
      <c r="J487" t="str">
        <f t="shared" ref="J487:J550" si="967">IF(AND(ISNUMBER(#REF!), ISNUMBER(#REF!)),#REF! -#REF!,"")</f>
        <v/>
      </c>
      <c r="L487" t="str">
        <f t="shared" ref="L487:L550" si="968">IF(AND(ISNUMBER(#REF!), ISNUMBER(#REF!)),#REF! -#REF!,"")</f>
        <v/>
      </c>
    </row>
    <row r="488" spans="10:12">
      <c r="J488" t="str">
        <f t="shared" ref="J488:J551" si="969">IF(AND(ISNUMBER(#REF!), ISNUMBER(#REF!)),#REF! -#REF!,"")</f>
        <v/>
      </c>
      <c r="L488" t="str">
        <f t="shared" ref="L488:L551" si="970">IF(AND(ISNUMBER(#REF!), ISNUMBER(#REF!)),#REF! -#REF!,"")</f>
        <v/>
      </c>
    </row>
    <row r="489" spans="10:12">
      <c r="J489" t="str">
        <f t="shared" ref="J489:J552" si="971">IF(AND(ISNUMBER(#REF!), ISNUMBER(#REF!)),#REF! -#REF!,"")</f>
        <v/>
      </c>
      <c r="L489" t="str">
        <f t="shared" ref="L489:L552" si="972">IF(AND(ISNUMBER(#REF!), ISNUMBER(#REF!)),#REF! -#REF!,"")</f>
        <v/>
      </c>
    </row>
    <row r="490" spans="10:12">
      <c r="J490" t="str">
        <f t="shared" ref="J490:J553" si="973">IF(AND(ISNUMBER(#REF!), ISNUMBER(#REF!)),#REF! -#REF!,"")</f>
        <v/>
      </c>
      <c r="L490" t="str">
        <f t="shared" ref="L490:L553" si="974">IF(AND(ISNUMBER(#REF!), ISNUMBER(#REF!)),#REF! -#REF!,"")</f>
        <v/>
      </c>
    </row>
    <row r="491" spans="10:12">
      <c r="J491" t="str">
        <f t="shared" ref="J491:J554" si="975">IF(AND(ISNUMBER(#REF!), ISNUMBER(#REF!)),#REF! -#REF!,"")</f>
        <v/>
      </c>
      <c r="L491" t="str">
        <f t="shared" ref="L491:L554" si="976">IF(AND(ISNUMBER(#REF!), ISNUMBER(#REF!)),#REF! -#REF!,"")</f>
        <v/>
      </c>
    </row>
    <row r="492" spans="10:12">
      <c r="J492" t="str">
        <f t="shared" ref="J492:J555" si="977">IF(AND(ISNUMBER(#REF!), ISNUMBER(#REF!)),#REF! -#REF!,"")</f>
        <v/>
      </c>
      <c r="L492" t="str">
        <f t="shared" ref="L492:L555" si="978">IF(AND(ISNUMBER(#REF!), ISNUMBER(#REF!)),#REF! -#REF!,"")</f>
        <v/>
      </c>
    </row>
    <row r="493" spans="10:12">
      <c r="J493" t="str">
        <f t="shared" ref="J493:J556" si="979">IF(AND(ISNUMBER(#REF!), ISNUMBER(#REF!)),#REF! -#REF!,"")</f>
        <v/>
      </c>
      <c r="L493" t="str">
        <f t="shared" ref="L493:L556" si="980">IF(AND(ISNUMBER(#REF!), ISNUMBER(#REF!)),#REF! -#REF!,"")</f>
        <v/>
      </c>
    </row>
    <row r="494" spans="10:12">
      <c r="J494" t="str">
        <f t="shared" ref="J494:J557" si="981">IF(AND(ISNUMBER(#REF!), ISNUMBER(#REF!)),#REF! -#REF!,"")</f>
        <v/>
      </c>
      <c r="L494" t="str">
        <f t="shared" ref="L494:L557" si="982">IF(AND(ISNUMBER(#REF!), ISNUMBER(#REF!)),#REF! -#REF!,"")</f>
        <v/>
      </c>
    </row>
    <row r="495" spans="10:12">
      <c r="J495" t="str">
        <f t="shared" ref="J495:J558" si="983">IF(AND(ISNUMBER(#REF!), ISNUMBER(#REF!)),#REF! -#REF!,"")</f>
        <v/>
      </c>
      <c r="L495" t="str">
        <f t="shared" ref="L495:L558" si="984">IF(AND(ISNUMBER(#REF!), ISNUMBER(#REF!)),#REF! -#REF!,"")</f>
        <v/>
      </c>
    </row>
    <row r="496" spans="10:12">
      <c r="J496" t="str">
        <f t="shared" ref="J496:J559" si="985">IF(AND(ISNUMBER(#REF!), ISNUMBER(#REF!)),#REF! -#REF!,"")</f>
        <v/>
      </c>
      <c r="L496" t="str">
        <f t="shared" ref="L496:L559" si="986">IF(AND(ISNUMBER(#REF!), ISNUMBER(#REF!)),#REF! -#REF!,"")</f>
        <v/>
      </c>
    </row>
    <row r="497" spans="10:12">
      <c r="J497" t="str">
        <f t="shared" ref="J497:J560" si="987">IF(AND(ISNUMBER(#REF!), ISNUMBER(#REF!)),#REF! -#REF!,"")</f>
        <v/>
      </c>
      <c r="L497" t="str">
        <f t="shared" ref="L497:L560" si="988">IF(AND(ISNUMBER(#REF!), ISNUMBER(#REF!)),#REF! -#REF!,"")</f>
        <v/>
      </c>
    </row>
    <row r="498" spans="10:12">
      <c r="J498" t="str">
        <f t="shared" ref="J498:J561" si="989">IF(AND(ISNUMBER(#REF!), ISNUMBER(#REF!)),#REF! -#REF!,"")</f>
        <v/>
      </c>
      <c r="L498" t="str">
        <f t="shared" ref="L498:L561" si="990">IF(AND(ISNUMBER(#REF!), ISNUMBER(#REF!)),#REF! -#REF!,"")</f>
        <v/>
      </c>
    </row>
    <row r="499" spans="10:12">
      <c r="J499" t="str">
        <f t="shared" ref="J499:J562" si="991">IF(AND(ISNUMBER(#REF!), ISNUMBER(#REF!)),#REF! -#REF!,"")</f>
        <v/>
      </c>
      <c r="L499" t="str">
        <f t="shared" ref="L499:L562" si="992">IF(AND(ISNUMBER(#REF!), ISNUMBER(#REF!)),#REF! -#REF!,"")</f>
        <v/>
      </c>
    </row>
    <row r="500" spans="10:12">
      <c r="J500" t="str">
        <f t="shared" ref="J500:J563" si="993">IF(AND(ISNUMBER(#REF!), ISNUMBER(#REF!)),#REF! -#REF!,"")</f>
        <v/>
      </c>
      <c r="L500" t="str">
        <f t="shared" ref="L500:L563" si="994">IF(AND(ISNUMBER(#REF!), ISNUMBER(#REF!)),#REF! -#REF!,"")</f>
        <v/>
      </c>
    </row>
    <row r="501" spans="10:12">
      <c r="J501" t="str">
        <f t="shared" ref="J501:J564" si="995">IF(AND(ISNUMBER(#REF!), ISNUMBER(#REF!)),#REF! -#REF!,"")</f>
        <v/>
      </c>
      <c r="L501" t="str">
        <f t="shared" ref="L501:L564" si="996">IF(AND(ISNUMBER(#REF!), ISNUMBER(#REF!)),#REF! -#REF!,"")</f>
        <v/>
      </c>
    </row>
    <row r="502" spans="10:12">
      <c r="J502" t="str">
        <f t="shared" ref="J502:J565" si="997">IF(AND(ISNUMBER(#REF!), ISNUMBER(#REF!)),#REF! -#REF!,"")</f>
        <v/>
      </c>
      <c r="L502" t="str">
        <f t="shared" ref="L502:L565" si="998">IF(AND(ISNUMBER(#REF!), ISNUMBER(#REF!)),#REF! -#REF!,"")</f>
        <v/>
      </c>
    </row>
    <row r="503" spans="10:12">
      <c r="J503" t="str">
        <f t="shared" ref="J503:J566" si="999">IF(AND(ISNUMBER(#REF!), ISNUMBER(#REF!)),#REF! -#REF!,"")</f>
        <v/>
      </c>
      <c r="L503" t="str">
        <f t="shared" ref="L503:L566" si="1000">IF(AND(ISNUMBER(#REF!), ISNUMBER(#REF!)),#REF! -#REF!,"")</f>
        <v/>
      </c>
    </row>
    <row r="504" spans="10:12">
      <c r="J504" t="str">
        <f t="shared" ref="J504:J567" si="1001">IF(AND(ISNUMBER(#REF!), ISNUMBER(#REF!)),#REF! -#REF!,"")</f>
        <v/>
      </c>
      <c r="L504" t="str">
        <f t="shared" ref="L504:L567" si="1002">IF(AND(ISNUMBER(#REF!), ISNUMBER(#REF!)),#REF! -#REF!,"")</f>
        <v/>
      </c>
    </row>
    <row r="505" spans="10:12">
      <c r="J505" t="str">
        <f t="shared" ref="J505:J568" si="1003">IF(AND(ISNUMBER(#REF!), ISNUMBER(#REF!)),#REF! -#REF!,"")</f>
        <v/>
      </c>
      <c r="L505" t="str">
        <f t="shared" ref="L505:L568" si="1004">IF(AND(ISNUMBER(#REF!), ISNUMBER(#REF!)),#REF! -#REF!,"")</f>
        <v/>
      </c>
    </row>
    <row r="506" spans="10:12">
      <c r="J506" t="str">
        <f t="shared" ref="J506:J569" si="1005">IF(AND(ISNUMBER(#REF!), ISNUMBER(#REF!)),#REF! -#REF!,"")</f>
        <v/>
      </c>
      <c r="L506" t="str">
        <f t="shared" ref="L506:L569" si="1006">IF(AND(ISNUMBER(#REF!), ISNUMBER(#REF!)),#REF! -#REF!,"")</f>
        <v/>
      </c>
    </row>
    <row r="507" spans="10:12">
      <c r="J507" t="str">
        <f t="shared" ref="J507:J570" si="1007">IF(AND(ISNUMBER(#REF!), ISNUMBER(#REF!)),#REF! -#REF!,"")</f>
        <v/>
      </c>
      <c r="L507" t="str">
        <f t="shared" ref="L507:L570" si="1008">IF(AND(ISNUMBER(#REF!), ISNUMBER(#REF!)),#REF! -#REF!,"")</f>
        <v/>
      </c>
    </row>
    <row r="508" spans="10:12">
      <c r="J508" t="str">
        <f t="shared" ref="J508:J571" si="1009">IF(AND(ISNUMBER(#REF!), ISNUMBER(#REF!)),#REF! -#REF!,"")</f>
        <v/>
      </c>
      <c r="L508" t="str">
        <f t="shared" ref="L508:L571" si="1010">IF(AND(ISNUMBER(#REF!), ISNUMBER(#REF!)),#REF! -#REF!,"")</f>
        <v/>
      </c>
    </row>
    <row r="509" spans="10:12">
      <c r="J509" t="str">
        <f t="shared" ref="J509:J572" si="1011">IF(AND(ISNUMBER(#REF!), ISNUMBER(#REF!)),#REF! -#REF!,"")</f>
        <v/>
      </c>
      <c r="L509" t="str">
        <f t="shared" ref="L509:L572" si="1012">IF(AND(ISNUMBER(#REF!), ISNUMBER(#REF!)),#REF! -#REF!,"")</f>
        <v/>
      </c>
    </row>
    <row r="510" spans="10:12">
      <c r="J510" t="str">
        <f t="shared" ref="J510:J573" si="1013">IF(AND(ISNUMBER(#REF!), ISNUMBER(#REF!)),#REF! -#REF!,"")</f>
        <v/>
      </c>
      <c r="L510" t="str">
        <f t="shared" ref="L510:L573" si="1014">IF(AND(ISNUMBER(#REF!), ISNUMBER(#REF!)),#REF! -#REF!,"")</f>
        <v/>
      </c>
    </row>
    <row r="511" spans="10:12">
      <c r="J511" t="str">
        <f t="shared" ref="J511:J574" si="1015">IF(AND(ISNUMBER(#REF!), ISNUMBER(#REF!)),#REF! -#REF!,"")</f>
        <v/>
      </c>
      <c r="L511" t="str">
        <f t="shared" ref="L511:L574" si="1016">IF(AND(ISNUMBER(#REF!), ISNUMBER(#REF!)),#REF! -#REF!,"")</f>
        <v/>
      </c>
    </row>
    <row r="512" spans="10:12">
      <c r="J512" t="str">
        <f t="shared" ref="J512:J575" si="1017">IF(AND(ISNUMBER(#REF!), ISNUMBER(#REF!)),#REF! -#REF!,"")</f>
        <v/>
      </c>
      <c r="L512" t="str">
        <f t="shared" ref="L512:L575" si="1018">IF(AND(ISNUMBER(#REF!), ISNUMBER(#REF!)),#REF! -#REF!,"")</f>
        <v/>
      </c>
    </row>
    <row r="513" spans="10:12">
      <c r="J513" t="str">
        <f t="shared" ref="J513:J576" si="1019">IF(AND(ISNUMBER(#REF!), ISNUMBER(#REF!)),#REF! -#REF!,"")</f>
        <v/>
      </c>
      <c r="L513" t="str">
        <f t="shared" ref="L513:L576" si="1020">IF(AND(ISNUMBER(#REF!), ISNUMBER(#REF!)),#REF! -#REF!,"")</f>
        <v/>
      </c>
    </row>
    <row r="514" spans="10:12">
      <c r="J514" t="str">
        <f t="shared" ref="J514:J577" si="1021">IF(AND(ISNUMBER(#REF!), ISNUMBER(#REF!)),#REF! -#REF!,"")</f>
        <v/>
      </c>
      <c r="L514" t="str">
        <f t="shared" ref="L514:L577" si="1022">IF(AND(ISNUMBER(#REF!), ISNUMBER(#REF!)),#REF! -#REF!,"")</f>
        <v/>
      </c>
    </row>
    <row r="515" spans="10:12">
      <c r="J515" t="str">
        <f t="shared" ref="J515:J578" si="1023">IF(AND(ISNUMBER(#REF!), ISNUMBER(#REF!)),#REF! -#REF!,"")</f>
        <v/>
      </c>
      <c r="L515" t="str">
        <f t="shared" ref="L515:L578" si="1024">IF(AND(ISNUMBER(#REF!), ISNUMBER(#REF!)),#REF! -#REF!,"")</f>
        <v/>
      </c>
    </row>
    <row r="516" spans="10:12">
      <c r="J516" t="str">
        <f t="shared" ref="J516:J579" si="1025">IF(AND(ISNUMBER(#REF!), ISNUMBER(#REF!)),#REF! -#REF!,"")</f>
        <v/>
      </c>
      <c r="L516" t="str">
        <f t="shared" ref="L516:L579" si="1026">IF(AND(ISNUMBER(#REF!), ISNUMBER(#REF!)),#REF! -#REF!,"")</f>
        <v/>
      </c>
    </row>
    <row r="517" spans="10:12">
      <c r="J517" t="str">
        <f t="shared" ref="J517:J580" si="1027">IF(AND(ISNUMBER(#REF!), ISNUMBER(#REF!)),#REF! -#REF!,"")</f>
        <v/>
      </c>
      <c r="L517" t="str">
        <f t="shared" ref="L517:L580" si="1028">IF(AND(ISNUMBER(#REF!), ISNUMBER(#REF!)),#REF! -#REF!,"")</f>
        <v/>
      </c>
    </row>
    <row r="518" spans="10:12">
      <c r="J518" t="str">
        <f t="shared" ref="J518:J581" si="1029">IF(AND(ISNUMBER(#REF!), ISNUMBER(#REF!)),#REF! -#REF!,"")</f>
        <v/>
      </c>
      <c r="L518" t="str">
        <f t="shared" ref="L518:L581" si="1030">IF(AND(ISNUMBER(#REF!), ISNUMBER(#REF!)),#REF! -#REF!,"")</f>
        <v/>
      </c>
    </row>
    <row r="519" spans="10:12">
      <c r="J519" t="str">
        <f t="shared" ref="J519:J582" si="1031">IF(AND(ISNUMBER(#REF!), ISNUMBER(#REF!)),#REF! -#REF!,"")</f>
        <v/>
      </c>
      <c r="L519" t="str">
        <f t="shared" ref="L519:L582" si="1032">IF(AND(ISNUMBER(#REF!), ISNUMBER(#REF!)),#REF! -#REF!,"")</f>
        <v/>
      </c>
    </row>
    <row r="520" spans="10:12">
      <c r="J520" t="str">
        <f t="shared" ref="J520:J583" si="1033">IF(AND(ISNUMBER(#REF!), ISNUMBER(#REF!)),#REF! -#REF!,"")</f>
        <v/>
      </c>
      <c r="L520" t="str">
        <f t="shared" ref="L520:L583" si="1034">IF(AND(ISNUMBER(#REF!), ISNUMBER(#REF!)),#REF! -#REF!,"")</f>
        <v/>
      </c>
    </row>
    <row r="521" spans="10:12">
      <c r="J521" t="str">
        <f t="shared" ref="J521:J584" si="1035">IF(AND(ISNUMBER(#REF!), ISNUMBER(#REF!)),#REF! -#REF!,"")</f>
        <v/>
      </c>
      <c r="L521" t="str">
        <f t="shared" ref="L521:L584" si="1036">IF(AND(ISNUMBER(#REF!), ISNUMBER(#REF!)),#REF! -#REF!,"")</f>
        <v/>
      </c>
    </row>
    <row r="522" spans="10:12">
      <c r="J522" t="str">
        <f t="shared" ref="J522:J585" si="1037">IF(AND(ISNUMBER(#REF!), ISNUMBER(#REF!)),#REF! -#REF!,"")</f>
        <v/>
      </c>
      <c r="L522" t="str">
        <f t="shared" ref="L522:L585" si="1038">IF(AND(ISNUMBER(#REF!), ISNUMBER(#REF!)),#REF! -#REF!,"")</f>
        <v/>
      </c>
    </row>
    <row r="523" spans="10:12">
      <c r="J523" t="str">
        <f t="shared" ref="J523:J586" si="1039">IF(AND(ISNUMBER(#REF!), ISNUMBER(#REF!)),#REF! -#REF!,"")</f>
        <v/>
      </c>
      <c r="L523" t="str">
        <f t="shared" ref="L523:L586" si="1040">IF(AND(ISNUMBER(#REF!), ISNUMBER(#REF!)),#REF! -#REF!,"")</f>
        <v/>
      </c>
    </row>
    <row r="524" spans="10:12">
      <c r="J524" t="str">
        <f t="shared" ref="J524:J587" si="1041">IF(AND(ISNUMBER(#REF!), ISNUMBER(#REF!)),#REF! -#REF!,"")</f>
        <v/>
      </c>
      <c r="L524" t="str">
        <f t="shared" ref="L524:L587" si="1042">IF(AND(ISNUMBER(#REF!), ISNUMBER(#REF!)),#REF! -#REF!,"")</f>
        <v/>
      </c>
    </row>
    <row r="525" spans="10:12">
      <c r="J525" t="str">
        <f t="shared" ref="J525:J588" si="1043">IF(AND(ISNUMBER(#REF!), ISNUMBER(#REF!)),#REF! -#REF!,"")</f>
        <v/>
      </c>
      <c r="L525" t="str">
        <f t="shared" ref="L525:L588" si="1044">IF(AND(ISNUMBER(#REF!), ISNUMBER(#REF!)),#REF! -#REF!,"")</f>
        <v/>
      </c>
    </row>
    <row r="526" spans="10:12">
      <c r="J526" t="str">
        <f t="shared" ref="J526:J589" si="1045">IF(AND(ISNUMBER(#REF!), ISNUMBER(#REF!)),#REF! -#REF!,"")</f>
        <v/>
      </c>
      <c r="L526" t="str">
        <f t="shared" ref="L526:L589" si="1046">IF(AND(ISNUMBER(#REF!), ISNUMBER(#REF!)),#REF! -#REF!,"")</f>
        <v/>
      </c>
    </row>
    <row r="527" spans="10:12">
      <c r="J527" t="str">
        <f t="shared" ref="J527:J590" si="1047">IF(AND(ISNUMBER(#REF!), ISNUMBER(#REF!)),#REF! -#REF!,"")</f>
        <v/>
      </c>
      <c r="L527" t="str">
        <f t="shared" ref="L527:L590" si="1048">IF(AND(ISNUMBER(#REF!), ISNUMBER(#REF!)),#REF! -#REF!,"")</f>
        <v/>
      </c>
    </row>
    <row r="528" spans="10:12">
      <c r="J528" t="str">
        <f t="shared" ref="J528:J591" si="1049">IF(AND(ISNUMBER(#REF!), ISNUMBER(#REF!)),#REF! -#REF!,"")</f>
        <v/>
      </c>
      <c r="L528" t="str">
        <f t="shared" ref="L528:L591" si="1050">IF(AND(ISNUMBER(#REF!), ISNUMBER(#REF!)),#REF! -#REF!,"")</f>
        <v/>
      </c>
    </row>
    <row r="529" spans="10:12">
      <c r="J529" t="str">
        <f t="shared" ref="J529:J592" si="1051">IF(AND(ISNUMBER(#REF!), ISNUMBER(#REF!)),#REF! -#REF!,"")</f>
        <v/>
      </c>
      <c r="L529" t="str">
        <f t="shared" ref="L529:L592" si="1052">IF(AND(ISNUMBER(#REF!), ISNUMBER(#REF!)),#REF! -#REF!,"")</f>
        <v/>
      </c>
    </row>
    <row r="530" spans="10:12">
      <c r="J530" t="str">
        <f t="shared" ref="J530:J593" si="1053">IF(AND(ISNUMBER(#REF!), ISNUMBER(#REF!)),#REF! -#REF!,"")</f>
        <v/>
      </c>
      <c r="L530" t="str">
        <f t="shared" ref="L530:L593" si="1054">IF(AND(ISNUMBER(#REF!), ISNUMBER(#REF!)),#REF! -#REF!,"")</f>
        <v/>
      </c>
    </row>
    <row r="531" spans="10:12">
      <c r="J531" t="str">
        <f t="shared" ref="J531:J594" si="1055">IF(AND(ISNUMBER(#REF!), ISNUMBER(#REF!)),#REF! -#REF!,"")</f>
        <v/>
      </c>
      <c r="L531" t="str">
        <f t="shared" ref="L531:L594" si="1056">IF(AND(ISNUMBER(#REF!), ISNUMBER(#REF!)),#REF! -#REF!,"")</f>
        <v/>
      </c>
    </row>
    <row r="532" spans="10:12">
      <c r="J532" t="str">
        <f t="shared" ref="J532:J595" si="1057">IF(AND(ISNUMBER(#REF!), ISNUMBER(#REF!)),#REF! -#REF!,"")</f>
        <v/>
      </c>
      <c r="L532" t="str">
        <f t="shared" ref="L532:L595" si="1058">IF(AND(ISNUMBER(#REF!), ISNUMBER(#REF!)),#REF! -#REF!,"")</f>
        <v/>
      </c>
    </row>
    <row r="533" spans="10:12">
      <c r="J533" t="str">
        <f t="shared" ref="J533:J596" si="1059">IF(AND(ISNUMBER(#REF!), ISNUMBER(#REF!)),#REF! -#REF!,"")</f>
        <v/>
      </c>
      <c r="L533" t="str">
        <f t="shared" ref="L533:L596" si="1060">IF(AND(ISNUMBER(#REF!), ISNUMBER(#REF!)),#REF! -#REF!,"")</f>
        <v/>
      </c>
    </row>
    <row r="534" spans="10:12">
      <c r="J534" t="str">
        <f t="shared" ref="J534:J597" si="1061">IF(AND(ISNUMBER(#REF!), ISNUMBER(#REF!)),#REF! -#REF!,"")</f>
        <v/>
      </c>
      <c r="L534" t="str">
        <f t="shared" ref="L534:L597" si="1062">IF(AND(ISNUMBER(#REF!), ISNUMBER(#REF!)),#REF! -#REF!,"")</f>
        <v/>
      </c>
    </row>
    <row r="535" spans="10:12">
      <c r="J535" t="str">
        <f t="shared" ref="J535:J598" si="1063">IF(AND(ISNUMBER(#REF!), ISNUMBER(#REF!)),#REF! -#REF!,"")</f>
        <v/>
      </c>
      <c r="L535" t="str">
        <f t="shared" ref="L535:L598" si="1064">IF(AND(ISNUMBER(#REF!), ISNUMBER(#REF!)),#REF! -#REF!,"")</f>
        <v/>
      </c>
    </row>
    <row r="536" spans="10:12">
      <c r="J536" t="str">
        <f t="shared" ref="J536:J599" si="1065">IF(AND(ISNUMBER(#REF!), ISNUMBER(#REF!)),#REF! -#REF!,"")</f>
        <v/>
      </c>
      <c r="L536" t="str">
        <f t="shared" ref="L536:L599" si="1066">IF(AND(ISNUMBER(#REF!), ISNUMBER(#REF!)),#REF! -#REF!,"")</f>
        <v/>
      </c>
    </row>
    <row r="537" spans="10:12">
      <c r="J537" t="str">
        <f t="shared" ref="J537:J600" si="1067">IF(AND(ISNUMBER(#REF!), ISNUMBER(#REF!)),#REF! -#REF!,"")</f>
        <v/>
      </c>
      <c r="L537" t="str">
        <f t="shared" ref="L537:L600" si="1068">IF(AND(ISNUMBER(#REF!), ISNUMBER(#REF!)),#REF! -#REF!,"")</f>
        <v/>
      </c>
    </row>
    <row r="538" spans="10:12">
      <c r="J538" t="str">
        <f t="shared" ref="J538:J601" si="1069">IF(AND(ISNUMBER(#REF!), ISNUMBER(#REF!)),#REF! -#REF!,"")</f>
        <v/>
      </c>
      <c r="L538" t="str">
        <f t="shared" ref="L538:L601" si="1070">IF(AND(ISNUMBER(#REF!), ISNUMBER(#REF!)),#REF! -#REF!,"")</f>
        <v/>
      </c>
    </row>
    <row r="539" spans="10:12">
      <c r="J539" t="str">
        <f t="shared" ref="J539:J602" si="1071">IF(AND(ISNUMBER(#REF!), ISNUMBER(#REF!)),#REF! -#REF!,"")</f>
        <v/>
      </c>
      <c r="L539" t="str">
        <f t="shared" ref="L539:L602" si="1072">IF(AND(ISNUMBER(#REF!), ISNUMBER(#REF!)),#REF! -#REF!,"")</f>
        <v/>
      </c>
    </row>
    <row r="540" spans="10:12">
      <c r="J540" t="str">
        <f t="shared" ref="J540:J603" si="1073">IF(AND(ISNUMBER(#REF!), ISNUMBER(#REF!)),#REF! -#REF!,"")</f>
        <v/>
      </c>
      <c r="L540" t="str">
        <f t="shared" ref="L540:L603" si="1074">IF(AND(ISNUMBER(#REF!), ISNUMBER(#REF!)),#REF! -#REF!,"")</f>
        <v/>
      </c>
    </row>
    <row r="541" spans="10:12">
      <c r="J541" t="str">
        <f t="shared" ref="J541:J604" si="1075">IF(AND(ISNUMBER(#REF!), ISNUMBER(#REF!)),#REF! -#REF!,"")</f>
        <v/>
      </c>
      <c r="L541" t="str">
        <f t="shared" ref="L541:L604" si="1076">IF(AND(ISNUMBER(#REF!), ISNUMBER(#REF!)),#REF! -#REF!,"")</f>
        <v/>
      </c>
    </row>
    <row r="542" spans="10:12">
      <c r="J542" t="str">
        <f t="shared" ref="J542:J605" si="1077">IF(AND(ISNUMBER(#REF!), ISNUMBER(#REF!)),#REF! -#REF!,"")</f>
        <v/>
      </c>
      <c r="L542" t="str">
        <f t="shared" ref="L542:L605" si="1078">IF(AND(ISNUMBER(#REF!), ISNUMBER(#REF!)),#REF! -#REF!,"")</f>
        <v/>
      </c>
    </row>
    <row r="543" spans="10:12">
      <c r="J543" t="str">
        <f t="shared" ref="J543:J606" si="1079">IF(AND(ISNUMBER(#REF!), ISNUMBER(#REF!)),#REF! -#REF!,"")</f>
        <v/>
      </c>
      <c r="L543" t="str">
        <f t="shared" ref="L543:L606" si="1080">IF(AND(ISNUMBER(#REF!), ISNUMBER(#REF!)),#REF! -#REF!,"")</f>
        <v/>
      </c>
    </row>
    <row r="544" spans="10:12">
      <c r="J544" t="str">
        <f t="shared" ref="J544:J607" si="1081">IF(AND(ISNUMBER(#REF!), ISNUMBER(#REF!)),#REF! -#REF!,"")</f>
        <v/>
      </c>
      <c r="L544" t="str">
        <f t="shared" ref="L544:L607" si="1082">IF(AND(ISNUMBER(#REF!), ISNUMBER(#REF!)),#REF! -#REF!,"")</f>
        <v/>
      </c>
    </row>
    <row r="545" spans="10:12">
      <c r="J545" t="str">
        <f t="shared" ref="J545:J608" si="1083">IF(AND(ISNUMBER(#REF!), ISNUMBER(#REF!)),#REF! -#REF!,"")</f>
        <v/>
      </c>
      <c r="L545" t="str">
        <f t="shared" ref="L545:L608" si="1084">IF(AND(ISNUMBER(#REF!), ISNUMBER(#REF!)),#REF! -#REF!,"")</f>
        <v/>
      </c>
    </row>
    <row r="546" spans="10:12">
      <c r="J546" t="str">
        <f t="shared" ref="J546:J609" si="1085">IF(AND(ISNUMBER(#REF!), ISNUMBER(#REF!)),#REF! -#REF!,"")</f>
        <v/>
      </c>
      <c r="L546" t="str">
        <f t="shared" ref="L546:L609" si="1086">IF(AND(ISNUMBER(#REF!), ISNUMBER(#REF!)),#REF! -#REF!,"")</f>
        <v/>
      </c>
    </row>
    <row r="547" spans="10:12">
      <c r="J547" t="str">
        <f t="shared" ref="J547:J610" si="1087">IF(AND(ISNUMBER(#REF!), ISNUMBER(#REF!)),#REF! -#REF!,"")</f>
        <v/>
      </c>
      <c r="L547" t="str">
        <f t="shared" ref="L547:L610" si="1088">IF(AND(ISNUMBER(#REF!), ISNUMBER(#REF!)),#REF! -#REF!,"")</f>
        <v/>
      </c>
    </row>
    <row r="548" spans="10:12">
      <c r="J548" t="str">
        <f t="shared" ref="J548:J611" si="1089">IF(AND(ISNUMBER(#REF!), ISNUMBER(#REF!)),#REF! -#REF!,"")</f>
        <v/>
      </c>
      <c r="L548" t="str">
        <f t="shared" ref="L548:L611" si="1090">IF(AND(ISNUMBER(#REF!), ISNUMBER(#REF!)),#REF! -#REF!,"")</f>
        <v/>
      </c>
    </row>
    <row r="549" spans="10:12">
      <c r="J549" t="str">
        <f t="shared" ref="J549:J612" si="1091">IF(AND(ISNUMBER(#REF!), ISNUMBER(#REF!)),#REF! -#REF!,"")</f>
        <v/>
      </c>
      <c r="L549" t="str">
        <f t="shared" ref="L549:L612" si="1092">IF(AND(ISNUMBER(#REF!), ISNUMBER(#REF!)),#REF! -#REF!,"")</f>
        <v/>
      </c>
    </row>
    <row r="550" spans="10:12">
      <c r="J550" t="str">
        <f t="shared" ref="J550:J613" si="1093">IF(AND(ISNUMBER(#REF!), ISNUMBER(#REF!)),#REF! -#REF!,"")</f>
        <v/>
      </c>
      <c r="L550" t="str">
        <f t="shared" ref="L550:L613" si="1094">IF(AND(ISNUMBER(#REF!), ISNUMBER(#REF!)),#REF! -#REF!,"")</f>
        <v/>
      </c>
    </row>
    <row r="551" spans="10:12">
      <c r="J551" t="str">
        <f t="shared" ref="J551:J614" si="1095">IF(AND(ISNUMBER(#REF!), ISNUMBER(#REF!)),#REF! -#REF!,"")</f>
        <v/>
      </c>
      <c r="L551" t="str">
        <f t="shared" ref="L551:L614" si="1096">IF(AND(ISNUMBER(#REF!), ISNUMBER(#REF!)),#REF! -#REF!,"")</f>
        <v/>
      </c>
    </row>
    <row r="552" spans="10:12">
      <c r="J552" t="str">
        <f t="shared" ref="J552:J615" si="1097">IF(AND(ISNUMBER(#REF!), ISNUMBER(#REF!)),#REF! -#REF!,"")</f>
        <v/>
      </c>
      <c r="L552" t="str">
        <f t="shared" ref="L552:L615" si="1098">IF(AND(ISNUMBER(#REF!), ISNUMBER(#REF!)),#REF! -#REF!,"")</f>
        <v/>
      </c>
    </row>
    <row r="553" spans="10:12">
      <c r="J553" t="str">
        <f t="shared" ref="J553:J616" si="1099">IF(AND(ISNUMBER(#REF!), ISNUMBER(#REF!)),#REF! -#REF!,"")</f>
        <v/>
      </c>
      <c r="L553" t="str">
        <f t="shared" ref="L553:L616" si="1100">IF(AND(ISNUMBER(#REF!), ISNUMBER(#REF!)),#REF! -#REF!,"")</f>
        <v/>
      </c>
    </row>
    <row r="554" spans="10:12">
      <c r="J554" t="str">
        <f t="shared" ref="J554:J617" si="1101">IF(AND(ISNUMBER(#REF!), ISNUMBER(#REF!)),#REF! -#REF!,"")</f>
        <v/>
      </c>
      <c r="L554" t="str">
        <f t="shared" ref="L554:L617" si="1102">IF(AND(ISNUMBER(#REF!), ISNUMBER(#REF!)),#REF! -#REF!,"")</f>
        <v/>
      </c>
    </row>
    <row r="555" spans="10:12">
      <c r="J555" t="str">
        <f t="shared" ref="J555:J618" si="1103">IF(AND(ISNUMBER(#REF!), ISNUMBER(#REF!)),#REF! -#REF!,"")</f>
        <v/>
      </c>
      <c r="L555" t="str">
        <f t="shared" ref="L555:L618" si="1104">IF(AND(ISNUMBER(#REF!), ISNUMBER(#REF!)),#REF! -#REF!,"")</f>
        <v/>
      </c>
    </row>
    <row r="556" spans="10:12">
      <c r="J556" t="str">
        <f t="shared" ref="J556:J619" si="1105">IF(AND(ISNUMBER(#REF!), ISNUMBER(#REF!)),#REF! -#REF!,"")</f>
        <v/>
      </c>
      <c r="L556" t="str">
        <f t="shared" ref="L556:L619" si="1106">IF(AND(ISNUMBER(#REF!), ISNUMBER(#REF!)),#REF! -#REF!,"")</f>
        <v/>
      </c>
    </row>
    <row r="557" spans="10:12">
      <c r="J557" t="str">
        <f t="shared" ref="J557:J620" si="1107">IF(AND(ISNUMBER(#REF!), ISNUMBER(#REF!)),#REF! -#REF!,"")</f>
        <v/>
      </c>
      <c r="L557" t="str">
        <f t="shared" ref="L557:L620" si="1108">IF(AND(ISNUMBER(#REF!), ISNUMBER(#REF!)),#REF! -#REF!,"")</f>
        <v/>
      </c>
    </row>
    <row r="558" spans="10:12">
      <c r="J558" t="str">
        <f t="shared" ref="J558:J621" si="1109">IF(AND(ISNUMBER(#REF!), ISNUMBER(#REF!)),#REF! -#REF!,"")</f>
        <v/>
      </c>
      <c r="L558" t="str">
        <f t="shared" ref="L558:L621" si="1110">IF(AND(ISNUMBER(#REF!), ISNUMBER(#REF!)),#REF! -#REF!,"")</f>
        <v/>
      </c>
    </row>
    <row r="559" spans="10:12">
      <c r="J559" t="str">
        <f t="shared" ref="J559:J622" si="1111">IF(AND(ISNUMBER(#REF!), ISNUMBER(#REF!)),#REF! -#REF!,"")</f>
        <v/>
      </c>
      <c r="L559" t="str">
        <f t="shared" ref="L559:L622" si="1112">IF(AND(ISNUMBER(#REF!), ISNUMBER(#REF!)),#REF! -#REF!,"")</f>
        <v/>
      </c>
    </row>
    <row r="560" spans="10:12">
      <c r="J560" t="str">
        <f t="shared" ref="J560:J623" si="1113">IF(AND(ISNUMBER(#REF!), ISNUMBER(#REF!)),#REF! -#REF!,"")</f>
        <v/>
      </c>
      <c r="L560" t="str">
        <f t="shared" ref="L560:L623" si="1114">IF(AND(ISNUMBER(#REF!), ISNUMBER(#REF!)),#REF! -#REF!,"")</f>
        <v/>
      </c>
    </row>
    <row r="561" spans="10:12">
      <c r="J561" t="str">
        <f t="shared" ref="J561:J624" si="1115">IF(AND(ISNUMBER(#REF!), ISNUMBER(#REF!)),#REF! -#REF!,"")</f>
        <v/>
      </c>
      <c r="L561" t="str">
        <f t="shared" ref="L561:L624" si="1116">IF(AND(ISNUMBER(#REF!), ISNUMBER(#REF!)),#REF! -#REF!,"")</f>
        <v/>
      </c>
    </row>
    <row r="562" spans="10:12">
      <c r="J562" t="str">
        <f t="shared" ref="J562:J625" si="1117">IF(AND(ISNUMBER(#REF!), ISNUMBER(#REF!)),#REF! -#REF!,"")</f>
        <v/>
      </c>
      <c r="L562" t="str">
        <f t="shared" ref="L562:L625" si="1118">IF(AND(ISNUMBER(#REF!), ISNUMBER(#REF!)),#REF! -#REF!,"")</f>
        <v/>
      </c>
    </row>
    <row r="563" spans="10:12">
      <c r="J563" t="str">
        <f t="shared" ref="J563:J626" si="1119">IF(AND(ISNUMBER(#REF!), ISNUMBER(#REF!)),#REF! -#REF!,"")</f>
        <v/>
      </c>
      <c r="L563" t="str">
        <f t="shared" ref="L563:L626" si="1120">IF(AND(ISNUMBER(#REF!), ISNUMBER(#REF!)),#REF! -#REF!,"")</f>
        <v/>
      </c>
    </row>
    <row r="564" spans="10:12">
      <c r="J564" t="str">
        <f t="shared" ref="J564:J627" si="1121">IF(AND(ISNUMBER(#REF!), ISNUMBER(#REF!)),#REF! -#REF!,"")</f>
        <v/>
      </c>
      <c r="L564" t="str">
        <f t="shared" ref="L564:L627" si="1122">IF(AND(ISNUMBER(#REF!), ISNUMBER(#REF!)),#REF! -#REF!,"")</f>
        <v/>
      </c>
    </row>
    <row r="565" spans="10:12">
      <c r="J565" t="str">
        <f t="shared" ref="J565:J628" si="1123">IF(AND(ISNUMBER(#REF!), ISNUMBER(#REF!)),#REF! -#REF!,"")</f>
        <v/>
      </c>
      <c r="L565" t="str">
        <f t="shared" ref="L565:L628" si="1124">IF(AND(ISNUMBER(#REF!), ISNUMBER(#REF!)),#REF! -#REF!,"")</f>
        <v/>
      </c>
    </row>
    <row r="566" spans="10:12">
      <c r="J566" t="str">
        <f t="shared" ref="J566:J629" si="1125">IF(AND(ISNUMBER(#REF!), ISNUMBER(#REF!)),#REF! -#REF!,"")</f>
        <v/>
      </c>
      <c r="L566" t="str">
        <f t="shared" ref="L566:L629" si="1126">IF(AND(ISNUMBER(#REF!), ISNUMBER(#REF!)),#REF! -#REF!,"")</f>
        <v/>
      </c>
    </row>
    <row r="567" spans="10:12">
      <c r="J567" t="str">
        <f t="shared" ref="J567:J630" si="1127">IF(AND(ISNUMBER(#REF!), ISNUMBER(#REF!)),#REF! -#REF!,"")</f>
        <v/>
      </c>
      <c r="L567" t="str">
        <f t="shared" ref="L567:L630" si="1128">IF(AND(ISNUMBER(#REF!), ISNUMBER(#REF!)),#REF! -#REF!,"")</f>
        <v/>
      </c>
    </row>
    <row r="568" spans="10:12">
      <c r="J568" t="str">
        <f t="shared" ref="J568:J631" si="1129">IF(AND(ISNUMBER(#REF!), ISNUMBER(#REF!)),#REF! -#REF!,"")</f>
        <v/>
      </c>
      <c r="L568" t="str">
        <f t="shared" ref="L568:L631" si="1130">IF(AND(ISNUMBER(#REF!), ISNUMBER(#REF!)),#REF! -#REF!,"")</f>
        <v/>
      </c>
    </row>
    <row r="569" spans="10:12">
      <c r="J569" t="str">
        <f t="shared" ref="J569:J632" si="1131">IF(AND(ISNUMBER(#REF!), ISNUMBER(#REF!)),#REF! -#REF!,"")</f>
        <v/>
      </c>
      <c r="L569" t="str">
        <f t="shared" ref="L569:L632" si="1132">IF(AND(ISNUMBER(#REF!), ISNUMBER(#REF!)),#REF! -#REF!,"")</f>
        <v/>
      </c>
    </row>
    <row r="570" spans="10:12">
      <c r="J570" t="str">
        <f t="shared" ref="J570:J633" si="1133">IF(AND(ISNUMBER(#REF!), ISNUMBER(#REF!)),#REF! -#REF!,"")</f>
        <v/>
      </c>
      <c r="L570" t="str">
        <f t="shared" ref="L570:L633" si="1134">IF(AND(ISNUMBER(#REF!), ISNUMBER(#REF!)),#REF! -#REF!,"")</f>
        <v/>
      </c>
    </row>
    <row r="571" spans="10:12">
      <c r="J571" t="str">
        <f t="shared" ref="J571:J634" si="1135">IF(AND(ISNUMBER(#REF!), ISNUMBER(#REF!)),#REF! -#REF!,"")</f>
        <v/>
      </c>
      <c r="L571" t="str">
        <f t="shared" ref="L571:L634" si="1136">IF(AND(ISNUMBER(#REF!), ISNUMBER(#REF!)),#REF! -#REF!,"")</f>
        <v/>
      </c>
    </row>
    <row r="572" spans="10:12">
      <c r="J572" t="str">
        <f t="shared" ref="J572:J635" si="1137">IF(AND(ISNUMBER(#REF!), ISNUMBER(#REF!)),#REF! -#REF!,"")</f>
        <v/>
      </c>
      <c r="L572" t="str">
        <f t="shared" ref="L572:L635" si="1138">IF(AND(ISNUMBER(#REF!), ISNUMBER(#REF!)),#REF! -#REF!,"")</f>
        <v/>
      </c>
    </row>
    <row r="573" spans="10:12">
      <c r="J573" t="str">
        <f t="shared" ref="J573:J636" si="1139">IF(AND(ISNUMBER(#REF!), ISNUMBER(#REF!)),#REF! -#REF!,"")</f>
        <v/>
      </c>
      <c r="L573" t="str">
        <f t="shared" ref="L573:L636" si="1140">IF(AND(ISNUMBER(#REF!), ISNUMBER(#REF!)),#REF! -#REF!,"")</f>
        <v/>
      </c>
    </row>
    <row r="574" spans="10:12">
      <c r="J574" t="str">
        <f t="shared" ref="J574:J637" si="1141">IF(AND(ISNUMBER(#REF!), ISNUMBER(#REF!)),#REF! -#REF!,"")</f>
        <v/>
      </c>
      <c r="L574" t="str">
        <f t="shared" ref="L574:L637" si="1142">IF(AND(ISNUMBER(#REF!), ISNUMBER(#REF!)),#REF! -#REF!,"")</f>
        <v/>
      </c>
    </row>
    <row r="575" spans="10:12">
      <c r="J575" t="str">
        <f t="shared" ref="J575:J638" si="1143">IF(AND(ISNUMBER(#REF!), ISNUMBER(#REF!)),#REF! -#REF!,"")</f>
        <v/>
      </c>
      <c r="L575" t="str">
        <f t="shared" ref="L575:L638" si="1144">IF(AND(ISNUMBER(#REF!), ISNUMBER(#REF!)),#REF! -#REF!,"")</f>
        <v/>
      </c>
    </row>
    <row r="576" spans="10:12">
      <c r="J576" t="str">
        <f t="shared" ref="J576:J639" si="1145">IF(AND(ISNUMBER(#REF!), ISNUMBER(#REF!)),#REF! -#REF!,"")</f>
        <v/>
      </c>
      <c r="L576" t="str">
        <f t="shared" ref="L576:L639" si="1146">IF(AND(ISNUMBER(#REF!), ISNUMBER(#REF!)),#REF! -#REF!,"")</f>
        <v/>
      </c>
    </row>
    <row r="577" spans="10:12">
      <c r="J577" t="str">
        <f t="shared" ref="J577:J640" si="1147">IF(AND(ISNUMBER(#REF!), ISNUMBER(#REF!)),#REF! -#REF!,"")</f>
        <v/>
      </c>
      <c r="L577" t="str">
        <f t="shared" ref="L577:L640" si="1148">IF(AND(ISNUMBER(#REF!), ISNUMBER(#REF!)),#REF! -#REF!,"")</f>
        <v/>
      </c>
    </row>
    <row r="578" spans="10:12">
      <c r="J578" t="str">
        <f t="shared" ref="J578:J641" si="1149">IF(AND(ISNUMBER(#REF!), ISNUMBER(#REF!)),#REF! -#REF!,"")</f>
        <v/>
      </c>
      <c r="L578" t="str">
        <f t="shared" ref="L578:L641" si="1150">IF(AND(ISNUMBER(#REF!), ISNUMBER(#REF!)),#REF! -#REF!,"")</f>
        <v/>
      </c>
    </row>
    <row r="579" spans="10:12">
      <c r="J579" t="str">
        <f t="shared" ref="J579:J642" si="1151">IF(AND(ISNUMBER(#REF!), ISNUMBER(#REF!)),#REF! -#REF!,"")</f>
        <v/>
      </c>
      <c r="L579" t="str">
        <f t="shared" ref="L579:L642" si="1152">IF(AND(ISNUMBER(#REF!), ISNUMBER(#REF!)),#REF! -#REF!,"")</f>
        <v/>
      </c>
    </row>
    <row r="580" spans="10:12">
      <c r="J580" t="str">
        <f t="shared" ref="J580:J643" si="1153">IF(AND(ISNUMBER(#REF!), ISNUMBER(#REF!)),#REF! -#REF!,"")</f>
        <v/>
      </c>
      <c r="L580" t="str">
        <f t="shared" ref="L580:L643" si="1154">IF(AND(ISNUMBER(#REF!), ISNUMBER(#REF!)),#REF! -#REF!,"")</f>
        <v/>
      </c>
    </row>
    <row r="581" spans="10:12">
      <c r="J581" t="str">
        <f t="shared" ref="J581:J644" si="1155">IF(AND(ISNUMBER(#REF!), ISNUMBER(#REF!)),#REF! -#REF!,"")</f>
        <v/>
      </c>
      <c r="L581" t="str">
        <f t="shared" ref="L581:L644" si="1156">IF(AND(ISNUMBER(#REF!), ISNUMBER(#REF!)),#REF! -#REF!,"")</f>
        <v/>
      </c>
    </row>
    <row r="582" spans="10:12">
      <c r="J582" t="str">
        <f t="shared" ref="J582:J645" si="1157">IF(AND(ISNUMBER(#REF!), ISNUMBER(#REF!)),#REF! -#REF!,"")</f>
        <v/>
      </c>
      <c r="L582" t="str">
        <f t="shared" ref="L582:L645" si="1158">IF(AND(ISNUMBER(#REF!), ISNUMBER(#REF!)),#REF! -#REF!,"")</f>
        <v/>
      </c>
    </row>
    <row r="583" spans="10:12">
      <c r="J583" t="str">
        <f t="shared" ref="J583:J646" si="1159">IF(AND(ISNUMBER(#REF!), ISNUMBER(#REF!)),#REF! -#REF!,"")</f>
        <v/>
      </c>
      <c r="L583" t="str">
        <f t="shared" ref="L583:L646" si="1160">IF(AND(ISNUMBER(#REF!), ISNUMBER(#REF!)),#REF! -#REF!,"")</f>
        <v/>
      </c>
    </row>
    <row r="584" spans="10:12">
      <c r="J584" t="str">
        <f t="shared" ref="J584:J647" si="1161">IF(AND(ISNUMBER(#REF!), ISNUMBER(#REF!)),#REF! -#REF!,"")</f>
        <v/>
      </c>
      <c r="L584" t="str">
        <f t="shared" ref="L584:L647" si="1162">IF(AND(ISNUMBER(#REF!), ISNUMBER(#REF!)),#REF! -#REF!,"")</f>
        <v/>
      </c>
    </row>
    <row r="585" spans="10:12">
      <c r="J585" t="str">
        <f t="shared" ref="J585:J648" si="1163">IF(AND(ISNUMBER(#REF!), ISNUMBER(#REF!)),#REF! -#REF!,"")</f>
        <v/>
      </c>
      <c r="L585" t="str">
        <f t="shared" ref="L585:L648" si="1164">IF(AND(ISNUMBER(#REF!), ISNUMBER(#REF!)),#REF! -#REF!,"")</f>
        <v/>
      </c>
    </row>
    <row r="586" spans="10:12">
      <c r="J586" t="str">
        <f t="shared" ref="J586:J649" si="1165">IF(AND(ISNUMBER(#REF!), ISNUMBER(#REF!)),#REF! -#REF!,"")</f>
        <v/>
      </c>
      <c r="L586" t="str">
        <f t="shared" ref="L586:L649" si="1166">IF(AND(ISNUMBER(#REF!), ISNUMBER(#REF!)),#REF! -#REF!,"")</f>
        <v/>
      </c>
    </row>
    <row r="587" spans="10:12">
      <c r="J587" t="str">
        <f t="shared" ref="J587:J650" si="1167">IF(AND(ISNUMBER(#REF!), ISNUMBER(#REF!)),#REF! -#REF!,"")</f>
        <v/>
      </c>
      <c r="L587" t="str">
        <f t="shared" ref="L587:L650" si="1168">IF(AND(ISNUMBER(#REF!), ISNUMBER(#REF!)),#REF! -#REF!,"")</f>
        <v/>
      </c>
    </row>
    <row r="588" spans="10:12">
      <c r="J588" t="str">
        <f t="shared" ref="J588:J651" si="1169">IF(AND(ISNUMBER(#REF!), ISNUMBER(#REF!)),#REF! -#REF!,"")</f>
        <v/>
      </c>
      <c r="L588" t="str">
        <f t="shared" ref="L588:L651" si="1170">IF(AND(ISNUMBER(#REF!), ISNUMBER(#REF!)),#REF! -#REF!,"")</f>
        <v/>
      </c>
    </row>
    <row r="589" spans="10:12">
      <c r="J589" t="str">
        <f t="shared" ref="J589:J652" si="1171">IF(AND(ISNUMBER(#REF!), ISNUMBER(#REF!)),#REF! -#REF!,"")</f>
        <v/>
      </c>
      <c r="L589" t="str">
        <f t="shared" ref="L589:L652" si="1172">IF(AND(ISNUMBER(#REF!), ISNUMBER(#REF!)),#REF! -#REF!,"")</f>
        <v/>
      </c>
    </row>
    <row r="590" spans="10:12">
      <c r="J590" t="str">
        <f t="shared" ref="J590:J653" si="1173">IF(AND(ISNUMBER(#REF!), ISNUMBER(#REF!)),#REF! -#REF!,"")</f>
        <v/>
      </c>
      <c r="L590" t="str">
        <f t="shared" ref="L590:L653" si="1174">IF(AND(ISNUMBER(#REF!), ISNUMBER(#REF!)),#REF! -#REF!,"")</f>
        <v/>
      </c>
    </row>
    <row r="591" spans="10:12">
      <c r="J591" t="str">
        <f t="shared" ref="J591:J654" si="1175">IF(AND(ISNUMBER(#REF!), ISNUMBER(#REF!)),#REF! -#REF!,"")</f>
        <v/>
      </c>
      <c r="L591" t="str">
        <f t="shared" ref="L591:L654" si="1176">IF(AND(ISNUMBER(#REF!), ISNUMBER(#REF!)),#REF! -#REF!,"")</f>
        <v/>
      </c>
    </row>
    <row r="592" spans="10:12">
      <c r="J592" t="str">
        <f t="shared" ref="J592:J655" si="1177">IF(AND(ISNUMBER(#REF!), ISNUMBER(#REF!)),#REF! -#REF!,"")</f>
        <v/>
      </c>
      <c r="L592" t="str">
        <f t="shared" ref="L592:L655" si="1178">IF(AND(ISNUMBER(#REF!), ISNUMBER(#REF!)),#REF! -#REF!,"")</f>
        <v/>
      </c>
    </row>
    <row r="593" spans="10:12">
      <c r="J593" t="str">
        <f t="shared" ref="J593:J656" si="1179">IF(AND(ISNUMBER(#REF!), ISNUMBER(#REF!)),#REF! -#REF!,"")</f>
        <v/>
      </c>
      <c r="L593" t="str">
        <f t="shared" ref="L593:L656" si="1180">IF(AND(ISNUMBER(#REF!), ISNUMBER(#REF!)),#REF! -#REF!,"")</f>
        <v/>
      </c>
    </row>
    <row r="594" spans="10:12">
      <c r="J594" t="str">
        <f t="shared" ref="J594:J657" si="1181">IF(AND(ISNUMBER(#REF!), ISNUMBER(#REF!)),#REF! -#REF!,"")</f>
        <v/>
      </c>
      <c r="L594" t="str">
        <f t="shared" ref="L594:L657" si="1182">IF(AND(ISNUMBER(#REF!), ISNUMBER(#REF!)),#REF! -#REF!,"")</f>
        <v/>
      </c>
    </row>
    <row r="595" spans="10:12">
      <c r="J595" t="str">
        <f t="shared" ref="J595:J658" si="1183">IF(AND(ISNUMBER(#REF!), ISNUMBER(#REF!)),#REF! -#REF!,"")</f>
        <v/>
      </c>
      <c r="L595" t="str">
        <f t="shared" ref="L595:L658" si="1184">IF(AND(ISNUMBER(#REF!), ISNUMBER(#REF!)),#REF! -#REF!,"")</f>
        <v/>
      </c>
    </row>
    <row r="596" spans="10:12">
      <c r="J596" t="str">
        <f t="shared" ref="J596:J659" si="1185">IF(AND(ISNUMBER(#REF!), ISNUMBER(#REF!)),#REF! -#REF!,"")</f>
        <v/>
      </c>
      <c r="L596" t="str">
        <f t="shared" ref="L596:L659" si="1186">IF(AND(ISNUMBER(#REF!), ISNUMBER(#REF!)),#REF! -#REF!,"")</f>
        <v/>
      </c>
    </row>
    <row r="597" spans="10:12">
      <c r="J597" t="str">
        <f t="shared" ref="J597:J660" si="1187">IF(AND(ISNUMBER(#REF!), ISNUMBER(#REF!)),#REF! -#REF!,"")</f>
        <v/>
      </c>
      <c r="L597" t="str">
        <f t="shared" ref="L597:L660" si="1188">IF(AND(ISNUMBER(#REF!), ISNUMBER(#REF!)),#REF! -#REF!,"")</f>
        <v/>
      </c>
    </row>
    <row r="598" spans="10:12">
      <c r="J598" t="str">
        <f t="shared" ref="J598:J661" si="1189">IF(AND(ISNUMBER(#REF!), ISNUMBER(#REF!)),#REF! -#REF!,"")</f>
        <v/>
      </c>
      <c r="L598" t="str">
        <f t="shared" ref="L598:L661" si="1190">IF(AND(ISNUMBER(#REF!), ISNUMBER(#REF!)),#REF! -#REF!,"")</f>
        <v/>
      </c>
    </row>
    <row r="599" spans="10:12">
      <c r="J599" t="str">
        <f t="shared" ref="J599:J662" si="1191">IF(AND(ISNUMBER(#REF!), ISNUMBER(#REF!)),#REF! -#REF!,"")</f>
        <v/>
      </c>
      <c r="L599" t="str">
        <f t="shared" ref="L599:L662" si="1192">IF(AND(ISNUMBER(#REF!), ISNUMBER(#REF!)),#REF! -#REF!,"")</f>
        <v/>
      </c>
    </row>
    <row r="600" spans="10:12">
      <c r="J600" t="str">
        <f t="shared" ref="J600:J663" si="1193">IF(AND(ISNUMBER(#REF!), ISNUMBER(#REF!)),#REF! -#REF!,"")</f>
        <v/>
      </c>
      <c r="L600" t="str">
        <f t="shared" ref="L600:L663" si="1194">IF(AND(ISNUMBER(#REF!), ISNUMBER(#REF!)),#REF! -#REF!,"")</f>
        <v/>
      </c>
    </row>
    <row r="601" spans="10:12">
      <c r="J601" t="str">
        <f t="shared" ref="J601:J664" si="1195">IF(AND(ISNUMBER(#REF!), ISNUMBER(#REF!)),#REF! -#REF!,"")</f>
        <v/>
      </c>
      <c r="L601" t="str">
        <f t="shared" ref="L601:L664" si="1196">IF(AND(ISNUMBER(#REF!), ISNUMBER(#REF!)),#REF! -#REF!,"")</f>
        <v/>
      </c>
    </row>
    <row r="602" spans="10:12">
      <c r="J602" t="str">
        <f t="shared" ref="J602:J665" si="1197">IF(AND(ISNUMBER(#REF!), ISNUMBER(#REF!)),#REF! -#REF!,"")</f>
        <v/>
      </c>
      <c r="L602" t="str">
        <f t="shared" ref="L602:L665" si="1198">IF(AND(ISNUMBER(#REF!), ISNUMBER(#REF!)),#REF! -#REF!,"")</f>
        <v/>
      </c>
    </row>
    <row r="603" spans="10:12">
      <c r="J603" t="str">
        <f t="shared" ref="J603:J666" si="1199">IF(AND(ISNUMBER(#REF!), ISNUMBER(#REF!)),#REF! -#REF!,"")</f>
        <v/>
      </c>
      <c r="L603" t="str">
        <f t="shared" ref="L603:L666" si="1200">IF(AND(ISNUMBER(#REF!), ISNUMBER(#REF!)),#REF! -#REF!,"")</f>
        <v/>
      </c>
    </row>
    <row r="604" spans="10:12">
      <c r="J604" t="str">
        <f t="shared" ref="J604:J667" si="1201">IF(AND(ISNUMBER(#REF!), ISNUMBER(#REF!)),#REF! -#REF!,"")</f>
        <v/>
      </c>
      <c r="L604" t="str">
        <f t="shared" ref="L604:L667" si="1202">IF(AND(ISNUMBER(#REF!), ISNUMBER(#REF!)),#REF! -#REF!,"")</f>
        <v/>
      </c>
    </row>
    <row r="605" spans="10:12">
      <c r="J605" t="str">
        <f t="shared" ref="J605:J668" si="1203">IF(AND(ISNUMBER(#REF!), ISNUMBER(#REF!)),#REF! -#REF!,"")</f>
        <v/>
      </c>
      <c r="L605" t="str">
        <f t="shared" ref="L605:L668" si="1204">IF(AND(ISNUMBER(#REF!), ISNUMBER(#REF!)),#REF! -#REF!,"")</f>
        <v/>
      </c>
    </row>
    <row r="606" spans="10:12">
      <c r="J606" t="str">
        <f t="shared" ref="J606:J669" si="1205">IF(AND(ISNUMBER(#REF!), ISNUMBER(#REF!)),#REF! -#REF!,"")</f>
        <v/>
      </c>
      <c r="L606" t="str">
        <f t="shared" ref="L606:L669" si="1206">IF(AND(ISNUMBER(#REF!), ISNUMBER(#REF!)),#REF! -#REF!,"")</f>
        <v/>
      </c>
    </row>
    <row r="607" spans="10:12">
      <c r="J607" t="str">
        <f t="shared" ref="J607:J670" si="1207">IF(AND(ISNUMBER(#REF!), ISNUMBER(#REF!)),#REF! -#REF!,"")</f>
        <v/>
      </c>
      <c r="L607" t="str">
        <f t="shared" ref="L607:L670" si="1208">IF(AND(ISNUMBER(#REF!), ISNUMBER(#REF!)),#REF! -#REF!,"")</f>
        <v/>
      </c>
    </row>
    <row r="608" spans="10:12">
      <c r="J608" t="str">
        <f t="shared" ref="J608:J671" si="1209">IF(AND(ISNUMBER(#REF!), ISNUMBER(#REF!)),#REF! -#REF!,"")</f>
        <v/>
      </c>
      <c r="L608" t="str">
        <f t="shared" ref="L608:L671" si="1210">IF(AND(ISNUMBER(#REF!), ISNUMBER(#REF!)),#REF! -#REF!,"")</f>
        <v/>
      </c>
    </row>
    <row r="609" spans="10:12">
      <c r="J609" t="str">
        <f t="shared" ref="J609:J672" si="1211">IF(AND(ISNUMBER(#REF!), ISNUMBER(#REF!)),#REF! -#REF!,"")</f>
        <v/>
      </c>
      <c r="L609" t="str">
        <f t="shared" ref="L609:L672" si="1212">IF(AND(ISNUMBER(#REF!), ISNUMBER(#REF!)),#REF! -#REF!,"")</f>
        <v/>
      </c>
    </row>
    <row r="610" spans="10:12">
      <c r="J610" t="str">
        <f t="shared" ref="J610:J673" si="1213">IF(AND(ISNUMBER(#REF!), ISNUMBER(#REF!)),#REF! -#REF!,"")</f>
        <v/>
      </c>
      <c r="L610" t="str">
        <f t="shared" ref="L610:L673" si="1214">IF(AND(ISNUMBER(#REF!), ISNUMBER(#REF!)),#REF! -#REF!,"")</f>
        <v/>
      </c>
    </row>
    <row r="611" spans="10:12">
      <c r="J611" t="str">
        <f t="shared" ref="J611:J674" si="1215">IF(AND(ISNUMBER(#REF!), ISNUMBER(#REF!)),#REF! -#REF!,"")</f>
        <v/>
      </c>
      <c r="L611" t="str">
        <f t="shared" ref="L611:L674" si="1216">IF(AND(ISNUMBER(#REF!), ISNUMBER(#REF!)),#REF! -#REF!,"")</f>
        <v/>
      </c>
    </row>
    <row r="612" spans="10:12">
      <c r="J612" t="str">
        <f t="shared" ref="J612:J675" si="1217">IF(AND(ISNUMBER(#REF!), ISNUMBER(#REF!)),#REF! -#REF!,"")</f>
        <v/>
      </c>
      <c r="L612" t="str">
        <f t="shared" ref="L612:L675" si="1218">IF(AND(ISNUMBER(#REF!), ISNUMBER(#REF!)),#REF! -#REF!,"")</f>
        <v/>
      </c>
    </row>
    <row r="613" spans="10:12">
      <c r="J613" t="str">
        <f t="shared" ref="J613:J676" si="1219">IF(AND(ISNUMBER(#REF!), ISNUMBER(#REF!)),#REF! -#REF!,"")</f>
        <v/>
      </c>
      <c r="L613" t="str">
        <f t="shared" ref="L613:L676" si="1220">IF(AND(ISNUMBER(#REF!), ISNUMBER(#REF!)),#REF! -#REF!,"")</f>
        <v/>
      </c>
    </row>
    <row r="614" spans="10:12">
      <c r="J614" t="str">
        <f t="shared" ref="J614:J677" si="1221">IF(AND(ISNUMBER(#REF!), ISNUMBER(#REF!)),#REF! -#REF!,"")</f>
        <v/>
      </c>
      <c r="L614" t="str">
        <f t="shared" ref="L614:L677" si="1222">IF(AND(ISNUMBER(#REF!), ISNUMBER(#REF!)),#REF! -#REF!,"")</f>
        <v/>
      </c>
    </row>
    <row r="615" spans="10:12">
      <c r="J615" t="str">
        <f t="shared" ref="J615:J678" si="1223">IF(AND(ISNUMBER(#REF!), ISNUMBER(#REF!)),#REF! -#REF!,"")</f>
        <v/>
      </c>
      <c r="L615" t="str">
        <f t="shared" ref="L615:L678" si="1224">IF(AND(ISNUMBER(#REF!), ISNUMBER(#REF!)),#REF! -#REF!,"")</f>
        <v/>
      </c>
    </row>
    <row r="616" spans="10:12">
      <c r="J616" t="str">
        <f t="shared" ref="J616:J679" si="1225">IF(AND(ISNUMBER(#REF!), ISNUMBER(#REF!)),#REF! -#REF!,"")</f>
        <v/>
      </c>
      <c r="L616" t="str">
        <f t="shared" ref="L616:L679" si="1226">IF(AND(ISNUMBER(#REF!), ISNUMBER(#REF!)),#REF! -#REF!,"")</f>
        <v/>
      </c>
    </row>
    <row r="617" spans="10:12">
      <c r="J617" t="str">
        <f t="shared" ref="J617:J680" si="1227">IF(AND(ISNUMBER(#REF!), ISNUMBER(#REF!)),#REF! -#REF!,"")</f>
        <v/>
      </c>
      <c r="L617" t="str">
        <f t="shared" ref="L617:L680" si="1228">IF(AND(ISNUMBER(#REF!), ISNUMBER(#REF!)),#REF! -#REF!,"")</f>
        <v/>
      </c>
    </row>
    <row r="618" spans="10:12">
      <c r="J618" t="str">
        <f t="shared" ref="J618:J681" si="1229">IF(AND(ISNUMBER(#REF!), ISNUMBER(#REF!)),#REF! -#REF!,"")</f>
        <v/>
      </c>
      <c r="L618" t="str">
        <f t="shared" ref="L618:L681" si="1230">IF(AND(ISNUMBER(#REF!), ISNUMBER(#REF!)),#REF! -#REF!,"")</f>
        <v/>
      </c>
    </row>
    <row r="619" spans="10:12">
      <c r="J619" t="str">
        <f t="shared" ref="J619:J682" si="1231">IF(AND(ISNUMBER(#REF!), ISNUMBER(#REF!)),#REF! -#REF!,"")</f>
        <v/>
      </c>
      <c r="L619" t="str">
        <f t="shared" ref="L619:L682" si="1232">IF(AND(ISNUMBER(#REF!), ISNUMBER(#REF!)),#REF! -#REF!,"")</f>
        <v/>
      </c>
    </row>
    <row r="620" spans="10:12">
      <c r="J620" t="str">
        <f t="shared" ref="J620:J683" si="1233">IF(AND(ISNUMBER(#REF!), ISNUMBER(#REF!)),#REF! -#REF!,"")</f>
        <v/>
      </c>
      <c r="L620" t="str">
        <f t="shared" ref="L620:L683" si="1234">IF(AND(ISNUMBER(#REF!), ISNUMBER(#REF!)),#REF! -#REF!,"")</f>
        <v/>
      </c>
    </row>
    <row r="621" spans="10:12">
      <c r="J621" t="str">
        <f t="shared" ref="J621:J684" si="1235">IF(AND(ISNUMBER(#REF!), ISNUMBER(#REF!)),#REF! -#REF!,"")</f>
        <v/>
      </c>
      <c r="L621" t="str">
        <f t="shared" ref="L621:L684" si="1236">IF(AND(ISNUMBER(#REF!), ISNUMBER(#REF!)),#REF! -#REF!,"")</f>
        <v/>
      </c>
    </row>
    <row r="622" spans="10:12">
      <c r="J622" t="str">
        <f t="shared" ref="J622:J685" si="1237">IF(AND(ISNUMBER(#REF!), ISNUMBER(#REF!)),#REF! -#REF!,"")</f>
        <v/>
      </c>
      <c r="L622" t="str">
        <f t="shared" ref="L622:L685" si="1238">IF(AND(ISNUMBER(#REF!), ISNUMBER(#REF!)),#REF! -#REF!,"")</f>
        <v/>
      </c>
    </row>
    <row r="623" spans="10:12">
      <c r="J623" t="str">
        <f t="shared" ref="J623:J686" si="1239">IF(AND(ISNUMBER(#REF!), ISNUMBER(#REF!)),#REF! -#REF!,"")</f>
        <v/>
      </c>
      <c r="L623" t="str">
        <f t="shared" ref="L623:L686" si="1240">IF(AND(ISNUMBER(#REF!), ISNUMBER(#REF!)),#REF! -#REF!,"")</f>
        <v/>
      </c>
    </row>
    <row r="624" spans="10:12">
      <c r="J624" t="str">
        <f t="shared" ref="J624:J687" si="1241">IF(AND(ISNUMBER(#REF!), ISNUMBER(#REF!)),#REF! -#REF!,"")</f>
        <v/>
      </c>
      <c r="L624" t="str">
        <f t="shared" ref="L624:L687" si="1242">IF(AND(ISNUMBER(#REF!), ISNUMBER(#REF!)),#REF! -#REF!,"")</f>
        <v/>
      </c>
    </row>
    <row r="625" spans="10:12">
      <c r="J625" t="str">
        <f t="shared" ref="J625:J688" si="1243">IF(AND(ISNUMBER(#REF!), ISNUMBER(#REF!)),#REF! -#REF!,"")</f>
        <v/>
      </c>
      <c r="L625" t="str">
        <f t="shared" ref="L625:L688" si="1244">IF(AND(ISNUMBER(#REF!), ISNUMBER(#REF!)),#REF! -#REF!,"")</f>
        <v/>
      </c>
    </row>
    <row r="626" spans="10:12">
      <c r="J626" t="str">
        <f t="shared" ref="J626:J689" si="1245">IF(AND(ISNUMBER(#REF!), ISNUMBER(#REF!)),#REF! -#REF!,"")</f>
        <v/>
      </c>
      <c r="L626" t="str">
        <f t="shared" ref="L626:L689" si="1246">IF(AND(ISNUMBER(#REF!), ISNUMBER(#REF!)),#REF! -#REF!,"")</f>
        <v/>
      </c>
    </row>
    <row r="627" spans="10:12">
      <c r="J627" t="str">
        <f t="shared" ref="J627:J690" si="1247">IF(AND(ISNUMBER(#REF!), ISNUMBER(#REF!)),#REF! -#REF!,"")</f>
        <v/>
      </c>
      <c r="L627" t="str">
        <f t="shared" ref="L627:L690" si="1248">IF(AND(ISNUMBER(#REF!), ISNUMBER(#REF!)),#REF! -#REF!,"")</f>
        <v/>
      </c>
    </row>
    <row r="628" spans="10:12">
      <c r="J628" t="str">
        <f t="shared" ref="J628:J691" si="1249">IF(AND(ISNUMBER(#REF!), ISNUMBER(#REF!)),#REF! -#REF!,"")</f>
        <v/>
      </c>
      <c r="L628" t="str">
        <f t="shared" ref="L628:L691" si="1250">IF(AND(ISNUMBER(#REF!), ISNUMBER(#REF!)),#REF! -#REF!,"")</f>
        <v/>
      </c>
    </row>
    <row r="629" spans="10:12">
      <c r="J629" t="str">
        <f t="shared" ref="J629:J692" si="1251">IF(AND(ISNUMBER(#REF!), ISNUMBER(#REF!)),#REF! -#REF!,"")</f>
        <v/>
      </c>
      <c r="L629" t="str">
        <f t="shared" ref="L629:L692" si="1252">IF(AND(ISNUMBER(#REF!), ISNUMBER(#REF!)),#REF! -#REF!,"")</f>
        <v/>
      </c>
    </row>
    <row r="630" spans="10:12">
      <c r="J630" t="str">
        <f t="shared" ref="J630:J693" si="1253">IF(AND(ISNUMBER(#REF!), ISNUMBER(#REF!)),#REF! -#REF!,"")</f>
        <v/>
      </c>
      <c r="L630" t="str">
        <f t="shared" ref="L630:L693" si="1254">IF(AND(ISNUMBER(#REF!), ISNUMBER(#REF!)),#REF! -#REF!,"")</f>
        <v/>
      </c>
    </row>
    <row r="631" spans="10:12">
      <c r="J631" t="str">
        <f t="shared" ref="J631:J694" si="1255">IF(AND(ISNUMBER(#REF!), ISNUMBER(#REF!)),#REF! -#REF!,"")</f>
        <v/>
      </c>
      <c r="L631" t="str">
        <f t="shared" ref="L631:L694" si="1256">IF(AND(ISNUMBER(#REF!), ISNUMBER(#REF!)),#REF! -#REF!,"")</f>
        <v/>
      </c>
    </row>
    <row r="632" spans="10:12">
      <c r="J632" t="str">
        <f t="shared" ref="J632:J695" si="1257">IF(AND(ISNUMBER(#REF!), ISNUMBER(#REF!)),#REF! -#REF!,"")</f>
        <v/>
      </c>
      <c r="L632" t="str">
        <f t="shared" ref="L632:L695" si="1258">IF(AND(ISNUMBER(#REF!), ISNUMBER(#REF!)),#REF! -#REF!,"")</f>
        <v/>
      </c>
    </row>
    <row r="633" spans="10:12">
      <c r="J633" t="str">
        <f t="shared" ref="J633:J696" si="1259">IF(AND(ISNUMBER(#REF!), ISNUMBER(#REF!)),#REF! -#REF!,"")</f>
        <v/>
      </c>
      <c r="L633" t="str">
        <f t="shared" ref="L633:L696" si="1260">IF(AND(ISNUMBER(#REF!), ISNUMBER(#REF!)),#REF! -#REF!,"")</f>
        <v/>
      </c>
    </row>
    <row r="634" spans="10:12">
      <c r="J634" t="str">
        <f t="shared" ref="J634:J697" si="1261">IF(AND(ISNUMBER(#REF!), ISNUMBER(#REF!)),#REF! -#REF!,"")</f>
        <v/>
      </c>
      <c r="L634" t="str">
        <f t="shared" ref="L634:L697" si="1262">IF(AND(ISNUMBER(#REF!), ISNUMBER(#REF!)),#REF! -#REF!,"")</f>
        <v/>
      </c>
    </row>
    <row r="635" spans="10:12">
      <c r="J635" t="str">
        <f t="shared" ref="J635:J698" si="1263">IF(AND(ISNUMBER(#REF!), ISNUMBER(#REF!)),#REF! -#REF!,"")</f>
        <v/>
      </c>
      <c r="L635" t="str">
        <f t="shared" ref="L635:L698" si="1264">IF(AND(ISNUMBER(#REF!), ISNUMBER(#REF!)),#REF! -#REF!,"")</f>
        <v/>
      </c>
    </row>
    <row r="636" spans="10:12">
      <c r="J636" t="str">
        <f t="shared" ref="J636:J699" si="1265">IF(AND(ISNUMBER(#REF!), ISNUMBER(#REF!)),#REF! -#REF!,"")</f>
        <v/>
      </c>
      <c r="L636" t="str">
        <f t="shared" ref="L636:L699" si="1266">IF(AND(ISNUMBER(#REF!), ISNUMBER(#REF!)),#REF! -#REF!,"")</f>
        <v/>
      </c>
    </row>
    <row r="637" spans="10:12">
      <c r="J637" t="str">
        <f t="shared" ref="J637:J700" si="1267">IF(AND(ISNUMBER(#REF!), ISNUMBER(#REF!)),#REF! -#REF!,"")</f>
        <v/>
      </c>
      <c r="L637" t="str">
        <f t="shared" ref="L637:L700" si="1268">IF(AND(ISNUMBER(#REF!), ISNUMBER(#REF!)),#REF! -#REF!,"")</f>
        <v/>
      </c>
    </row>
    <row r="638" spans="10:12">
      <c r="J638" t="str">
        <f t="shared" ref="J638:J701" si="1269">IF(AND(ISNUMBER(#REF!), ISNUMBER(#REF!)),#REF! -#REF!,"")</f>
        <v/>
      </c>
      <c r="L638" t="str">
        <f t="shared" ref="L638:L701" si="1270">IF(AND(ISNUMBER(#REF!), ISNUMBER(#REF!)),#REF! -#REF!,"")</f>
        <v/>
      </c>
    </row>
    <row r="639" spans="10:12">
      <c r="J639" t="str">
        <f t="shared" ref="J639:J702" si="1271">IF(AND(ISNUMBER(#REF!), ISNUMBER(#REF!)),#REF! -#REF!,"")</f>
        <v/>
      </c>
      <c r="L639" t="str">
        <f t="shared" ref="L639:L702" si="1272">IF(AND(ISNUMBER(#REF!), ISNUMBER(#REF!)),#REF! -#REF!,"")</f>
        <v/>
      </c>
    </row>
    <row r="640" spans="10:12">
      <c r="J640" t="str">
        <f t="shared" ref="J640:J703" si="1273">IF(AND(ISNUMBER(#REF!), ISNUMBER(#REF!)),#REF! -#REF!,"")</f>
        <v/>
      </c>
      <c r="L640" t="str">
        <f t="shared" ref="L640:L703" si="1274">IF(AND(ISNUMBER(#REF!), ISNUMBER(#REF!)),#REF! -#REF!,"")</f>
        <v/>
      </c>
    </row>
    <row r="641" spans="10:12">
      <c r="J641" t="str">
        <f t="shared" ref="J641:J704" si="1275">IF(AND(ISNUMBER(#REF!), ISNUMBER(#REF!)),#REF! -#REF!,"")</f>
        <v/>
      </c>
      <c r="L641" t="str">
        <f t="shared" ref="L641:L704" si="1276">IF(AND(ISNUMBER(#REF!), ISNUMBER(#REF!)),#REF! -#REF!,"")</f>
        <v/>
      </c>
    </row>
    <row r="642" spans="10:12">
      <c r="J642" t="str">
        <f t="shared" ref="J642:J705" si="1277">IF(AND(ISNUMBER(#REF!), ISNUMBER(#REF!)),#REF! -#REF!,"")</f>
        <v/>
      </c>
      <c r="L642" t="str">
        <f t="shared" ref="L642:L705" si="1278">IF(AND(ISNUMBER(#REF!), ISNUMBER(#REF!)),#REF! -#REF!,"")</f>
        <v/>
      </c>
    </row>
    <row r="643" spans="10:12">
      <c r="J643" t="str">
        <f t="shared" ref="J643:J706" si="1279">IF(AND(ISNUMBER(#REF!), ISNUMBER(#REF!)),#REF! -#REF!,"")</f>
        <v/>
      </c>
      <c r="L643" t="str">
        <f t="shared" ref="L643:L706" si="1280">IF(AND(ISNUMBER(#REF!), ISNUMBER(#REF!)),#REF! -#REF!,"")</f>
        <v/>
      </c>
    </row>
    <row r="644" spans="10:12">
      <c r="J644" t="str">
        <f t="shared" ref="J644:J707" si="1281">IF(AND(ISNUMBER(#REF!), ISNUMBER(#REF!)),#REF! -#REF!,"")</f>
        <v/>
      </c>
      <c r="L644" t="str">
        <f t="shared" ref="L644:L707" si="1282">IF(AND(ISNUMBER(#REF!), ISNUMBER(#REF!)),#REF! -#REF!,"")</f>
        <v/>
      </c>
    </row>
    <row r="645" spans="10:12">
      <c r="J645" t="str">
        <f t="shared" ref="J645:J708" si="1283">IF(AND(ISNUMBER(#REF!), ISNUMBER(#REF!)),#REF! -#REF!,"")</f>
        <v/>
      </c>
      <c r="L645" t="str">
        <f t="shared" ref="L645:L708" si="1284">IF(AND(ISNUMBER(#REF!), ISNUMBER(#REF!)),#REF! -#REF!,"")</f>
        <v/>
      </c>
    </row>
    <row r="646" spans="10:12">
      <c r="J646" t="str">
        <f t="shared" ref="J646:J709" si="1285">IF(AND(ISNUMBER(#REF!), ISNUMBER(#REF!)),#REF! -#REF!,"")</f>
        <v/>
      </c>
      <c r="L646" t="str">
        <f t="shared" ref="L646:L709" si="1286">IF(AND(ISNUMBER(#REF!), ISNUMBER(#REF!)),#REF! -#REF!,"")</f>
        <v/>
      </c>
    </row>
    <row r="647" spans="10:12">
      <c r="J647" t="str">
        <f t="shared" ref="J647:J710" si="1287">IF(AND(ISNUMBER(#REF!), ISNUMBER(#REF!)),#REF! -#REF!,"")</f>
        <v/>
      </c>
      <c r="L647" t="str">
        <f t="shared" ref="L647:L710" si="1288">IF(AND(ISNUMBER(#REF!), ISNUMBER(#REF!)),#REF! -#REF!,"")</f>
        <v/>
      </c>
    </row>
    <row r="648" spans="10:12">
      <c r="J648" t="str">
        <f t="shared" ref="J648:J711" si="1289">IF(AND(ISNUMBER(#REF!), ISNUMBER(#REF!)),#REF! -#REF!,"")</f>
        <v/>
      </c>
      <c r="L648" t="str">
        <f t="shared" ref="L648:L711" si="1290">IF(AND(ISNUMBER(#REF!), ISNUMBER(#REF!)),#REF! -#REF!,"")</f>
        <v/>
      </c>
    </row>
    <row r="649" spans="10:12">
      <c r="J649" t="str">
        <f t="shared" ref="J649:J712" si="1291">IF(AND(ISNUMBER(#REF!), ISNUMBER(#REF!)),#REF! -#REF!,"")</f>
        <v/>
      </c>
      <c r="L649" t="str">
        <f t="shared" ref="L649:L712" si="1292">IF(AND(ISNUMBER(#REF!), ISNUMBER(#REF!)),#REF! -#REF!,"")</f>
        <v/>
      </c>
    </row>
    <row r="650" spans="10:12">
      <c r="J650" t="str">
        <f t="shared" ref="J650:J713" si="1293">IF(AND(ISNUMBER(#REF!), ISNUMBER(#REF!)),#REF! -#REF!,"")</f>
        <v/>
      </c>
      <c r="L650" t="str">
        <f t="shared" ref="L650:L713" si="1294">IF(AND(ISNUMBER(#REF!), ISNUMBER(#REF!)),#REF! -#REF!,"")</f>
        <v/>
      </c>
    </row>
    <row r="651" spans="10:12">
      <c r="J651" t="str">
        <f t="shared" ref="J651:J714" si="1295">IF(AND(ISNUMBER(#REF!), ISNUMBER(#REF!)),#REF! -#REF!,"")</f>
        <v/>
      </c>
      <c r="L651" t="str">
        <f t="shared" ref="L651:L714" si="1296">IF(AND(ISNUMBER(#REF!), ISNUMBER(#REF!)),#REF! -#REF!,"")</f>
        <v/>
      </c>
    </row>
    <row r="652" spans="10:12">
      <c r="J652" t="str">
        <f t="shared" ref="J652:J715" si="1297">IF(AND(ISNUMBER(#REF!), ISNUMBER(#REF!)),#REF! -#REF!,"")</f>
        <v/>
      </c>
      <c r="L652" t="str">
        <f t="shared" ref="L652:L715" si="1298">IF(AND(ISNUMBER(#REF!), ISNUMBER(#REF!)),#REF! -#REF!,"")</f>
        <v/>
      </c>
    </row>
    <row r="653" spans="10:12">
      <c r="J653" t="str">
        <f t="shared" ref="J653:J716" si="1299">IF(AND(ISNUMBER(#REF!), ISNUMBER(#REF!)),#REF! -#REF!,"")</f>
        <v/>
      </c>
      <c r="L653" t="str">
        <f t="shared" ref="L653:L716" si="1300">IF(AND(ISNUMBER(#REF!), ISNUMBER(#REF!)),#REF! -#REF!,"")</f>
        <v/>
      </c>
    </row>
    <row r="654" spans="10:12">
      <c r="J654" t="str">
        <f t="shared" ref="J654:J717" si="1301">IF(AND(ISNUMBER(#REF!), ISNUMBER(#REF!)),#REF! -#REF!,"")</f>
        <v/>
      </c>
      <c r="L654" t="str">
        <f t="shared" ref="L654:L717" si="1302">IF(AND(ISNUMBER(#REF!), ISNUMBER(#REF!)),#REF! -#REF!,"")</f>
        <v/>
      </c>
    </row>
    <row r="655" spans="10:12">
      <c r="J655" t="str">
        <f t="shared" ref="J655:J718" si="1303">IF(AND(ISNUMBER(#REF!), ISNUMBER(#REF!)),#REF! -#REF!,"")</f>
        <v/>
      </c>
      <c r="L655" t="str">
        <f t="shared" ref="L655:L718" si="1304">IF(AND(ISNUMBER(#REF!), ISNUMBER(#REF!)),#REF! -#REF!,"")</f>
        <v/>
      </c>
    </row>
    <row r="656" spans="10:12">
      <c r="J656" t="str">
        <f t="shared" ref="J656:J719" si="1305">IF(AND(ISNUMBER(#REF!), ISNUMBER(#REF!)),#REF! -#REF!,"")</f>
        <v/>
      </c>
      <c r="L656" t="str">
        <f t="shared" ref="L656:L719" si="1306">IF(AND(ISNUMBER(#REF!), ISNUMBER(#REF!)),#REF! -#REF!,"")</f>
        <v/>
      </c>
    </row>
    <row r="657" spans="10:12">
      <c r="J657" t="str">
        <f t="shared" ref="J657:J720" si="1307">IF(AND(ISNUMBER(#REF!), ISNUMBER(#REF!)),#REF! -#REF!,"")</f>
        <v/>
      </c>
      <c r="L657" t="str">
        <f t="shared" ref="L657:L720" si="1308">IF(AND(ISNUMBER(#REF!), ISNUMBER(#REF!)),#REF! -#REF!,"")</f>
        <v/>
      </c>
    </row>
    <row r="658" spans="10:12">
      <c r="J658" t="str">
        <f t="shared" ref="J658:J721" si="1309">IF(AND(ISNUMBER(#REF!), ISNUMBER(#REF!)),#REF! -#REF!,"")</f>
        <v/>
      </c>
      <c r="L658" t="str">
        <f t="shared" ref="L658:L721" si="1310">IF(AND(ISNUMBER(#REF!), ISNUMBER(#REF!)),#REF! -#REF!,"")</f>
        <v/>
      </c>
    </row>
    <row r="659" spans="10:12">
      <c r="J659" t="str">
        <f t="shared" ref="J659:J722" si="1311">IF(AND(ISNUMBER(#REF!), ISNUMBER(#REF!)),#REF! -#REF!,"")</f>
        <v/>
      </c>
      <c r="L659" t="str">
        <f t="shared" ref="L659:L722" si="1312">IF(AND(ISNUMBER(#REF!), ISNUMBER(#REF!)),#REF! -#REF!,"")</f>
        <v/>
      </c>
    </row>
    <row r="660" spans="10:12">
      <c r="J660" t="str">
        <f t="shared" ref="J660:J723" si="1313">IF(AND(ISNUMBER(#REF!), ISNUMBER(#REF!)),#REF! -#REF!,"")</f>
        <v/>
      </c>
      <c r="L660" t="str">
        <f t="shared" ref="L660:L723" si="1314">IF(AND(ISNUMBER(#REF!), ISNUMBER(#REF!)),#REF! -#REF!,"")</f>
        <v/>
      </c>
    </row>
    <row r="661" spans="10:12">
      <c r="J661" t="str">
        <f t="shared" ref="J661:J724" si="1315">IF(AND(ISNUMBER(#REF!), ISNUMBER(#REF!)),#REF! -#REF!,"")</f>
        <v/>
      </c>
      <c r="L661" t="str">
        <f t="shared" ref="L661:L724" si="1316">IF(AND(ISNUMBER(#REF!), ISNUMBER(#REF!)),#REF! -#REF!,"")</f>
        <v/>
      </c>
    </row>
    <row r="662" spans="10:12">
      <c r="J662" t="str">
        <f t="shared" ref="J662:J725" si="1317">IF(AND(ISNUMBER(#REF!), ISNUMBER(#REF!)),#REF! -#REF!,"")</f>
        <v/>
      </c>
      <c r="L662" t="str">
        <f t="shared" ref="L662:L725" si="1318">IF(AND(ISNUMBER(#REF!), ISNUMBER(#REF!)),#REF! -#REF!,"")</f>
        <v/>
      </c>
    </row>
    <row r="663" spans="10:12">
      <c r="J663" t="str">
        <f t="shared" ref="J663:J726" si="1319">IF(AND(ISNUMBER(#REF!), ISNUMBER(#REF!)),#REF! -#REF!,"")</f>
        <v/>
      </c>
      <c r="L663" t="str">
        <f t="shared" ref="L663:L726" si="1320">IF(AND(ISNUMBER(#REF!), ISNUMBER(#REF!)),#REF! -#REF!,"")</f>
        <v/>
      </c>
    </row>
    <row r="664" spans="10:12">
      <c r="J664" t="str">
        <f t="shared" ref="J664:J727" si="1321">IF(AND(ISNUMBER(#REF!), ISNUMBER(#REF!)),#REF! -#REF!,"")</f>
        <v/>
      </c>
      <c r="L664" t="str">
        <f t="shared" ref="L664:L727" si="1322">IF(AND(ISNUMBER(#REF!), ISNUMBER(#REF!)),#REF! -#REF!,"")</f>
        <v/>
      </c>
    </row>
    <row r="665" spans="10:12">
      <c r="J665" t="str">
        <f t="shared" ref="J665:J728" si="1323">IF(AND(ISNUMBER(#REF!), ISNUMBER(#REF!)),#REF! -#REF!,"")</f>
        <v/>
      </c>
      <c r="L665" t="str">
        <f t="shared" ref="L665:L728" si="1324">IF(AND(ISNUMBER(#REF!), ISNUMBER(#REF!)),#REF! -#REF!,"")</f>
        <v/>
      </c>
    </row>
    <row r="666" spans="10:12">
      <c r="J666" t="str">
        <f t="shared" ref="J666:J729" si="1325">IF(AND(ISNUMBER(#REF!), ISNUMBER(#REF!)),#REF! -#REF!,"")</f>
        <v/>
      </c>
      <c r="L666" t="str">
        <f t="shared" ref="L666:L729" si="1326">IF(AND(ISNUMBER(#REF!), ISNUMBER(#REF!)),#REF! -#REF!,"")</f>
        <v/>
      </c>
    </row>
    <row r="667" spans="10:12">
      <c r="J667" t="str">
        <f t="shared" ref="J667:J730" si="1327">IF(AND(ISNUMBER(#REF!), ISNUMBER(#REF!)),#REF! -#REF!,"")</f>
        <v/>
      </c>
      <c r="L667" t="str">
        <f t="shared" ref="L667:L730" si="1328">IF(AND(ISNUMBER(#REF!), ISNUMBER(#REF!)),#REF! -#REF!,"")</f>
        <v/>
      </c>
    </row>
    <row r="668" spans="10:12">
      <c r="J668" t="str">
        <f t="shared" ref="J668:J731" si="1329">IF(AND(ISNUMBER(#REF!), ISNUMBER(#REF!)),#REF! -#REF!,"")</f>
        <v/>
      </c>
      <c r="L668" t="str">
        <f t="shared" ref="L668:L731" si="1330">IF(AND(ISNUMBER(#REF!), ISNUMBER(#REF!)),#REF! -#REF!,"")</f>
        <v/>
      </c>
    </row>
    <row r="669" spans="10:12">
      <c r="J669" t="str">
        <f t="shared" ref="J669:J732" si="1331">IF(AND(ISNUMBER(#REF!), ISNUMBER(#REF!)),#REF! -#REF!,"")</f>
        <v/>
      </c>
      <c r="L669" t="str">
        <f t="shared" ref="L669:L732" si="1332">IF(AND(ISNUMBER(#REF!), ISNUMBER(#REF!)),#REF! -#REF!,"")</f>
        <v/>
      </c>
    </row>
    <row r="670" spans="10:12">
      <c r="J670" t="str">
        <f t="shared" ref="J670:J733" si="1333">IF(AND(ISNUMBER(#REF!), ISNUMBER(#REF!)),#REF! -#REF!,"")</f>
        <v/>
      </c>
      <c r="L670" t="str">
        <f t="shared" ref="L670:L733" si="1334">IF(AND(ISNUMBER(#REF!), ISNUMBER(#REF!)),#REF! -#REF!,"")</f>
        <v/>
      </c>
    </row>
    <row r="671" spans="10:12">
      <c r="J671" t="str">
        <f t="shared" ref="J671:J734" si="1335">IF(AND(ISNUMBER(#REF!), ISNUMBER(#REF!)),#REF! -#REF!,"")</f>
        <v/>
      </c>
      <c r="L671" t="str">
        <f t="shared" ref="L671:L734" si="1336">IF(AND(ISNUMBER(#REF!), ISNUMBER(#REF!)),#REF! -#REF!,"")</f>
        <v/>
      </c>
    </row>
    <row r="672" spans="10:12">
      <c r="J672" t="str">
        <f t="shared" ref="J672:J735" si="1337">IF(AND(ISNUMBER(#REF!), ISNUMBER(#REF!)),#REF! -#REF!,"")</f>
        <v/>
      </c>
      <c r="L672" t="str">
        <f t="shared" ref="L672:L735" si="1338">IF(AND(ISNUMBER(#REF!), ISNUMBER(#REF!)),#REF! -#REF!,"")</f>
        <v/>
      </c>
    </row>
    <row r="673" spans="10:12">
      <c r="J673" t="str">
        <f t="shared" ref="J673:J736" si="1339">IF(AND(ISNUMBER(#REF!), ISNUMBER(#REF!)),#REF! -#REF!,"")</f>
        <v/>
      </c>
      <c r="L673" t="str">
        <f t="shared" ref="L673:L736" si="1340">IF(AND(ISNUMBER(#REF!), ISNUMBER(#REF!)),#REF! -#REF!,"")</f>
        <v/>
      </c>
    </row>
    <row r="674" spans="10:12">
      <c r="J674" t="str">
        <f t="shared" ref="J674:J737" si="1341">IF(AND(ISNUMBER(#REF!), ISNUMBER(#REF!)),#REF! -#REF!,"")</f>
        <v/>
      </c>
      <c r="L674" t="str">
        <f t="shared" ref="L674:L737" si="1342">IF(AND(ISNUMBER(#REF!), ISNUMBER(#REF!)),#REF! -#REF!,"")</f>
        <v/>
      </c>
    </row>
    <row r="675" spans="10:12">
      <c r="J675" t="str">
        <f t="shared" ref="J675:J738" si="1343">IF(AND(ISNUMBER(#REF!), ISNUMBER(#REF!)),#REF! -#REF!,"")</f>
        <v/>
      </c>
      <c r="L675" t="str">
        <f t="shared" ref="L675:L738" si="1344">IF(AND(ISNUMBER(#REF!), ISNUMBER(#REF!)),#REF! -#REF!,"")</f>
        <v/>
      </c>
    </row>
    <row r="676" spans="10:12">
      <c r="J676" t="str">
        <f t="shared" ref="J676:J739" si="1345">IF(AND(ISNUMBER(#REF!), ISNUMBER(#REF!)),#REF! -#REF!,"")</f>
        <v/>
      </c>
      <c r="L676" t="str">
        <f t="shared" ref="L676:L739" si="1346">IF(AND(ISNUMBER(#REF!), ISNUMBER(#REF!)),#REF! -#REF!,"")</f>
        <v/>
      </c>
    </row>
    <row r="677" spans="10:12">
      <c r="J677" t="str">
        <f t="shared" ref="J677:J740" si="1347">IF(AND(ISNUMBER(#REF!), ISNUMBER(#REF!)),#REF! -#REF!,"")</f>
        <v/>
      </c>
      <c r="L677" t="str">
        <f t="shared" ref="L677:L740" si="1348">IF(AND(ISNUMBER(#REF!), ISNUMBER(#REF!)),#REF! -#REF!,"")</f>
        <v/>
      </c>
    </row>
    <row r="678" spans="10:12">
      <c r="J678" t="str">
        <f t="shared" ref="J678:J741" si="1349">IF(AND(ISNUMBER(#REF!), ISNUMBER(#REF!)),#REF! -#REF!,"")</f>
        <v/>
      </c>
      <c r="L678" t="str">
        <f t="shared" ref="L678:L741" si="1350">IF(AND(ISNUMBER(#REF!), ISNUMBER(#REF!)),#REF! -#REF!,"")</f>
        <v/>
      </c>
    </row>
    <row r="679" spans="10:12">
      <c r="J679" t="str">
        <f t="shared" ref="J679:J742" si="1351">IF(AND(ISNUMBER(#REF!), ISNUMBER(#REF!)),#REF! -#REF!,"")</f>
        <v/>
      </c>
      <c r="L679" t="str">
        <f t="shared" ref="L679:L742" si="1352">IF(AND(ISNUMBER(#REF!), ISNUMBER(#REF!)),#REF! -#REF!,"")</f>
        <v/>
      </c>
    </row>
    <row r="680" spans="10:12">
      <c r="J680" t="str">
        <f t="shared" ref="J680:J743" si="1353">IF(AND(ISNUMBER(#REF!), ISNUMBER(#REF!)),#REF! -#REF!,"")</f>
        <v/>
      </c>
      <c r="L680" t="str">
        <f t="shared" ref="L680:L743" si="1354">IF(AND(ISNUMBER(#REF!), ISNUMBER(#REF!)),#REF! -#REF!,"")</f>
        <v/>
      </c>
    </row>
    <row r="681" spans="10:12">
      <c r="J681" t="str">
        <f t="shared" ref="J681:J744" si="1355">IF(AND(ISNUMBER(#REF!), ISNUMBER(#REF!)),#REF! -#REF!,"")</f>
        <v/>
      </c>
      <c r="L681" t="str">
        <f t="shared" ref="L681:L744" si="1356">IF(AND(ISNUMBER(#REF!), ISNUMBER(#REF!)),#REF! -#REF!,"")</f>
        <v/>
      </c>
    </row>
    <row r="682" spans="10:12">
      <c r="J682" t="str">
        <f t="shared" ref="J682:J745" si="1357">IF(AND(ISNUMBER(#REF!), ISNUMBER(#REF!)),#REF! -#REF!,"")</f>
        <v/>
      </c>
      <c r="L682" t="str">
        <f t="shared" ref="L682:L745" si="1358">IF(AND(ISNUMBER(#REF!), ISNUMBER(#REF!)),#REF! -#REF!,"")</f>
        <v/>
      </c>
    </row>
    <row r="683" spans="10:12">
      <c r="J683" t="str">
        <f t="shared" ref="J683:J746" si="1359">IF(AND(ISNUMBER(#REF!), ISNUMBER(#REF!)),#REF! -#REF!,"")</f>
        <v/>
      </c>
      <c r="L683" t="str">
        <f t="shared" ref="L683:L746" si="1360">IF(AND(ISNUMBER(#REF!), ISNUMBER(#REF!)),#REF! -#REF!,"")</f>
        <v/>
      </c>
    </row>
    <row r="684" spans="10:12">
      <c r="J684" t="str">
        <f t="shared" ref="J684:J747" si="1361">IF(AND(ISNUMBER(#REF!), ISNUMBER(#REF!)),#REF! -#REF!,"")</f>
        <v/>
      </c>
      <c r="L684" t="str">
        <f t="shared" ref="L684:L747" si="1362">IF(AND(ISNUMBER(#REF!), ISNUMBER(#REF!)),#REF! -#REF!,"")</f>
        <v/>
      </c>
    </row>
    <row r="685" spans="10:12">
      <c r="J685" t="str">
        <f t="shared" ref="J685:J748" si="1363">IF(AND(ISNUMBER(#REF!), ISNUMBER(#REF!)),#REF! -#REF!,"")</f>
        <v/>
      </c>
      <c r="L685" t="str">
        <f t="shared" ref="L685:L748" si="1364">IF(AND(ISNUMBER(#REF!), ISNUMBER(#REF!)),#REF! -#REF!,"")</f>
        <v/>
      </c>
    </row>
    <row r="686" spans="10:12">
      <c r="J686" t="str">
        <f t="shared" ref="J686:J749" si="1365">IF(AND(ISNUMBER(#REF!), ISNUMBER(#REF!)),#REF! -#REF!,"")</f>
        <v/>
      </c>
      <c r="L686" t="str">
        <f t="shared" ref="L686:L749" si="1366">IF(AND(ISNUMBER(#REF!), ISNUMBER(#REF!)),#REF! -#REF!,"")</f>
        <v/>
      </c>
    </row>
    <row r="687" spans="10:12">
      <c r="J687" t="str">
        <f t="shared" ref="J687:J750" si="1367">IF(AND(ISNUMBER(#REF!), ISNUMBER(#REF!)),#REF! -#REF!,"")</f>
        <v/>
      </c>
      <c r="L687" t="str">
        <f t="shared" ref="L687:L750" si="1368">IF(AND(ISNUMBER(#REF!), ISNUMBER(#REF!)),#REF! -#REF!,"")</f>
        <v/>
      </c>
    </row>
    <row r="688" spans="10:12">
      <c r="J688" t="str">
        <f t="shared" ref="J688:J751" si="1369">IF(AND(ISNUMBER(#REF!), ISNUMBER(#REF!)),#REF! -#REF!,"")</f>
        <v/>
      </c>
      <c r="L688" t="str">
        <f t="shared" ref="L688:L751" si="1370">IF(AND(ISNUMBER(#REF!), ISNUMBER(#REF!)),#REF! -#REF!,"")</f>
        <v/>
      </c>
    </row>
    <row r="689" spans="10:12">
      <c r="J689" t="str">
        <f t="shared" ref="J689:J752" si="1371">IF(AND(ISNUMBER(#REF!), ISNUMBER(#REF!)),#REF! -#REF!,"")</f>
        <v/>
      </c>
      <c r="L689" t="str">
        <f t="shared" ref="L689:L752" si="1372">IF(AND(ISNUMBER(#REF!), ISNUMBER(#REF!)),#REF! -#REF!,"")</f>
        <v/>
      </c>
    </row>
    <row r="690" spans="10:12">
      <c r="J690" t="str">
        <f t="shared" ref="J690:J753" si="1373">IF(AND(ISNUMBER(#REF!), ISNUMBER(#REF!)),#REF! -#REF!,"")</f>
        <v/>
      </c>
      <c r="L690" t="str">
        <f t="shared" ref="L690:L753" si="1374">IF(AND(ISNUMBER(#REF!), ISNUMBER(#REF!)),#REF! -#REF!,"")</f>
        <v/>
      </c>
    </row>
    <row r="691" spans="10:12">
      <c r="J691" t="str">
        <f t="shared" ref="J691:J754" si="1375">IF(AND(ISNUMBER(#REF!), ISNUMBER(#REF!)),#REF! -#REF!,"")</f>
        <v/>
      </c>
      <c r="L691" t="str">
        <f t="shared" ref="L691:L754" si="1376">IF(AND(ISNUMBER(#REF!), ISNUMBER(#REF!)),#REF! -#REF!,"")</f>
        <v/>
      </c>
    </row>
    <row r="692" spans="10:12">
      <c r="J692" t="str">
        <f t="shared" ref="J692:J755" si="1377">IF(AND(ISNUMBER(#REF!), ISNUMBER(#REF!)),#REF! -#REF!,"")</f>
        <v/>
      </c>
      <c r="L692" t="str">
        <f t="shared" ref="L692:L755" si="1378">IF(AND(ISNUMBER(#REF!), ISNUMBER(#REF!)),#REF! -#REF!,"")</f>
        <v/>
      </c>
    </row>
    <row r="693" spans="10:12">
      <c r="J693" t="str">
        <f t="shared" ref="J693:J756" si="1379">IF(AND(ISNUMBER(#REF!), ISNUMBER(#REF!)),#REF! -#REF!,"")</f>
        <v/>
      </c>
      <c r="L693" t="str">
        <f t="shared" ref="L693:L756" si="1380">IF(AND(ISNUMBER(#REF!), ISNUMBER(#REF!)),#REF! -#REF!,"")</f>
        <v/>
      </c>
    </row>
    <row r="694" spans="10:12">
      <c r="J694" t="str">
        <f t="shared" ref="J694:J757" si="1381">IF(AND(ISNUMBER(#REF!), ISNUMBER(#REF!)),#REF! -#REF!,"")</f>
        <v/>
      </c>
      <c r="L694" t="str">
        <f t="shared" ref="L694:L757" si="1382">IF(AND(ISNUMBER(#REF!), ISNUMBER(#REF!)),#REF! -#REF!,"")</f>
        <v/>
      </c>
    </row>
    <row r="695" spans="10:12">
      <c r="J695" t="str">
        <f t="shared" ref="J695:J758" si="1383">IF(AND(ISNUMBER(#REF!), ISNUMBER(#REF!)),#REF! -#REF!,"")</f>
        <v/>
      </c>
      <c r="L695" t="str">
        <f t="shared" ref="L695:L758" si="1384">IF(AND(ISNUMBER(#REF!), ISNUMBER(#REF!)),#REF! -#REF!,"")</f>
        <v/>
      </c>
    </row>
    <row r="696" spans="10:12">
      <c r="J696" t="str">
        <f t="shared" ref="J696:J759" si="1385">IF(AND(ISNUMBER(#REF!), ISNUMBER(#REF!)),#REF! -#REF!,"")</f>
        <v/>
      </c>
      <c r="L696" t="str">
        <f t="shared" ref="L696:L759" si="1386">IF(AND(ISNUMBER(#REF!), ISNUMBER(#REF!)),#REF! -#REF!,"")</f>
        <v/>
      </c>
    </row>
    <row r="697" spans="10:12">
      <c r="J697" t="str">
        <f t="shared" ref="J697:J760" si="1387">IF(AND(ISNUMBER(#REF!), ISNUMBER(#REF!)),#REF! -#REF!,"")</f>
        <v/>
      </c>
      <c r="L697" t="str">
        <f t="shared" ref="L697:L760" si="1388">IF(AND(ISNUMBER(#REF!), ISNUMBER(#REF!)),#REF! -#REF!,"")</f>
        <v/>
      </c>
    </row>
    <row r="698" spans="10:12">
      <c r="J698" t="str">
        <f t="shared" ref="J698:J761" si="1389">IF(AND(ISNUMBER(#REF!), ISNUMBER(#REF!)),#REF! -#REF!,"")</f>
        <v/>
      </c>
      <c r="L698" t="str">
        <f t="shared" ref="L698:L761" si="1390">IF(AND(ISNUMBER(#REF!), ISNUMBER(#REF!)),#REF! -#REF!,"")</f>
        <v/>
      </c>
    </row>
    <row r="699" spans="10:12">
      <c r="J699" t="str">
        <f t="shared" ref="J699:J762" si="1391">IF(AND(ISNUMBER(#REF!), ISNUMBER(#REF!)),#REF! -#REF!,"")</f>
        <v/>
      </c>
      <c r="L699" t="str">
        <f t="shared" ref="L699:L762" si="1392">IF(AND(ISNUMBER(#REF!), ISNUMBER(#REF!)),#REF! -#REF!,"")</f>
        <v/>
      </c>
    </row>
    <row r="700" spans="10:12">
      <c r="J700" t="str">
        <f t="shared" ref="J700:J763" si="1393">IF(AND(ISNUMBER(#REF!), ISNUMBER(#REF!)),#REF! -#REF!,"")</f>
        <v/>
      </c>
      <c r="L700" t="str">
        <f t="shared" ref="L700:L763" si="1394">IF(AND(ISNUMBER(#REF!), ISNUMBER(#REF!)),#REF! -#REF!,"")</f>
        <v/>
      </c>
    </row>
    <row r="701" spans="10:12">
      <c r="J701" t="str">
        <f t="shared" ref="J701:J764" si="1395">IF(AND(ISNUMBER(#REF!), ISNUMBER(#REF!)),#REF! -#REF!,"")</f>
        <v/>
      </c>
      <c r="L701" t="str">
        <f t="shared" ref="L701:L764" si="1396">IF(AND(ISNUMBER(#REF!), ISNUMBER(#REF!)),#REF! -#REF!,"")</f>
        <v/>
      </c>
    </row>
    <row r="702" spans="10:12">
      <c r="J702" t="str">
        <f t="shared" ref="J702:J765" si="1397">IF(AND(ISNUMBER(#REF!), ISNUMBER(#REF!)),#REF! -#REF!,"")</f>
        <v/>
      </c>
      <c r="L702" t="str">
        <f t="shared" ref="L702:L765" si="1398">IF(AND(ISNUMBER(#REF!), ISNUMBER(#REF!)),#REF! -#REF!,"")</f>
        <v/>
      </c>
    </row>
    <row r="703" spans="10:12">
      <c r="J703" t="str">
        <f t="shared" ref="J703:J766" si="1399">IF(AND(ISNUMBER(#REF!), ISNUMBER(#REF!)),#REF! -#REF!,"")</f>
        <v/>
      </c>
      <c r="L703" t="str">
        <f t="shared" ref="L703:L766" si="1400">IF(AND(ISNUMBER(#REF!), ISNUMBER(#REF!)),#REF! -#REF!,"")</f>
        <v/>
      </c>
    </row>
    <row r="704" spans="10:12">
      <c r="J704" t="str">
        <f t="shared" ref="J704:J767" si="1401">IF(AND(ISNUMBER(#REF!), ISNUMBER(#REF!)),#REF! -#REF!,"")</f>
        <v/>
      </c>
      <c r="L704" t="str">
        <f t="shared" ref="L704:L767" si="1402">IF(AND(ISNUMBER(#REF!), ISNUMBER(#REF!)),#REF! -#REF!,"")</f>
        <v/>
      </c>
    </row>
    <row r="705" spans="10:12">
      <c r="J705" t="str">
        <f t="shared" ref="J705:J768" si="1403">IF(AND(ISNUMBER(#REF!), ISNUMBER(#REF!)),#REF! -#REF!,"")</f>
        <v/>
      </c>
      <c r="L705" t="str">
        <f t="shared" ref="L705:L768" si="1404">IF(AND(ISNUMBER(#REF!), ISNUMBER(#REF!)),#REF! -#REF!,"")</f>
        <v/>
      </c>
    </row>
    <row r="706" spans="10:12">
      <c r="J706" t="str">
        <f t="shared" ref="J706:J769" si="1405">IF(AND(ISNUMBER(#REF!), ISNUMBER(#REF!)),#REF! -#REF!,"")</f>
        <v/>
      </c>
      <c r="L706" t="str">
        <f t="shared" ref="L706:L769" si="1406">IF(AND(ISNUMBER(#REF!), ISNUMBER(#REF!)),#REF! -#REF!,"")</f>
        <v/>
      </c>
    </row>
    <row r="707" spans="10:12">
      <c r="J707" t="str">
        <f t="shared" ref="J707:J770" si="1407">IF(AND(ISNUMBER(#REF!), ISNUMBER(#REF!)),#REF! -#REF!,"")</f>
        <v/>
      </c>
      <c r="L707" t="str">
        <f t="shared" ref="L707:L770" si="1408">IF(AND(ISNUMBER(#REF!), ISNUMBER(#REF!)),#REF! -#REF!,"")</f>
        <v/>
      </c>
    </row>
    <row r="708" spans="10:12">
      <c r="J708" t="str">
        <f t="shared" ref="J708:J771" si="1409">IF(AND(ISNUMBER(#REF!), ISNUMBER(#REF!)),#REF! -#REF!,"")</f>
        <v/>
      </c>
      <c r="L708" t="str">
        <f t="shared" ref="L708:L771" si="1410">IF(AND(ISNUMBER(#REF!), ISNUMBER(#REF!)),#REF! -#REF!,"")</f>
        <v/>
      </c>
    </row>
    <row r="709" spans="10:12">
      <c r="J709" t="str">
        <f t="shared" ref="J709:J772" si="1411">IF(AND(ISNUMBER(#REF!), ISNUMBER(#REF!)),#REF! -#REF!,"")</f>
        <v/>
      </c>
      <c r="L709" t="str">
        <f t="shared" ref="L709:L772" si="1412">IF(AND(ISNUMBER(#REF!), ISNUMBER(#REF!)),#REF! -#REF!,"")</f>
        <v/>
      </c>
    </row>
    <row r="710" spans="10:12">
      <c r="J710" t="str">
        <f t="shared" ref="J710:J773" si="1413">IF(AND(ISNUMBER(#REF!), ISNUMBER(#REF!)),#REF! -#REF!,"")</f>
        <v/>
      </c>
      <c r="L710" t="str">
        <f t="shared" ref="L710:L773" si="1414">IF(AND(ISNUMBER(#REF!), ISNUMBER(#REF!)),#REF! -#REF!,"")</f>
        <v/>
      </c>
    </row>
    <row r="711" spans="10:12">
      <c r="J711" t="str">
        <f t="shared" ref="J711:J774" si="1415">IF(AND(ISNUMBER(#REF!), ISNUMBER(#REF!)),#REF! -#REF!,"")</f>
        <v/>
      </c>
      <c r="L711" t="str">
        <f t="shared" ref="L711:L774" si="1416">IF(AND(ISNUMBER(#REF!), ISNUMBER(#REF!)),#REF! -#REF!,"")</f>
        <v/>
      </c>
    </row>
    <row r="712" spans="10:12">
      <c r="J712" t="str">
        <f t="shared" ref="J712:J775" si="1417">IF(AND(ISNUMBER(#REF!), ISNUMBER(#REF!)),#REF! -#REF!,"")</f>
        <v/>
      </c>
      <c r="L712" t="str">
        <f t="shared" ref="L712:L775" si="1418">IF(AND(ISNUMBER(#REF!), ISNUMBER(#REF!)),#REF! -#REF!,"")</f>
        <v/>
      </c>
    </row>
    <row r="713" spans="10:12">
      <c r="J713" t="str">
        <f t="shared" ref="J713:J776" si="1419">IF(AND(ISNUMBER(#REF!), ISNUMBER(#REF!)),#REF! -#REF!,"")</f>
        <v/>
      </c>
      <c r="L713" t="str">
        <f t="shared" ref="L713:L776" si="1420">IF(AND(ISNUMBER(#REF!), ISNUMBER(#REF!)),#REF! -#REF!,"")</f>
        <v/>
      </c>
    </row>
    <row r="714" spans="10:12">
      <c r="J714" t="str">
        <f t="shared" ref="J714:J777" si="1421">IF(AND(ISNUMBER(#REF!), ISNUMBER(#REF!)),#REF! -#REF!,"")</f>
        <v/>
      </c>
      <c r="L714" t="str">
        <f t="shared" ref="L714:L777" si="1422">IF(AND(ISNUMBER(#REF!), ISNUMBER(#REF!)),#REF! -#REF!,"")</f>
        <v/>
      </c>
    </row>
    <row r="715" spans="10:12">
      <c r="J715" t="str">
        <f t="shared" ref="J715:J778" si="1423">IF(AND(ISNUMBER(#REF!), ISNUMBER(#REF!)),#REF! -#REF!,"")</f>
        <v/>
      </c>
      <c r="L715" t="str">
        <f t="shared" ref="L715:L778" si="1424">IF(AND(ISNUMBER(#REF!), ISNUMBER(#REF!)),#REF! -#REF!,"")</f>
        <v/>
      </c>
    </row>
    <row r="716" spans="10:12">
      <c r="J716" t="str">
        <f t="shared" ref="J716:J779" si="1425">IF(AND(ISNUMBER(#REF!), ISNUMBER(#REF!)),#REF! -#REF!,"")</f>
        <v/>
      </c>
      <c r="L716" t="str">
        <f t="shared" ref="L716:L779" si="1426">IF(AND(ISNUMBER(#REF!), ISNUMBER(#REF!)),#REF! -#REF!,"")</f>
        <v/>
      </c>
    </row>
    <row r="717" spans="10:12">
      <c r="J717" t="str">
        <f t="shared" ref="J717:J780" si="1427">IF(AND(ISNUMBER(#REF!), ISNUMBER(#REF!)),#REF! -#REF!,"")</f>
        <v/>
      </c>
      <c r="L717" t="str">
        <f t="shared" ref="L717:L780" si="1428">IF(AND(ISNUMBER(#REF!), ISNUMBER(#REF!)),#REF! -#REF!,"")</f>
        <v/>
      </c>
    </row>
    <row r="718" spans="10:12">
      <c r="J718" t="str">
        <f t="shared" ref="J718:J781" si="1429">IF(AND(ISNUMBER(#REF!), ISNUMBER(#REF!)),#REF! -#REF!,"")</f>
        <v/>
      </c>
      <c r="L718" t="str">
        <f t="shared" ref="L718:L781" si="1430">IF(AND(ISNUMBER(#REF!), ISNUMBER(#REF!)),#REF! -#REF!,"")</f>
        <v/>
      </c>
    </row>
    <row r="719" spans="10:12">
      <c r="J719" t="str">
        <f t="shared" ref="J719:J782" si="1431">IF(AND(ISNUMBER(#REF!), ISNUMBER(#REF!)),#REF! -#REF!,"")</f>
        <v/>
      </c>
      <c r="L719" t="str">
        <f t="shared" ref="L719:L782" si="1432">IF(AND(ISNUMBER(#REF!), ISNUMBER(#REF!)),#REF! -#REF!,"")</f>
        <v/>
      </c>
    </row>
    <row r="720" spans="10:12">
      <c r="J720" t="str">
        <f t="shared" ref="J720:J783" si="1433">IF(AND(ISNUMBER(#REF!), ISNUMBER(#REF!)),#REF! -#REF!,"")</f>
        <v/>
      </c>
      <c r="L720" t="str">
        <f t="shared" ref="L720:L783" si="1434">IF(AND(ISNUMBER(#REF!), ISNUMBER(#REF!)),#REF! -#REF!,"")</f>
        <v/>
      </c>
    </row>
    <row r="721" spans="10:12">
      <c r="J721" t="str">
        <f t="shared" ref="J721:J784" si="1435">IF(AND(ISNUMBER(#REF!), ISNUMBER(#REF!)),#REF! -#REF!,"")</f>
        <v/>
      </c>
      <c r="L721" t="str">
        <f t="shared" ref="L721:L784" si="1436">IF(AND(ISNUMBER(#REF!), ISNUMBER(#REF!)),#REF! -#REF!,"")</f>
        <v/>
      </c>
    </row>
    <row r="722" spans="10:12">
      <c r="J722" t="str">
        <f t="shared" ref="J722:J785" si="1437">IF(AND(ISNUMBER(#REF!), ISNUMBER(#REF!)),#REF! -#REF!,"")</f>
        <v/>
      </c>
      <c r="L722" t="str">
        <f t="shared" ref="L722:L785" si="1438">IF(AND(ISNUMBER(#REF!), ISNUMBER(#REF!)),#REF! -#REF!,"")</f>
        <v/>
      </c>
    </row>
    <row r="723" spans="10:12">
      <c r="J723" t="str">
        <f t="shared" ref="J723:J786" si="1439">IF(AND(ISNUMBER(#REF!), ISNUMBER(#REF!)),#REF! -#REF!,"")</f>
        <v/>
      </c>
      <c r="L723" t="str">
        <f t="shared" ref="L723:L786" si="1440">IF(AND(ISNUMBER(#REF!), ISNUMBER(#REF!)),#REF! -#REF!,"")</f>
        <v/>
      </c>
    </row>
    <row r="724" spans="10:12">
      <c r="J724" t="str">
        <f t="shared" ref="J724:J787" si="1441">IF(AND(ISNUMBER(#REF!), ISNUMBER(#REF!)),#REF! -#REF!,"")</f>
        <v/>
      </c>
      <c r="L724" t="str">
        <f t="shared" ref="L724:L787" si="1442">IF(AND(ISNUMBER(#REF!), ISNUMBER(#REF!)),#REF! -#REF!,"")</f>
        <v/>
      </c>
    </row>
    <row r="725" spans="10:12">
      <c r="J725" t="str">
        <f t="shared" ref="J725:J788" si="1443">IF(AND(ISNUMBER(#REF!), ISNUMBER(#REF!)),#REF! -#REF!,"")</f>
        <v/>
      </c>
      <c r="L725" t="str">
        <f t="shared" ref="L725:L788" si="1444">IF(AND(ISNUMBER(#REF!), ISNUMBER(#REF!)),#REF! -#REF!,"")</f>
        <v/>
      </c>
    </row>
    <row r="726" spans="10:12">
      <c r="J726" t="str">
        <f t="shared" ref="J726:J789" si="1445">IF(AND(ISNUMBER(#REF!), ISNUMBER(#REF!)),#REF! -#REF!,"")</f>
        <v/>
      </c>
      <c r="L726" t="str">
        <f t="shared" ref="L726:L789" si="1446">IF(AND(ISNUMBER(#REF!), ISNUMBER(#REF!)),#REF! -#REF!,"")</f>
        <v/>
      </c>
    </row>
    <row r="727" spans="10:12">
      <c r="J727" t="str">
        <f t="shared" ref="J727:J790" si="1447">IF(AND(ISNUMBER(#REF!), ISNUMBER(#REF!)),#REF! -#REF!,"")</f>
        <v/>
      </c>
      <c r="L727" t="str">
        <f t="shared" ref="L727:L790" si="1448">IF(AND(ISNUMBER(#REF!), ISNUMBER(#REF!)),#REF! -#REF!,"")</f>
        <v/>
      </c>
    </row>
    <row r="728" spans="10:12">
      <c r="J728" t="str">
        <f t="shared" ref="J728:J791" si="1449">IF(AND(ISNUMBER(#REF!), ISNUMBER(#REF!)),#REF! -#REF!,"")</f>
        <v/>
      </c>
      <c r="L728" t="str">
        <f t="shared" ref="L728:L791" si="1450">IF(AND(ISNUMBER(#REF!), ISNUMBER(#REF!)),#REF! -#REF!,"")</f>
        <v/>
      </c>
    </row>
    <row r="729" spans="10:12">
      <c r="J729" t="str">
        <f t="shared" ref="J729:J792" si="1451">IF(AND(ISNUMBER(#REF!), ISNUMBER(#REF!)),#REF! -#REF!,"")</f>
        <v/>
      </c>
      <c r="L729" t="str">
        <f t="shared" ref="L729:L792" si="1452">IF(AND(ISNUMBER(#REF!), ISNUMBER(#REF!)),#REF! -#REF!,"")</f>
        <v/>
      </c>
    </row>
    <row r="730" spans="10:12">
      <c r="J730" t="str">
        <f t="shared" ref="J730:J793" si="1453">IF(AND(ISNUMBER(#REF!), ISNUMBER(#REF!)),#REF! -#REF!,"")</f>
        <v/>
      </c>
      <c r="L730" t="str">
        <f t="shared" ref="L730:L793" si="1454">IF(AND(ISNUMBER(#REF!), ISNUMBER(#REF!)),#REF! -#REF!,"")</f>
        <v/>
      </c>
    </row>
    <row r="731" spans="10:12">
      <c r="J731" t="str">
        <f t="shared" ref="J731:J794" si="1455">IF(AND(ISNUMBER(#REF!), ISNUMBER(#REF!)),#REF! -#REF!,"")</f>
        <v/>
      </c>
      <c r="L731" t="str">
        <f t="shared" ref="L731:L794" si="1456">IF(AND(ISNUMBER(#REF!), ISNUMBER(#REF!)),#REF! -#REF!,"")</f>
        <v/>
      </c>
    </row>
    <row r="732" spans="10:12">
      <c r="J732" t="str">
        <f t="shared" ref="J732:J795" si="1457">IF(AND(ISNUMBER(#REF!), ISNUMBER(#REF!)),#REF! -#REF!,"")</f>
        <v/>
      </c>
      <c r="L732" t="str">
        <f t="shared" ref="L732:L795" si="1458">IF(AND(ISNUMBER(#REF!), ISNUMBER(#REF!)),#REF! -#REF!,"")</f>
        <v/>
      </c>
    </row>
    <row r="733" spans="10:12">
      <c r="J733" t="str">
        <f t="shared" ref="J733:J796" si="1459">IF(AND(ISNUMBER(#REF!), ISNUMBER(#REF!)),#REF! -#REF!,"")</f>
        <v/>
      </c>
      <c r="L733" t="str">
        <f t="shared" ref="L733:L796" si="1460">IF(AND(ISNUMBER(#REF!), ISNUMBER(#REF!)),#REF! -#REF!,"")</f>
        <v/>
      </c>
    </row>
    <row r="734" spans="10:12">
      <c r="J734" t="str">
        <f t="shared" ref="J734:J797" si="1461">IF(AND(ISNUMBER(#REF!), ISNUMBER(#REF!)),#REF! -#REF!,"")</f>
        <v/>
      </c>
      <c r="L734" t="str">
        <f t="shared" ref="L734:L797" si="1462">IF(AND(ISNUMBER(#REF!), ISNUMBER(#REF!)),#REF! -#REF!,"")</f>
        <v/>
      </c>
    </row>
    <row r="735" spans="10:12">
      <c r="J735" t="str">
        <f t="shared" ref="J735:J798" si="1463">IF(AND(ISNUMBER(#REF!), ISNUMBER(#REF!)),#REF! -#REF!,"")</f>
        <v/>
      </c>
      <c r="L735" t="str">
        <f t="shared" ref="L735:L798" si="1464">IF(AND(ISNUMBER(#REF!), ISNUMBER(#REF!)),#REF! -#REF!,"")</f>
        <v/>
      </c>
    </row>
    <row r="736" spans="10:12">
      <c r="J736" t="str">
        <f t="shared" ref="J736:J799" si="1465">IF(AND(ISNUMBER(#REF!), ISNUMBER(#REF!)),#REF! -#REF!,"")</f>
        <v/>
      </c>
      <c r="L736" t="str">
        <f t="shared" ref="L736:L799" si="1466">IF(AND(ISNUMBER(#REF!), ISNUMBER(#REF!)),#REF! -#REF!,"")</f>
        <v/>
      </c>
    </row>
    <row r="737" spans="10:12">
      <c r="J737" t="str">
        <f t="shared" ref="J737:J800" si="1467">IF(AND(ISNUMBER(#REF!), ISNUMBER(#REF!)),#REF! -#REF!,"")</f>
        <v/>
      </c>
      <c r="L737" t="str">
        <f t="shared" ref="L737:L800" si="1468">IF(AND(ISNUMBER(#REF!), ISNUMBER(#REF!)),#REF! -#REF!,"")</f>
        <v/>
      </c>
    </row>
    <row r="738" spans="10:12">
      <c r="J738" t="str">
        <f t="shared" ref="J738:J801" si="1469">IF(AND(ISNUMBER(#REF!), ISNUMBER(#REF!)),#REF! -#REF!,"")</f>
        <v/>
      </c>
      <c r="L738" t="str">
        <f t="shared" ref="L738:L801" si="1470">IF(AND(ISNUMBER(#REF!), ISNUMBER(#REF!)),#REF! -#REF!,"")</f>
        <v/>
      </c>
    </row>
    <row r="739" spans="10:12">
      <c r="J739" t="str">
        <f t="shared" ref="J739:J802" si="1471">IF(AND(ISNUMBER(#REF!), ISNUMBER(#REF!)),#REF! -#REF!,"")</f>
        <v/>
      </c>
      <c r="L739" t="str">
        <f t="shared" ref="L739:L802" si="1472">IF(AND(ISNUMBER(#REF!), ISNUMBER(#REF!)),#REF! -#REF!,"")</f>
        <v/>
      </c>
    </row>
    <row r="740" spans="10:12">
      <c r="J740" t="str">
        <f t="shared" ref="J740:J803" si="1473">IF(AND(ISNUMBER(#REF!), ISNUMBER(#REF!)),#REF! -#REF!,"")</f>
        <v/>
      </c>
      <c r="L740" t="str">
        <f t="shared" ref="L740:L803" si="1474">IF(AND(ISNUMBER(#REF!), ISNUMBER(#REF!)),#REF! -#REF!,"")</f>
        <v/>
      </c>
    </row>
    <row r="741" spans="10:12">
      <c r="J741" t="str">
        <f t="shared" ref="J741:J804" si="1475">IF(AND(ISNUMBER(#REF!), ISNUMBER(#REF!)),#REF! -#REF!,"")</f>
        <v/>
      </c>
      <c r="L741" t="str">
        <f t="shared" ref="L741:L804" si="1476">IF(AND(ISNUMBER(#REF!), ISNUMBER(#REF!)),#REF! -#REF!,"")</f>
        <v/>
      </c>
    </row>
    <row r="742" spans="10:12">
      <c r="J742" t="str">
        <f t="shared" ref="J742:J805" si="1477">IF(AND(ISNUMBER(#REF!), ISNUMBER(#REF!)),#REF! -#REF!,"")</f>
        <v/>
      </c>
      <c r="L742" t="str">
        <f t="shared" ref="L742:L805" si="1478">IF(AND(ISNUMBER(#REF!), ISNUMBER(#REF!)),#REF! -#REF!,"")</f>
        <v/>
      </c>
    </row>
    <row r="743" spans="10:12">
      <c r="J743" t="str">
        <f t="shared" ref="J743:J806" si="1479">IF(AND(ISNUMBER(#REF!), ISNUMBER(#REF!)),#REF! -#REF!,"")</f>
        <v/>
      </c>
      <c r="L743" t="str">
        <f t="shared" ref="L743:L806" si="1480">IF(AND(ISNUMBER(#REF!), ISNUMBER(#REF!)),#REF! -#REF!,"")</f>
        <v/>
      </c>
    </row>
    <row r="744" spans="10:12">
      <c r="J744" t="str">
        <f t="shared" ref="J744:J807" si="1481">IF(AND(ISNUMBER(#REF!), ISNUMBER(#REF!)),#REF! -#REF!,"")</f>
        <v/>
      </c>
      <c r="L744" t="str">
        <f t="shared" ref="L744:L807" si="1482">IF(AND(ISNUMBER(#REF!), ISNUMBER(#REF!)),#REF! -#REF!,"")</f>
        <v/>
      </c>
    </row>
    <row r="745" spans="10:12">
      <c r="J745" t="str">
        <f t="shared" ref="J745:J808" si="1483">IF(AND(ISNUMBER(#REF!), ISNUMBER(#REF!)),#REF! -#REF!,"")</f>
        <v/>
      </c>
      <c r="L745" t="str">
        <f t="shared" ref="L745:L808" si="1484">IF(AND(ISNUMBER(#REF!), ISNUMBER(#REF!)),#REF! -#REF!,"")</f>
        <v/>
      </c>
    </row>
    <row r="746" spans="10:12">
      <c r="J746" t="str">
        <f t="shared" ref="J746:J809" si="1485">IF(AND(ISNUMBER(#REF!), ISNUMBER(#REF!)),#REF! -#REF!,"")</f>
        <v/>
      </c>
      <c r="L746" t="str">
        <f t="shared" ref="L746:L809" si="1486">IF(AND(ISNUMBER(#REF!), ISNUMBER(#REF!)),#REF! -#REF!,"")</f>
        <v/>
      </c>
    </row>
    <row r="747" spans="10:12">
      <c r="J747" t="str">
        <f t="shared" ref="J747:J810" si="1487">IF(AND(ISNUMBER(#REF!), ISNUMBER(#REF!)),#REF! -#REF!,"")</f>
        <v/>
      </c>
      <c r="L747" t="str">
        <f t="shared" ref="L747:L810" si="1488">IF(AND(ISNUMBER(#REF!), ISNUMBER(#REF!)),#REF! -#REF!,"")</f>
        <v/>
      </c>
    </row>
    <row r="748" spans="10:12">
      <c r="J748" t="str">
        <f t="shared" ref="J748:J811" si="1489">IF(AND(ISNUMBER(#REF!), ISNUMBER(#REF!)),#REF! -#REF!,"")</f>
        <v/>
      </c>
      <c r="L748" t="str">
        <f t="shared" ref="L748:L811" si="1490">IF(AND(ISNUMBER(#REF!), ISNUMBER(#REF!)),#REF! -#REF!,"")</f>
        <v/>
      </c>
    </row>
    <row r="749" spans="10:12">
      <c r="J749" t="str">
        <f t="shared" ref="J749:J812" si="1491">IF(AND(ISNUMBER(#REF!), ISNUMBER(#REF!)),#REF! -#REF!,"")</f>
        <v/>
      </c>
      <c r="L749" t="str">
        <f t="shared" ref="L749:L812" si="1492">IF(AND(ISNUMBER(#REF!), ISNUMBER(#REF!)),#REF! -#REF!,"")</f>
        <v/>
      </c>
    </row>
    <row r="750" spans="10:12">
      <c r="J750" t="str">
        <f t="shared" ref="J750:J813" si="1493">IF(AND(ISNUMBER(#REF!), ISNUMBER(#REF!)),#REF! -#REF!,"")</f>
        <v/>
      </c>
      <c r="L750" t="str">
        <f t="shared" ref="L750:L813" si="1494">IF(AND(ISNUMBER(#REF!), ISNUMBER(#REF!)),#REF! -#REF!,"")</f>
        <v/>
      </c>
    </row>
    <row r="751" spans="10:12">
      <c r="J751" t="str">
        <f t="shared" ref="J751:J814" si="1495">IF(AND(ISNUMBER(#REF!), ISNUMBER(#REF!)),#REF! -#REF!,"")</f>
        <v/>
      </c>
      <c r="L751" t="str">
        <f t="shared" ref="L751:L814" si="1496">IF(AND(ISNUMBER(#REF!), ISNUMBER(#REF!)),#REF! -#REF!,"")</f>
        <v/>
      </c>
    </row>
    <row r="752" spans="10:12">
      <c r="J752" t="str">
        <f t="shared" ref="J752:J815" si="1497">IF(AND(ISNUMBER(#REF!), ISNUMBER(#REF!)),#REF! -#REF!,"")</f>
        <v/>
      </c>
      <c r="L752" t="str">
        <f t="shared" ref="L752:L815" si="1498">IF(AND(ISNUMBER(#REF!), ISNUMBER(#REF!)),#REF! -#REF!,"")</f>
        <v/>
      </c>
    </row>
    <row r="753" spans="10:12">
      <c r="J753" t="str">
        <f t="shared" ref="J753:J816" si="1499">IF(AND(ISNUMBER(#REF!), ISNUMBER(#REF!)),#REF! -#REF!,"")</f>
        <v/>
      </c>
      <c r="L753" t="str">
        <f t="shared" ref="L753:L816" si="1500">IF(AND(ISNUMBER(#REF!), ISNUMBER(#REF!)),#REF! -#REF!,"")</f>
        <v/>
      </c>
    </row>
    <row r="754" spans="10:12">
      <c r="J754" t="str">
        <f t="shared" ref="J754:J817" si="1501">IF(AND(ISNUMBER(#REF!), ISNUMBER(#REF!)),#REF! -#REF!,"")</f>
        <v/>
      </c>
      <c r="L754" t="str">
        <f t="shared" ref="L754:L817" si="1502">IF(AND(ISNUMBER(#REF!), ISNUMBER(#REF!)),#REF! -#REF!,"")</f>
        <v/>
      </c>
    </row>
    <row r="755" spans="10:12">
      <c r="J755" t="str">
        <f t="shared" ref="J755:J818" si="1503">IF(AND(ISNUMBER(#REF!), ISNUMBER(#REF!)),#REF! -#REF!,"")</f>
        <v/>
      </c>
      <c r="L755" t="str">
        <f t="shared" ref="L755:L818" si="1504">IF(AND(ISNUMBER(#REF!), ISNUMBER(#REF!)),#REF! -#REF!,"")</f>
        <v/>
      </c>
    </row>
    <row r="756" spans="10:12">
      <c r="J756" t="str">
        <f t="shared" ref="J756:J819" si="1505">IF(AND(ISNUMBER(#REF!), ISNUMBER(#REF!)),#REF! -#REF!,"")</f>
        <v/>
      </c>
      <c r="L756" t="str">
        <f t="shared" ref="L756:L819" si="1506">IF(AND(ISNUMBER(#REF!), ISNUMBER(#REF!)),#REF! -#REF!,"")</f>
        <v/>
      </c>
    </row>
    <row r="757" spans="10:12">
      <c r="J757" t="str">
        <f t="shared" ref="J757:J820" si="1507">IF(AND(ISNUMBER(#REF!), ISNUMBER(#REF!)),#REF! -#REF!,"")</f>
        <v/>
      </c>
      <c r="L757" t="str">
        <f t="shared" ref="L757:L820" si="1508">IF(AND(ISNUMBER(#REF!), ISNUMBER(#REF!)),#REF! -#REF!,"")</f>
        <v/>
      </c>
    </row>
    <row r="758" spans="10:12">
      <c r="J758" t="str">
        <f t="shared" ref="J758:J821" si="1509">IF(AND(ISNUMBER(#REF!), ISNUMBER(#REF!)),#REF! -#REF!,"")</f>
        <v/>
      </c>
      <c r="L758" t="str">
        <f t="shared" ref="L758:L821" si="1510">IF(AND(ISNUMBER(#REF!), ISNUMBER(#REF!)),#REF! -#REF!,"")</f>
        <v/>
      </c>
    </row>
    <row r="759" spans="10:12">
      <c r="J759" t="str">
        <f t="shared" ref="J759:J822" si="1511">IF(AND(ISNUMBER(#REF!), ISNUMBER(#REF!)),#REF! -#REF!,"")</f>
        <v/>
      </c>
      <c r="L759" t="str">
        <f t="shared" ref="L759:L822" si="1512">IF(AND(ISNUMBER(#REF!), ISNUMBER(#REF!)),#REF! -#REF!,"")</f>
        <v/>
      </c>
    </row>
    <row r="760" spans="10:12">
      <c r="J760" t="str">
        <f t="shared" ref="J760:J823" si="1513">IF(AND(ISNUMBER(#REF!), ISNUMBER(#REF!)),#REF! -#REF!,"")</f>
        <v/>
      </c>
      <c r="L760" t="str">
        <f t="shared" ref="L760:L823" si="1514">IF(AND(ISNUMBER(#REF!), ISNUMBER(#REF!)),#REF! -#REF!,"")</f>
        <v/>
      </c>
    </row>
    <row r="761" spans="10:12">
      <c r="J761" t="str">
        <f t="shared" ref="J761:J824" si="1515">IF(AND(ISNUMBER(#REF!), ISNUMBER(#REF!)),#REF! -#REF!,"")</f>
        <v/>
      </c>
      <c r="L761" t="str">
        <f t="shared" ref="L761:L824" si="1516">IF(AND(ISNUMBER(#REF!), ISNUMBER(#REF!)),#REF! -#REF!,"")</f>
        <v/>
      </c>
    </row>
    <row r="762" spans="10:12">
      <c r="J762" t="str">
        <f t="shared" ref="J762:J825" si="1517">IF(AND(ISNUMBER(#REF!), ISNUMBER(#REF!)),#REF! -#REF!,"")</f>
        <v/>
      </c>
      <c r="L762" t="str">
        <f t="shared" ref="L762:L825" si="1518">IF(AND(ISNUMBER(#REF!), ISNUMBER(#REF!)),#REF! -#REF!,"")</f>
        <v/>
      </c>
    </row>
    <row r="763" spans="10:12">
      <c r="J763" t="str">
        <f t="shared" ref="J763:J826" si="1519">IF(AND(ISNUMBER(#REF!), ISNUMBER(#REF!)),#REF! -#REF!,"")</f>
        <v/>
      </c>
      <c r="L763" t="str">
        <f t="shared" ref="L763:L826" si="1520">IF(AND(ISNUMBER(#REF!), ISNUMBER(#REF!)),#REF! -#REF!,"")</f>
        <v/>
      </c>
    </row>
    <row r="764" spans="10:12">
      <c r="J764" t="str">
        <f t="shared" ref="J764:J827" si="1521">IF(AND(ISNUMBER(#REF!), ISNUMBER(#REF!)),#REF! -#REF!,"")</f>
        <v/>
      </c>
      <c r="L764" t="str">
        <f t="shared" ref="L764:L827" si="1522">IF(AND(ISNUMBER(#REF!), ISNUMBER(#REF!)),#REF! -#REF!,"")</f>
        <v/>
      </c>
    </row>
    <row r="765" spans="10:12">
      <c r="J765" t="str">
        <f t="shared" ref="J765:J828" si="1523">IF(AND(ISNUMBER(#REF!), ISNUMBER(#REF!)),#REF! -#REF!,"")</f>
        <v/>
      </c>
      <c r="L765" t="str">
        <f t="shared" ref="L765:L828" si="1524">IF(AND(ISNUMBER(#REF!), ISNUMBER(#REF!)),#REF! -#REF!,"")</f>
        <v/>
      </c>
    </row>
    <row r="766" spans="10:12">
      <c r="J766" t="str">
        <f t="shared" ref="J766:J829" si="1525">IF(AND(ISNUMBER(#REF!), ISNUMBER(#REF!)),#REF! -#REF!,"")</f>
        <v/>
      </c>
      <c r="L766" t="str">
        <f t="shared" ref="L766:L829" si="1526">IF(AND(ISNUMBER(#REF!), ISNUMBER(#REF!)),#REF! -#REF!,"")</f>
        <v/>
      </c>
    </row>
    <row r="767" spans="10:12">
      <c r="J767" t="str">
        <f t="shared" ref="J767:J830" si="1527">IF(AND(ISNUMBER(#REF!), ISNUMBER(#REF!)),#REF! -#REF!,"")</f>
        <v/>
      </c>
      <c r="L767" t="str">
        <f t="shared" ref="L767:L830" si="1528">IF(AND(ISNUMBER(#REF!), ISNUMBER(#REF!)),#REF! -#REF!,"")</f>
        <v/>
      </c>
    </row>
    <row r="768" spans="10:12">
      <c r="J768" t="str">
        <f t="shared" ref="J768:J831" si="1529">IF(AND(ISNUMBER(#REF!), ISNUMBER(#REF!)),#REF! -#REF!,"")</f>
        <v/>
      </c>
      <c r="L768" t="str">
        <f t="shared" ref="L768:L831" si="1530">IF(AND(ISNUMBER(#REF!), ISNUMBER(#REF!)),#REF! -#REF!,"")</f>
        <v/>
      </c>
    </row>
    <row r="769" spans="10:12">
      <c r="J769" t="str">
        <f t="shared" ref="J769:J832" si="1531">IF(AND(ISNUMBER(#REF!), ISNUMBER(#REF!)),#REF! -#REF!,"")</f>
        <v/>
      </c>
      <c r="L769" t="str">
        <f t="shared" ref="L769:L832" si="1532">IF(AND(ISNUMBER(#REF!), ISNUMBER(#REF!)),#REF! -#REF!,"")</f>
        <v/>
      </c>
    </row>
    <row r="770" spans="10:12">
      <c r="J770" t="str">
        <f t="shared" ref="J770:J833" si="1533">IF(AND(ISNUMBER(#REF!), ISNUMBER(#REF!)),#REF! -#REF!,"")</f>
        <v/>
      </c>
      <c r="L770" t="str">
        <f t="shared" ref="L770:L833" si="1534">IF(AND(ISNUMBER(#REF!), ISNUMBER(#REF!)),#REF! -#REF!,"")</f>
        <v/>
      </c>
    </row>
    <row r="771" spans="10:12">
      <c r="J771" t="str">
        <f t="shared" ref="J771:J834" si="1535">IF(AND(ISNUMBER(#REF!), ISNUMBER(#REF!)),#REF! -#REF!,"")</f>
        <v/>
      </c>
      <c r="L771" t="str">
        <f t="shared" ref="L771:L834" si="1536">IF(AND(ISNUMBER(#REF!), ISNUMBER(#REF!)),#REF! -#REF!,"")</f>
        <v/>
      </c>
    </row>
    <row r="772" spans="10:12">
      <c r="J772" t="str">
        <f t="shared" ref="J772:J835" si="1537">IF(AND(ISNUMBER(#REF!), ISNUMBER(#REF!)),#REF! -#REF!,"")</f>
        <v/>
      </c>
      <c r="L772" t="str">
        <f t="shared" ref="L772:L835" si="1538">IF(AND(ISNUMBER(#REF!), ISNUMBER(#REF!)),#REF! -#REF!,"")</f>
        <v/>
      </c>
    </row>
    <row r="773" spans="10:12">
      <c r="J773" t="str">
        <f t="shared" ref="J773:J836" si="1539">IF(AND(ISNUMBER(#REF!), ISNUMBER(#REF!)),#REF! -#REF!,"")</f>
        <v/>
      </c>
      <c r="L773" t="str">
        <f t="shared" ref="L773:L836" si="1540">IF(AND(ISNUMBER(#REF!), ISNUMBER(#REF!)),#REF! -#REF!,"")</f>
        <v/>
      </c>
    </row>
    <row r="774" spans="10:12">
      <c r="J774" t="str">
        <f t="shared" ref="J774:J837" si="1541">IF(AND(ISNUMBER(#REF!), ISNUMBER(#REF!)),#REF! -#REF!,"")</f>
        <v/>
      </c>
      <c r="L774" t="str">
        <f t="shared" ref="L774:L837" si="1542">IF(AND(ISNUMBER(#REF!), ISNUMBER(#REF!)),#REF! -#REF!,"")</f>
        <v/>
      </c>
    </row>
    <row r="775" spans="10:12">
      <c r="J775" t="str">
        <f t="shared" ref="J775:J838" si="1543">IF(AND(ISNUMBER(#REF!), ISNUMBER(#REF!)),#REF! -#REF!,"")</f>
        <v/>
      </c>
      <c r="L775" t="str">
        <f t="shared" ref="L775:L838" si="1544">IF(AND(ISNUMBER(#REF!), ISNUMBER(#REF!)),#REF! -#REF!,"")</f>
        <v/>
      </c>
    </row>
    <row r="776" spans="10:12">
      <c r="J776" t="str">
        <f t="shared" ref="J776:J839" si="1545">IF(AND(ISNUMBER(#REF!), ISNUMBER(#REF!)),#REF! -#REF!,"")</f>
        <v/>
      </c>
      <c r="L776" t="str">
        <f t="shared" ref="L776:L839" si="1546">IF(AND(ISNUMBER(#REF!), ISNUMBER(#REF!)),#REF! -#REF!,"")</f>
        <v/>
      </c>
    </row>
    <row r="777" spans="10:12">
      <c r="J777" t="str">
        <f t="shared" ref="J777:J840" si="1547">IF(AND(ISNUMBER(#REF!), ISNUMBER(#REF!)),#REF! -#REF!,"")</f>
        <v/>
      </c>
      <c r="L777" t="str">
        <f t="shared" ref="L777:L840" si="1548">IF(AND(ISNUMBER(#REF!), ISNUMBER(#REF!)),#REF! -#REF!,"")</f>
        <v/>
      </c>
    </row>
    <row r="778" spans="10:12">
      <c r="J778" t="str">
        <f t="shared" ref="J778:J841" si="1549">IF(AND(ISNUMBER(#REF!), ISNUMBER(#REF!)),#REF! -#REF!,"")</f>
        <v/>
      </c>
      <c r="L778" t="str">
        <f t="shared" ref="L778:L841" si="1550">IF(AND(ISNUMBER(#REF!), ISNUMBER(#REF!)),#REF! -#REF!,"")</f>
        <v/>
      </c>
    </row>
    <row r="779" spans="10:12">
      <c r="J779" t="str">
        <f t="shared" ref="J779:J842" si="1551">IF(AND(ISNUMBER(#REF!), ISNUMBER(#REF!)),#REF! -#REF!,"")</f>
        <v/>
      </c>
      <c r="L779" t="str">
        <f t="shared" ref="L779:L842" si="1552">IF(AND(ISNUMBER(#REF!), ISNUMBER(#REF!)),#REF! -#REF!,"")</f>
        <v/>
      </c>
    </row>
    <row r="780" spans="10:12">
      <c r="J780" t="str">
        <f t="shared" ref="J780:J843" si="1553">IF(AND(ISNUMBER(#REF!), ISNUMBER(#REF!)),#REF! -#REF!,"")</f>
        <v/>
      </c>
      <c r="L780" t="str">
        <f t="shared" ref="L780:L843" si="1554">IF(AND(ISNUMBER(#REF!), ISNUMBER(#REF!)),#REF! -#REF!,"")</f>
        <v/>
      </c>
    </row>
    <row r="781" spans="10:12">
      <c r="J781" t="str">
        <f t="shared" ref="J781:J844" si="1555">IF(AND(ISNUMBER(#REF!), ISNUMBER(#REF!)),#REF! -#REF!,"")</f>
        <v/>
      </c>
      <c r="L781" t="str">
        <f t="shared" ref="L781:L844" si="1556">IF(AND(ISNUMBER(#REF!), ISNUMBER(#REF!)),#REF! -#REF!,"")</f>
        <v/>
      </c>
    </row>
    <row r="782" spans="10:12">
      <c r="J782" t="str">
        <f t="shared" ref="J782:J845" si="1557">IF(AND(ISNUMBER(#REF!), ISNUMBER(#REF!)),#REF! -#REF!,"")</f>
        <v/>
      </c>
      <c r="L782" t="str">
        <f t="shared" ref="L782:L845" si="1558">IF(AND(ISNUMBER(#REF!), ISNUMBER(#REF!)),#REF! -#REF!,"")</f>
        <v/>
      </c>
    </row>
    <row r="783" spans="10:12">
      <c r="J783" t="str">
        <f t="shared" ref="J783:J846" si="1559">IF(AND(ISNUMBER(#REF!), ISNUMBER(#REF!)),#REF! -#REF!,"")</f>
        <v/>
      </c>
      <c r="L783" t="str">
        <f t="shared" ref="L783:L846" si="1560">IF(AND(ISNUMBER(#REF!), ISNUMBER(#REF!)),#REF! -#REF!,"")</f>
        <v/>
      </c>
    </row>
    <row r="784" spans="10:12">
      <c r="J784" t="str">
        <f t="shared" ref="J784:J847" si="1561">IF(AND(ISNUMBER(#REF!), ISNUMBER(#REF!)),#REF! -#REF!,"")</f>
        <v/>
      </c>
      <c r="L784" t="str">
        <f t="shared" ref="L784:L847" si="1562">IF(AND(ISNUMBER(#REF!), ISNUMBER(#REF!)),#REF! -#REF!,"")</f>
        <v/>
      </c>
    </row>
    <row r="785" spans="10:12">
      <c r="J785" t="str">
        <f t="shared" ref="J785:J848" si="1563">IF(AND(ISNUMBER(#REF!), ISNUMBER(#REF!)),#REF! -#REF!,"")</f>
        <v/>
      </c>
      <c r="L785" t="str">
        <f t="shared" ref="L785:L848" si="1564">IF(AND(ISNUMBER(#REF!), ISNUMBER(#REF!)),#REF! -#REF!,"")</f>
        <v/>
      </c>
    </row>
    <row r="786" spans="10:12">
      <c r="J786" t="str">
        <f t="shared" ref="J786:J849" si="1565">IF(AND(ISNUMBER(#REF!), ISNUMBER(#REF!)),#REF! -#REF!,"")</f>
        <v/>
      </c>
      <c r="L786" t="str">
        <f t="shared" ref="L786:L849" si="1566">IF(AND(ISNUMBER(#REF!), ISNUMBER(#REF!)),#REF! -#REF!,"")</f>
        <v/>
      </c>
    </row>
    <row r="787" spans="10:12">
      <c r="J787" t="str">
        <f t="shared" ref="J787:J850" si="1567">IF(AND(ISNUMBER(#REF!), ISNUMBER(#REF!)),#REF! -#REF!,"")</f>
        <v/>
      </c>
      <c r="L787" t="str">
        <f t="shared" ref="L787:L850" si="1568">IF(AND(ISNUMBER(#REF!), ISNUMBER(#REF!)),#REF! -#REF!,"")</f>
        <v/>
      </c>
    </row>
    <row r="788" spans="10:12">
      <c r="J788" t="str">
        <f t="shared" ref="J788:J851" si="1569">IF(AND(ISNUMBER(#REF!), ISNUMBER(#REF!)),#REF! -#REF!,"")</f>
        <v/>
      </c>
      <c r="L788" t="str">
        <f t="shared" ref="L788:L851" si="1570">IF(AND(ISNUMBER(#REF!), ISNUMBER(#REF!)),#REF! -#REF!,"")</f>
        <v/>
      </c>
    </row>
    <row r="789" spans="10:12">
      <c r="J789" t="str">
        <f t="shared" ref="J789:J852" si="1571">IF(AND(ISNUMBER(#REF!), ISNUMBER(#REF!)),#REF! -#REF!,"")</f>
        <v/>
      </c>
      <c r="L789" t="str">
        <f t="shared" ref="L789:L852" si="1572">IF(AND(ISNUMBER(#REF!), ISNUMBER(#REF!)),#REF! -#REF!,"")</f>
        <v/>
      </c>
    </row>
    <row r="790" spans="10:12">
      <c r="J790" t="str">
        <f t="shared" ref="J790:J853" si="1573">IF(AND(ISNUMBER(#REF!), ISNUMBER(#REF!)),#REF! -#REF!,"")</f>
        <v/>
      </c>
      <c r="L790" t="str">
        <f t="shared" ref="L790:L853" si="1574">IF(AND(ISNUMBER(#REF!), ISNUMBER(#REF!)),#REF! -#REF!,"")</f>
        <v/>
      </c>
    </row>
    <row r="791" spans="10:12">
      <c r="J791" t="str">
        <f t="shared" ref="J791:J854" si="1575">IF(AND(ISNUMBER(#REF!), ISNUMBER(#REF!)),#REF! -#REF!,"")</f>
        <v/>
      </c>
      <c r="L791" t="str">
        <f t="shared" ref="L791:L854" si="1576">IF(AND(ISNUMBER(#REF!), ISNUMBER(#REF!)),#REF! -#REF!,"")</f>
        <v/>
      </c>
    </row>
    <row r="792" spans="10:12">
      <c r="J792" t="str">
        <f t="shared" ref="J792:J855" si="1577">IF(AND(ISNUMBER(#REF!), ISNUMBER(#REF!)),#REF! -#REF!,"")</f>
        <v/>
      </c>
      <c r="L792" t="str">
        <f t="shared" ref="L792:L855" si="1578">IF(AND(ISNUMBER(#REF!), ISNUMBER(#REF!)),#REF! -#REF!,"")</f>
        <v/>
      </c>
    </row>
    <row r="793" spans="10:12">
      <c r="J793" t="str">
        <f t="shared" ref="J793:J856" si="1579">IF(AND(ISNUMBER(#REF!), ISNUMBER(#REF!)),#REF! -#REF!,"")</f>
        <v/>
      </c>
      <c r="L793" t="str">
        <f t="shared" ref="L793:L856" si="1580">IF(AND(ISNUMBER(#REF!), ISNUMBER(#REF!)),#REF! -#REF!,"")</f>
        <v/>
      </c>
    </row>
    <row r="794" spans="10:12">
      <c r="J794" t="str">
        <f t="shared" ref="J794:J857" si="1581">IF(AND(ISNUMBER(#REF!), ISNUMBER(#REF!)),#REF! -#REF!,"")</f>
        <v/>
      </c>
      <c r="L794" t="str">
        <f t="shared" ref="L794:L857" si="1582">IF(AND(ISNUMBER(#REF!), ISNUMBER(#REF!)),#REF! -#REF!,"")</f>
        <v/>
      </c>
    </row>
    <row r="795" spans="10:12">
      <c r="J795" t="str">
        <f t="shared" ref="J795:J858" si="1583">IF(AND(ISNUMBER(#REF!), ISNUMBER(#REF!)),#REF! -#REF!,"")</f>
        <v/>
      </c>
      <c r="L795" t="str">
        <f t="shared" ref="L795:L858" si="1584">IF(AND(ISNUMBER(#REF!), ISNUMBER(#REF!)),#REF! -#REF!,"")</f>
        <v/>
      </c>
    </row>
    <row r="796" spans="10:12">
      <c r="J796" t="str">
        <f t="shared" ref="J796:J859" si="1585">IF(AND(ISNUMBER(#REF!), ISNUMBER(#REF!)),#REF! -#REF!,"")</f>
        <v/>
      </c>
      <c r="L796" t="str">
        <f t="shared" ref="L796:L859" si="1586">IF(AND(ISNUMBER(#REF!), ISNUMBER(#REF!)),#REF! -#REF!,"")</f>
        <v/>
      </c>
    </row>
    <row r="797" spans="10:12">
      <c r="J797" t="str">
        <f t="shared" ref="J797:J860" si="1587">IF(AND(ISNUMBER(#REF!), ISNUMBER(#REF!)),#REF! -#REF!,"")</f>
        <v/>
      </c>
      <c r="L797" t="str">
        <f t="shared" ref="L797:L860" si="1588">IF(AND(ISNUMBER(#REF!), ISNUMBER(#REF!)),#REF! -#REF!,"")</f>
        <v/>
      </c>
    </row>
    <row r="798" spans="10:12">
      <c r="J798" t="str">
        <f t="shared" ref="J798:J861" si="1589">IF(AND(ISNUMBER(#REF!), ISNUMBER(#REF!)),#REF! -#REF!,"")</f>
        <v/>
      </c>
      <c r="L798" t="str">
        <f t="shared" ref="L798:L861" si="1590">IF(AND(ISNUMBER(#REF!), ISNUMBER(#REF!)),#REF! -#REF!,"")</f>
        <v/>
      </c>
    </row>
    <row r="799" spans="10:12">
      <c r="J799" t="str">
        <f t="shared" ref="J799:J862" si="1591">IF(AND(ISNUMBER(#REF!), ISNUMBER(#REF!)),#REF! -#REF!,"")</f>
        <v/>
      </c>
      <c r="L799" t="str">
        <f t="shared" ref="L799:L862" si="1592">IF(AND(ISNUMBER(#REF!), ISNUMBER(#REF!)),#REF! -#REF!,"")</f>
        <v/>
      </c>
    </row>
    <row r="800" spans="10:12">
      <c r="J800" t="str">
        <f t="shared" ref="J800:J863" si="1593">IF(AND(ISNUMBER(#REF!), ISNUMBER(#REF!)),#REF! -#REF!,"")</f>
        <v/>
      </c>
      <c r="L800" t="str">
        <f t="shared" ref="L800:L863" si="1594">IF(AND(ISNUMBER(#REF!), ISNUMBER(#REF!)),#REF! -#REF!,"")</f>
        <v/>
      </c>
    </row>
    <row r="801" spans="10:12">
      <c r="J801" t="str">
        <f t="shared" ref="J801:J864" si="1595">IF(AND(ISNUMBER(#REF!), ISNUMBER(#REF!)),#REF! -#REF!,"")</f>
        <v/>
      </c>
      <c r="L801" t="str">
        <f t="shared" ref="L801:L864" si="1596">IF(AND(ISNUMBER(#REF!), ISNUMBER(#REF!)),#REF! -#REF!,"")</f>
        <v/>
      </c>
    </row>
    <row r="802" spans="10:12">
      <c r="J802" t="str">
        <f t="shared" ref="J802:J865" si="1597">IF(AND(ISNUMBER(#REF!), ISNUMBER(#REF!)),#REF! -#REF!,"")</f>
        <v/>
      </c>
      <c r="L802" t="str">
        <f t="shared" ref="L802:L865" si="1598">IF(AND(ISNUMBER(#REF!), ISNUMBER(#REF!)),#REF! -#REF!,"")</f>
        <v/>
      </c>
    </row>
    <row r="803" spans="10:12">
      <c r="J803" t="str">
        <f t="shared" ref="J803:J866" si="1599">IF(AND(ISNUMBER(#REF!), ISNUMBER(#REF!)),#REF! -#REF!,"")</f>
        <v/>
      </c>
      <c r="L803" t="str">
        <f t="shared" ref="L803:L866" si="1600">IF(AND(ISNUMBER(#REF!), ISNUMBER(#REF!)),#REF! -#REF!,"")</f>
        <v/>
      </c>
    </row>
    <row r="804" spans="10:12">
      <c r="J804" t="str">
        <f t="shared" ref="J804:J867" si="1601">IF(AND(ISNUMBER(#REF!), ISNUMBER(#REF!)),#REF! -#REF!,"")</f>
        <v/>
      </c>
      <c r="L804" t="str">
        <f t="shared" ref="L804:L867" si="1602">IF(AND(ISNUMBER(#REF!), ISNUMBER(#REF!)),#REF! -#REF!,"")</f>
        <v/>
      </c>
    </row>
    <row r="805" spans="10:12">
      <c r="J805" t="str">
        <f t="shared" ref="J805:J868" si="1603">IF(AND(ISNUMBER(#REF!), ISNUMBER(#REF!)),#REF! -#REF!,"")</f>
        <v/>
      </c>
      <c r="L805" t="str">
        <f t="shared" ref="L805:L868" si="1604">IF(AND(ISNUMBER(#REF!), ISNUMBER(#REF!)),#REF! -#REF!,"")</f>
        <v/>
      </c>
    </row>
    <row r="806" spans="10:12">
      <c r="J806" t="str">
        <f t="shared" ref="J806:J869" si="1605">IF(AND(ISNUMBER(#REF!), ISNUMBER(#REF!)),#REF! -#REF!,"")</f>
        <v/>
      </c>
      <c r="L806" t="str">
        <f t="shared" ref="L806:L869" si="1606">IF(AND(ISNUMBER(#REF!), ISNUMBER(#REF!)),#REF! -#REF!,"")</f>
        <v/>
      </c>
    </row>
    <row r="807" spans="10:12">
      <c r="J807" t="str">
        <f t="shared" ref="J807:J870" si="1607">IF(AND(ISNUMBER(#REF!), ISNUMBER(#REF!)),#REF! -#REF!,"")</f>
        <v/>
      </c>
      <c r="L807" t="str">
        <f t="shared" ref="L807:L870" si="1608">IF(AND(ISNUMBER(#REF!), ISNUMBER(#REF!)),#REF! -#REF!,"")</f>
        <v/>
      </c>
    </row>
    <row r="808" spans="10:12">
      <c r="J808" t="str">
        <f t="shared" ref="J808:J871" si="1609">IF(AND(ISNUMBER(#REF!), ISNUMBER(#REF!)),#REF! -#REF!,"")</f>
        <v/>
      </c>
      <c r="L808" t="str">
        <f t="shared" ref="L808:L871" si="1610">IF(AND(ISNUMBER(#REF!), ISNUMBER(#REF!)),#REF! -#REF!,"")</f>
        <v/>
      </c>
    </row>
    <row r="809" spans="10:12">
      <c r="J809" t="str">
        <f t="shared" ref="J809:J872" si="1611">IF(AND(ISNUMBER(#REF!), ISNUMBER(#REF!)),#REF! -#REF!,"")</f>
        <v/>
      </c>
      <c r="L809" t="str">
        <f t="shared" ref="L809:L872" si="1612">IF(AND(ISNUMBER(#REF!), ISNUMBER(#REF!)),#REF! -#REF!,"")</f>
        <v/>
      </c>
    </row>
    <row r="810" spans="10:12">
      <c r="J810" t="str">
        <f t="shared" ref="J810:J873" si="1613">IF(AND(ISNUMBER(#REF!), ISNUMBER(#REF!)),#REF! -#REF!,"")</f>
        <v/>
      </c>
      <c r="L810" t="str">
        <f t="shared" ref="L810:L873" si="1614">IF(AND(ISNUMBER(#REF!), ISNUMBER(#REF!)),#REF! -#REF!,"")</f>
        <v/>
      </c>
    </row>
    <row r="811" spans="10:12">
      <c r="J811" t="str">
        <f t="shared" ref="J811:J874" si="1615">IF(AND(ISNUMBER(#REF!), ISNUMBER(#REF!)),#REF! -#REF!,"")</f>
        <v/>
      </c>
      <c r="L811" t="str">
        <f t="shared" ref="L811:L874" si="1616">IF(AND(ISNUMBER(#REF!), ISNUMBER(#REF!)),#REF! -#REF!,"")</f>
        <v/>
      </c>
    </row>
    <row r="812" spans="10:12">
      <c r="J812" t="str">
        <f t="shared" ref="J812:J875" si="1617">IF(AND(ISNUMBER(#REF!), ISNUMBER(#REF!)),#REF! -#REF!,"")</f>
        <v/>
      </c>
      <c r="L812" t="str">
        <f t="shared" ref="L812:L875" si="1618">IF(AND(ISNUMBER(#REF!), ISNUMBER(#REF!)),#REF! -#REF!,"")</f>
        <v/>
      </c>
    </row>
    <row r="813" spans="10:12">
      <c r="J813" t="str">
        <f t="shared" ref="J813:J876" si="1619">IF(AND(ISNUMBER(#REF!), ISNUMBER(#REF!)),#REF! -#REF!,"")</f>
        <v/>
      </c>
      <c r="L813" t="str">
        <f t="shared" ref="L813:L876" si="1620">IF(AND(ISNUMBER(#REF!), ISNUMBER(#REF!)),#REF! -#REF!,"")</f>
        <v/>
      </c>
    </row>
    <row r="814" spans="10:12">
      <c r="J814" t="str">
        <f t="shared" ref="J814:J877" si="1621">IF(AND(ISNUMBER(#REF!), ISNUMBER(#REF!)),#REF! -#REF!,"")</f>
        <v/>
      </c>
      <c r="L814" t="str">
        <f t="shared" ref="L814:L877" si="1622">IF(AND(ISNUMBER(#REF!), ISNUMBER(#REF!)),#REF! -#REF!,"")</f>
        <v/>
      </c>
    </row>
    <row r="815" spans="10:12">
      <c r="J815" t="str">
        <f t="shared" ref="J815:J878" si="1623">IF(AND(ISNUMBER(#REF!), ISNUMBER(#REF!)),#REF! -#REF!,"")</f>
        <v/>
      </c>
      <c r="L815" t="str">
        <f t="shared" ref="L815:L878" si="1624">IF(AND(ISNUMBER(#REF!), ISNUMBER(#REF!)),#REF! -#REF!,"")</f>
        <v/>
      </c>
    </row>
    <row r="816" spans="10:12">
      <c r="J816" t="str">
        <f t="shared" ref="J816:J879" si="1625">IF(AND(ISNUMBER(#REF!), ISNUMBER(#REF!)),#REF! -#REF!,"")</f>
        <v/>
      </c>
      <c r="L816" t="str">
        <f t="shared" ref="L816:L879" si="1626">IF(AND(ISNUMBER(#REF!), ISNUMBER(#REF!)),#REF! -#REF!,"")</f>
        <v/>
      </c>
    </row>
    <row r="817" spans="10:12">
      <c r="J817" t="str">
        <f t="shared" ref="J817:J880" si="1627">IF(AND(ISNUMBER(#REF!), ISNUMBER(#REF!)),#REF! -#REF!,"")</f>
        <v/>
      </c>
      <c r="L817" t="str">
        <f t="shared" ref="L817:L880" si="1628">IF(AND(ISNUMBER(#REF!), ISNUMBER(#REF!)),#REF! -#REF!,"")</f>
        <v/>
      </c>
    </row>
    <row r="818" spans="10:12">
      <c r="J818" t="str">
        <f t="shared" ref="J818:J881" si="1629">IF(AND(ISNUMBER(#REF!), ISNUMBER(#REF!)),#REF! -#REF!,"")</f>
        <v/>
      </c>
      <c r="L818" t="str">
        <f t="shared" ref="L818:L881" si="1630">IF(AND(ISNUMBER(#REF!), ISNUMBER(#REF!)),#REF! -#REF!,"")</f>
        <v/>
      </c>
    </row>
    <row r="819" spans="10:12">
      <c r="J819" t="str">
        <f t="shared" ref="J819:J882" si="1631">IF(AND(ISNUMBER(#REF!), ISNUMBER(#REF!)),#REF! -#REF!,"")</f>
        <v/>
      </c>
      <c r="L819" t="str">
        <f t="shared" ref="L819:L882" si="1632">IF(AND(ISNUMBER(#REF!), ISNUMBER(#REF!)),#REF! -#REF!,"")</f>
        <v/>
      </c>
    </row>
    <row r="820" spans="10:12">
      <c r="J820" t="str">
        <f t="shared" ref="J820:J883" si="1633">IF(AND(ISNUMBER(#REF!), ISNUMBER(#REF!)),#REF! -#REF!,"")</f>
        <v/>
      </c>
      <c r="L820" t="str">
        <f t="shared" ref="L820:L883" si="1634">IF(AND(ISNUMBER(#REF!), ISNUMBER(#REF!)),#REF! -#REF!,"")</f>
        <v/>
      </c>
    </row>
    <row r="821" spans="10:12">
      <c r="J821" t="str">
        <f t="shared" ref="J821:J884" si="1635">IF(AND(ISNUMBER(#REF!), ISNUMBER(#REF!)),#REF! -#REF!,"")</f>
        <v/>
      </c>
      <c r="L821" t="str">
        <f t="shared" ref="L821:L884" si="1636">IF(AND(ISNUMBER(#REF!), ISNUMBER(#REF!)),#REF! -#REF!,"")</f>
        <v/>
      </c>
    </row>
    <row r="822" spans="10:12">
      <c r="J822" t="str">
        <f t="shared" ref="J822:J885" si="1637">IF(AND(ISNUMBER(#REF!), ISNUMBER(#REF!)),#REF! -#REF!,"")</f>
        <v/>
      </c>
      <c r="L822" t="str">
        <f t="shared" ref="L822:L885" si="1638">IF(AND(ISNUMBER(#REF!), ISNUMBER(#REF!)),#REF! -#REF!,"")</f>
        <v/>
      </c>
    </row>
    <row r="823" spans="10:12">
      <c r="J823" t="str">
        <f t="shared" ref="J823:J886" si="1639">IF(AND(ISNUMBER(#REF!), ISNUMBER(#REF!)),#REF! -#REF!,"")</f>
        <v/>
      </c>
      <c r="L823" t="str">
        <f t="shared" ref="L823:L886" si="1640">IF(AND(ISNUMBER(#REF!), ISNUMBER(#REF!)),#REF! -#REF!,"")</f>
        <v/>
      </c>
    </row>
    <row r="824" spans="10:12">
      <c r="J824" t="str">
        <f t="shared" ref="J824:J887" si="1641">IF(AND(ISNUMBER(#REF!), ISNUMBER(#REF!)),#REF! -#REF!,"")</f>
        <v/>
      </c>
      <c r="L824" t="str">
        <f t="shared" ref="L824:L887" si="1642">IF(AND(ISNUMBER(#REF!), ISNUMBER(#REF!)),#REF! -#REF!,"")</f>
        <v/>
      </c>
    </row>
    <row r="825" spans="10:12">
      <c r="J825" t="str">
        <f t="shared" ref="J825:J888" si="1643">IF(AND(ISNUMBER(#REF!), ISNUMBER(#REF!)),#REF! -#REF!,"")</f>
        <v/>
      </c>
      <c r="L825" t="str">
        <f t="shared" ref="L825:L888" si="1644">IF(AND(ISNUMBER(#REF!), ISNUMBER(#REF!)),#REF! -#REF!,"")</f>
        <v/>
      </c>
    </row>
    <row r="826" spans="10:12">
      <c r="J826" t="str">
        <f t="shared" ref="J826:J889" si="1645">IF(AND(ISNUMBER(#REF!), ISNUMBER(#REF!)),#REF! -#REF!,"")</f>
        <v/>
      </c>
      <c r="L826" t="str">
        <f t="shared" ref="L826:L889" si="1646">IF(AND(ISNUMBER(#REF!), ISNUMBER(#REF!)),#REF! -#REF!,"")</f>
        <v/>
      </c>
    </row>
    <row r="827" spans="10:12">
      <c r="J827" t="str">
        <f t="shared" ref="J827:J890" si="1647">IF(AND(ISNUMBER(#REF!), ISNUMBER(#REF!)),#REF! -#REF!,"")</f>
        <v/>
      </c>
      <c r="L827" t="str">
        <f t="shared" ref="L827:L890" si="1648">IF(AND(ISNUMBER(#REF!), ISNUMBER(#REF!)),#REF! -#REF!,"")</f>
        <v/>
      </c>
    </row>
    <row r="828" spans="10:12">
      <c r="J828" t="str">
        <f t="shared" ref="J828:J891" si="1649">IF(AND(ISNUMBER(#REF!), ISNUMBER(#REF!)),#REF! -#REF!,"")</f>
        <v/>
      </c>
      <c r="L828" t="str">
        <f t="shared" ref="L828:L891" si="1650">IF(AND(ISNUMBER(#REF!), ISNUMBER(#REF!)),#REF! -#REF!,"")</f>
        <v/>
      </c>
    </row>
    <row r="829" spans="10:12">
      <c r="J829" t="str">
        <f t="shared" ref="J829:J892" si="1651">IF(AND(ISNUMBER(#REF!), ISNUMBER(#REF!)),#REF! -#REF!,"")</f>
        <v/>
      </c>
      <c r="L829" t="str">
        <f t="shared" ref="L829:L892" si="1652">IF(AND(ISNUMBER(#REF!), ISNUMBER(#REF!)),#REF! -#REF!,"")</f>
        <v/>
      </c>
    </row>
    <row r="830" spans="10:12">
      <c r="J830" t="str">
        <f t="shared" ref="J830:J893" si="1653">IF(AND(ISNUMBER(#REF!), ISNUMBER(#REF!)),#REF! -#REF!,"")</f>
        <v/>
      </c>
      <c r="L830" t="str">
        <f t="shared" ref="L830:L893" si="1654">IF(AND(ISNUMBER(#REF!), ISNUMBER(#REF!)),#REF! -#REF!,"")</f>
        <v/>
      </c>
    </row>
    <row r="831" spans="10:12">
      <c r="J831" t="str">
        <f t="shared" ref="J831:J894" si="1655">IF(AND(ISNUMBER(#REF!), ISNUMBER(#REF!)),#REF! -#REF!,"")</f>
        <v/>
      </c>
      <c r="L831" t="str">
        <f t="shared" ref="L831:L894" si="1656">IF(AND(ISNUMBER(#REF!), ISNUMBER(#REF!)),#REF! -#REF!,"")</f>
        <v/>
      </c>
    </row>
    <row r="832" spans="10:12">
      <c r="J832" t="str">
        <f t="shared" ref="J832:J895" si="1657">IF(AND(ISNUMBER(#REF!), ISNUMBER(#REF!)),#REF! -#REF!,"")</f>
        <v/>
      </c>
      <c r="L832" t="str">
        <f t="shared" ref="L832:L895" si="1658">IF(AND(ISNUMBER(#REF!), ISNUMBER(#REF!)),#REF! -#REF!,"")</f>
        <v/>
      </c>
    </row>
    <row r="833" spans="10:12">
      <c r="J833" t="str">
        <f t="shared" ref="J833:J896" si="1659">IF(AND(ISNUMBER(#REF!), ISNUMBER(#REF!)),#REF! -#REF!,"")</f>
        <v/>
      </c>
      <c r="L833" t="str">
        <f t="shared" ref="L833:L896" si="1660">IF(AND(ISNUMBER(#REF!), ISNUMBER(#REF!)),#REF! -#REF!,"")</f>
        <v/>
      </c>
    </row>
    <row r="834" spans="10:12">
      <c r="J834" t="str">
        <f t="shared" ref="J834:J897" si="1661">IF(AND(ISNUMBER(#REF!), ISNUMBER(#REF!)),#REF! -#REF!,"")</f>
        <v/>
      </c>
      <c r="L834" t="str">
        <f t="shared" ref="L834:L897" si="1662">IF(AND(ISNUMBER(#REF!), ISNUMBER(#REF!)),#REF! -#REF!,"")</f>
        <v/>
      </c>
    </row>
    <row r="835" spans="10:12">
      <c r="J835" t="str">
        <f t="shared" ref="J835:J898" si="1663">IF(AND(ISNUMBER(#REF!), ISNUMBER(#REF!)),#REF! -#REF!,"")</f>
        <v/>
      </c>
      <c r="L835" t="str">
        <f t="shared" ref="L835:L898" si="1664">IF(AND(ISNUMBER(#REF!), ISNUMBER(#REF!)),#REF! -#REF!,"")</f>
        <v/>
      </c>
    </row>
    <row r="836" spans="10:12">
      <c r="J836" t="str">
        <f t="shared" ref="J836:J899" si="1665">IF(AND(ISNUMBER(#REF!), ISNUMBER(#REF!)),#REF! -#REF!,"")</f>
        <v/>
      </c>
      <c r="L836" t="str">
        <f t="shared" ref="L836:L899" si="1666">IF(AND(ISNUMBER(#REF!), ISNUMBER(#REF!)),#REF! -#REF!,"")</f>
        <v/>
      </c>
    </row>
    <row r="837" spans="10:12">
      <c r="J837" t="str">
        <f t="shared" ref="J837:J900" si="1667">IF(AND(ISNUMBER(#REF!), ISNUMBER(#REF!)),#REF! -#REF!,"")</f>
        <v/>
      </c>
      <c r="L837" t="str">
        <f t="shared" ref="L837:L900" si="1668">IF(AND(ISNUMBER(#REF!), ISNUMBER(#REF!)),#REF! -#REF!,"")</f>
        <v/>
      </c>
    </row>
    <row r="838" spans="10:12">
      <c r="J838" t="str">
        <f t="shared" ref="J838:J901" si="1669">IF(AND(ISNUMBER(#REF!), ISNUMBER(#REF!)),#REF! -#REF!,"")</f>
        <v/>
      </c>
      <c r="L838" t="str">
        <f t="shared" ref="L838:L901" si="1670">IF(AND(ISNUMBER(#REF!), ISNUMBER(#REF!)),#REF! -#REF!,"")</f>
        <v/>
      </c>
    </row>
    <row r="839" spans="10:12">
      <c r="J839" t="str">
        <f t="shared" ref="J839:J902" si="1671">IF(AND(ISNUMBER(#REF!), ISNUMBER(#REF!)),#REF! -#REF!,"")</f>
        <v/>
      </c>
      <c r="L839" t="str">
        <f t="shared" ref="L839:L902" si="1672">IF(AND(ISNUMBER(#REF!), ISNUMBER(#REF!)),#REF! -#REF!,"")</f>
        <v/>
      </c>
    </row>
    <row r="840" spans="10:12">
      <c r="J840" t="str">
        <f t="shared" ref="J840:J903" si="1673">IF(AND(ISNUMBER(#REF!), ISNUMBER(#REF!)),#REF! -#REF!,"")</f>
        <v/>
      </c>
      <c r="L840" t="str">
        <f t="shared" ref="L840:L903" si="1674">IF(AND(ISNUMBER(#REF!), ISNUMBER(#REF!)),#REF! -#REF!,"")</f>
        <v/>
      </c>
    </row>
    <row r="841" spans="10:12">
      <c r="J841" t="str">
        <f t="shared" ref="J841:J904" si="1675">IF(AND(ISNUMBER(#REF!), ISNUMBER(#REF!)),#REF! -#REF!,"")</f>
        <v/>
      </c>
      <c r="L841" t="str">
        <f t="shared" ref="L841:L904" si="1676">IF(AND(ISNUMBER(#REF!), ISNUMBER(#REF!)),#REF! -#REF!,"")</f>
        <v/>
      </c>
    </row>
    <row r="842" spans="10:12">
      <c r="J842" t="str">
        <f t="shared" ref="J842:J905" si="1677">IF(AND(ISNUMBER(#REF!), ISNUMBER(#REF!)),#REF! -#REF!,"")</f>
        <v/>
      </c>
      <c r="L842" t="str">
        <f t="shared" ref="L842:L905" si="1678">IF(AND(ISNUMBER(#REF!), ISNUMBER(#REF!)),#REF! -#REF!,"")</f>
        <v/>
      </c>
    </row>
    <row r="843" spans="10:12">
      <c r="J843" t="str">
        <f t="shared" ref="J843:J906" si="1679">IF(AND(ISNUMBER(#REF!), ISNUMBER(#REF!)),#REF! -#REF!,"")</f>
        <v/>
      </c>
      <c r="L843" t="str">
        <f t="shared" ref="L843:L906" si="1680">IF(AND(ISNUMBER(#REF!), ISNUMBER(#REF!)),#REF! -#REF!,"")</f>
        <v/>
      </c>
    </row>
    <row r="844" spans="10:12">
      <c r="J844" t="str">
        <f t="shared" ref="J844:J907" si="1681">IF(AND(ISNUMBER(#REF!), ISNUMBER(#REF!)),#REF! -#REF!,"")</f>
        <v/>
      </c>
      <c r="L844" t="str">
        <f t="shared" ref="L844:L907" si="1682">IF(AND(ISNUMBER(#REF!), ISNUMBER(#REF!)),#REF! -#REF!,"")</f>
        <v/>
      </c>
    </row>
    <row r="845" spans="10:12">
      <c r="J845" t="str">
        <f t="shared" ref="J845:J908" si="1683">IF(AND(ISNUMBER(#REF!), ISNUMBER(#REF!)),#REF! -#REF!,"")</f>
        <v/>
      </c>
      <c r="L845" t="str">
        <f t="shared" ref="L845:L908" si="1684">IF(AND(ISNUMBER(#REF!), ISNUMBER(#REF!)),#REF! -#REF!,"")</f>
        <v/>
      </c>
    </row>
    <row r="846" spans="10:12">
      <c r="J846" t="str">
        <f t="shared" ref="J846:J909" si="1685">IF(AND(ISNUMBER(#REF!), ISNUMBER(#REF!)),#REF! -#REF!,"")</f>
        <v/>
      </c>
      <c r="L846" t="str">
        <f t="shared" ref="L846:L909" si="1686">IF(AND(ISNUMBER(#REF!), ISNUMBER(#REF!)),#REF! -#REF!,"")</f>
        <v/>
      </c>
    </row>
    <row r="847" spans="10:12">
      <c r="J847" t="str">
        <f t="shared" ref="J847:J910" si="1687">IF(AND(ISNUMBER(#REF!), ISNUMBER(#REF!)),#REF! -#REF!,"")</f>
        <v/>
      </c>
      <c r="L847" t="str">
        <f t="shared" ref="L847:L910" si="1688">IF(AND(ISNUMBER(#REF!), ISNUMBER(#REF!)),#REF! -#REF!,"")</f>
        <v/>
      </c>
    </row>
    <row r="848" spans="10:12">
      <c r="J848" t="str">
        <f t="shared" ref="J848:J911" si="1689">IF(AND(ISNUMBER(#REF!), ISNUMBER(#REF!)),#REF! -#REF!,"")</f>
        <v/>
      </c>
      <c r="L848" t="str">
        <f t="shared" ref="L848:L911" si="1690">IF(AND(ISNUMBER(#REF!), ISNUMBER(#REF!)),#REF! -#REF!,"")</f>
        <v/>
      </c>
    </row>
    <row r="849" spans="10:12">
      <c r="J849" t="str">
        <f t="shared" ref="J849:J912" si="1691">IF(AND(ISNUMBER(#REF!), ISNUMBER(#REF!)),#REF! -#REF!,"")</f>
        <v/>
      </c>
      <c r="L849" t="str">
        <f t="shared" ref="L849:L912" si="1692">IF(AND(ISNUMBER(#REF!), ISNUMBER(#REF!)),#REF! -#REF!,"")</f>
        <v/>
      </c>
    </row>
    <row r="850" spans="10:12">
      <c r="J850" t="str">
        <f t="shared" ref="J850:J913" si="1693">IF(AND(ISNUMBER(#REF!), ISNUMBER(#REF!)),#REF! -#REF!,"")</f>
        <v/>
      </c>
      <c r="L850" t="str">
        <f t="shared" ref="L850:L913" si="1694">IF(AND(ISNUMBER(#REF!), ISNUMBER(#REF!)),#REF! -#REF!,"")</f>
        <v/>
      </c>
    </row>
    <row r="851" spans="10:12">
      <c r="J851" t="str">
        <f t="shared" ref="J851:J914" si="1695">IF(AND(ISNUMBER(#REF!), ISNUMBER(#REF!)),#REF! -#REF!,"")</f>
        <v/>
      </c>
      <c r="L851" t="str">
        <f t="shared" ref="L851:L914" si="1696">IF(AND(ISNUMBER(#REF!), ISNUMBER(#REF!)),#REF! -#REF!,"")</f>
        <v/>
      </c>
    </row>
    <row r="852" spans="10:12">
      <c r="J852" t="str">
        <f t="shared" ref="J852:J915" si="1697">IF(AND(ISNUMBER(#REF!), ISNUMBER(#REF!)),#REF! -#REF!,"")</f>
        <v/>
      </c>
      <c r="L852" t="str">
        <f t="shared" ref="L852:L915" si="1698">IF(AND(ISNUMBER(#REF!), ISNUMBER(#REF!)),#REF! -#REF!,"")</f>
        <v/>
      </c>
    </row>
    <row r="853" spans="10:12">
      <c r="J853" t="str">
        <f t="shared" ref="J853:J916" si="1699">IF(AND(ISNUMBER(#REF!), ISNUMBER(#REF!)),#REF! -#REF!,"")</f>
        <v/>
      </c>
      <c r="L853" t="str">
        <f t="shared" ref="L853:L916" si="1700">IF(AND(ISNUMBER(#REF!), ISNUMBER(#REF!)),#REF! -#REF!,"")</f>
        <v/>
      </c>
    </row>
    <row r="854" spans="10:12">
      <c r="J854" t="str">
        <f t="shared" ref="J854:J917" si="1701">IF(AND(ISNUMBER(#REF!), ISNUMBER(#REF!)),#REF! -#REF!,"")</f>
        <v/>
      </c>
      <c r="L854" t="str">
        <f t="shared" ref="L854:L917" si="1702">IF(AND(ISNUMBER(#REF!), ISNUMBER(#REF!)),#REF! -#REF!,"")</f>
        <v/>
      </c>
    </row>
    <row r="855" spans="10:12">
      <c r="J855" t="str">
        <f t="shared" ref="J855:J918" si="1703">IF(AND(ISNUMBER(#REF!), ISNUMBER(#REF!)),#REF! -#REF!,"")</f>
        <v/>
      </c>
      <c r="L855" t="str">
        <f t="shared" ref="L855:L918" si="1704">IF(AND(ISNUMBER(#REF!), ISNUMBER(#REF!)),#REF! -#REF!,"")</f>
        <v/>
      </c>
    </row>
    <row r="856" spans="10:12">
      <c r="J856" t="str">
        <f t="shared" ref="J856:J919" si="1705">IF(AND(ISNUMBER(#REF!), ISNUMBER(#REF!)),#REF! -#REF!,"")</f>
        <v/>
      </c>
      <c r="L856" t="str">
        <f t="shared" ref="L856:L919" si="1706">IF(AND(ISNUMBER(#REF!), ISNUMBER(#REF!)),#REF! -#REF!,"")</f>
        <v/>
      </c>
    </row>
    <row r="857" spans="10:12">
      <c r="J857" t="str">
        <f t="shared" ref="J857:J920" si="1707">IF(AND(ISNUMBER(#REF!), ISNUMBER(#REF!)),#REF! -#REF!,"")</f>
        <v/>
      </c>
      <c r="L857" t="str">
        <f t="shared" ref="L857:L920" si="1708">IF(AND(ISNUMBER(#REF!), ISNUMBER(#REF!)),#REF! -#REF!,"")</f>
        <v/>
      </c>
    </row>
    <row r="858" spans="10:12">
      <c r="J858" t="str">
        <f t="shared" ref="J858:J921" si="1709">IF(AND(ISNUMBER(#REF!), ISNUMBER(#REF!)),#REF! -#REF!,"")</f>
        <v/>
      </c>
      <c r="L858" t="str">
        <f t="shared" ref="L858:L921" si="1710">IF(AND(ISNUMBER(#REF!), ISNUMBER(#REF!)),#REF! -#REF!,"")</f>
        <v/>
      </c>
    </row>
    <row r="859" spans="10:12">
      <c r="J859" t="str">
        <f t="shared" ref="J859:J922" si="1711">IF(AND(ISNUMBER(#REF!), ISNUMBER(#REF!)),#REF! -#REF!,"")</f>
        <v/>
      </c>
      <c r="L859" t="str">
        <f t="shared" ref="L859:L922" si="1712">IF(AND(ISNUMBER(#REF!), ISNUMBER(#REF!)),#REF! -#REF!,"")</f>
        <v/>
      </c>
    </row>
    <row r="860" spans="10:12">
      <c r="J860" t="str">
        <f t="shared" ref="J860:J923" si="1713">IF(AND(ISNUMBER(#REF!), ISNUMBER(#REF!)),#REF! -#REF!,"")</f>
        <v/>
      </c>
      <c r="L860" t="str">
        <f t="shared" ref="L860:L923" si="1714">IF(AND(ISNUMBER(#REF!), ISNUMBER(#REF!)),#REF! -#REF!,"")</f>
        <v/>
      </c>
    </row>
    <row r="861" spans="10:12">
      <c r="J861" t="str">
        <f t="shared" ref="J861:J924" si="1715">IF(AND(ISNUMBER(#REF!), ISNUMBER(#REF!)),#REF! -#REF!,"")</f>
        <v/>
      </c>
      <c r="L861" t="str">
        <f t="shared" ref="L861:L924" si="1716">IF(AND(ISNUMBER(#REF!), ISNUMBER(#REF!)),#REF! -#REF!,"")</f>
        <v/>
      </c>
    </row>
    <row r="862" spans="10:12">
      <c r="J862" t="str">
        <f t="shared" ref="J862:J925" si="1717">IF(AND(ISNUMBER(#REF!), ISNUMBER(#REF!)),#REF! -#REF!,"")</f>
        <v/>
      </c>
      <c r="L862" t="str">
        <f t="shared" ref="L862:L925" si="1718">IF(AND(ISNUMBER(#REF!), ISNUMBER(#REF!)),#REF! -#REF!,"")</f>
        <v/>
      </c>
    </row>
    <row r="863" spans="10:12">
      <c r="J863" t="str">
        <f t="shared" ref="J863:J926" si="1719">IF(AND(ISNUMBER(#REF!), ISNUMBER(#REF!)),#REF! -#REF!,"")</f>
        <v/>
      </c>
      <c r="L863" t="str">
        <f t="shared" ref="L863:L926" si="1720">IF(AND(ISNUMBER(#REF!), ISNUMBER(#REF!)),#REF! -#REF!,"")</f>
        <v/>
      </c>
    </row>
    <row r="864" spans="10:12">
      <c r="J864" t="str">
        <f t="shared" ref="J864:J927" si="1721">IF(AND(ISNUMBER(#REF!), ISNUMBER(#REF!)),#REF! -#REF!,"")</f>
        <v/>
      </c>
      <c r="L864" t="str">
        <f t="shared" ref="L864:L927" si="1722">IF(AND(ISNUMBER(#REF!), ISNUMBER(#REF!)),#REF! -#REF!,"")</f>
        <v/>
      </c>
    </row>
    <row r="865" spans="10:12">
      <c r="J865" t="str">
        <f t="shared" ref="J865:J928" si="1723">IF(AND(ISNUMBER(#REF!), ISNUMBER(#REF!)),#REF! -#REF!,"")</f>
        <v/>
      </c>
      <c r="L865" t="str">
        <f t="shared" ref="L865:L928" si="1724">IF(AND(ISNUMBER(#REF!), ISNUMBER(#REF!)),#REF! -#REF!,"")</f>
        <v/>
      </c>
    </row>
    <row r="866" spans="10:12">
      <c r="J866" t="str">
        <f t="shared" ref="J866:J929" si="1725">IF(AND(ISNUMBER(#REF!), ISNUMBER(#REF!)),#REF! -#REF!,"")</f>
        <v/>
      </c>
      <c r="L866" t="str">
        <f t="shared" ref="L866:L929" si="1726">IF(AND(ISNUMBER(#REF!), ISNUMBER(#REF!)),#REF! -#REF!,"")</f>
        <v/>
      </c>
    </row>
    <row r="867" spans="10:12">
      <c r="J867" t="str">
        <f t="shared" ref="J867:J930" si="1727">IF(AND(ISNUMBER(#REF!), ISNUMBER(#REF!)),#REF! -#REF!,"")</f>
        <v/>
      </c>
      <c r="L867" t="str">
        <f t="shared" ref="L867:L930" si="1728">IF(AND(ISNUMBER(#REF!), ISNUMBER(#REF!)),#REF! -#REF!,"")</f>
        <v/>
      </c>
    </row>
    <row r="868" spans="10:12">
      <c r="J868" t="str">
        <f t="shared" ref="J868:J931" si="1729">IF(AND(ISNUMBER(#REF!), ISNUMBER(#REF!)),#REF! -#REF!,"")</f>
        <v/>
      </c>
      <c r="L868" t="str">
        <f t="shared" ref="L868:L931" si="1730">IF(AND(ISNUMBER(#REF!), ISNUMBER(#REF!)),#REF! -#REF!,"")</f>
        <v/>
      </c>
    </row>
    <row r="869" spans="10:12">
      <c r="J869" t="str">
        <f t="shared" ref="J869:J932" si="1731">IF(AND(ISNUMBER(#REF!), ISNUMBER(#REF!)),#REF! -#REF!,"")</f>
        <v/>
      </c>
      <c r="L869" t="str">
        <f t="shared" ref="L869:L932" si="1732">IF(AND(ISNUMBER(#REF!), ISNUMBER(#REF!)),#REF! -#REF!,"")</f>
        <v/>
      </c>
    </row>
    <row r="870" spans="10:12">
      <c r="J870" t="str">
        <f t="shared" ref="J870:J933" si="1733">IF(AND(ISNUMBER(#REF!), ISNUMBER(#REF!)),#REF! -#REF!,"")</f>
        <v/>
      </c>
      <c r="L870" t="str">
        <f t="shared" ref="L870:L933" si="1734">IF(AND(ISNUMBER(#REF!), ISNUMBER(#REF!)),#REF! -#REF!,"")</f>
        <v/>
      </c>
    </row>
    <row r="871" spans="10:12">
      <c r="J871" t="str">
        <f t="shared" ref="J871:J934" si="1735">IF(AND(ISNUMBER(#REF!), ISNUMBER(#REF!)),#REF! -#REF!,"")</f>
        <v/>
      </c>
      <c r="L871" t="str">
        <f t="shared" ref="L871:L934" si="1736">IF(AND(ISNUMBER(#REF!), ISNUMBER(#REF!)),#REF! -#REF!,"")</f>
        <v/>
      </c>
    </row>
    <row r="872" spans="10:12">
      <c r="J872" t="str">
        <f t="shared" ref="J872:J935" si="1737">IF(AND(ISNUMBER(#REF!), ISNUMBER(#REF!)),#REF! -#REF!,"")</f>
        <v/>
      </c>
      <c r="L872" t="str">
        <f t="shared" ref="L872:L935" si="1738">IF(AND(ISNUMBER(#REF!), ISNUMBER(#REF!)),#REF! -#REF!,"")</f>
        <v/>
      </c>
    </row>
    <row r="873" spans="10:12">
      <c r="J873" t="str">
        <f t="shared" ref="J873:J936" si="1739">IF(AND(ISNUMBER(#REF!), ISNUMBER(#REF!)),#REF! -#REF!,"")</f>
        <v/>
      </c>
      <c r="L873" t="str">
        <f t="shared" ref="L873:L936" si="1740">IF(AND(ISNUMBER(#REF!), ISNUMBER(#REF!)),#REF! -#REF!,"")</f>
        <v/>
      </c>
    </row>
    <row r="874" spans="10:12">
      <c r="J874" t="str">
        <f t="shared" ref="J874:J937" si="1741">IF(AND(ISNUMBER(#REF!), ISNUMBER(#REF!)),#REF! -#REF!,"")</f>
        <v/>
      </c>
      <c r="L874" t="str">
        <f t="shared" ref="L874:L937" si="1742">IF(AND(ISNUMBER(#REF!), ISNUMBER(#REF!)),#REF! -#REF!,"")</f>
        <v/>
      </c>
    </row>
    <row r="875" spans="10:12">
      <c r="J875" t="str">
        <f t="shared" ref="J875:J938" si="1743">IF(AND(ISNUMBER(#REF!), ISNUMBER(#REF!)),#REF! -#REF!,"")</f>
        <v/>
      </c>
      <c r="L875" t="str">
        <f t="shared" ref="L875:L938" si="1744">IF(AND(ISNUMBER(#REF!), ISNUMBER(#REF!)),#REF! -#REF!,"")</f>
        <v/>
      </c>
    </row>
    <row r="876" spans="10:12">
      <c r="J876" t="str">
        <f t="shared" ref="J876:J939" si="1745">IF(AND(ISNUMBER(#REF!), ISNUMBER(#REF!)),#REF! -#REF!,"")</f>
        <v/>
      </c>
      <c r="L876" t="str">
        <f t="shared" ref="L876:L939" si="1746">IF(AND(ISNUMBER(#REF!), ISNUMBER(#REF!)),#REF! -#REF!,"")</f>
        <v/>
      </c>
    </row>
    <row r="877" spans="10:12">
      <c r="J877" t="str">
        <f t="shared" ref="J877:J940" si="1747">IF(AND(ISNUMBER(#REF!), ISNUMBER(#REF!)),#REF! -#REF!,"")</f>
        <v/>
      </c>
      <c r="L877" t="str">
        <f t="shared" ref="L877:L940" si="1748">IF(AND(ISNUMBER(#REF!), ISNUMBER(#REF!)),#REF! -#REF!,"")</f>
        <v/>
      </c>
    </row>
    <row r="878" spans="10:12">
      <c r="J878" t="str">
        <f t="shared" ref="J878:J941" si="1749">IF(AND(ISNUMBER(#REF!), ISNUMBER(#REF!)),#REF! -#REF!,"")</f>
        <v/>
      </c>
      <c r="L878" t="str">
        <f t="shared" ref="L878:L941" si="1750">IF(AND(ISNUMBER(#REF!), ISNUMBER(#REF!)),#REF! -#REF!,"")</f>
        <v/>
      </c>
    </row>
    <row r="879" spans="10:12">
      <c r="J879" t="str">
        <f t="shared" ref="J879:J942" si="1751">IF(AND(ISNUMBER(#REF!), ISNUMBER(#REF!)),#REF! -#REF!,"")</f>
        <v/>
      </c>
      <c r="L879" t="str">
        <f t="shared" ref="L879:L942" si="1752">IF(AND(ISNUMBER(#REF!), ISNUMBER(#REF!)),#REF! -#REF!,"")</f>
        <v/>
      </c>
    </row>
    <row r="880" spans="10:12">
      <c r="J880" t="str">
        <f t="shared" ref="J880:J943" si="1753">IF(AND(ISNUMBER(#REF!), ISNUMBER(#REF!)),#REF! -#REF!,"")</f>
        <v/>
      </c>
      <c r="L880" t="str">
        <f t="shared" ref="L880:L943" si="1754">IF(AND(ISNUMBER(#REF!), ISNUMBER(#REF!)),#REF! -#REF!,"")</f>
        <v/>
      </c>
    </row>
    <row r="881" spans="10:12">
      <c r="J881" t="str">
        <f t="shared" ref="J881:J944" si="1755">IF(AND(ISNUMBER(#REF!), ISNUMBER(#REF!)),#REF! -#REF!,"")</f>
        <v/>
      </c>
      <c r="L881" t="str">
        <f t="shared" ref="L881:L944" si="1756">IF(AND(ISNUMBER(#REF!), ISNUMBER(#REF!)),#REF! -#REF!,"")</f>
        <v/>
      </c>
    </row>
    <row r="882" spans="10:12">
      <c r="J882" t="str">
        <f t="shared" ref="J882:J945" si="1757">IF(AND(ISNUMBER(#REF!), ISNUMBER(#REF!)),#REF! -#REF!,"")</f>
        <v/>
      </c>
      <c r="L882" t="str">
        <f t="shared" ref="L882:L945" si="1758">IF(AND(ISNUMBER(#REF!), ISNUMBER(#REF!)),#REF! -#REF!,"")</f>
        <v/>
      </c>
    </row>
    <row r="883" spans="10:12">
      <c r="J883" t="str">
        <f t="shared" ref="J883:J946" si="1759">IF(AND(ISNUMBER(#REF!), ISNUMBER(#REF!)),#REF! -#REF!,"")</f>
        <v/>
      </c>
      <c r="L883" t="str">
        <f t="shared" ref="L883:L946" si="1760">IF(AND(ISNUMBER(#REF!), ISNUMBER(#REF!)),#REF! -#REF!,"")</f>
        <v/>
      </c>
    </row>
    <row r="884" spans="10:12">
      <c r="J884" t="str">
        <f t="shared" ref="J884:J947" si="1761">IF(AND(ISNUMBER(#REF!), ISNUMBER(#REF!)),#REF! -#REF!,"")</f>
        <v/>
      </c>
      <c r="L884" t="str">
        <f t="shared" ref="L884:L947" si="1762">IF(AND(ISNUMBER(#REF!), ISNUMBER(#REF!)),#REF! -#REF!,"")</f>
        <v/>
      </c>
    </row>
    <row r="885" spans="10:12">
      <c r="J885" t="str">
        <f t="shared" ref="J885:J948" si="1763">IF(AND(ISNUMBER(#REF!), ISNUMBER(#REF!)),#REF! -#REF!,"")</f>
        <v/>
      </c>
      <c r="L885" t="str">
        <f t="shared" ref="L885:L948" si="1764">IF(AND(ISNUMBER(#REF!), ISNUMBER(#REF!)),#REF! -#REF!,"")</f>
        <v/>
      </c>
    </row>
    <row r="886" spans="10:12">
      <c r="J886" t="str">
        <f t="shared" ref="J886:J949" si="1765">IF(AND(ISNUMBER(#REF!), ISNUMBER(#REF!)),#REF! -#REF!,"")</f>
        <v/>
      </c>
      <c r="L886" t="str">
        <f t="shared" ref="L886:L949" si="1766">IF(AND(ISNUMBER(#REF!), ISNUMBER(#REF!)),#REF! -#REF!,"")</f>
        <v/>
      </c>
    </row>
    <row r="887" spans="10:12">
      <c r="J887" t="str">
        <f t="shared" ref="J887:J950" si="1767">IF(AND(ISNUMBER(#REF!), ISNUMBER(#REF!)),#REF! -#REF!,"")</f>
        <v/>
      </c>
      <c r="L887" t="str">
        <f t="shared" ref="L887:L950" si="1768">IF(AND(ISNUMBER(#REF!), ISNUMBER(#REF!)),#REF! -#REF!,"")</f>
        <v/>
      </c>
    </row>
    <row r="888" spans="10:12">
      <c r="J888" t="str">
        <f t="shared" ref="J888:J951" si="1769">IF(AND(ISNUMBER(#REF!), ISNUMBER(#REF!)),#REF! -#REF!,"")</f>
        <v/>
      </c>
      <c r="L888" t="str">
        <f t="shared" ref="L888:L951" si="1770">IF(AND(ISNUMBER(#REF!), ISNUMBER(#REF!)),#REF! -#REF!,"")</f>
        <v/>
      </c>
    </row>
    <row r="889" spans="10:12">
      <c r="J889" t="str">
        <f t="shared" ref="J889:J952" si="1771">IF(AND(ISNUMBER(#REF!), ISNUMBER(#REF!)),#REF! -#REF!,"")</f>
        <v/>
      </c>
      <c r="L889" t="str">
        <f t="shared" ref="L889:L952" si="1772">IF(AND(ISNUMBER(#REF!), ISNUMBER(#REF!)),#REF! -#REF!,"")</f>
        <v/>
      </c>
    </row>
    <row r="890" spans="10:12">
      <c r="J890" t="str">
        <f t="shared" ref="J890:J953" si="1773">IF(AND(ISNUMBER(#REF!), ISNUMBER(#REF!)),#REF! -#REF!,"")</f>
        <v/>
      </c>
      <c r="L890" t="str">
        <f t="shared" ref="L890:L953" si="1774">IF(AND(ISNUMBER(#REF!), ISNUMBER(#REF!)),#REF! -#REF!,"")</f>
        <v/>
      </c>
    </row>
    <row r="891" spans="10:12">
      <c r="J891" t="str">
        <f t="shared" ref="J891:J954" si="1775">IF(AND(ISNUMBER(#REF!), ISNUMBER(#REF!)),#REF! -#REF!,"")</f>
        <v/>
      </c>
      <c r="L891" t="str">
        <f t="shared" ref="L891:L954" si="1776">IF(AND(ISNUMBER(#REF!), ISNUMBER(#REF!)),#REF! -#REF!,"")</f>
        <v/>
      </c>
    </row>
    <row r="892" spans="10:12">
      <c r="J892" t="str">
        <f t="shared" ref="J892:J955" si="1777">IF(AND(ISNUMBER(#REF!), ISNUMBER(#REF!)),#REF! -#REF!,"")</f>
        <v/>
      </c>
      <c r="L892" t="str">
        <f t="shared" ref="L892:L955" si="1778">IF(AND(ISNUMBER(#REF!), ISNUMBER(#REF!)),#REF! -#REF!,"")</f>
        <v/>
      </c>
    </row>
    <row r="893" spans="10:12">
      <c r="J893" t="str">
        <f t="shared" ref="J893:J956" si="1779">IF(AND(ISNUMBER(#REF!), ISNUMBER(#REF!)),#REF! -#REF!,"")</f>
        <v/>
      </c>
      <c r="L893" t="str">
        <f t="shared" ref="L893:L956" si="1780">IF(AND(ISNUMBER(#REF!), ISNUMBER(#REF!)),#REF! -#REF!,"")</f>
        <v/>
      </c>
    </row>
    <row r="894" spans="10:12">
      <c r="J894" t="str">
        <f t="shared" ref="J894:J957" si="1781">IF(AND(ISNUMBER(#REF!), ISNUMBER(#REF!)),#REF! -#REF!,"")</f>
        <v/>
      </c>
      <c r="L894" t="str">
        <f t="shared" ref="L894:L957" si="1782">IF(AND(ISNUMBER(#REF!), ISNUMBER(#REF!)),#REF! -#REF!,"")</f>
        <v/>
      </c>
    </row>
    <row r="895" spans="10:12">
      <c r="J895" t="str">
        <f t="shared" ref="J895:J958" si="1783">IF(AND(ISNUMBER(#REF!), ISNUMBER(#REF!)),#REF! -#REF!,"")</f>
        <v/>
      </c>
      <c r="L895" t="str">
        <f t="shared" ref="L895:L958" si="1784">IF(AND(ISNUMBER(#REF!), ISNUMBER(#REF!)),#REF! -#REF!,"")</f>
        <v/>
      </c>
    </row>
    <row r="896" spans="10:12">
      <c r="J896" t="str">
        <f t="shared" ref="J896:J959" si="1785">IF(AND(ISNUMBER(#REF!), ISNUMBER(#REF!)),#REF! -#REF!,"")</f>
        <v/>
      </c>
      <c r="L896" t="str">
        <f t="shared" ref="L896:L959" si="1786">IF(AND(ISNUMBER(#REF!), ISNUMBER(#REF!)),#REF! -#REF!,"")</f>
        <v/>
      </c>
    </row>
    <row r="897" spans="10:12">
      <c r="J897" t="str">
        <f t="shared" ref="J897:J960" si="1787">IF(AND(ISNUMBER(#REF!), ISNUMBER(#REF!)),#REF! -#REF!,"")</f>
        <v/>
      </c>
      <c r="L897" t="str">
        <f t="shared" ref="L897:L960" si="1788">IF(AND(ISNUMBER(#REF!), ISNUMBER(#REF!)),#REF! -#REF!,"")</f>
        <v/>
      </c>
    </row>
    <row r="898" spans="10:12">
      <c r="J898" t="str">
        <f t="shared" ref="J898:J961" si="1789">IF(AND(ISNUMBER(#REF!), ISNUMBER(#REF!)),#REF! -#REF!,"")</f>
        <v/>
      </c>
      <c r="L898" t="str">
        <f t="shared" ref="L898:L961" si="1790">IF(AND(ISNUMBER(#REF!), ISNUMBER(#REF!)),#REF! -#REF!,"")</f>
        <v/>
      </c>
    </row>
    <row r="899" spans="10:12">
      <c r="J899" t="str">
        <f t="shared" ref="J899:J962" si="1791">IF(AND(ISNUMBER(#REF!), ISNUMBER(#REF!)),#REF! -#REF!,"")</f>
        <v/>
      </c>
      <c r="L899" t="str">
        <f t="shared" ref="L899:L962" si="1792">IF(AND(ISNUMBER(#REF!), ISNUMBER(#REF!)),#REF! -#REF!,"")</f>
        <v/>
      </c>
    </row>
    <row r="900" spans="10:12">
      <c r="J900" t="str">
        <f t="shared" ref="J900:J963" si="1793">IF(AND(ISNUMBER(#REF!), ISNUMBER(#REF!)),#REF! -#REF!,"")</f>
        <v/>
      </c>
      <c r="L900" t="str">
        <f t="shared" ref="L900:L963" si="1794">IF(AND(ISNUMBER(#REF!), ISNUMBER(#REF!)),#REF! -#REF!,"")</f>
        <v/>
      </c>
    </row>
    <row r="901" spans="10:12">
      <c r="J901" t="str">
        <f t="shared" ref="J901:J964" si="1795">IF(AND(ISNUMBER(#REF!), ISNUMBER(#REF!)),#REF! -#REF!,"")</f>
        <v/>
      </c>
      <c r="L901" t="str">
        <f t="shared" ref="L901:L964" si="1796">IF(AND(ISNUMBER(#REF!), ISNUMBER(#REF!)),#REF! -#REF!,"")</f>
        <v/>
      </c>
    </row>
    <row r="902" spans="10:12">
      <c r="J902" t="str">
        <f t="shared" ref="J902:J965" si="1797">IF(AND(ISNUMBER(#REF!), ISNUMBER(#REF!)),#REF! -#REF!,"")</f>
        <v/>
      </c>
      <c r="L902" t="str">
        <f t="shared" ref="L902:L965" si="1798">IF(AND(ISNUMBER(#REF!), ISNUMBER(#REF!)),#REF! -#REF!,"")</f>
        <v/>
      </c>
    </row>
    <row r="903" spans="10:12">
      <c r="J903" t="str">
        <f t="shared" ref="J903:J966" si="1799">IF(AND(ISNUMBER(#REF!), ISNUMBER(#REF!)),#REF! -#REF!,"")</f>
        <v/>
      </c>
      <c r="L903" t="str">
        <f t="shared" ref="L903:L966" si="1800">IF(AND(ISNUMBER(#REF!), ISNUMBER(#REF!)),#REF! -#REF!,"")</f>
        <v/>
      </c>
    </row>
    <row r="904" spans="10:12">
      <c r="J904" t="str">
        <f t="shared" ref="J904:J967" si="1801">IF(AND(ISNUMBER(#REF!), ISNUMBER(#REF!)),#REF! -#REF!,"")</f>
        <v/>
      </c>
      <c r="L904" t="str">
        <f t="shared" ref="L904:L967" si="1802">IF(AND(ISNUMBER(#REF!), ISNUMBER(#REF!)),#REF! -#REF!,"")</f>
        <v/>
      </c>
    </row>
    <row r="905" spans="10:12">
      <c r="J905" t="str">
        <f t="shared" ref="J905:J968" si="1803">IF(AND(ISNUMBER(#REF!), ISNUMBER(#REF!)),#REF! -#REF!,"")</f>
        <v/>
      </c>
      <c r="L905" t="str">
        <f t="shared" ref="L905:L968" si="1804">IF(AND(ISNUMBER(#REF!), ISNUMBER(#REF!)),#REF! -#REF!,"")</f>
        <v/>
      </c>
    </row>
    <row r="906" spans="10:12">
      <c r="J906" t="str">
        <f t="shared" ref="J906:J969" si="1805">IF(AND(ISNUMBER(#REF!), ISNUMBER(#REF!)),#REF! -#REF!,"")</f>
        <v/>
      </c>
      <c r="L906" t="str">
        <f t="shared" ref="L906:L969" si="1806">IF(AND(ISNUMBER(#REF!), ISNUMBER(#REF!)),#REF! -#REF!,"")</f>
        <v/>
      </c>
    </row>
    <row r="907" spans="10:12">
      <c r="J907" t="str">
        <f t="shared" ref="J907:J970" si="1807">IF(AND(ISNUMBER(#REF!), ISNUMBER(#REF!)),#REF! -#REF!,"")</f>
        <v/>
      </c>
      <c r="L907" t="str">
        <f t="shared" ref="L907:L970" si="1808">IF(AND(ISNUMBER(#REF!), ISNUMBER(#REF!)),#REF! -#REF!,"")</f>
        <v/>
      </c>
    </row>
    <row r="908" spans="10:12">
      <c r="J908" t="str">
        <f t="shared" ref="J908:J971" si="1809">IF(AND(ISNUMBER(#REF!), ISNUMBER(#REF!)),#REF! -#REF!,"")</f>
        <v/>
      </c>
      <c r="L908" t="str">
        <f t="shared" ref="L908:L971" si="1810">IF(AND(ISNUMBER(#REF!), ISNUMBER(#REF!)),#REF! -#REF!,"")</f>
        <v/>
      </c>
    </row>
    <row r="909" spans="10:12">
      <c r="J909" t="str">
        <f t="shared" ref="J909:J972" si="1811">IF(AND(ISNUMBER(#REF!), ISNUMBER(#REF!)),#REF! -#REF!,"")</f>
        <v/>
      </c>
      <c r="L909" t="str">
        <f t="shared" ref="L909:L972" si="1812">IF(AND(ISNUMBER(#REF!), ISNUMBER(#REF!)),#REF! -#REF!,"")</f>
        <v/>
      </c>
    </row>
    <row r="910" spans="10:12">
      <c r="J910" t="str">
        <f t="shared" ref="J910:J973" si="1813">IF(AND(ISNUMBER(#REF!), ISNUMBER(#REF!)),#REF! -#REF!,"")</f>
        <v/>
      </c>
      <c r="L910" t="str">
        <f t="shared" ref="L910:L973" si="1814">IF(AND(ISNUMBER(#REF!), ISNUMBER(#REF!)),#REF! -#REF!,"")</f>
        <v/>
      </c>
    </row>
    <row r="911" spans="10:12">
      <c r="J911" t="str">
        <f t="shared" ref="J911:J974" si="1815">IF(AND(ISNUMBER(#REF!), ISNUMBER(#REF!)),#REF! -#REF!,"")</f>
        <v/>
      </c>
      <c r="L911" t="str">
        <f t="shared" ref="L911:L974" si="1816">IF(AND(ISNUMBER(#REF!), ISNUMBER(#REF!)),#REF! -#REF!,"")</f>
        <v/>
      </c>
    </row>
    <row r="912" spans="10:12">
      <c r="J912" t="str">
        <f t="shared" ref="J912:J975" si="1817">IF(AND(ISNUMBER(#REF!), ISNUMBER(#REF!)),#REF! -#REF!,"")</f>
        <v/>
      </c>
      <c r="L912" t="str">
        <f t="shared" ref="L912:L975" si="1818">IF(AND(ISNUMBER(#REF!), ISNUMBER(#REF!)),#REF! -#REF!,"")</f>
        <v/>
      </c>
    </row>
    <row r="913" spans="10:12">
      <c r="J913" t="str">
        <f t="shared" ref="J913:J976" si="1819">IF(AND(ISNUMBER(#REF!), ISNUMBER(#REF!)),#REF! -#REF!,"")</f>
        <v/>
      </c>
      <c r="L913" t="str">
        <f t="shared" ref="L913:L976" si="1820">IF(AND(ISNUMBER(#REF!), ISNUMBER(#REF!)),#REF! -#REF!,"")</f>
        <v/>
      </c>
    </row>
    <row r="914" spans="10:12">
      <c r="J914" t="str">
        <f t="shared" ref="J914:J977" si="1821">IF(AND(ISNUMBER(#REF!), ISNUMBER(#REF!)),#REF! -#REF!,"")</f>
        <v/>
      </c>
      <c r="L914" t="str">
        <f t="shared" ref="L914:L977" si="1822">IF(AND(ISNUMBER(#REF!), ISNUMBER(#REF!)),#REF! -#REF!,"")</f>
        <v/>
      </c>
    </row>
    <row r="915" spans="10:12">
      <c r="J915" t="str">
        <f t="shared" ref="J915:J978" si="1823">IF(AND(ISNUMBER(#REF!), ISNUMBER(#REF!)),#REF! -#REF!,"")</f>
        <v/>
      </c>
      <c r="L915" t="str">
        <f t="shared" ref="L915:L978" si="1824">IF(AND(ISNUMBER(#REF!), ISNUMBER(#REF!)),#REF! -#REF!,"")</f>
        <v/>
      </c>
    </row>
    <row r="916" spans="10:12">
      <c r="J916" t="str">
        <f t="shared" ref="J916:J979" si="1825">IF(AND(ISNUMBER(#REF!), ISNUMBER(#REF!)),#REF! -#REF!,"")</f>
        <v/>
      </c>
      <c r="L916" t="str">
        <f t="shared" ref="L916:L979" si="1826">IF(AND(ISNUMBER(#REF!), ISNUMBER(#REF!)),#REF! -#REF!,"")</f>
        <v/>
      </c>
    </row>
    <row r="917" spans="10:12">
      <c r="J917" t="str">
        <f t="shared" ref="J917:J980" si="1827">IF(AND(ISNUMBER(#REF!), ISNUMBER(#REF!)),#REF! -#REF!,"")</f>
        <v/>
      </c>
      <c r="L917" t="str">
        <f t="shared" ref="L917:L980" si="1828">IF(AND(ISNUMBER(#REF!), ISNUMBER(#REF!)),#REF! -#REF!,"")</f>
        <v/>
      </c>
    </row>
    <row r="918" spans="10:12">
      <c r="J918" t="str">
        <f t="shared" ref="J918:J981" si="1829">IF(AND(ISNUMBER(#REF!), ISNUMBER(#REF!)),#REF! -#REF!,"")</f>
        <v/>
      </c>
      <c r="L918" t="str">
        <f t="shared" ref="L918:L981" si="1830">IF(AND(ISNUMBER(#REF!), ISNUMBER(#REF!)),#REF! -#REF!,"")</f>
        <v/>
      </c>
    </row>
    <row r="919" spans="10:12">
      <c r="J919" t="str">
        <f t="shared" ref="J919:J982" si="1831">IF(AND(ISNUMBER(#REF!), ISNUMBER(#REF!)),#REF! -#REF!,"")</f>
        <v/>
      </c>
      <c r="L919" t="str">
        <f t="shared" ref="L919:L982" si="1832">IF(AND(ISNUMBER(#REF!), ISNUMBER(#REF!)),#REF! -#REF!,"")</f>
        <v/>
      </c>
    </row>
    <row r="920" spans="10:12">
      <c r="J920" t="str">
        <f t="shared" ref="J920:J983" si="1833">IF(AND(ISNUMBER(#REF!), ISNUMBER(#REF!)),#REF! -#REF!,"")</f>
        <v/>
      </c>
      <c r="L920" t="str">
        <f t="shared" ref="L920:L983" si="1834">IF(AND(ISNUMBER(#REF!), ISNUMBER(#REF!)),#REF! -#REF!,"")</f>
        <v/>
      </c>
    </row>
    <row r="921" spans="10:12">
      <c r="J921" t="str">
        <f t="shared" ref="J921:J984" si="1835">IF(AND(ISNUMBER(#REF!), ISNUMBER(#REF!)),#REF! -#REF!,"")</f>
        <v/>
      </c>
      <c r="L921" t="str">
        <f t="shared" ref="L921:L984" si="1836">IF(AND(ISNUMBER(#REF!), ISNUMBER(#REF!)),#REF! -#REF!,"")</f>
        <v/>
      </c>
    </row>
    <row r="922" spans="10:12">
      <c r="J922" t="str">
        <f t="shared" ref="J922:J985" si="1837">IF(AND(ISNUMBER(#REF!), ISNUMBER(#REF!)),#REF! -#REF!,"")</f>
        <v/>
      </c>
      <c r="L922" t="str">
        <f t="shared" ref="L922:L985" si="1838">IF(AND(ISNUMBER(#REF!), ISNUMBER(#REF!)),#REF! -#REF!,"")</f>
        <v/>
      </c>
    </row>
    <row r="923" spans="10:12">
      <c r="J923" t="str">
        <f t="shared" ref="J923:J986" si="1839">IF(AND(ISNUMBER(#REF!), ISNUMBER(#REF!)),#REF! -#REF!,"")</f>
        <v/>
      </c>
      <c r="L923" t="str">
        <f t="shared" ref="L923:L986" si="1840">IF(AND(ISNUMBER(#REF!), ISNUMBER(#REF!)),#REF! -#REF!,"")</f>
        <v/>
      </c>
    </row>
    <row r="924" spans="10:12">
      <c r="J924" t="str">
        <f t="shared" ref="J924:J987" si="1841">IF(AND(ISNUMBER(#REF!), ISNUMBER(#REF!)),#REF! -#REF!,"")</f>
        <v/>
      </c>
      <c r="L924" t="str">
        <f t="shared" ref="L924:L987" si="1842">IF(AND(ISNUMBER(#REF!), ISNUMBER(#REF!)),#REF! -#REF!,"")</f>
        <v/>
      </c>
    </row>
    <row r="925" spans="10:12">
      <c r="J925" t="str">
        <f t="shared" ref="J925:J988" si="1843">IF(AND(ISNUMBER(#REF!), ISNUMBER(#REF!)),#REF! -#REF!,"")</f>
        <v/>
      </c>
      <c r="L925" t="str">
        <f t="shared" ref="L925:L988" si="1844">IF(AND(ISNUMBER(#REF!), ISNUMBER(#REF!)),#REF! -#REF!,"")</f>
        <v/>
      </c>
    </row>
    <row r="926" spans="10:12">
      <c r="J926" t="str">
        <f t="shared" ref="J926:J989" si="1845">IF(AND(ISNUMBER(#REF!), ISNUMBER(#REF!)),#REF! -#REF!,"")</f>
        <v/>
      </c>
      <c r="L926" t="str">
        <f t="shared" ref="L926:L989" si="1846">IF(AND(ISNUMBER(#REF!), ISNUMBER(#REF!)),#REF! -#REF!,"")</f>
        <v/>
      </c>
    </row>
    <row r="927" spans="10:12">
      <c r="J927" t="str">
        <f t="shared" ref="J927:J990" si="1847">IF(AND(ISNUMBER(#REF!), ISNUMBER(#REF!)),#REF! -#REF!,"")</f>
        <v/>
      </c>
      <c r="L927" t="str">
        <f t="shared" ref="L927:L990" si="1848">IF(AND(ISNUMBER(#REF!), ISNUMBER(#REF!)),#REF! -#REF!,"")</f>
        <v/>
      </c>
    </row>
    <row r="928" spans="10:12">
      <c r="J928" t="str">
        <f t="shared" ref="J928:J991" si="1849">IF(AND(ISNUMBER(#REF!), ISNUMBER(#REF!)),#REF! -#REF!,"")</f>
        <v/>
      </c>
      <c r="L928" t="str">
        <f t="shared" ref="L928:L991" si="1850">IF(AND(ISNUMBER(#REF!), ISNUMBER(#REF!)),#REF! -#REF!,"")</f>
        <v/>
      </c>
    </row>
    <row r="929" spans="10:12">
      <c r="J929" t="str">
        <f t="shared" ref="J929:J992" si="1851">IF(AND(ISNUMBER(#REF!), ISNUMBER(#REF!)),#REF! -#REF!,"")</f>
        <v/>
      </c>
      <c r="L929" t="str">
        <f t="shared" ref="L929:L992" si="1852">IF(AND(ISNUMBER(#REF!), ISNUMBER(#REF!)),#REF! -#REF!,"")</f>
        <v/>
      </c>
    </row>
    <row r="930" spans="10:12">
      <c r="J930" t="str">
        <f t="shared" ref="J930:J993" si="1853">IF(AND(ISNUMBER(#REF!), ISNUMBER(#REF!)),#REF! -#REF!,"")</f>
        <v/>
      </c>
      <c r="L930" t="str">
        <f t="shared" ref="L930:L993" si="1854">IF(AND(ISNUMBER(#REF!), ISNUMBER(#REF!)),#REF! -#REF!,"")</f>
        <v/>
      </c>
    </row>
    <row r="931" spans="10:12">
      <c r="J931" t="str">
        <f t="shared" ref="J931:J994" si="1855">IF(AND(ISNUMBER(#REF!), ISNUMBER(#REF!)),#REF! -#REF!,"")</f>
        <v/>
      </c>
      <c r="L931" t="str">
        <f t="shared" ref="L931:L994" si="1856">IF(AND(ISNUMBER(#REF!), ISNUMBER(#REF!)),#REF! -#REF!,"")</f>
        <v/>
      </c>
    </row>
    <row r="932" spans="10:12">
      <c r="J932" t="str">
        <f t="shared" ref="J932:J995" si="1857">IF(AND(ISNUMBER(#REF!), ISNUMBER(#REF!)),#REF! -#REF!,"")</f>
        <v/>
      </c>
      <c r="L932" t="str">
        <f t="shared" ref="L932:L995" si="1858">IF(AND(ISNUMBER(#REF!), ISNUMBER(#REF!)),#REF! -#REF!,"")</f>
        <v/>
      </c>
    </row>
    <row r="933" spans="10:12">
      <c r="J933" t="str">
        <f t="shared" ref="J933:J996" si="1859">IF(AND(ISNUMBER(#REF!), ISNUMBER(#REF!)),#REF! -#REF!,"")</f>
        <v/>
      </c>
      <c r="L933" t="str">
        <f t="shared" ref="L933:L996" si="1860">IF(AND(ISNUMBER(#REF!), ISNUMBER(#REF!)),#REF! -#REF!,"")</f>
        <v/>
      </c>
    </row>
    <row r="934" spans="10:12">
      <c r="J934" t="str">
        <f t="shared" ref="J934:J997" si="1861">IF(AND(ISNUMBER(#REF!), ISNUMBER(#REF!)),#REF! -#REF!,"")</f>
        <v/>
      </c>
      <c r="L934" t="str">
        <f t="shared" ref="L934:L997" si="1862">IF(AND(ISNUMBER(#REF!), ISNUMBER(#REF!)),#REF! -#REF!,"")</f>
        <v/>
      </c>
    </row>
    <row r="935" spans="10:12">
      <c r="J935" t="str">
        <f t="shared" ref="J935:J998" si="1863">IF(AND(ISNUMBER(#REF!), ISNUMBER(#REF!)),#REF! -#REF!,"")</f>
        <v/>
      </c>
      <c r="L935" t="str">
        <f t="shared" ref="L935:L998" si="1864">IF(AND(ISNUMBER(#REF!), ISNUMBER(#REF!)),#REF! -#REF!,"")</f>
        <v/>
      </c>
    </row>
    <row r="936" spans="10:12">
      <c r="J936" t="str">
        <f t="shared" ref="J936:J999" si="1865">IF(AND(ISNUMBER(#REF!), ISNUMBER(#REF!)),#REF! -#REF!,"")</f>
        <v/>
      </c>
      <c r="L936" t="str">
        <f t="shared" ref="L936:L999" si="1866">IF(AND(ISNUMBER(#REF!), ISNUMBER(#REF!)),#REF! -#REF!,"")</f>
        <v/>
      </c>
    </row>
    <row r="937" spans="10:12">
      <c r="J937" t="str">
        <f t="shared" ref="J937:J1000" si="1867">IF(AND(ISNUMBER(#REF!), ISNUMBER(#REF!)),#REF! -#REF!,"")</f>
        <v/>
      </c>
      <c r="L937" t="str">
        <f t="shared" ref="L937:L1000" si="1868">IF(AND(ISNUMBER(#REF!), ISNUMBER(#REF!)),#REF! -#REF!,"")</f>
        <v/>
      </c>
    </row>
    <row r="938" spans="10:12">
      <c r="J938" t="str">
        <f t="shared" ref="J938:J1001" si="1869">IF(AND(ISNUMBER(#REF!), ISNUMBER(#REF!)),#REF! -#REF!,"")</f>
        <v/>
      </c>
      <c r="L938" t="str">
        <f t="shared" ref="L938:L1001" si="1870">IF(AND(ISNUMBER(#REF!), ISNUMBER(#REF!)),#REF! -#REF!,"")</f>
        <v/>
      </c>
    </row>
    <row r="939" spans="10:12">
      <c r="J939" t="str">
        <f t="shared" ref="J939:J1002" si="1871">IF(AND(ISNUMBER(#REF!), ISNUMBER(#REF!)),#REF! -#REF!,"")</f>
        <v/>
      </c>
      <c r="L939" t="str">
        <f t="shared" ref="L939:L1002" si="1872">IF(AND(ISNUMBER(#REF!), ISNUMBER(#REF!)),#REF! -#REF!,"")</f>
        <v/>
      </c>
    </row>
    <row r="940" spans="10:12">
      <c r="J940" t="str">
        <f t="shared" ref="J940:J1003" si="1873">IF(AND(ISNUMBER(#REF!), ISNUMBER(#REF!)),#REF! -#REF!,"")</f>
        <v/>
      </c>
      <c r="L940" t="str">
        <f t="shared" ref="L940:L1003" si="1874">IF(AND(ISNUMBER(#REF!), ISNUMBER(#REF!)),#REF! -#REF!,"")</f>
        <v/>
      </c>
    </row>
    <row r="941" spans="10:12">
      <c r="J941" t="str">
        <f t="shared" ref="J941:J1004" si="1875">IF(AND(ISNUMBER(#REF!), ISNUMBER(#REF!)),#REF! -#REF!,"")</f>
        <v/>
      </c>
      <c r="L941" t="str">
        <f t="shared" ref="L941:L1004" si="1876">IF(AND(ISNUMBER(#REF!), ISNUMBER(#REF!)),#REF! -#REF!,"")</f>
        <v/>
      </c>
    </row>
    <row r="942" spans="10:12">
      <c r="J942" t="str">
        <f t="shared" ref="J942:J1005" si="1877">IF(AND(ISNUMBER(#REF!), ISNUMBER(#REF!)),#REF! -#REF!,"")</f>
        <v/>
      </c>
      <c r="L942" t="str">
        <f t="shared" ref="L942:L1005" si="1878">IF(AND(ISNUMBER(#REF!), ISNUMBER(#REF!)),#REF! -#REF!,"")</f>
        <v/>
      </c>
    </row>
    <row r="943" spans="10:12">
      <c r="J943" t="str">
        <f t="shared" ref="J943:J1006" si="1879">IF(AND(ISNUMBER(#REF!), ISNUMBER(#REF!)),#REF! -#REF!,"")</f>
        <v/>
      </c>
      <c r="L943" t="str">
        <f t="shared" ref="L943:L1006" si="1880">IF(AND(ISNUMBER(#REF!), ISNUMBER(#REF!)),#REF! -#REF!,"")</f>
        <v/>
      </c>
    </row>
    <row r="944" spans="10:12">
      <c r="J944" t="str">
        <f t="shared" ref="J944:J1007" si="1881">IF(AND(ISNUMBER(#REF!), ISNUMBER(#REF!)),#REF! -#REF!,"")</f>
        <v/>
      </c>
      <c r="L944" t="str">
        <f t="shared" ref="L944:L1007" si="1882">IF(AND(ISNUMBER(#REF!), ISNUMBER(#REF!)),#REF! -#REF!,"")</f>
        <v/>
      </c>
    </row>
    <row r="945" spans="10:12">
      <c r="J945" t="str">
        <f t="shared" ref="J945:J1008" si="1883">IF(AND(ISNUMBER(#REF!), ISNUMBER(#REF!)),#REF! -#REF!,"")</f>
        <v/>
      </c>
      <c r="L945" t="str">
        <f t="shared" ref="L945:L1008" si="1884">IF(AND(ISNUMBER(#REF!), ISNUMBER(#REF!)),#REF! -#REF!,"")</f>
        <v/>
      </c>
    </row>
    <row r="946" spans="10:12">
      <c r="J946" t="str">
        <f t="shared" ref="J946:J1009" si="1885">IF(AND(ISNUMBER(#REF!), ISNUMBER(#REF!)),#REF! -#REF!,"")</f>
        <v/>
      </c>
      <c r="L946" t="str">
        <f t="shared" ref="L946:L1009" si="1886">IF(AND(ISNUMBER(#REF!), ISNUMBER(#REF!)),#REF! -#REF!,"")</f>
        <v/>
      </c>
    </row>
    <row r="947" spans="10:12">
      <c r="J947" t="str">
        <f t="shared" ref="J947:J1010" si="1887">IF(AND(ISNUMBER(#REF!), ISNUMBER(#REF!)),#REF! -#REF!,"")</f>
        <v/>
      </c>
      <c r="L947" t="str">
        <f t="shared" ref="L947:L1010" si="1888">IF(AND(ISNUMBER(#REF!), ISNUMBER(#REF!)),#REF! -#REF!,"")</f>
        <v/>
      </c>
    </row>
    <row r="948" spans="10:12">
      <c r="J948" t="str">
        <f t="shared" ref="J948:J1011" si="1889">IF(AND(ISNUMBER(#REF!), ISNUMBER(#REF!)),#REF! -#REF!,"")</f>
        <v/>
      </c>
      <c r="L948" t="str">
        <f t="shared" ref="L948:L1011" si="1890">IF(AND(ISNUMBER(#REF!), ISNUMBER(#REF!)),#REF! -#REF!,"")</f>
        <v/>
      </c>
    </row>
    <row r="949" spans="10:12">
      <c r="J949" t="str">
        <f t="shared" ref="J949:J1012" si="1891">IF(AND(ISNUMBER(#REF!), ISNUMBER(#REF!)),#REF! -#REF!,"")</f>
        <v/>
      </c>
      <c r="L949" t="str">
        <f t="shared" ref="L949:L1012" si="1892">IF(AND(ISNUMBER(#REF!), ISNUMBER(#REF!)),#REF! -#REF!,"")</f>
        <v/>
      </c>
    </row>
    <row r="950" spans="10:12">
      <c r="J950" t="str">
        <f t="shared" ref="J950:J1013" si="1893">IF(AND(ISNUMBER(#REF!), ISNUMBER(#REF!)),#REF! -#REF!,"")</f>
        <v/>
      </c>
      <c r="L950" t="str">
        <f t="shared" ref="L950:L1013" si="1894">IF(AND(ISNUMBER(#REF!), ISNUMBER(#REF!)),#REF! -#REF!,"")</f>
        <v/>
      </c>
    </row>
    <row r="951" spans="10:12">
      <c r="J951" t="str">
        <f t="shared" ref="J951:J1014" si="1895">IF(AND(ISNUMBER(#REF!), ISNUMBER(#REF!)),#REF! -#REF!,"")</f>
        <v/>
      </c>
      <c r="L951" t="str">
        <f t="shared" ref="L951:L1014" si="1896">IF(AND(ISNUMBER(#REF!), ISNUMBER(#REF!)),#REF! -#REF!,"")</f>
        <v/>
      </c>
    </row>
    <row r="952" spans="10:12">
      <c r="J952" t="str">
        <f t="shared" ref="J952:J1015" si="1897">IF(AND(ISNUMBER(#REF!), ISNUMBER(#REF!)),#REF! -#REF!,"")</f>
        <v/>
      </c>
      <c r="L952" t="str">
        <f t="shared" ref="L952:L1015" si="1898">IF(AND(ISNUMBER(#REF!), ISNUMBER(#REF!)),#REF! -#REF!,"")</f>
        <v/>
      </c>
    </row>
    <row r="953" spans="10:12">
      <c r="J953" t="str">
        <f t="shared" ref="J953:J1016" si="1899">IF(AND(ISNUMBER(#REF!), ISNUMBER(#REF!)),#REF! -#REF!,"")</f>
        <v/>
      </c>
      <c r="L953" t="str">
        <f t="shared" ref="L953:L1016" si="1900">IF(AND(ISNUMBER(#REF!), ISNUMBER(#REF!)),#REF! -#REF!,"")</f>
        <v/>
      </c>
    </row>
    <row r="954" spans="10:12">
      <c r="J954" t="str">
        <f t="shared" ref="J954:J1017" si="1901">IF(AND(ISNUMBER(#REF!), ISNUMBER(#REF!)),#REF! -#REF!,"")</f>
        <v/>
      </c>
      <c r="L954" t="str">
        <f t="shared" ref="L954:L1017" si="1902">IF(AND(ISNUMBER(#REF!), ISNUMBER(#REF!)),#REF! -#REF!,"")</f>
        <v/>
      </c>
    </row>
    <row r="955" spans="10:12">
      <c r="J955" t="str">
        <f t="shared" ref="J955:J1018" si="1903">IF(AND(ISNUMBER(#REF!), ISNUMBER(#REF!)),#REF! -#REF!,"")</f>
        <v/>
      </c>
      <c r="L955" t="str">
        <f t="shared" ref="L955:L1018" si="1904">IF(AND(ISNUMBER(#REF!), ISNUMBER(#REF!)),#REF! -#REF!,"")</f>
        <v/>
      </c>
    </row>
    <row r="956" spans="10:12">
      <c r="J956" t="str">
        <f t="shared" ref="J956:J1019" si="1905">IF(AND(ISNUMBER(#REF!), ISNUMBER(#REF!)),#REF! -#REF!,"")</f>
        <v/>
      </c>
      <c r="L956" t="str">
        <f t="shared" ref="L956:L1019" si="1906">IF(AND(ISNUMBER(#REF!), ISNUMBER(#REF!)),#REF! -#REF!,"")</f>
        <v/>
      </c>
    </row>
    <row r="957" spans="10:12">
      <c r="J957" t="str">
        <f t="shared" ref="J957:J1020" si="1907">IF(AND(ISNUMBER(#REF!), ISNUMBER(#REF!)),#REF! -#REF!,"")</f>
        <v/>
      </c>
      <c r="L957" t="str">
        <f t="shared" ref="L957:L1020" si="1908">IF(AND(ISNUMBER(#REF!), ISNUMBER(#REF!)),#REF! -#REF!,"")</f>
        <v/>
      </c>
    </row>
    <row r="958" spans="10:12">
      <c r="J958" t="str">
        <f t="shared" ref="J958:J1021" si="1909">IF(AND(ISNUMBER(#REF!), ISNUMBER(#REF!)),#REF! -#REF!,"")</f>
        <v/>
      </c>
      <c r="L958" t="str">
        <f t="shared" ref="L958:L1021" si="1910">IF(AND(ISNUMBER(#REF!), ISNUMBER(#REF!)),#REF! -#REF!,"")</f>
        <v/>
      </c>
    </row>
    <row r="959" spans="10:12">
      <c r="J959" t="str">
        <f t="shared" ref="J959:J1022" si="1911">IF(AND(ISNUMBER(#REF!), ISNUMBER(#REF!)),#REF! -#REF!,"")</f>
        <v/>
      </c>
      <c r="L959" t="str">
        <f t="shared" ref="L959:L1022" si="1912">IF(AND(ISNUMBER(#REF!), ISNUMBER(#REF!)),#REF! -#REF!,"")</f>
        <v/>
      </c>
    </row>
    <row r="960" spans="10:12">
      <c r="J960" t="str">
        <f t="shared" ref="J960:J1023" si="1913">IF(AND(ISNUMBER(#REF!), ISNUMBER(#REF!)),#REF! -#REF!,"")</f>
        <v/>
      </c>
      <c r="L960" t="str">
        <f t="shared" ref="L960:L1023" si="1914">IF(AND(ISNUMBER(#REF!), ISNUMBER(#REF!)),#REF! -#REF!,"")</f>
        <v/>
      </c>
    </row>
    <row r="961" spans="10:12">
      <c r="J961" t="str">
        <f t="shared" ref="J961:J1024" si="1915">IF(AND(ISNUMBER(#REF!), ISNUMBER(#REF!)),#REF! -#REF!,"")</f>
        <v/>
      </c>
      <c r="L961" t="str">
        <f t="shared" ref="L961:L1024" si="1916">IF(AND(ISNUMBER(#REF!), ISNUMBER(#REF!)),#REF! -#REF!,"")</f>
        <v/>
      </c>
    </row>
    <row r="962" spans="10:12">
      <c r="J962" t="str">
        <f t="shared" ref="J962:J1025" si="1917">IF(AND(ISNUMBER(#REF!), ISNUMBER(#REF!)),#REF! -#REF!,"")</f>
        <v/>
      </c>
      <c r="L962" t="str">
        <f t="shared" ref="L962:L1025" si="1918">IF(AND(ISNUMBER(#REF!), ISNUMBER(#REF!)),#REF! -#REF!,"")</f>
        <v/>
      </c>
    </row>
    <row r="963" spans="10:12">
      <c r="J963" t="str">
        <f t="shared" ref="J963:J1026" si="1919">IF(AND(ISNUMBER(#REF!), ISNUMBER(#REF!)),#REF! -#REF!,"")</f>
        <v/>
      </c>
      <c r="L963" t="str">
        <f t="shared" ref="L963:L1026" si="1920">IF(AND(ISNUMBER(#REF!), ISNUMBER(#REF!)),#REF! -#REF!,"")</f>
        <v/>
      </c>
    </row>
    <row r="964" spans="10:12">
      <c r="J964" t="str">
        <f t="shared" ref="J964:J1027" si="1921">IF(AND(ISNUMBER(#REF!), ISNUMBER(#REF!)),#REF! -#REF!,"")</f>
        <v/>
      </c>
      <c r="L964" t="str">
        <f t="shared" ref="L964:L1027" si="1922">IF(AND(ISNUMBER(#REF!), ISNUMBER(#REF!)),#REF! -#REF!,"")</f>
        <v/>
      </c>
    </row>
    <row r="965" spans="10:12">
      <c r="J965" t="str">
        <f t="shared" ref="J965:J1028" si="1923">IF(AND(ISNUMBER(#REF!), ISNUMBER(#REF!)),#REF! -#REF!,"")</f>
        <v/>
      </c>
      <c r="L965" t="str">
        <f t="shared" ref="L965:L1028" si="1924">IF(AND(ISNUMBER(#REF!), ISNUMBER(#REF!)),#REF! -#REF!,"")</f>
        <v/>
      </c>
    </row>
    <row r="966" spans="10:12">
      <c r="J966" t="str">
        <f t="shared" ref="J966:J1029" si="1925">IF(AND(ISNUMBER(#REF!), ISNUMBER(#REF!)),#REF! -#REF!,"")</f>
        <v/>
      </c>
      <c r="L966" t="str">
        <f t="shared" ref="L966:L1029" si="1926">IF(AND(ISNUMBER(#REF!), ISNUMBER(#REF!)),#REF! -#REF!,"")</f>
        <v/>
      </c>
    </row>
    <row r="967" spans="10:12">
      <c r="J967" t="str">
        <f t="shared" ref="J967:J1030" si="1927">IF(AND(ISNUMBER(#REF!), ISNUMBER(#REF!)),#REF! -#REF!,"")</f>
        <v/>
      </c>
      <c r="L967" t="str">
        <f t="shared" ref="L967:L1030" si="1928">IF(AND(ISNUMBER(#REF!), ISNUMBER(#REF!)),#REF! -#REF!,"")</f>
        <v/>
      </c>
    </row>
    <row r="968" spans="10:12">
      <c r="J968" t="str">
        <f t="shared" ref="J968:J1031" si="1929">IF(AND(ISNUMBER(#REF!), ISNUMBER(#REF!)),#REF! -#REF!,"")</f>
        <v/>
      </c>
      <c r="L968" t="str">
        <f t="shared" ref="L968:L1031" si="1930">IF(AND(ISNUMBER(#REF!), ISNUMBER(#REF!)),#REF! -#REF!,"")</f>
        <v/>
      </c>
    </row>
    <row r="969" spans="10:12">
      <c r="J969" t="str">
        <f t="shared" ref="J969:J1032" si="1931">IF(AND(ISNUMBER(#REF!), ISNUMBER(#REF!)),#REF! -#REF!,"")</f>
        <v/>
      </c>
      <c r="L969" t="str">
        <f t="shared" ref="L969:L1032" si="1932">IF(AND(ISNUMBER(#REF!), ISNUMBER(#REF!)),#REF! -#REF!,"")</f>
        <v/>
      </c>
    </row>
    <row r="970" spans="10:12">
      <c r="J970" t="str">
        <f t="shared" ref="J970:J1033" si="1933">IF(AND(ISNUMBER(#REF!), ISNUMBER(#REF!)),#REF! -#REF!,"")</f>
        <v/>
      </c>
      <c r="L970" t="str">
        <f t="shared" ref="L970:L1033" si="1934">IF(AND(ISNUMBER(#REF!), ISNUMBER(#REF!)),#REF! -#REF!,"")</f>
        <v/>
      </c>
    </row>
    <row r="971" spans="10:12">
      <c r="J971" t="str">
        <f t="shared" ref="J971:J1034" si="1935">IF(AND(ISNUMBER(#REF!), ISNUMBER(#REF!)),#REF! -#REF!,"")</f>
        <v/>
      </c>
      <c r="L971" t="str">
        <f t="shared" ref="L971:L1034" si="1936">IF(AND(ISNUMBER(#REF!), ISNUMBER(#REF!)),#REF! -#REF!,"")</f>
        <v/>
      </c>
    </row>
    <row r="972" spans="10:12">
      <c r="J972" t="str">
        <f t="shared" ref="J972:J1035" si="1937">IF(AND(ISNUMBER(#REF!), ISNUMBER(#REF!)),#REF! -#REF!,"")</f>
        <v/>
      </c>
      <c r="L972" t="str">
        <f t="shared" ref="L972:L1035" si="1938">IF(AND(ISNUMBER(#REF!), ISNUMBER(#REF!)),#REF! -#REF!,"")</f>
        <v/>
      </c>
    </row>
    <row r="973" spans="10:12">
      <c r="J973" t="str">
        <f t="shared" ref="J973:J1036" si="1939">IF(AND(ISNUMBER(#REF!), ISNUMBER(#REF!)),#REF! -#REF!,"")</f>
        <v/>
      </c>
      <c r="L973" t="str">
        <f t="shared" ref="L973:L1036" si="1940">IF(AND(ISNUMBER(#REF!), ISNUMBER(#REF!)),#REF! -#REF!,"")</f>
        <v/>
      </c>
    </row>
    <row r="974" spans="10:12">
      <c r="J974" t="str">
        <f t="shared" ref="J974:J1037" si="1941">IF(AND(ISNUMBER(#REF!), ISNUMBER(#REF!)),#REF! -#REF!,"")</f>
        <v/>
      </c>
      <c r="L974" t="str">
        <f t="shared" ref="L974:L1037" si="1942">IF(AND(ISNUMBER(#REF!), ISNUMBER(#REF!)),#REF! -#REF!,"")</f>
        <v/>
      </c>
    </row>
    <row r="975" spans="10:12">
      <c r="J975" t="str">
        <f t="shared" ref="J975:J1038" si="1943">IF(AND(ISNUMBER(#REF!), ISNUMBER(#REF!)),#REF! -#REF!,"")</f>
        <v/>
      </c>
      <c r="L975" t="str">
        <f t="shared" ref="L975:L1038" si="1944">IF(AND(ISNUMBER(#REF!), ISNUMBER(#REF!)),#REF! -#REF!,"")</f>
        <v/>
      </c>
    </row>
    <row r="976" spans="10:12">
      <c r="J976" t="str">
        <f t="shared" ref="J976:J1039" si="1945">IF(AND(ISNUMBER(#REF!), ISNUMBER(#REF!)),#REF! -#REF!,"")</f>
        <v/>
      </c>
      <c r="L976" t="str">
        <f t="shared" ref="L976:L1039" si="1946">IF(AND(ISNUMBER(#REF!), ISNUMBER(#REF!)),#REF! -#REF!,"")</f>
        <v/>
      </c>
    </row>
    <row r="977" spans="10:12">
      <c r="J977" t="str">
        <f t="shared" ref="J977:J1040" si="1947">IF(AND(ISNUMBER(#REF!), ISNUMBER(#REF!)),#REF! -#REF!,"")</f>
        <v/>
      </c>
      <c r="L977" t="str">
        <f t="shared" ref="L977:L1040" si="1948">IF(AND(ISNUMBER(#REF!), ISNUMBER(#REF!)),#REF! -#REF!,"")</f>
        <v/>
      </c>
    </row>
    <row r="978" spans="10:12">
      <c r="J978" t="str">
        <f t="shared" ref="J978:J1041" si="1949">IF(AND(ISNUMBER(#REF!), ISNUMBER(#REF!)),#REF! -#REF!,"")</f>
        <v/>
      </c>
      <c r="L978" t="str">
        <f t="shared" ref="L978:L1041" si="1950">IF(AND(ISNUMBER(#REF!), ISNUMBER(#REF!)),#REF! -#REF!,"")</f>
        <v/>
      </c>
    </row>
    <row r="979" spans="10:12">
      <c r="J979" t="str">
        <f t="shared" ref="J979:J1042" si="1951">IF(AND(ISNUMBER(#REF!), ISNUMBER(#REF!)),#REF! -#REF!,"")</f>
        <v/>
      </c>
      <c r="L979" t="str">
        <f t="shared" ref="L979:L1042" si="1952">IF(AND(ISNUMBER(#REF!), ISNUMBER(#REF!)),#REF! -#REF!,"")</f>
        <v/>
      </c>
    </row>
    <row r="980" spans="10:12">
      <c r="J980" t="str">
        <f t="shared" ref="J980:J1043" si="1953">IF(AND(ISNUMBER(#REF!), ISNUMBER(#REF!)),#REF! -#REF!,"")</f>
        <v/>
      </c>
      <c r="L980" t="str">
        <f t="shared" ref="L980:L1043" si="1954">IF(AND(ISNUMBER(#REF!), ISNUMBER(#REF!)),#REF! -#REF!,"")</f>
        <v/>
      </c>
    </row>
    <row r="981" spans="10:12">
      <c r="J981" t="str">
        <f t="shared" ref="J981:J1044" si="1955">IF(AND(ISNUMBER(#REF!), ISNUMBER(#REF!)),#REF! -#REF!,"")</f>
        <v/>
      </c>
      <c r="L981" t="str">
        <f t="shared" ref="L981:L1044" si="1956">IF(AND(ISNUMBER(#REF!), ISNUMBER(#REF!)),#REF! -#REF!,"")</f>
        <v/>
      </c>
    </row>
    <row r="982" spans="10:12">
      <c r="J982" t="str">
        <f t="shared" ref="J982:J1045" si="1957">IF(AND(ISNUMBER(#REF!), ISNUMBER(#REF!)),#REF! -#REF!,"")</f>
        <v/>
      </c>
      <c r="L982" t="str">
        <f t="shared" ref="L982:L1045" si="1958">IF(AND(ISNUMBER(#REF!), ISNUMBER(#REF!)),#REF! -#REF!,"")</f>
        <v/>
      </c>
    </row>
    <row r="983" spans="10:12">
      <c r="J983" t="str">
        <f t="shared" ref="J983:J1046" si="1959">IF(AND(ISNUMBER(#REF!), ISNUMBER(#REF!)),#REF! -#REF!,"")</f>
        <v/>
      </c>
      <c r="L983" t="str">
        <f t="shared" ref="L983:L1046" si="1960">IF(AND(ISNUMBER(#REF!), ISNUMBER(#REF!)),#REF! -#REF!,"")</f>
        <v/>
      </c>
    </row>
    <row r="984" spans="10:12">
      <c r="J984" t="str">
        <f t="shared" ref="J984:J1047" si="1961">IF(AND(ISNUMBER(#REF!), ISNUMBER(#REF!)),#REF! -#REF!,"")</f>
        <v/>
      </c>
      <c r="L984" t="str">
        <f t="shared" ref="L984:L1047" si="1962">IF(AND(ISNUMBER(#REF!), ISNUMBER(#REF!)),#REF! -#REF!,"")</f>
        <v/>
      </c>
    </row>
    <row r="985" spans="10:12">
      <c r="J985" t="str">
        <f t="shared" ref="J985:J1048" si="1963">IF(AND(ISNUMBER(#REF!), ISNUMBER(#REF!)),#REF! -#REF!,"")</f>
        <v/>
      </c>
      <c r="L985" t="str">
        <f t="shared" ref="L985:L1048" si="1964">IF(AND(ISNUMBER(#REF!), ISNUMBER(#REF!)),#REF! -#REF!,"")</f>
        <v/>
      </c>
    </row>
    <row r="986" spans="10:12">
      <c r="J986" t="str">
        <f t="shared" ref="J986:J1049" si="1965">IF(AND(ISNUMBER(#REF!), ISNUMBER(#REF!)),#REF! -#REF!,"")</f>
        <v/>
      </c>
      <c r="L986" t="str">
        <f t="shared" ref="L986:L1049" si="1966">IF(AND(ISNUMBER(#REF!), ISNUMBER(#REF!)),#REF! -#REF!,"")</f>
        <v/>
      </c>
    </row>
    <row r="987" spans="10:12">
      <c r="J987" t="str">
        <f t="shared" ref="J987:J1050" si="1967">IF(AND(ISNUMBER(#REF!), ISNUMBER(#REF!)),#REF! -#REF!,"")</f>
        <v/>
      </c>
      <c r="L987" t="str">
        <f t="shared" ref="L987:L1050" si="1968">IF(AND(ISNUMBER(#REF!), ISNUMBER(#REF!)),#REF! -#REF!,"")</f>
        <v/>
      </c>
    </row>
    <row r="988" spans="10:12">
      <c r="J988" t="str">
        <f t="shared" ref="J988:J1051" si="1969">IF(AND(ISNUMBER(#REF!), ISNUMBER(#REF!)),#REF! -#REF!,"")</f>
        <v/>
      </c>
      <c r="L988" t="str">
        <f t="shared" ref="L988:L1051" si="1970">IF(AND(ISNUMBER(#REF!), ISNUMBER(#REF!)),#REF! -#REF!,"")</f>
        <v/>
      </c>
    </row>
    <row r="989" spans="10:12">
      <c r="J989" t="str">
        <f t="shared" ref="J989:J1052" si="1971">IF(AND(ISNUMBER(#REF!), ISNUMBER(#REF!)),#REF! -#REF!,"")</f>
        <v/>
      </c>
      <c r="L989" t="str">
        <f t="shared" ref="L989:L1052" si="1972">IF(AND(ISNUMBER(#REF!), ISNUMBER(#REF!)),#REF! -#REF!,"")</f>
        <v/>
      </c>
    </row>
    <row r="990" spans="10:12">
      <c r="J990" t="str">
        <f t="shared" ref="J990:J1053" si="1973">IF(AND(ISNUMBER(#REF!), ISNUMBER(#REF!)),#REF! -#REF!,"")</f>
        <v/>
      </c>
      <c r="L990" t="str">
        <f t="shared" ref="L990:L1053" si="1974">IF(AND(ISNUMBER(#REF!), ISNUMBER(#REF!)),#REF! -#REF!,"")</f>
        <v/>
      </c>
    </row>
    <row r="991" spans="10:12">
      <c r="J991" t="str">
        <f t="shared" ref="J991:J1054" si="1975">IF(AND(ISNUMBER(#REF!), ISNUMBER(#REF!)),#REF! -#REF!,"")</f>
        <v/>
      </c>
      <c r="L991" t="str">
        <f t="shared" ref="L991:L1054" si="1976">IF(AND(ISNUMBER(#REF!), ISNUMBER(#REF!)),#REF! -#REF!,"")</f>
        <v/>
      </c>
    </row>
    <row r="992" spans="10:12">
      <c r="J992" t="str">
        <f t="shared" ref="J992:J1055" si="1977">IF(AND(ISNUMBER(#REF!), ISNUMBER(#REF!)),#REF! -#REF!,"")</f>
        <v/>
      </c>
      <c r="L992" t="str">
        <f t="shared" ref="L992:L1055" si="1978">IF(AND(ISNUMBER(#REF!), ISNUMBER(#REF!)),#REF! -#REF!,"")</f>
        <v/>
      </c>
    </row>
    <row r="993" spans="10:12">
      <c r="J993" t="str">
        <f t="shared" ref="J993:J1056" si="1979">IF(AND(ISNUMBER(#REF!), ISNUMBER(#REF!)),#REF! -#REF!,"")</f>
        <v/>
      </c>
      <c r="L993" t="str">
        <f t="shared" ref="L993:L1056" si="1980">IF(AND(ISNUMBER(#REF!), ISNUMBER(#REF!)),#REF! -#REF!,"")</f>
        <v/>
      </c>
    </row>
    <row r="994" spans="10:12">
      <c r="J994" t="str">
        <f t="shared" ref="J994:J1057" si="1981">IF(AND(ISNUMBER(#REF!), ISNUMBER(#REF!)),#REF! -#REF!,"")</f>
        <v/>
      </c>
      <c r="L994" t="str">
        <f t="shared" ref="L994:L1057" si="1982">IF(AND(ISNUMBER(#REF!), ISNUMBER(#REF!)),#REF! -#REF!,"")</f>
        <v/>
      </c>
    </row>
    <row r="995" spans="10:12">
      <c r="J995" t="str">
        <f t="shared" ref="J995:J1058" si="1983">IF(AND(ISNUMBER(#REF!), ISNUMBER(#REF!)),#REF! -#REF!,"")</f>
        <v/>
      </c>
      <c r="L995" t="str">
        <f t="shared" ref="L995:L1058" si="1984">IF(AND(ISNUMBER(#REF!), ISNUMBER(#REF!)),#REF! -#REF!,"")</f>
        <v/>
      </c>
    </row>
    <row r="996" spans="10:12">
      <c r="J996" t="str">
        <f t="shared" ref="J996:J1059" si="1985">IF(AND(ISNUMBER(#REF!), ISNUMBER(#REF!)),#REF! -#REF!,"")</f>
        <v/>
      </c>
      <c r="L996" t="str">
        <f t="shared" ref="L996:L1059" si="1986">IF(AND(ISNUMBER(#REF!), ISNUMBER(#REF!)),#REF! -#REF!,"")</f>
        <v/>
      </c>
    </row>
    <row r="997" spans="10:12">
      <c r="J997" t="str">
        <f t="shared" ref="J997:J1060" si="1987">IF(AND(ISNUMBER(#REF!), ISNUMBER(#REF!)),#REF! -#REF!,"")</f>
        <v/>
      </c>
      <c r="L997" t="str">
        <f t="shared" ref="L997:L1060" si="1988">IF(AND(ISNUMBER(#REF!), ISNUMBER(#REF!)),#REF! -#REF!,"")</f>
        <v/>
      </c>
    </row>
    <row r="998" spans="10:12">
      <c r="J998" t="str">
        <f t="shared" ref="J998:J1061" si="1989">IF(AND(ISNUMBER(#REF!), ISNUMBER(#REF!)),#REF! -#REF!,"")</f>
        <v/>
      </c>
      <c r="L998" t="str">
        <f t="shared" ref="L998:L1061" si="1990">IF(AND(ISNUMBER(#REF!), ISNUMBER(#REF!)),#REF! -#REF!,"")</f>
        <v/>
      </c>
    </row>
    <row r="999" spans="10:12">
      <c r="J999" t="str">
        <f t="shared" ref="J999:J1062" si="1991">IF(AND(ISNUMBER(#REF!), ISNUMBER(#REF!)),#REF! -#REF!,"")</f>
        <v/>
      </c>
      <c r="L999" t="str">
        <f t="shared" ref="L999:L1062" si="1992">IF(AND(ISNUMBER(#REF!), ISNUMBER(#REF!)),#REF! -#REF!,"")</f>
        <v/>
      </c>
    </row>
    <row r="1000" spans="10:12">
      <c r="J1000" t="str">
        <f t="shared" ref="J1000:J1063" si="1993">IF(AND(ISNUMBER(#REF!), ISNUMBER(#REF!)),#REF! -#REF!,"")</f>
        <v/>
      </c>
      <c r="L1000" t="str">
        <f t="shared" ref="L1000:L1063" si="1994">IF(AND(ISNUMBER(#REF!), ISNUMBER(#REF!)),#REF! -#REF!,"")</f>
        <v/>
      </c>
    </row>
    <row r="1001" spans="10:12">
      <c r="J1001" t="str">
        <f t="shared" ref="J1001:J1064" si="1995">IF(AND(ISNUMBER(#REF!), ISNUMBER(#REF!)),#REF! -#REF!,"")</f>
        <v/>
      </c>
      <c r="L1001" t="str">
        <f t="shared" ref="L1001:L1064" si="1996">IF(AND(ISNUMBER(#REF!), ISNUMBER(#REF!)),#REF! -#REF!,"")</f>
        <v/>
      </c>
    </row>
    <row r="1002" spans="10:12">
      <c r="J1002" t="str">
        <f t="shared" ref="J1002:J1065" si="1997">IF(AND(ISNUMBER(#REF!), ISNUMBER(#REF!)),#REF! -#REF!,"")</f>
        <v/>
      </c>
      <c r="L1002" t="str">
        <f t="shared" ref="L1002:L1065" si="1998">IF(AND(ISNUMBER(#REF!), ISNUMBER(#REF!)),#REF! -#REF!,"")</f>
        <v/>
      </c>
    </row>
    <row r="1003" spans="10:12">
      <c r="J1003" t="str">
        <f t="shared" ref="J1003:J1066" si="1999">IF(AND(ISNUMBER(#REF!), ISNUMBER(#REF!)),#REF! -#REF!,"")</f>
        <v/>
      </c>
      <c r="L1003" t="str">
        <f t="shared" ref="L1003:L1066" si="2000">IF(AND(ISNUMBER(#REF!), ISNUMBER(#REF!)),#REF! -#REF!,"")</f>
        <v/>
      </c>
    </row>
    <row r="1004" spans="10:12">
      <c r="J1004" t="str">
        <f t="shared" ref="J1004:J1067" si="2001">IF(AND(ISNUMBER(#REF!), ISNUMBER(#REF!)),#REF! -#REF!,"")</f>
        <v/>
      </c>
      <c r="L1004" t="str">
        <f t="shared" ref="L1004:L1067" si="2002">IF(AND(ISNUMBER(#REF!), ISNUMBER(#REF!)),#REF! -#REF!,"")</f>
        <v/>
      </c>
    </row>
    <row r="1005" spans="10:12">
      <c r="J1005" t="str">
        <f t="shared" ref="J1005:J1068" si="2003">IF(AND(ISNUMBER(#REF!), ISNUMBER(#REF!)),#REF! -#REF!,"")</f>
        <v/>
      </c>
      <c r="L1005" t="str">
        <f t="shared" ref="L1005:L1068" si="2004">IF(AND(ISNUMBER(#REF!), ISNUMBER(#REF!)),#REF! -#REF!,"")</f>
        <v/>
      </c>
    </row>
    <row r="1006" spans="10:12">
      <c r="J1006" t="str">
        <f t="shared" ref="J1006:J1069" si="2005">IF(AND(ISNUMBER(#REF!), ISNUMBER(#REF!)),#REF! -#REF!,"")</f>
        <v/>
      </c>
      <c r="L1006" t="str">
        <f t="shared" ref="L1006:L1069" si="2006">IF(AND(ISNUMBER(#REF!), ISNUMBER(#REF!)),#REF! -#REF!,"")</f>
        <v/>
      </c>
    </row>
    <row r="1007" spans="10:12">
      <c r="J1007" t="str">
        <f t="shared" ref="J1007:J1070" si="2007">IF(AND(ISNUMBER(#REF!), ISNUMBER(#REF!)),#REF! -#REF!,"")</f>
        <v/>
      </c>
      <c r="L1007" t="str">
        <f t="shared" ref="L1007:L1070" si="2008">IF(AND(ISNUMBER(#REF!), ISNUMBER(#REF!)),#REF! -#REF!,"")</f>
        <v/>
      </c>
    </row>
    <row r="1008" spans="10:12">
      <c r="J1008" t="str">
        <f t="shared" ref="J1008:J1071" si="2009">IF(AND(ISNUMBER(#REF!), ISNUMBER(#REF!)),#REF! -#REF!,"")</f>
        <v/>
      </c>
      <c r="L1008" t="str">
        <f t="shared" ref="L1008:L1071" si="2010">IF(AND(ISNUMBER(#REF!), ISNUMBER(#REF!)),#REF! -#REF!,"")</f>
        <v/>
      </c>
    </row>
    <row r="1009" spans="10:12">
      <c r="J1009" t="str">
        <f t="shared" ref="J1009:J1072" si="2011">IF(AND(ISNUMBER(#REF!), ISNUMBER(#REF!)),#REF! -#REF!,"")</f>
        <v/>
      </c>
      <c r="L1009" t="str">
        <f t="shared" ref="L1009:L1072" si="2012">IF(AND(ISNUMBER(#REF!), ISNUMBER(#REF!)),#REF! -#REF!,"")</f>
        <v/>
      </c>
    </row>
    <row r="1010" spans="10:12">
      <c r="J1010" t="str">
        <f t="shared" ref="J1010:J1073" si="2013">IF(AND(ISNUMBER(#REF!), ISNUMBER(#REF!)),#REF! -#REF!,"")</f>
        <v/>
      </c>
      <c r="L1010" t="str">
        <f t="shared" ref="L1010:L1073" si="2014">IF(AND(ISNUMBER(#REF!), ISNUMBER(#REF!)),#REF! -#REF!,"")</f>
        <v/>
      </c>
    </row>
    <row r="1011" spans="10:12">
      <c r="J1011" t="str">
        <f t="shared" ref="J1011:J1074" si="2015">IF(AND(ISNUMBER(#REF!), ISNUMBER(#REF!)),#REF! -#REF!,"")</f>
        <v/>
      </c>
      <c r="L1011" t="str">
        <f t="shared" ref="L1011:L1074" si="2016">IF(AND(ISNUMBER(#REF!), ISNUMBER(#REF!)),#REF! -#REF!,"")</f>
        <v/>
      </c>
    </row>
    <row r="1012" spans="10:12">
      <c r="J1012" t="str">
        <f t="shared" ref="J1012:J1075" si="2017">IF(AND(ISNUMBER(#REF!), ISNUMBER(#REF!)),#REF! -#REF!,"")</f>
        <v/>
      </c>
      <c r="L1012" t="str">
        <f t="shared" ref="L1012:L1075" si="2018">IF(AND(ISNUMBER(#REF!), ISNUMBER(#REF!)),#REF! -#REF!,"")</f>
        <v/>
      </c>
    </row>
    <row r="1013" spans="10:12">
      <c r="J1013" t="str">
        <f t="shared" ref="J1013:J1076" si="2019">IF(AND(ISNUMBER(#REF!), ISNUMBER(#REF!)),#REF! -#REF!,"")</f>
        <v/>
      </c>
      <c r="L1013" t="str">
        <f t="shared" ref="L1013:L1076" si="2020">IF(AND(ISNUMBER(#REF!), ISNUMBER(#REF!)),#REF! -#REF!,"")</f>
        <v/>
      </c>
    </row>
    <row r="1014" spans="10:12">
      <c r="J1014" t="str">
        <f t="shared" ref="J1014:J1077" si="2021">IF(AND(ISNUMBER(#REF!), ISNUMBER(#REF!)),#REF! -#REF!,"")</f>
        <v/>
      </c>
      <c r="L1014" t="str">
        <f t="shared" ref="L1014:L1077" si="2022">IF(AND(ISNUMBER(#REF!), ISNUMBER(#REF!)),#REF! -#REF!,"")</f>
        <v/>
      </c>
    </row>
    <row r="1015" spans="10:12">
      <c r="J1015" t="str">
        <f t="shared" ref="J1015:J1078" si="2023">IF(AND(ISNUMBER(#REF!), ISNUMBER(#REF!)),#REF! -#REF!,"")</f>
        <v/>
      </c>
      <c r="L1015" t="str">
        <f t="shared" ref="L1015:L1078" si="2024">IF(AND(ISNUMBER(#REF!), ISNUMBER(#REF!)),#REF! -#REF!,"")</f>
        <v/>
      </c>
    </row>
    <row r="1016" spans="10:12">
      <c r="J1016" t="str">
        <f t="shared" ref="J1016:J1079" si="2025">IF(AND(ISNUMBER(#REF!), ISNUMBER(#REF!)),#REF! -#REF!,"")</f>
        <v/>
      </c>
      <c r="L1016" t="str">
        <f t="shared" ref="L1016:L1079" si="2026">IF(AND(ISNUMBER(#REF!), ISNUMBER(#REF!)),#REF! -#REF!,"")</f>
        <v/>
      </c>
    </row>
    <row r="1017" spans="10:12">
      <c r="J1017" t="str">
        <f t="shared" ref="J1017:J1080" si="2027">IF(AND(ISNUMBER(#REF!), ISNUMBER(#REF!)),#REF! -#REF!,"")</f>
        <v/>
      </c>
      <c r="L1017" t="str">
        <f t="shared" ref="L1017:L1080" si="2028">IF(AND(ISNUMBER(#REF!), ISNUMBER(#REF!)),#REF! -#REF!,"")</f>
        <v/>
      </c>
    </row>
    <row r="1018" spans="10:12">
      <c r="J1018" t="str">
        <f t="shared" ref="J1018:J1081" si="2029">IF(AND(ISNUMBER(#REF!), ISNUMBER(#REF!)),#REF! -#REF!,"")</f>
        <v/>
      </c>
      <c r="L1018" t="str">
        <f t="shared" ref="L1018:L1081" si="2030">IF(AND(ISNUMBER(#REF!), ISNUMBER(#REF!)),#REF! -#REF!,"")</f>
        <v/>
      </c>
    </row>
    <row r="1019" spans="10:12">
      <c r="J1019" t="str">
        <f t="shared" ref="J1019:J1082" si="2031">IF(AND(ISNUMBER(#REF!), ISNUMBER(#REF!)),#REF! -#REF!,"")</f>
        <v/>
      </c>
      <c r="L1019" t="str">
        <f t="shared" ref="L1019:L1082" si="2032">IF(AND(ISNUMBER(#REF!), ISNUMBER(#REF!)),#REF! -#REF!,"")</f>
        <v/>
      </c>
    </row>
    <row r="1020" spans="10:12">
      <c r="J1020" t="str">
        <f t="shared" ref="J1020:J1083" si="2033">IF(AND(ISNUMBER(#REF!), ISNUMBER(#REF!)),#REF! -#REF!,"")</f>
        <v/>
      </c>
      <c r="L1020" t="str">
        <f t="shared" ref="L1020:L1083" si="2034">IF(AND(ISNUMBER(#REF!), ISNUMBER(#REF!)),#REF! -#REF!,"")</f>
        <v/>
      </c>
    </row>
    <row r="1021" spans="10:12">
      <c r="J1021" t="str">
        <f t="shared" ref="J1021:J1084" si="2035">IF(AND(ISNUMBER(#REF!), ISNUMBER(#REF!)),#REF! -#REF!,"")</f>
        <v/>
      </c>
      <c r="L1021" t="str">
        <f t="shared" ref="L1021:L1084" si="2036">IF(AND(ISNUMBER(#REF!), ISNUMBER(#REF!)),#REF! -#REF!,"")</f>
        <v/>
      </c>
    </row>
    <row r="1022" spans="10:12">
      <c r="J1022" t="str">
        <f t="shared" ref="J1022:J1085" si="2037">IF(AND(ISNUMBER(#REF!), ISNUMBER(#REF!)),#REF! -#REF!,"")</f>
        <v/>
      </c>
      <c r="L1022" t="str">
        <f t="shared" ref="L1022:L1085" si="2038">IF(AND(ISNUMBER(#REF!), ISNUMBER(#REF!)),#REF! -#REF!,"")</f>
        <v/>
      </c>
    </row>
    <row r="1023" spans="10:12">
      <c r="J1023" t="str">
        <f t="shared" ref="J1023:J1086" si="2039">IF(AND(ISNUMBER(#REF!), ISNUMBER(#REF!)),#REF! -#REF!,"")</f>
        <v/>
      </c>
      <c r="L1023" t="str">
        <f t="shared" ref="L1023:L1086" si="2040">IF(AND(ISNUMBER(#REF!), ISNUMBER(#REF!)),#REF! -#REF!,"")</f>
        <v/>
      </c>
    </row>
    <row r="1024" spans="10:12">
      <c r="J1024" t="str">
        <f t="shared" ref="J1024:J1087" si="2041">IF(AND(ISNUMBER(#REF!), ISNUMBER(#REF!)),#REF! -#REF!,"")</f>
        <v/>
      </c>
      <c r="L1024" t="str">
        <f t="shared" ref="L1024:L1087" si="2042">IF(AND(ISNUMBER(#REF!), ISNUMBER(#REF!)),#REF! -#REF!,"")</f>
        <v/>
      </c>
    </row>
    <row r="1025" spans="10:12">
      <c r="J1025" t="str">
        <f t="shared" ref="J1025:J1088" si="2043">IF(AND(ISNUMBER(#REF!), ISNUMBER(#REF!)),#REF! -#REF!,"")</f>
        <v/>
      </c>
      <c r="L1025" t="str">
        <f t="shared" ref="L1025:L1088" si="2044">IF(AND(ISNUMBER(#REF!), ISNUMBER(#REF!)),#REF! -#REF!,"")</f>
        <v/>
      </c>
    </row>
    <row r="1026" spans="10:12">
      <c r="J1026" t="str">
        <f t="shared" ref="J1026:J1089" si="2045">IF(AND(ISNUMBER(#REF!), ISNUMBER(#REF!)),#REF! -#REF!,"")</f>
        <v/>
      </c>
      <c r="L1026" t="str">
        <f t="shared" ref="L1026:L1089" si="2046">IF(AND(ISNUMBER(#REF!), ISNUMBER(#REF!)),#REF! -#REF!,"")</f>
        <v/>
      </c>
    </row>
    <row r="1027" spans="10:12">
      <c r="J1027" t="str">
        <f t="shared" ref="J1027:J1090" si="2047">IF(AND(ISNUMBER(#REF!), ISNUMBER(#REF!)),#REF! -#REF!,"")</f>
        <v/>
      </c>
      <c r="L1027" t="str">
        <f t="shared" ref="L1027:L1090" si="2048">IF(AND(ISNUMBER(#REF!), ISNUMBER(#REF!)),#REF! -#REF!,"")</f>
        <v/>
      </c>
    </row>
    <row r="1028" spans="10:12">
      <c r="J1028" t="str">
        <f t="shared" ref="J1028:J1091" si="2049">IF(AND(ISNUMBER(#REF!), ISNUMBER(#REF!)),#REF! -#REF!,"")</f>
        <v/>
      </c>
      <c r="L1028" t="str">
        <f t="shared" ref="L1028:L1091" si="2050">IF(AND(ISNUMBER(#REF!), ISNUMBER(#REF!)),#REF! -#REF!,"")</f>
        <v/>
      </c>
    </row>
    <row r="1029" spans="10:12">
      <c r="J1029" t="str">
        <f t="shared" ref="J1029:J1092" si="2051">IF(AND(ISNUMBER(#REF!), ISNUMBER(#REF!)),#REF! -#REF!,"")</f>
        <v/>
      </c>
      <c r="L1029" t="str">
        <f t="shared" ref="L1029:L1092" si="2052">IF(AND(ISNUMBER(#REF!), ISNUMBER(#REF!)),#REF! -#REF!,"")</f>
        <v/>
      </c>
    </row>
    <row r="1030" spans="10:12">
      <c r="J1030" t="str">
        <f t="shared" ref="J1030:J1093" si="2053">IF(AND(ISNUMBER(#REF!), ISNUMBER(#REF!)),#REF! -#REF!,"")</f>
        <v/>
      </c>
      <c r="L1030" t="str">
        <f t="shared" ref="L1030:L1093" si="2054">IF(AND(ISNUMBER(#REF!), ISNUMBER(#REF!)),#REF! -#REF!,"")</f>
        <v/>
      </c>
    </row>
    <row r="1031" spans="10:12">
      <c r="J1031" t="str">
        <f t="shared" ref="J1031:J1094" si="2055">IF(AND(ISNUMBER(#REF!), ISNUMBER(#REF!)),#REF! -#REF!,"")</f>
        <v/>
      </c>
      <c r="L1031" t="str">
        <f t="shared" ref="L1031:L1094" si="2056">IF(AND(ISNUMBER(#REF!), ISNUMBER(#REF!)),#REF! -#REF!,"")</f>
        <v/>
      </c>
    </row>
    <row r="1032" spans="10:12">
      <c r="J1032" t="str">
        <f t="shared" ref="J1032:J1095" si="2057">IF(AND(ISNUMBER(#REF!), ISNUMBER(#REF!)),#REF! -#REF!,"")</f>
        <v/>
      </c>
      <c r="L1032" t="str">
        <f t="shared" ref="L1032:L1095" si="2058">IF(AND(ISNUMBER(#REF!), ISNUMBER(#REF!)),#REF! -#REF!,"")</f>
        <v/>
      </c>
    </row>
    <row r="1033" spans="10:12">
      <c r="J1033" t="str">
        <f t="shared" ref="J1033:J1096" si="2059">IF(AND(ISNUMBER(#REF!), ISNUMBER(#REF!)),#REF! -#REF!,"")</f>
        <v/>
      </c>
      <c r="L1033" t="str">
        <f t="shared" ref="L1033:L1096" si="2060">IF(AND(ISNUMBER(#REF!), ISNUMBER(#REF!)),#REF! -#REF!,"")</f>
        <v/>
      </c>
    </row>
    <row r="1034" spans="10:12">
      <c r="J1034" t="str">
        <f t="shared" ref="J1034:J1097" si="2061">IF(AND(ISNUMBER(#REF!), ISNUMBER(#REF!)),#REF! -#REF!,"")</f>
        <v/>
      </c>
      <c r="L1034" t="str">
        <f t="shared" ref="L1034:L1097" si="2062">IF(AND(ISNUMBER(#REF!), ISNUMBER(#REF!)),#REF! -#REF!,"")</f>
        <v/>
      </c>
    </row>
    <row r="1035" spans="10:12">
      <c r="J1035" t="str">
        <f t="shared" ref="J1035:J1098" si="2063">IF(AND(ISNUMBER(#REF!), ISNUMBER(#REF!)),#REF! -#REF!,"")</f>
        <v/>
      </c>
      <c r="L1035" t="str">
        <f t="shared" ref="L1035:L1098" si="2064">IF(AND(ISNUMBER(#REF!), ISNUMBER(#REF!)),#REF! -#REF!,"")</f>
        <v/>
      </c>
    </row>
    <row r="1036" spans="10:12">
      <c r="J1036" t="str">
        <f t="shared" ref="J1036:J1099" si="2065">IF(AND(ISNUMBER(#REF!), ISNUMBER(#REF!)),#REF! -#REF!,"")</f>
        <v/>
      </c>
      <c r="L1036" t="str">
        <f t="shared" ref="L1036:L1099" si="2066">IF(AND(ISNUMBER(#REF!), ISNUMBER(#REF!)),#REF! -#REF!,"")</f>
        <v/>
      </c>
    </row>
    <row r="1037" spans="10:12">
      <c r="J1037" t="str">
        <f t="shared" ref="J1037:J1100" si="2067">IF(AND(ISNUMBER(#REF!), ISNUMBER(#REF!)),#REF! -#REF!,"")</f>
        <v/>
      </c>
      <c r="L1037" t="str">
        <f t="shared" ref="L1037:L1100" si="2068">IF(AND(ISNUMBER(#REF!), ISNUMBER(#REF!)),#REF! -#REF!,"")</f>
        <v/>
      </c>
    </row>
    <row r="1038" spans="10:12">
      <c r="J1038" t="str">
        <f t="shared" ref="J1038:J1101" si="2069">IF(AND(ISNUMBER(#REF!), ISNUMBER(#REF!)),#REF! -#REF!,"")</f>
        <v/>
      </c>
      <c r="L1038" t="str">
        <f t="shared" ref="L1038:L1101" si="2070">IF(AND(ISNUMBER(#REF!), ISNUMBER(#REF!)),#REF! -#REF!,"")</f>
        <v/>
      </c>
    </row>
    <row r="1039" spans="10:12">
      <c r="J1039" t="str">
        <f t="shared" ref="J1039:J1102" si="2071">IF(AND(ISNUMBER(#REF!), ISNUMBER(#REF!)),#REF! -#REF!,"")</f>
        <v/>
      </c>
      <c r="L1039" t="str">
        <f t="shared" ref="L1039:L1102" si="2072">IF(AND(ISNUMBER(#REF!), ISNUMBER(#REF!)),#REF! -#REF!,"")</f>
        <v/>
      </c>
    </row>
    <row r="1040" spans="10:12">
      <c r="J1040" t="str">
        <f t="shared" ref="J1040:J1103" si="2073">IF(AND(ISNUMBER(#REF!), ISNUMBER(#REF!)),#REF! -#REF!,"")</f>
        <v/>
      </c>
      <c r="L1040" t="str">
        <f t="shared" ref="L1040:L1103" si="2074">IF(AND(ISNUMBER(#REF!), ISNUMBER(#REF!)),#REF! -#REF!,"")</f>
        <v/>
      </c>
    </row>
    <row r="1041" spans="10:12">
      <c r="J1041" t="str">
        <f t="shared" ref="J1041:J1104" si="2075">IF(AND(ISNUMBER(#REF!), ISNUMBER(#REF!)),#REF! -#REF!,"")</f>
        <v/>
      </c>
      <c r="L1041" t="str">
        <f t="shared" ref="L1041:L1104" si="2076">IF(AND(ISNUMBER(#REF!), ISNUMBER(#REF!)),#REF! -#REF!,"")</f>
        <v/>
      </c>
    </row>
    <row r="1042" spans="10:12">
      <c r="J1042" t="str">
        <f t="shared" ref="J1042:J1105" si="2077">IF(AND(ISNUMBER(#REF!), ISNUMBER(#REF!)),#REF! -#REF!,"")</f>
        <v/>
      </c>
      <c r="L1042" t="str">
        <f t="shared" ref="L1042:L1105" si="2078">IF(AND(ISNUMBER(#REF!), ISNUMBER(#REF!)),#REF! -#REF!,"")</f>
        <v/>
      </c>
    </row>
    <row r="1043" spans="10:12">
      <c r="J1043" t="str">
        <f t="shared" ref="J1043:J1106" si="2079">IF(AND(ISNUMBER(#REF!), ISNUMBER(#REF!)),#REF! -#REF!,"")</f>
        <v/>
      </c>
      <c r="L1043" t="str">
        <f t="shared" ref="L1043:L1106" si="2080">IF(AND(ISNUMBER(#REF!), ISNUMBER(#REF!)),#REF! -#REF!,"")</f>
        <v/>
      </c>
    </row>
    <row r="1044" spans="10:12">
      <c r="J1044" t="str">
        <f t="shared" ref="J1044:J1107" si="2081">IF(AND(ISNUMBER(#REF!), ISNUMBER(#REF!)),#REF! -#REF!,"")</f>
        <v/>
      </c>
      <c r="L1044" t="str">
        <f t="shared" ref="L1044:L1107" si="2082">IF(AND(ISNUMBER(#REF!), ISNUMBER(#REF!)),#REF! -#REF!,"")</f>
        <v/>
      </c>
    </row>
    <row r="1045" spans="10:12">
      <c r="J1045" t="str">
        <f t="shared" ref="J1045:J1108" si="2083">IF(AND(ISNUMBER(#REF!), ISNUMBER(#REF!)),#REF! -#REF!,"")</f>
        <v/>
      </c>
      <c r="L1045" t="str">
        <f t="shared" ref="L1045:L1108" si="2084">IF(AND(ISNUMBER(#REF!), ISNUMBER(#REF!)),#REF! -#REF!,"")</f>
        <v/>
      </c>
    </row>
    <row r="1046" spans="10:12">
      <c r="J1046" t="str">
        <f t="shared" ref="J1046:J1109" si="2085">IF(AND(ISNUMBER(#REF!), ISNUMBER(#REF!)),#REF! -#REF!,"")</f>
        <v/>
      </c>
      <c r="L1046" t="str">
        <f t="shared" ref="L1046:L1109" si="2086">IF(AND(ISNUMBER(#REF!), ISNUMBER(#REF!)),#REF! -#REF!,"")</f>
        <v/>
      </c>
    </row>
    <row r="1047" spans="10:12">
      <c r="J1047" t="str">
        <f t="shared" ref="J1047:J1110" si="2087">IF(AND(ISNUMBER(#REF!), ISNUMBER(#REF!)),#REF! -#REF!,"")</f>
        <v/>
      </c>
      <c r="L1047" t="str">
        <f t="shared" ref="L1047:L1110" si="2088">IF(AND(ISNUMBER(#REF!), ISNUMBER(#REF!)),#REF! -#REF!,"")</f>
        <v/>
      </c>
    </row>
    <row r="1048" spans="10:12">
      <c r="J1048" t="str">
        <f t="shared" ref="J1048:J1111" si="2089">IF(AND(ISNUMBER(#REF!), ISNUMBER(#REF!)),#REF! -#REF!,"")</f>
        <v/>
      </c>
      <c r="L1048" t="str">
        <f t="shared" ref="L1048:L1111" si="2090">IF(AND(ISNUMBER(#REF!), ISNUMBER(#REF!)),#REF! -#REF!,"")</f>
        <v/>
      </c>
    </row>
    <row r="1049" spans="10:12">
      <c r="J1049" t="str">
        <f t="shared" ref="J1049:J1112" si="2091">IF(AND(ISNUMBER(#REF!), ISNUMBER(#REF!)),#REF! -#REF!,"")</f>
        <v/>
      </c>
      <c r="L1049" t="str">
        <f t="shared" ref="L1049:L1112" si="2092">IF(AND(ISNUMBER(#REF!), ISNUMBER(#REF!)),#REF! -#REF!,"")</f>
        <v/>
      </c>
    </row>
    <row r="1050" spans="10:12">
      <c r="J1050" t="str">
        <f t="shared" ref="J1050:J1113" si="2093">IF(AND(ISNUMBER(#REF!), ISNUMBER(#REF!)),#REF! -#REF!,"")</f>
        <v/>
      </c>
      <c r="L1050" t="str">
        <f t="shared" ref="L1050:L1113" si="2094">IF(AND(ISNUMBER(#REF!), ISNUMBER(#REF!)),#REF! -#REF!,"")</f>
        <v/>
      </c>
    </row>
    <row r="1051" spans="10:12">
      <c r="J1051" t="str">
        <f t="shared" ref="J1051:J1114" si="2095">IF(AND(ISNUMBER(#REF!), ISNUMBER(#REF!)),#REF! -#REF!,"")</f>
        <v/>
      </c>
      <c r="L1051" t="str">
        <f t="shared" ref="L1051:L1114" si="2096">IF(AND(ISNUMBER(#REF!), ISNUMBER(#REF!)),#REF! -#REF!,"")</f>
        <v/>
      </c>
    </row>
    <row r="1052" spans="10:12">
      <c r="J1052" t="str">
        <f t="shared" ref="J1052:J1115" si="2097">IF(AND(ISNUMBER(#REF!), ISNUMBER(#REF!)),#REF! -#REF!,"")</f>
        <v/>
      </c>
      <c r="L1052" t="str">
        <f t="shared" ref="L1052:L1115" si="2098">IF(AND(ISNUMBER(#REF!), ISNUMBER(#REF!)),#REF! -#REF!,"")</f>
        <v/>
      </c>
    </row>
    <row r="1053" spans="10:12">
      <c r="J1053" t="str">
        <f t="shared" ref="J1053:J1116" si="2099">IF(AND(ISNUMBER(#REF!), ISNUMBER(#REF!)),#REF! -#REF!,"")</f>
        <v/>
      </c>
      <c r="L1053" t="str">
        <f t="shared" ref="L1053:L1116" si="2100">IF(AND(ISNUMBER(#REF!), ISNUMBER(#REF!)),#REF! -#REF!,"")</f>
        <v/>
      </c>
    </row>
    <row r="1054" spans="10:12">
      <c r="J1054" t="str">
        <f t="shared" ref="J1054:J1117" si="2101">IF(AND(ISNUMBER(#REF!), ISNUMBER(#REF!)),#REF! -#REF!,"")</f>
        <v/>
      </c>
      <c r="L1054" t="str">
        <f t="shared" ref="L1054:L1117" si="2102">IF(AND(ISNUMBER(#REF!), ISNUMBER(#REF!)),#REF! -#REF!,"")</f>
        <v/>
      </c>
    </row>
    <row r="1055" spans="10:12">
      <c r="J1055" t="str">
        <f t="shared" ref="J1055:J1118" si="2103">IF(AND(ISNUMBER(#REF!), ISNUMBER(#REF!)),#REF! -#REF!,"")</f>
        <v/>
      </c>
      <c r="L1055" t="str">
        <f t="shared" ref="L1055:L1118" si="2104">IF(AND(ISNUMBER(#REF!), ISNUMBER(#REF!)),#REF! -#REF!,"")</f>
        <v/>
      </c>
    </row>
    <row r="1056" spans="10:12">
      <c r="J1056" t="str">
        <f t="shared" ref="J1056:J1119" si="2105">IF(AND(ISNUMBER(#REF!), ISNUMBER(#REF!)),#REF! -#REF!,"")</f>
        <v/>
      </c>
      <c r="L1056" t="str">
        <f t="shared" ref="L1056:L1119" si="2106">IF(AND(ISNUMBER(#REF!), ISNUMBER(#REF!)),#REF! -#REF!,"")</f>
        <v/>
      </c>
    </row>
    <row r="1057" spans="10:12">
      <c r="J1057" t="str">
        <f t="shared" ref="J1057:J1120" si="2107">IF(AND(ISNUMBER(#REF!), ISNUMBER(#REF!)),#REF! -#REF!,"")</f>
        <v/>
      </c>
      <c r="L1057" t="str">
        <f t="shared" ref="L1057:L1120" si="2108">IF(AND(ISNUMBER(#REF!), ISNUMBER(#REF!)),#REF! -#REF!,"")</f>
        <v/>
      </c>
    </row>
    <row r="1058" spans="10:12">
      <c r="J1058" t="str">
        <f t="shared" ref="J1058:J1121" si="2109">IF(AND(ISNUMBER(#REF!), ISNUMBER(#REF!)),#REF! -#REF!,"")</f>
        <v/>
      </c>
      <c r="L1058" t="str">
        <f t="shared" ref="L1058:L1121" si="2110">IF(AND(ISNUMBER(#REF!), ISNUMBER(#REF!)),#REF! -#REF!,"")</f>
        <v/>
      </c>
    </row>
    <row r="1059" spans="10:12">
      <c r="J1059" t="str">
        <f t="shared" ref="J1059:J1122" si="2111">IF(AND(ISNUMBER(#REF!), ISNUMBER(#REF!)),#REF! -#REF!,"")</f>
        <v/>
      </c>
      <c r="L1059" t="str">
        <f t="shared" ref="L1059:L1122" si="2112">IF(AND(ISNUMBER(#REF!), ISNUMBER(#REF!)),#REF! -#REF!,"")</f>
        <v/>
      </c>
    </row>
    <row r="1060" spans="10:12">
      <c r="J1060" t="str">
        <f t="shared" ref="J1060:J1123" si="2113">IF(AND(ISNUMBER(#REF!), ISNUMBER(#REF!)),#REF! -#REF!,"")</f>
        <v/>
      </c>
      <c r="L1060" t="str">
        <f t="shared" ref="L1060:L1123" si="2114">IF(AND(ISNUMBER(#REF!), ISNUMBER(#REF!)),#REF! -#REF!,"")</f>
        <v/>
      </c>
    </row>
    <row r="1061" spans="10:12">
      <c r="J1061" t="str">
        <f t="shared" ref="J1061:J1124" si="2115">IF(AND(ISNUMBER(#REF!), ISNUMBER(#REF!)),#REF! -#REF!,"")</f>
        <v/>
      </c>
      <c r="L1061" t="str">
        <f t="shared" ref="L1061:L1124" si="2116">IF(AND(ISNUMBER(#REF!), ISNUMBER(#REF!)),#REF! -#REF!,"")</f>
        <v/>
      </c>
    </row>
    <row r="1062" spans="10:12">
      <c r="J1062" t="str">
        <f t="shared" ref="J1062:J1125" si="2117">IF(AND(ISNUMBER(#REF!), ISNUMBER(#REF!)),#REF! -#REF!,"")</f>
        <v/>
      </c>
      <c r="L1062" t="str">
        <f t="shared" ref="L1062:L1125" si="2118">IF(AND(ISNUMBER(#REF!), ISNUMBER(#REF!)),#REF! -#REF!,"")</f>
        <v/>
      </c>
    </row>
    <row r="1063" spans="10:12">
      <c r="J1063" t="str">
        <f t="shared" ref="J1063:J1126" si="2119">IF(AND(ISNUMBER(#REF!), ISNUMBER(#REF!)),#REF! -#REF!,"")</f>
        <v/>
      </c>
      <c r="L1063" t="str">
        <f t="shared" ref="L1063:L1126" si="2120">IF(AND(ISNUMBER(#REF!), ISNUMBER(#REF!)),#REF! -#REF!,"")</f>
        <v/>
      </c>
    </row>
    <row r="1064" spans="10:12">
      <c r="J1064" t="str">
        <f t="shared" ref="J1064:J1127" si="2121">IF(AND(ISNUMBER(#REF!), ISNUMBER(#REF!)),#REF! -#REF!,"")</f>
        <v/>
      </c>
      <c r="L1064" t="str">
        <f t="shared" ref="L1064:L1127" si="2122">IF(AND(ISNUMBER(#REF!), ISNUMBER(#REF!)),#REF! -#REF!,"")</f>
        <v/>
      </c>
    </row>
    <row r="1065" spans="10:12">
      <c r="J1065" t="str">
        <f t="shared" ref="J1065:J1128" si="2123">IF(AND(ISNUMBER(#REF!), ISNUMBER(#REF!)),#REF! -#REF!,"")</f>
        <v/>
      </c>
      <c r="L1065" t="str">
        <f t="shared" ref="L1065:L1128" si="2124">IF(AND(ISNUMBER(#REF!), ISNUMBER(#REF!)),#REF! -#REF!,"")</f>
        <v/>
      </c>
    </row>
    <row r="1066" spans="10:12">
      <c r="J1066" t="str">
        <f t="shared" ref="J1066:J1129" si="2125">IF(AND(ISNUMBER(#REF!), ISNUMBER(#REF!)),#REF! -#REF!,"")</f>
        <v/>
      </c>
      <c r="L1066" t="str">
        <f t="shared" ref="L1066:L1129" si="2126">IF(AND(ISNUMBER(#REF!), ISNUMBER(#REF!)),#REF! -#REF!,"")</f>
        <v/>
      </c>
    </row>
    <row r="1067" spans="10:12">
      <c r="J1067" t="str">
        <f t="shared" ref="J1067:J1130" si="2127">IF(AND(ISNUMBER(#REF!), ISNUMBER(#REF!)),#REF! -#REF!,"")</f>
        <v/>
      </c>
      <c r="L1067" t="str">
        <f t="shared" ref="L1067:L1130" si="2128">IF(AND(ISNUMBER(#REF!), ISNUMBER(#REF!)),#REF! -#REF!,"")</f>
        <v/>
      </c>
    </row>
    <row r="1068" spans="10:12">
      <c r="J1068" t="str">
        <f t="shared" ref="J1068:J1131" si="2129">IF(AND(ISNUMBER(#REF!), ISNUMBER(#REF!)),#REF! -#REF!,"")</f>
        <v/>
      </c>
      <c r="L1068" t="str">
        <f t="shared" ref="L1068:L1131" si="2130">IF(AND(ISNUMBER(#REF!), ISNUMBER(#REF!)),#REF! -#REF!,"")</f>
        <v/>
      </c>
    </row>
    <row r="1069" spans="10:12">
      <c r="J1069" t="str">
        <f t="shared" ref="J1069:J1132" si="2131">IF(AND(ISNUMBER(#REF!), ISNUMBER(#REF!)),#REF! -#REF!,"")</f>
        <v/>
      </c>
      <c r="L1069" t="str">
        <f t="shared" ref="L1069:L1132" si="2132">IF(AND(ISNUMBER(#REF!), ISNUMBER(#REF!)),#REF! -#REF!,"")</f>
        <v/>
      </c>
    </row>
    <row r="1070" spans="10:12">
      <c r="J1070" t="str">
        <f t="shared" ref="J1070:J1133" si="2133">IF(AND(ISNUMBER(#REF!), ISNUMBER(#REF!)),#REF! -#REF!,"")</f>
        <v/>
      </c>
      <c r="L1070" t="str">
        <f t="shared" ref="L1070:L1133" si="2134">IF(AND(ISNUMBER(#REF!), ISNUMBER(#REF!)),#REF! -#REF!,"")</f>
        <v/>
      </c>
    </row>
    <row r="1071" spans="10:12">
      <c r="J1071" t="str">
        <f t="shared" ref="J1071:J1134" si="2135">IF(AND(ISNUMBER(#REF!), ISNUMBER(#REF!)),#REF! -#REF!,"")</f>
        <v/>
      </c>
      <c r="L1071" t="str">
        <f t="shared" ref="L1071:L1134" si="2136">IF(AND(ISNUMBER(#REF!), ISNUMBER(#REF!)),#REF! -#REF!,"")</f>
        <v/>
      </c>
    </row>
    <row r="1072" spans="10:12">
      <c r="J1072" t="str">
        <f t="shared" ref="J1072:J1135" si="2137">IF(AND(ISNUMBER(#REF!), ISNUMBER(#REF!)),#REF! -#REF!,"")</f>
        <v/>
      </c>
      <c r="L1072" t="str">
        <f t="shared" ref="L1072:L1135" si="2138">IF(AND(ISNUMBER(#REF!), ISNUMBER(#REF!)),#REF! -#REF!,"")</f>
        <v/>
      </c>
    </row>
    <row r="1073" spans="10:12">
      <c r="J1073" t="str">
        <f t="shared" ref="J1073:J1136" si="2139">IF(AND(ISNUMBER(#REF!), ISNUMBER(#REF!)),#REF! -#REF!,"")</f>
        <v/>
      </c>
      <c r="L1073" t="str">
        <f t="shared" ref="L1073:L1136" si="2140">IF(AND(ISNUMBER(#REF!), ISNUMBER(#REF!)),#REF! -#REF!,"")</f>
        <v/>
      </c>
    </row>
    <row r="1074" spans="10:12">
      <c r="J1074" t="str">
        <f t="shared" ref="J1074:J1137" si="2141">IF(AND(ISNUMBER(#REF!), ISNUMBER(#REF!)),#REF! -#REF!,"")</f>
        <v/>
      </c>
      <c r="L1074" t="str">
        <f t="shared" ref="L1074:L1137" si="2142">IF(AND(ISNUMBER(#REF!), ISNUMBER(#REF!)),#REF! -#REF!,"")</f>
        <v/>
      </c>
    </row>
    <row r="1075" spans="10:12">
      <c r="J1075" t="str">
        <f t="shared" ref="J1075:J1138" si="2143">IF(AND(ISNUMBER(#REF!), ISNUMBER(#REF!)),#REF! -#REF!,"")</f>
        <v/>
      </c>
      <c r="L1075" t="str">
        <f t="shared" ref="L1075:L1138" si="2144">IF(AND(ISNUMBER(#REF!), ISNUMBER(#REF!)),#REF! -#REF!,"")</f>
        <v/>
      </c>
    </row>
    <row r="1076" spans="10:12">
      <c r="J1076" t="str">
        <f t="shared" ref="J1076:J1139" si="2145">IF(AND(ISNUMBER(#REF!), ISNUMBER(#REF!)),#REF! -#REF!,"")</f>
        <v/>
      </c>
      <c r="L1076" t="str">
        <f t="shared" ref="L1076:L1139" si="2146">IF(AND(ISNUMBER(#REF!), ISNUMBER(#REF!)),#REF! -#REF!,"")</f>
        <v/>
      </c>
    </row>
    <row r="1077" spans="10:12">
      <c r="J1077" t="str">
        <f t="shared" ref="J1077:J1140" si="2147">IF(AND(ISNUMBER(#REF!), ISNUMBER(#REF!)),#REF! -#REF!,"")</f>
        <v/>
      </c>
      <c r="L1077" t="str">
        <f t="shared" ref="L1077:L1140" si="2148">IF(AND(ISNUMBER(#REF!), ISNUMBER(#REF!)),#REF! -#REF!,"")</f>
        <v/>
      </c>
    </row>
    <row r="1078" spans="10:12">
      <c r="J1078" t="str">
        <f t="shared" ref="J1078:J1141" si="2149">IF(AND(ISNUMBER(#REF!), ISNUMBER(#REF!)),#REF! -#REF!,"")</f>
        <v/>
      </c>
      <c r="L1078" t="str">
        <f t="shared" ref="L1078:L1141" si="2150">IF(AND(ISNUMBER(#REF!), ISNUMBER(#REF!)),#REF! -#REF!,"")</f>
        <v/>
      </c>
    </row>
    <row r="1079" spans="10:12">
      <c r="J1079" t="str">
        <f t="shared" ref="J1079:J1142" si="2151">IF(AND(ISNUMBER(#REF!), ISNUMBER(#REF!)),#REF! -#REF!,"")</f>
        <v/>
      </c>
      <c r="L1079" t="str">
        <f t="shared" ref="L1079:L1142" si="2152">IF(AND(ISNUMBER(#REF!), ISNUMBER(#REF!)),#REF! -#REF!,"")</f>
        <v/>
      </c>
    </row>
    <row r="1080" spans="10:12">
      <c r="J1080" t="str">
        <f t="shared" ref="J1080:J1143" si="2153">IF(AND(ISNUMBER(#REF!), ISNUMBER(#REF!)),#REF! -#REF!,"")</f>
        <v/>
      </c>
      <c r="L1080" t="str">
        <f t="shared" ref="L1080:L1143" si="2154">IF(AND(ISNUMBER(#REF!), ISNUMBER(#REF!)),#REF! -#REF!,"")</f>
        <v/>
      </c>
    </row>
    <row r="1081" spans="10:12">
      <c r="J1081" t="str">
        <f t="shared" ref="J1081:J1144" si="2155">IF(AND(ISNUMBER(#REF!), ISNUMBER(#REF!)),#REF! -#REF!,"")</f>
        <v/>
      </c>
      <c r="L1081" t="str">
        <f t="shared" ref="L1081:L1144" si="2156">IF(AND(ISNUMBER(#REF!), ISNUMBER(#REF!)),#REF! -#REF!,"")</f>
        <v/>
      </c>
    </row>
    <row r="1082" spans="10:12">
      <c r="J1082" t="str">
        <f t="shared" ref="J1082:J1145" si="2157">IF(AND(ISNUMBER(#REF!), ISNUMBER(#REF!)),#REF! -#REF!,"")</f>
        <v/>
      </c>
      <c r="L1082" t="str">
        <f t="shared" ref="L1082:L1145" si="2158">IF(AND(ISNUMBER(#REF!), ISNUMBER(#REF!)),#REF! -#REF!,"")</f>
        <v/>
      </c>
    </row>
    <row r="1083" spans="10:12">
      <c r="J1083" t="str">
        <f t="shared" ref="J1083:J1146" si="2159">IF(AND(ISNUMBER(#REF!), ISNUMBER(#REF!)),#REF! -#REF!,"")</f>
        <v/>
      </c>
      <c r="L1083" t="str">
        <f t="shared" ref="L1083:L1146" si="2160">IF(AND(ISNUMBER(#REF!), ISNUMBER(#REF!)),#REF! -#REF!,"")</f>
        <v/>
      </c>
    </row>
    <row r="1084" spans="10:12">
      <c r="J1084" t="str">
        <f t="shared" ref="J1084:J1147" si="2161">IF(AND(ISNUMBER(#REF!), ISNUMBER(#REF!)),#REF! -#REF!,"")</f>
        <v/>
      </c>
      <c r="L1084" t="str">
        <f t="shared" ref="L1084:L1147" si="2162">IF(AND(ISNUMBER(#REF!), ISNUMBER(#REF!)),#REF! -#REF!,"")</f>
        <v/>
      </c>
    </row>
    <row r="1085" spans="10:12">
      <c r="J1085" t="str">
        <f t="shared" ref="J1085:J1148" si="2163">IF(AND(ISNUMBER(#REF!), ISNUMBER(#REF!)),#REF! -#REF!,"")</f>
        <v/>
      </c>
      <c r="L1085" t="str">
        <f t="shared" ref="L1085:L1148" si="2164">IF(AND(ISNUMBER(#REF!), ISNUMBER(#REF!)),#REF! -#REF!,"")</f>
        <v/>
      </c>
    </row>
    <row r="1086" spans="10:12">
      <c r="J1086" t="str">
        <f t="shared" ref="J1086:J1149" si="2165">IF(AND(ISNUMBER(#REF!), ISNUMBER(#REF!)),#REF! -#REF!,"")</f>
        <v/>
      </c>
      <c r="L1086" t="str">
        <f t="shared" ref="L1086:L1149" si="2166">IF(AND(ISNUMBER(#REF!), ISNUMBER(#REF!)),#REF! -#REF!,"")</f>
        <v/>
      </c>
    </row>
    <row r="1087" spans="10:12">
      <c r="J1087" t="str">
        <f t="shared" ref="J1087:J1150" si="2167">IF(AND(ISNUMBER(#REF!), ISNUMBER(#REF!)),#REF! -#REF!,"")</f>
        <v/>
      </c>
      <c r="L1087" t="str">
        <f t="shared" ref="L1087:L1150" si="2168">IF(AND(ISNUMBER(#REF!), ISNUMBER(#REF!)),#REF! -#REF!,"")</f>
        <v/>
      </c>
    </row>
    <row r="1088" spans="10:12">
      <c r="J1088" t="str">
        <f t="shared" ref="J1088:J1151" si="2169">IF(AND(ISNUMBER(#REF!), ISNUMBER(#REF!)),#REF! -#REF!,"")</f>
        <v/>
      </c>
      <c r="L1088" t="str">
        <f t="shared" ref="L1088:L1151" si="2170">IF(AND(ISNUMBER(#REF!), ISNUMBER(#REF!)),#REF! -#REF!,"")</f>
        <v/>
      </c>
    </row>
    <row r="1089" spans="10:12">
      <c r="J1089" t="str">
        <f t="shared" ref="J1089:J1152" si="2171">IF(AND(ISNUMBER(#REF!), ISNUMBER(#REF!)),#REF! -#REF!,"")</f>
        <v/>
      </c>
      <c r="L1089" t="str">
        <f t="shared" ref="L1089:L1152" si="2172">IF(AND(ISNUMBER(#REF!), ISNUMBER(#REF!)),#REF! -#REF!,"")</f>
        <v/>
      </c>
    </row>
    <row r="1090" spans="10:12">
      <c r="J1090" t="str">
        <f t="shared" ref="J1090:J1153" si="2173">IF(AND(ISNUMBER(#REF!), ISNUMBER(#REF!)),#REF! -#REF!,"")</f>
        <v/>
      </c>
      <c r="L1090" t="str">
        <f t="shared" ref="L1090:L1153" si="2174">IF(AND(ISNUMBER(#REF!), ISNUMBER(#REF!)),#REF! -#REF!,"")</f>
        <v/>
      </c>
    </row>
    <row r="1091" spans="10:12">
      <c r="J1091" t="str">
        <f t="shared" ref="J1091:J1154" si="2175">IF(AND(ISNUMBER(#REF!), ISNUMBER(#REF!)),#REF! -#REF!,"")</f>
        <v/>
      </c>
      <c r="L1091" t="str">
        <f t="shared" ref="L1091:L1154" si="2176">IF(AND(ISNUMBER(#REF!), ISNUMBER(#REF!)),#REF! -#REF!,"")</f>
        <v/>
      </c>
    </row>
    <row r="1092" spans="10:12">
      <c r="J1092" t="str">
        <f t="shared" ref="J1092:J1155" si="2177">IF(AND(ISNUMBER(#REF!), ISNUMBER(#REF!)),#REF! -#REF!,"")</f>
        <v/>
      </c>
      <c r="L1092" t="str">
        <f t="shared" ref="L1092:L1155" si="2178">IF(AND(ISNUMBER(#REF!), ISNUMBER(#REF!)),#REF! -#REF!,"")</f>
        <v/>
      </c>
    </row>
    <row r="1093" spans="10:12">
      <c r="J1093" t="str">
        <f t="shared" ref="J1093:J1156" si="2179">IF(AND(ISNUMBER(#REF!), ISNUMBER(#REF!)),#REF! -#REF!,"")</f>
        <v/>
      </c>
      <c r="L1093" t="str">
        <f t="shared" ref="L1093:L1156" si="2180">IF(AND(ISNUMBER(#REF!), ISNUMBER(#REF!)),#REF! -#REF!,"")</f>
        <v/>
      </c>
    </row>
    <row r="1094" spans="10:12">
      <c r="J1094" t="str">
        <f t="shared" ref="J1094:J1157" si="2181">IF(AND(ISNUMBER(#REF!), ISNUMBER(#REF!)),#REF! -#REF!,"")</f>
        <v/>
      </c>
      <c r="L1094" t="str">
        <f t="shared" ref="L1094:L1157" si="2182">IF(AND(ISNUMBER(#REF!), ISNUMBER(#REF!)),#REF! -#REF!,"")</f>
        <v/>
      </c>
    </row>
    <row r="1095" spans="10:12">
      <c r="J1095" t="str">
        <f t="shared" ref="J1095:J1158" si="2183">IF(AND(ISNUMBER(#REF!), ISNUMBER(#REF!)),#REF! -#REF!,"")</f>
        <v/>
      </c>
      <c r="L1095" t="str">
        <f t="shared" ref="L1095:L1158" si="2184">IF(AND(ISNUMBER(#REF!), ISNUMBER(#REF!)),#REF! -#REF!,"")</f>
        <v/>
      </c>
    </row>
    <row r="1096" spans="10:12">
      <c r="J1096" t="str">
        <f t="shared" ref="J1096:J1159" si="2185">IF(AND(ISNUMBER(#REF!), ISNUMBER(#REF!)),#REF! -#REF!,"")</f>
        <v/>
      </c>
      <c r="L1096" t="str">
        <f t="shared" ref="L1096:L1159" si="2186">IF(AND(ISNUMBER(#REF!), ISNUMBER(#REF!)),#REF! -#REF!,"")</f>
        <v/>
      </c>
    </row>
    <row r="1097" spans="10:12">
      <c r="J1097" t="str">
        <f t="shared" ref="J1097:J1160" si="2187">IF(AND(ISNUMBER(#REF!), ISNUMBER(#REF!)),#REF! -#REF!,"")</f>
        <v/>
      </c>
      <c r="L1097" t="str">
        <f t="shared" ref="L1097:L1160" si="2188">IF(AND(ISNUMBER(#REF!), ISNUMBER(#REF!)),#REF! -#REF!,"")</f>
        <v/>
      </c>
    </row>
    <row r="1098" spans="10:12">
      <c r="J1098" t="str">
        <f t="shared" ref="J1098:J1161" si="2189">IF(AND(ISNUMBER(#REF!), ISNUMBER(#REF!)),#REF! -#REF!,"")</f>
        <v/>
      </c>
      <c r="L1098" t="str">
        <f t="shared" ref="L1098:L1161" si="2190">IF(AND(ISNUMBER(#REF!), ISNUMBER(#REF!)),#REF! -#REF!,"")</f>
        <v/>
      </c>
    </row>
    <row r="1099" spans="10:12">
      <c r="J1099" t="str">
        <f t="shared" ref="J1099:J1162" si="2191">IF(AND(ISNUMBER(#REF!), ISNUMBER(#REF!)),#REF! -#REF!,"")</f>
        <v/>
      </c>
      <c r="L1099" t="str">
        <f t="shared" ref="L1099:L1162" si="2192">IF(AND(ISNUMBER(#REF!), ISNUMBER(#REF!)),#REF! -#REF!,"")</f>
        <v/>
      </c>
    </row>
    <row r="1100" spans="10:12">
      <c r="J1100" t="str">
        <f t="shared" ref="J1100:J1163" si="2193">IF(AND(ISNUMBER(#REF!), ISNUMBER(#REF!)),#REF! -#REF!,"")</f>
        <v/>
      </c>
      <c r="L1100" t="str">
        <f t="shared" ref="L1100:L1163" si="2194">IF(AND(ISNUMBER(#REF!), ISNUMBER(#REF!)),#REF! -#REF!,"")</f>
        <v/>
      </c>
    </row>
    <row r="1101" spans="10:12">
      <c r="J1101" t="str">
        <f t="shared" ref="J1101:J1164" si="2195">IF(AND(ISNUMBER(#REF!), ISNUMBER(#REF!)),#REF! -#REF!,"")</f>
        <v/>
      </c>
      <c r="L1101" t="str">
        <f t="shared" ref="L1101:L1164" si="2196">IF(AND(ISNUMBER(#REF!), ISNUMBER(#REF!)),#REF! -#REF!,"")</f>
        <v/>
      </c>
    </row>
    <row r="1102" spans="10:12">
      <c r="J1102" t="str">
        <f t="shared" ref="J1102:J1165" si="2197">IF(AND(ISNUMBER(#REF!), ISNUMBER(#REF!)),#REF! -#REF!,"")</f>
        <v/>
      </c>
      <c r="L1102" t="str">
        <f t="shared" ref="L1102:L1165" si="2198">IF(AND(ISNUMBER(#REF!), ISNUMBER(#REF!)),#REF! -#REF!,"")</f>
        <v/>
      </c>
    </row>
    <row r="1103" spans="10:12">
      <c r="J1103" t="str">
        <f t="shared" ref="J1103:J1166" si="2199">IF(AND(ISNUMBER(#REF!), ISNUMBER(#REF!)),#REF! -#REF!,"")</f>
        <v/>
      </c>
      <c r="L1103" t="str">
        <f t="shared" ref="L1103:L1166" si="2200">IF(AND(ISNUMBER(#REF!), ISNUMBER(#REF!)),#REF! -#REF!,"")</f>
        <v/>
      </c>
    </row>
    <row r="1104" spans="10:12">
      <c r="J1104" t="str">
        <f t="shared" ref="J1104:J1167" si="2201">IF(AND(ISNUMBER(#REF!), ISNUMBER(#REF!)),#REF! -#REF!,"")</f>
        <v/>
      </c>
      <c r="L1104" t="str">
        <f t="shared" ref="L1104:L1167" si="2202">IF(AND(ISNUMBER(#REF!), ISNUMBER(#REF!)),#REF! -#REF!,"")</f>
        <v/>
      </c>
    </row>
    <row r="1105" spans="10:12">
      <c r="J1105" t="str">
        <f t="shared" ref="J1105:J1168" si="2203">IF(AND(ISNUMBER(#REF!), ISNUMBER(#REF!)),#REF! -#REF!,"")</f>
        <v/>
      </c>
      <c r="L1105" t="str">
        <f t="shared" ref="L1105:L1168" si="2204">IF(AND(ISNUMBER(#REF!), ISNUMBER(#REF!)),#REF! -#REF!,"")</f>
        <v/>
      </c>
    </row>
    <row r="1106" spans="10:12">
      <c r="J1106" t="str">
        <f t="shared" ref="J1106:J1169" si="2205">IF(AND(ISNUMBER(#REF!), ISNUMBER(#REF!)),#REF! -#REF!,"")</f>
        <v/>
      </c>
      <c r="L1106" t="str">
        <f t="shared" ref="L1106:L1169" si="2206">IF(AND(ISNUMBER(#REF!), ISNUMBER(#REF!)),#REF! -#REF!,"")</f>
        <v/>
      </c>
    </row>
    <row r="1107" spans="10:12">
      <c r="J1107" t="str">
        <f t="shared" ref="J1107:J1170" si="2207">IF(AND(ISNUMBER(#REF!), ISNUMBER(#REF!)),#REF! -#REF!,"")</f>
        <v/>
      </c>
      <c r="L1107" t="str">
        <f t="shared" ref="L1107:L1170" si="2208">IF(AND(ISNUMBER(#REF!), ISNUMBER(#REF!)),#REF! -#REF!,"")</f>
        <v/>
      </c>
    </row>
    <row r="1108" spans="10:12">
      <c r="J1108" t="str">
        <f t="shared" ref="J1108:J1171" si="2209">IF(AND(ISNUMBER(#REF!), ISNUMBER(#REF!)),#REF! -#REF!,"")</f>
        <v/>
      </c>
      <c r="L1108" t="str">
        <f t="shared" ref="L1108:L1171" si="2210">IF(AND(ISNUMBER(#REF!), ISNUMBER(#REF!)),#REF! -#REF!,"")</f>
        <v/>
      </c>
    </row>
    <row r="1109" spans="10:12">
      <c r="J1109" t="str">
        <f t="shared" ref="J1109:J1172" si="2211">IF(AND(ISNUMBER(#REF!), ISNUMBER(#REF!)),#REF! -#REF!,"")</f>
        <v/>
      </c>
      <c r="L1109" t="str">
        <f t="shared" ref="L1109:L1172" si="2212">IF(AND(ISNUMBER(#REF!), ISNUMBER(#REF!)),#REF! -#REF!,"")</f>
        <v/>
      </c>
    </row>
    <row r="1110" spans="10:12">
      <c r="J1110" t="str">
        <f t="shared" ref="J1110:J1173" si="2213">IF(AND(ISNUMBER(#REF!), ISNUMBER(#REF!)),#REF! -#REF!,"")</f>
        <v/>
      </c>
      <c r="L1110" t="str">
        <f t="shared" ref="L1110:L1173" si="2214">IF(AND(ISNUMBER(#REF!), ISNUMBER(#REF!)),#REF! -#REF!,"")</f>
        <v/>
      </c>
    </row>
    <row r="1111" spans="10:12">
      <c r="J1111" t="str">
        <f t="shared" ref="J1111:J1174" si="2215">IF(AND(ISNUMBER(#REF!), ISNUMBER(#REF!)),#REF! -#REF!,"")</f>
        <v/>
      </c>
      <c r="L1111" t="str">
        <f t="shared" ref="L1111:L1174" si="2216">IF(AND(ISNUMBER(#REF!), ISNUMBER(#REF!)),#REF! -#REF!,"")</f>
        <v/>
      </c>
    </row>
    <row r="1112" spans="10:12">
      <c r="J1112" t="str">
        <f t="shared" ref="J1112:J1175" si="2217">IF(AND(ISNUMBER(#REF!), ISNUMBER(#REF!)),#REF! -#REF!,"")</f>
        <v/>
      </c>
      <c r="L1112" t="str">
        <f t="shared" ref="L1112:L1175" si="2218">IF(AND(ISNUMBER(#REF!), ISNUMBER(#REF!)),#REF! -#REF!,"")</f>
        <v/>
      </c>
    </row>
    <row r="1113" spans="10:12">
      <c r="J1113" t="str">
        <f t="shared" ref="J1113:J1176" si="2219">IF(AND(ISNUMBER(#REF!), ISNUMBER(#REF!)),#REF! -#REF!,"")</f>
        <v/>
      </c>
      <c r="L1113" t="str">
        <f t="shared" ref="L1113:L1176" si="2220">IF(AND(ISNUMBER(#REF!), ISNUMBER(#REF!)),#REF! -#REF!,"")</f>
        <v/>
      </c>
    </row>
    <row r="1114" spans="10:12">
      <c r="J1114" t="str">
        <f t="shared" ref="J1114:J1177" si="2221">IF(AND(ISNUMBER(#REF!), ISNUMBER(#REF!)),#REF! -#REF!,"")</f>
        <v/>
      </c>
      <c r="L1114" t="str">
        <f t="shared" ref="L1114:L1177" si="2222">IF(AND(ISNUMBER(#REF!), ISNUMBER(#REF!)),#REF! -#REF!,"")</f>
        <v/>
      </c>
    </row>
    <row r="1115" spans="10:12">
      <c r="J1115" t="str">
        <f t="shared" ref="J1115:J1178" si="2223">IF(AND(ISNUMBER(#REF!), ISNUMBER(#REF!)),#REF! -#REF!,"")</f>
        <v/>
      </c>
      <c r="L1115" t="str">
        <f t="shared" ref="L1115:L1178" si="2224">IF(AND(ISNUMBER(#REF!), ISNUMBER(#REF!)),#REF! -#REF!,"")</f>
        <v/>
      </c>
    </row>
    <row r="1116" spans="10:12">
      <c r="J1116" t="str">
        <f t="shared" ref="J1116:J1179" si="2225">IF(AND(ISNUMBER(#REF!), ISNUMBER(#REF!)),#REF! -#REF!,"")</f>
        <v/>
      </c>
      <c r="L1116" t="str">
        <f t="shared" ref="L1116:L1179" si="2226">IF(AND(ISNUMBER(#REF!), ISNUMBER(#REF!)),#REF! -#REF!,"")</f>
        <v/>
      </c>
    </row>
    <row r="1117" spans="10:12">
      <c r="J1117" t="str">
        <f t="shared" ref="J1117:J1180" si="2227">IF(AND(ISNUMBER(#REF!), ISNUMBER(#REF!)),#REF! -#REF!,"")</f>
        <v/>
      </c>
      <c r="L1117" t="str">
        <f t="shared" ref="L1117:L1180" si="2228">IF(AND(ISNUMBER(#REF!), ISNUMBER(#REF!)),#REF! -#REF!,"")</f>
        <v/>
      </c>
    </row>
    <row r="1118" spans="10:12">
      <c r="J1118" t="str">
        <f t="shared" ref="J1118:J1181" si="2229">IF(AND(ISNUMBER(#REF!), ISNUMBER(#REF!)),#REF! -#REF!,"")</f>
        <v/>
      </c>
      <c r="L1118" t="str">
        <f t="shared" ref="L1118:L1181" si="2230">IF(AND(ISNUMBER(#REF!), ISNUMBER(#REF!)),#REF! -#REF!,"")</f>
        <v/>
      </c>
    </row>
    <row r="1119" spans="10:12">
      <c r="J1119" t="str">
        <f t="shared" ref="J1119:J1182" si="2231">IF(AND(ISNUMBER(#REF!), ISNUMBER(#REF!)),#REF! -#REF!,"")</f>
        <v/>
      </c>
      <c r="L1119" t="str">
        <f t="shared" ref="L1119:L1182" si="2232">IF(AND(ISNUMBER(#REF!), ISNUMBER(#REF!)),#REF! -#REF!,"")</f>
        <v/>
      </c>
    </row>
    <row r="1120" spans="10:12">
      <c r="J1120" t="str">
        <f t="shared" ref="J1120:J1183" si="2233">IF(AND(ISNUMBER(#REF!), ISNUMBER(#REF!)),#REF! -#REF!,"")</f>
        <v/>
      </c>
      <c r="L1120" t="str">
        <f t="shared" ref="L1120:L1183" si="2234">IF(AND(ISNUMBER(#REF!), ISNUMBER(#REF!)),#REF! -#REF!,"")</f>
        <v/>
      </c>
    </row>
    <row r="1121" spans="10:12">
      <c r="J1121" t="str">
        <f t="shared" ref="J1121:J1184" si="2235">IF(AND(ISNUMBER(#REF!), ISNUMBER(#REF!)),#REF! -#REF!,"")</f>
        <v/>
      </c>
      <c r="L1121" t="str">
        <f t="shared" ref="L1121:L1184" si="2236">IF(AND(ISNUMBER(#REF!), ISNUMBER(#REF!)),#REF! -#REF!,"")</f>
        <v/>
      </c>
    </row>
    <row r="1122" spans="10:12">
      <c r="J1122" t="str">
        <f t="shared" ref="J1122:J1185" si="2237">IF(AND(ISNUMBER(#REF!), ISNUMBER(#REF!)),#REF! -#REF!,"")</f>
        <v/>
      </c>
      <c r="L1122" t="str">
        <f t="shared" ref="L1122:L1185" si="2238">IF(AND(ISNUMBER(#REF!), ISNUMBER(#REF!)),#REF! -#REF!,"")</f>
        <v/>
      </c>
    </row>
    <row r="1123" spans="10:12">
      <c r="J1123" t="str">
        <f t="shared" ref="J1123:J1186" si="2239">IF(AND(ISNUMBER(#REF!), ISNUMBER(#REF!)),#REF! -#REF!,"")</f>
        <v/>
      </c>
      <c r="L1123" t="str">
        <f t="shared" ref="L1123:L1186" si="2240">IF(AND(ISNUMBER(#REF!), ISNUMBER(#REF!)),#REF! -#REF!,"")</f>
        <v/>
      </c>
    </row>
    <row r="1124" spans="10:12">
      <c r="J1124" t="str">
        <f t="shared" ref="J1124:J1187" si="2241">IF(AND(ISNUMBER(#REF!), ISNUMBER(#REF!)),#REF! -#REF!,"")</f>
        <v/>
      </c>
      <c r="L1124" t="str">
        <f t="shared" ref="L1124:L1187" si="2242">IF(AND(ISNUMBER(#REF!), ISNUMBER(#REF!)),#REF! -#REF!,"")</f>
        <v/>
      </c>
    </row>
    <row r="1125" spans="10:12">
      <c r="J1125" t="str">
        <f t="shared" ref="J1125:J1188" si="2243">IF(AND(ISNUMBER(#REF!), ISNUMBER(#REF!)),#REF! -#REF!,"")</f>
        <v/>
      </c>
      <c r="L1125" t="str">
        <f t="shared" ref="L1125:L1188" si="2244">IF(AND(ISNUMBER(#REF!), ISNUMBER(#REF!)),#REF! -#REF!,"")</f>
        <v/>
      </c>
    </row>
    <row r="1126" spans="10:12">
      <c r="J1126" t="str">
        <f t="shared" ref="J1126:J1189" si="2245">IF(AND(ISNUMBER(#REF!), ISNUMBER(#REF!)),#REF! -#REF!,"")</f>
        <v/>
      </c>
      <c r="L1126" t="str">
        <f t="shared" ref="L1126:L1189" si="2246">IF(AND(ISNUMBER(#REF!), ISNUMBER(#REF!)),#REF! -#REF!,"")</f>
        <v/>
      </c>
    </row>
    <row r="1127" spans="10:12">
      <c r="J1127" t="str">
        <f t="shared" ref="J1127:J1190" si="2247">IF(AND(ISNUMBER(#REF!), ISNUMBER(#REF!)),#REF! -#REF!,"")</f>
        <v/>
      </c>
      <c r="L1127" t="str">
        <f t="shared" ref="L1127:L1190" si="2248">IF(AND(ISNUMBER(#REF!), ISNUMBER(#REF!)),#REF! -#REF!,"")</f>
        <v/>
      </c>
    </row>
    <row r="1128" spans="10:12">
      <c r="J1128" t="str">
        <f t="shared" ref="J1128:J1191" si="2249">IF(AND(ISNUMBER(#REF!), ISNUMBER(#REF!)),#REF! -#REF!,"")</f>
        <v/>
      </c>
      <c r="L1128" t="str">
        <f t="shared" ref="L1128:L1191" si="2250">IF(AND(ISNUMBER(#REF!), ISNUMBER(#REF!)),#REF! -#REF!,"")</f>
        <v/>
      </c>
    </row>
    <row r="1129" spans="10:12">
      <c r="J1129" t="str">
        <f t="shared" ref="J1129:J1192" si="2251">IF(AND(ISNUMBER(#REF!), ISNUMBER(#REF!)),#REF! -#REF!,"")</f>
        <v/>
      </c>
      <c r="L1129" t="str">
        <f t="shared" ref="L1129:L1192" si="2252">IF(AND(ISNUMBER(#REF!), ISNUMBER(#REF!)),#REF! -#REF!,"")</f>
        <v/>
      </c>
    </row>
    <row r="1130" spans="10:12">
      <c r="J1130" t="str">
        <f t="shared" ref="J1130:J1193" si="2253">IF(AND(ISNUMBER(#REF!), ISNUMBER(#REF!)),#REF! -#REF!,"")</f>
        <v/>
      </c>
      <c r="L1130" t="str">
        <f t="shared" ref="L1130:L1193" si="2254">IF(AND(ISNUMBER(#REF!), ISNUMBER(#REF!)),#REF! -#REF!,"")</f>
        <v/>
      </c>
    </row>
    <row r="1131" spans="10:12">
      <c r="J1131" t="str">
        <f t="shared" ref="J1131:J1194" si="2255">IF(AND(ISNUMBER(#REF!), ISNUMBER(#REF!)),#REF! -#REF!,"")</f>
        <v/>
      </c>
      <c r="L1131" t="str">
        <f t="shared" ref="L1131:L1194" si="2256">IF(AND(ISNUMBER(#REF!), ISNUMBER(#REF!)),#REF! -#REF!,"")</f>
        <v/>
      </c>
    </row>
    <row r="1132" spans="10:12">
      <c r="J1132" t="str">
        <f t="shared" ref="J1132:J1195" si="2257">IF(AND(ISNUMBER(#REF!), ISNUMBER(#REF!)),#REF! -#REF!,"")</f>
        <v/>
      </c>
      <c r="L1132" t="str">
        <f t="shared" ref="L1132:L1195" si="2258">IF(AND(ISNUMBER(#REF!), ISNUMBER(#REF!)),#REF! -#REF!,"")</f>
        <v/>
      </c>
    </row>
    <row r="1133" spans="10:12">
      <c r="J1133" t="str">
        <f t="shared" ref="J1133:J1196" si="2259">IF(AND(ISNUMBER(#REF!), ISNUMBER(#REF!)),#REF! -#REF!,"")</f>
        <v/>
      </c>
      <c r="L1133" t="str">
        <f t="shared" ref="L1133:L1196" si="2260">IF(AND(ISNUMBER(#REF!), ISNUMBER(#REF!)),#REF! -#REF!,"")</f>
        <v/>
      </c>
    </row>
    <row r="1134" spans="10:12">
      <c r="J1134" t="str">
        <f t="shared" ref="J1134:J1197" si="2261">IF(AND(ISNUMBER(#REF!), ISNUMBER(#REF!)),#REF! -#REF!,"")</f>
        <v/>
      </c>
      <c r="L1134" t="str">
        <f t="shared" ref="L1134:L1197" si="2262">IF(AND(ISNUMBER(#REF!), ISNUMBER(#REF!)),#REF! -#REF!,"")</f>
        <v/>
      </c>
    </row>
    <row r="1135" spans="10:12">
      <c r="J1135" t="str">
        <f t="shared" ref="J1135:J1198" si="2263">IF(AND(ISNUMBER(#REF!), ISNUMBER(#REF!)),#REF! -#REF!,"")</f>
        <v/>
      </c>
      <c r="L1135" t="str">
        <f t="shared" ref="L1135:L1198" si="2264">IF(AND(ISNUMBER(#REF!), ISNUMBER(#REF!)),#REF! -#REF!,"")</f>
        <v/>
      </c>
    </row>
    <row r="1136" spans="10:12">
      <c r="J1136" t="str">
        <f t="shared" ref="J1136:J1199" si="2265">IF(AND(ISNUMBER(#REF!), ISNUMBER(#REF!)),#REF! -#REF!,"")</f>
        <v/>
      </c>
      <c r="L1136" t="str">
        <f t="shared" ref="L1136:L1199" si="2266">IF(AND(ISNUMBER(#REF!), ISNUMBER(#REF!)),#REF! -#REF!,"")</f>
        <v/>
      </c>
    </row>
    <row r="1137" spans="10:12">
      <c r="J1137" t="str">
        <f t="shared" ref="J1137:J1200" si="2267">IF(AND(ISNUMBER(#REF!), ISNUMBER(#REF!)),#REF! -#REF!,"")</f>
        <v/>
      </c>
      <c r="L1137" t="str">
        <f t="shared" ref="L1137:L1200" si="2268">IF(AND(ISNUMBER(#REF!), ISNUMBER(#REF!)),#REF! -#REF!,"")</f>
        <v/>
      </c>
    </row>
    <row r="1138" spans="10:12">
      <c r="J1138" t="str">
        <f t="shared" ref="J1138:J1201" si="2269">IF(AND(ISNUMBER(#REF!), ISNUMBER(#REF!)),#REF! -#REF!,"")</f>
        <v/>
      </c>
      <c r="L1138" t="str">
        <f t="shared" ref="L1138:L1201" si="2270">IF(AND(ISNUMBER(#REF!), ISNUMBER(#REF!)),#REF! -#REF!,"")</f>
        <v/>
      </c>
    </row>
    <row r="1139" spans="10:12">
      <c r="J1139" t="str">
        <f t="shared" ref="J1139:J1202" si="2271">IF(AND(ISNUMBER(#REF!), ISNUMBER(#REF!)),#REF! -#REF!,"")</f>
        <v/>
      </c>
      <c r="L1139" t="str">
        <f t="shared" ref="L1139:L1202" si="2272">IF(AND(ISNUMBER(#REF!), ISNUMBER(#REF!)),#REF! -#REF!,"")</f>
        <v/>
      </c>
    </row>
    <row r="1140" spans="10:12">
      <c r="J1140" t="str">
        <f t="shared" ref="J1140:J1203" si="2273">IF(AND(ISNUMBER(#REF!), ISNUMBER(#REF!)),#REF! -#REF!,"")</f>
        <v/>
      </c>
      <c r="L1140" t="str">
        <f t="shared" ref="L1140:L1203" si="2274">IF(AND(ISNUMBER(#REF!), ISNUMBER(#REF!)),#REF! -#REF!,"")</f>
        <v/>
      </c>
    </row>
    <row r="1141" spans="10:12">
      <c r="J1141" t="str">
        <f t="shared" ref="J1141:J1204" si="2275">IF(AND(ISNUMBER(#REF!), ISNUMBER(#REF!)),#REF! -#REF!,"")</f>
        <v/>
      </c>
      <c r="L1141" t="str">
        <f t="shared" ref="L1141:L1204" si="2276">IF(AND(ISNUMBER(#REF!), ISNUMBER(#REF!)),#REF! -#REF!,"")</f>
        <v/>
      </c>
    </row>
    <row r="1142" spans="10:12">
      <c r="J1142" t="str">
        <f t="shared" ref="J1142:J1205" si="2277">IF(AND(ISNUMBER(#REF!), ISNUMBER(#REF!)),#REF! -#REF!,"")</f>
        <v/>
      </c>
      <c r="L1142" t="str">
        <f t="shared" ref="L1142:L1205" si="2278">IF(AND(ISNUMBER(#REF!), ISNUMBER(#REF!)),#REF! -#REF!,"")</f>
        <v/>
      </c>
    </row>
    <row r="1143" spans="10:12">
      <c r="J1143" t="str">
        <f t="shared" ref="J1143:J1206" si="2279">IF(AND(ISNUMBER(#REF!), ISNUMBER(#REF!)),#REF! -#REF!,"")</f>
        <v/>
      </c>
      <c r="L1143" t="str">
        <f t="shared" ref="L1143:L1206" si="2280">IF(AND(ISNUMBER(#REF!), ISNUMBER(#REF!)),#REF! -#REF!,"")</f>
        <v/>
      </c>
    </row>
    <row r="1144" spans="10:12">
      <c r="J1144" t="str">
        <f t="shared" ref="J1144:J1207" si="2281">IF(AND(ISNUMBER(#REF!), ISNUMBER(#REF!)),#REF! -#REF!,"")</f>
        <v/>
      </c>
      <c r="L1144" t="str">
        <f t="shared" ref="L1144:L1207" si="2282">IF(AND(ISNUMBER(#REF!), ISNUMBER(#REF!)),#REF! -#REF!,"")</f>
        <v/>
      </c>
    </row>
    <row r="1145" spans="10:12">
      <c r="J1145" t="str">
        <f t="shared" ref="J1145:J1208" si="2283">IF(AND(ISNUMBER(#REF!), ISNUMBER(#REF!)),#REF! -#REF!,"")</f>
        <v/>
      </c>
      <c r="L1145" t="str">
        <f t="shared" ref="L1145:L1208" si="2284">IF(AND(ISNUMBER(#REF!), ISNUMBER(#REF!)),#REF! -#REF!,"")</f>
        <v/>
      </c>
    </row>
    <row r="1146" spans="10:12">
      <c r="J1146" t="str">
        <f t="shared" ref="J1146:J1209" si="2285">IF(AND(ISNUMBER(#REF!), ISNUMBER(#REF!)),#REF! -#REF!,"")</f>
        <v/>
      </c>
      <c r="L1146" t="str">
        <f t="shared" ref="L1146:L1209" si="2286">IF(AND(ISNUMBER(#REF!), ISNUMBER(#REF!)),#REF! -#REF!,"")</f>
        <v/>
      </c>
    </row>
    <row r="1147" spans="10:12">
      <c r="J1147" t="str">
        <f t="shared" ref="J1147:J1210" si="2287">IF(AND(ISNUMBER(#REF!), ISNUMBER(#REF!)),#REF! -#REF!,"")</f>
        <v/>
      </c>
      <c r="L1147" t="str">
        <f t="shared" ref="L1147:L1210" si="2288">IF(AND(ISNUMBER(#REF!), ISNUMBER(#REF!)),#REF! -#REF!,"")</f>
        <v/>
      </c>
    </row>
    <row r="1148" spans="10:12">
      <c r="J1148" t="str">
        <f t="shared" ref="J1148:J1211" si="2289">IF(AND(ISNUMBER(#REF!), ISNUMBER(#REF!)),#REF! -#REF!,"")</f>
        <v/>
      </c>
      <c r="L1148" t="str">
        <f t="shared" ref="L1148:L1211" si="2290">IF(AND(ISNUMBER(#REF!), ISNUMBER(#REF!)),#REF! -#REF!,"")</f>
        <v/>
      </c>
    </row>
    <row r="1149" spans="10:12">
      <c r="J1149" t="str">
        <f t="shared" ref="J1149:J1212" si="2291">IF(AND(ISNUMBER(#REF!), ISNUMBER(#REF!)),#REF! -#REF!,"")</f>
        <v/>
      </c>
      <c r="L1149" t="str">
        <f t="shared" ref="L1149:L1212" si="2292">IF(AND(ISNUMBER(#REF!), ISNUMBER(#REF!)),#REF! -#REF!,"")</f>
        <v/>
      </c>
    </row>
    <row r="1150" spans="10:12">
      <c r="J1150" t="str">
        <f t="shared" ref="J1150:J1213" si="2293">IF(AND(ISNUMBER(#REF!), ISNUMBER(#REF!)),#REF! -#REF!,"")</f>
        <v/>
      </c>
      <c r="L1150" t="str">
        <f t="shared" ref="L1150:L1213" si="2294">IF(AND(ISNUMBER(#REF!), ISNUMBER(#REF!)),#REF! -#REF!,"")</f>
        <v/>
      </c>
    </row>
    <row r="1151" spans="10:12">
      <c r="J1151" t="str">
        <f t="shared" ref="J1151:J1214" si="2295">IF(AND(ISNUMBER(#REF!), ISNUMBER(#REF!)),#REF! -#REF!,"")</f>
        <v/>
      </c>
      <c r="L1151" t="str">
        <f t="shared" ref="L1151:L1214" si="2296">IF(AND(ISNUMBER(#REF!), ISNUMBER(#REF!)),#REF! -#REF!,"")</f>
        <v/>
      </c>
    </row>
    <row r="1152" spans="10:12">
      <c r="J1152" t="str">
        <f t="shared" ref="J1152:J1215" si="2297">IF(AND(ISNUMBER(#REF!), ISNUMBER(#REF!)),#REF! -#REF!,"")</f>
        <v/>
      </c>
      <c r="L1152" t="str">
        <f t="shared" ref="L1152:L1215" si="2298">IF(AND(ISNUMBER(#REF!), ISNUMBER(#REF!)),#REF! -#REF!,"")</f>
        <v/>
      </c>
    </row>
    <row r="1153" spans="10:12">
      <c r="J1153" t="str">
        <f t="shared" ref="J1153:J1216" si="2299">IF(AND(ISNUMBER(#REF!), ISNUMBER(#REF!)),#REF! -#REF!,"")</f>
        <v/>
      </c>
      <c r="L1153" t="str">
        <f t="shared" ref="L1153:L1216" si="2300">IF(AND(ISNUMBER(#REF!), ISNUMBER(#REF!)),#REF! -#REF!,"")</f>
        <v/>
      </c>
    </row>
    <row r="1154" spans="10:12">
      <c r="J1154" t="str">
        <f t="shared" ref="J1154:J1217" si="2301">IF(AND(ISNUMBER(#REF!), ISNUMBER(#REF!)),#REF! -#REF!,"")</f>
        <v/>
      </c>
      <c r="L1154" t="str">
        <f t="shared" ref="L1154:L1217" si="2302">IF(AND(ISNUMBER(#REF!), ISNUMBER(#REF!)),#REF! -#REF!,"")</f>
        <v/>
      </c>
    </row>
    <row r="1155" spans="10:12">
      <c r="J1155" t="str">
        <f t="shared" ref="J1155:J1218" si="2303">IF(AND(ISNUMBER(#REF!), ISNUMBER(#REF!)),#REF! -#REF!,"")</f>
        <v/>
      </c>
      <c r="L1155" t="str">
        <f t="shared" ref="L1155:L1218" si="2304">IF(AND(ISNUMBER(#REF!), ISNUMBER(#REF!)),#REF! -#REF!,"")</f>
        <v/>
      </c>
    </row>
    <row r="1156" spans="10:12">
      <c r="J1156" t="str">
        <f t="shared" ref="J1156:J1219" si="2305">IF(AND(ISNUMBER(#REF!), ISNUMBER(#REF!)),#REF! -#REF!,"")</f>
        <v/>
      </c>
      <c r="L1156" t="str">
        <f t="shared" ref="L1156:L1219" si="2306">IF(AND(ISNUMBER(#REF!), ISNUMBER(#REF!)),#REF! -#REF!,"")</f>
        <v/>
      </c>
    </row>
    <row r="1157" spans="10:12">
      <c r="J1157" t="str">
        <f t="shared" ref="J1157:J1220" si="2307">IF(AND(ISNUMBER(#REF!), ISNUMBER(#REF!)),#REF! -#REF!,"")</f>
        <v/>
      </c>
      <c r="L1157" t="str">
        <f t="shared" ref="L1157:L1220" si="2308">IF(AND(ISNUMBER(#REF!), ISNUMBER(#REF!)),#REF! -#REF!,"")</f>
        <v/>
      </c>
    </row>
    <row r="1158" spans="10:12">
      <c r="J1158" t="str">
        <f t="shared" ref="J1158:J1221" si="2309">IF(AND(ISNUMBER(#REF!), ISNUMBER(#REF!)),#REF! -#REF!,"")</f>
        <v/>
      </c>
      <c r="L1158" t="str">
        <f t="shared" ref="L1158:L1221" si="2310">IF(AND(ISNUMBER(#REF!), ISNUMBER(#REF!)),#REF! -#REF!,"")</f>
        <v/>
      </c>
    </row>
    <row r="1159" spans="10:12">
      <c r="J1159" t="str">
        <f t="shared" ref="J1159:J1222" si="2311">IF(AND(ISNUMBER(#REF!), ISNUMBER(#REF!)),#REF! -#REF!,"")</f>
        <v/>
      </c>
      <c r="L1159" t="str">
        <f t="shared" ref="L1159:L1222" si="2312">IF(AND(ISNUMBER(#REF!), ISNUMBER(#REF!)),#REF! -#REF!,"")</f>
        <v/>
      </c>
    </row>
    <row r="1160" spans="10:12">
      <c r="J1160" t="str">
        <f t="shared" ref="J1160:J1223" si="2313">IF(AND(ISNUMBER(#REF!), ISNUMBER(#REF!)),#REF! -#REF!,"")</f>
        <v/>
      </c>
      <c r="L1160" t="str">
        <f t="shared" ref="L1160:L1223" si="2314">IF(AND(ISNUMBER(#REF!), ISNUMBER(#REF!)),#REF! -#REF!,"")</f>
        <v/>
      </c>
    </row>
    <row r="1161" spans="10:12">
      <c r="J1161" t="str">
        <f t="shared" ref="J1161:J1224" si="2315">IF(AND(ISNUMBER(#REF!), ISNUMBER(#REF!)),#REF! -#REF!,"")</f>
        <v/>
      </c>
      <c r="L1161" t="str">
        <f t="shared" ref="L1161:L1224" si="2316">IF(AND(ISNUMBER(#REF!), ISNUMBER(#REF!)),#REF! -#REF!,"")</f>
        <v/>
      </c>
    </row>
    <row r="1162" spans="10:12">
      <c r="J1162" t="str">
        <f t="shared" ref="J1162:J1225" si="2317">IF(AND(ISNUMBER(#REF!), ISNUMBER(#REF!)),#REF! -#REF!,"")</f>
        <v/>
      </c>
      <c r="L1162" t="str">
        <f t="shared" ref="L1162:L1225" si="2318">IF(AND(ISNUMBER(#REF!), ISNUMBER(#REF!)),#REF! -#REF!,"")</f>
        <v/>
      </c>
    </row>
    <row r="1163" spans="10:12">
      <c r="J1163" t="str">
        <f t="shared" ref="J1163:J1226" si="2319">IF(AND(ISNUMBER(#REF!), ISNUMBER(#REF!)),#REF! -#REF!,"")</f>
        <v/>
      </c>
      <c r="L1163" t="str">
        <f t="shared" ref="L1163:L1226" si="2320">IF(AND(ISNUMBER(#REF!), ISNUMBER(#REF!)),#REF! -#REF!,"")</f>
        <v/>
      </c>
    </row>
    <row r="1164" spans="10:12">
      <c r="J1164" t="str">
        <f t="shared" ref="J1164:J1227" si="2321">IF(AND(ISNUMBER(#REF!), ISNUMBER(#REF!)),#REF! -#REF!,"")</f>
        <v/>
      </c>
      <c r="L1164" t="str">
        <f t="shared" ref="L1164:L1227" si="2322">IF(AND(ISNUMBER(#REF!), ISNUMBER(#REF!)),#REF! -#REF!,"")</f>
        <v/>
      </c>
    </row>
    <row r="1165" spans="10:12">
      <c r="J1165" t="str">
        <f t="shared" ref="J1165:J1228" si="2323">IF(AND(ISNUMBER(#REF!), ISNUMBER(#REF!)),#REF! -#REF!,"")</f>
        <v/>
      </c>
      <c r="L1165" t="str">
        <f t="shared" ref="L1165:L1228" si="2324">IF(AND(ISNUMBER(#REF!), ISNUMBER(#REF!)),#REF! -#REF!,"")</f>
        <v/>
      </c>
    </row>
    <row r="1166" spans="10:12">
      <c r="J1166" t="str">
        <f t="shared" ref="J1166:J1229" si="2325">IF(AND(ISNUMBER(#REF!), ISNUMBER(#REF!)),#REF! -#REF!,"")</f>
        <v/>
      </c>
      <c r="L1166" t="str">
        <f t="shared" ref="L1166:L1229" si="2326">IF(AND(ISNUMBER(#REF!), ISNUMBER(#REF!)),#REF! -#REF!,"")</f>
        <v/>
      </c>
    </row>
    <row r="1167" spans="10:12">
      <c r="J1167" t="str">
        <f t="shared" ref="J1167:J1230" si="2327">IF(AND(ISNUMBER(#REF!), ISNUMBER(#REF!)),#REF! -#REF!,"")</f>
        <v/>
      </c>
      <c r="L1167" t="str">
        <f t="shared" ref="L1167:L1230" si="2328">IF(AND(ISNUMBER(#REF!), ISNUMBER(#REF!)),#REF! -#REF!,"")</f>
        <v/>
      </c>
    </row>
    <row r="1168" spans="10:12">
      <c r="J1168" t="str">
        <f t="shared" ref="J1168:J1231" si="2329">IF(AND(ISNUMBER(#REF!), ISNUMBER(#REF!)),#REF! -#REF!,"")</f>
        <v/>
      </c>
      <c r="L1168" t="str">
        <f t="shared" ref="L1168:L1231" si="2330">IF(AND(ISNUMBER(#REF!), ISNUMBER(#REF!)),#REF! -#REF!,"")</f>
        <v/>
      </c>
    </row>
    <row r="1169" spans="10:12">
      <c r="J1169" t="str">
        <f t="shared" ref="J1169:J1232" si="2331">IF(AND(ISNUMBER(#REF!), ISNUMBER(#REF!)),#REF! -#REF!,"")</f>
        <v/>
      </c>
      <c r="L1169" t="str">
        <f t="shared" ref="L1169:L1232" si="2332">IF(AND(ISNUMBER(#REF!), ISNUMBER(#REF!)),#REF! -#REF!,"")</f>
        <v/>
      </c>
    </row>
    <row r="1170" spans="10:12">
      <c r="J1170" t="str">
        <f t="shared" ref="J1170:J1233" si="2333">IF(AND(ISNUMBER(#REF!), ISNUMBER(#REF!)),#REF! -#REF!,"")</f>
        <v/>
      </c>
      <c r="L1170" t="str">
        <f t="shared" ref="L1170:L1233" si="2334">IF(AND(ISNUMBER(#REF!), ISNUMBER(#REF!)),#REF! -#REF!,"")</f>
        <v/>
      </c>
    </row>
    <row r="1171" spans="10:12">
      <c r="J1171" t="str">
        <f t="shared" ref="J1171:J1234" si="2335">IF(AND(ISNUMBER(#REF!), ISNUMBER(#REF!)),#REF! -#REF!,"")</f>
        <v/>
      </c>
      <c r="L1171" t="str">
        <f t="shared" ref="L1171:L1234" si="2336">IF(AND(ISNUMBER(#REF!), ISNUMBER(#REF!)),#REF! -#REF!,"")</f>
        <v/>
      </c>
    </row>
    <row r="1172" spans="10:12">
      <c r="J1172" t="str">
        <f t="shared" ref="J1172:J1235" si="2337">IF(AND(ISNUMBER(#REF!), ISNUMBER(#REF!)),#REF! -#REF!,"")</f>
        <v/>
      </c>
      <c r="L1172" t="str">
        <f t="shared" ref="L1172:L1235" si="2338">IF(AND(ISNUMBER(#REF!), ISNUMBER(#REF!)),#REF! -#REF!,"")</f>
        <v/>
      </c>
    </row>
    <row r="1173" spans="10:12">
      <c r="J1173" t="str">
        <f t="shared" ref="J1173:J1236" si="2339">IF(AND(ISNUMBER(#REF!), ISNUMBER(#REF!)),#REF! -#REF!,"")</f>
        <v/>
      </c>
      <c r="L1173" t="str">
        <f t="shared" ref="L1173:L1236" si="2340">IF(AND(ISNUMBER(#REF!), ISNUMBER(#REF!)),#REF! -#REF!,"")</f>
        <v/>
      </c>
    </row>
    <row r="1174" spans="10:12">
      <c r="J1174" t="str">
        <f t="shared" ref="J1174:J1237" si="2341">IF(AND(ISNUMBER(#REF!), ISNUMBER(#REF!)),#REF! -#REF!,"")</f>
        <v/>
      </c>
      <c r="L1174" t="str">
        <f t="shared" ref="L1174:L1237" si="2342">IF(AND(ISNUMBER(#REF!), ISNUMBER(#REF!)),#REF! -#REF!,"")</f>
        <v/>
      </c>
    </row>
    <row r="1175" spans="10:12">
      <c r="J1175" t="str">
        <f t="shared" ref="J1175:J1238" si="2343">IF(AND(ISNUMBER(#REF!), ISNUMBER(#REF!)),#REF! -#REF!,"")</f>
        <v/>
      </c>
      <c r="L1175" t="str">
        <f t="shared" ref="L1175:L1238" si="2344">IF(AND(ISNUMBER(#REF!), ISNUMBER(#REF!)),#REF! -#REF!,"")</f>
        <v/>
      </c>
    </row>
    <row r="1176" spans="10:12">
      <c r="J1176" t="str">
        <f t="shared" ref="J1176:J1239" si="2345">IF(AND(ISNUMBER(#REF!), ISNUMBER(#REF!)),#REF! -#REF!,"")</f>
        <v/>
      </c>
      <c r="L1176" t="str">
        <f t="shared" ref="L1176:L1239" si="2346">IF(AND(ISNUMBER(#REF!), ISNUMBER(#REF!)),#REF! -#REF!,"")</f>
        <v/>
      </c>
    </row>
    <row r="1177" spans="10:12">
      <c r="J1177" t="str">
        <f t="shared" ref="J1177:J1240" si="2347">IF(AND(ISNUMBER(#REF!), ISNUMBER(#REF!)),#REF! -#REF!,"")</f>
        <v/>
      </c>
      <c r="L1177" t="str">
        <f t="shared" ref="L1177:L1240" si="2348">IF(AND(ISNUMBER(#REF!), ISNUMBER(#REF!)),#REF! -#REF!,"")</f>
        <v/>
      </c>
    </row>
    <row r="1178" spans="10:12">
      <c r="J1178" t="str">
        <f t="shared" ref="J1178:J1241" si="2349">IF(AND(ISNUMBER(#REF!), ISNUMBER(#REF!)),#REF! -#REF!,"")</f>
        <v/>
      </c>
      <c r="L1178" t="str">
        <f t="shared" ref="L1178:L1241" si="2350">IF(AND(ISNUMBER(#REF!), ISNUMBER(#REF!)),#REF! -#REF!,"")</f>
        <v/>
      </c>
    </row>
    <row r="1179" spans="10:12">
      <c r="J1179" t="str">
        <f t="shared" ref="J1179:J1242" si="2351">IF(AND(ISNUMBER(#REF!), ISNUMBER(#REF!)),#REF! -#REF!,"")</f>
        <v/>
      </c>
      <c r="L1179" t="str">
        <f t="shared" ref="L1179:L1242" si="2352">IF(AND(ISNUMBER(#REF!), ISNUMBER(#REF!)),#REF! -#REF!,"")</f>
        <v/>
      </c>
    </row>
    <row r="1180" spans="10:12">
      <c r="J1180" t="str">
        <f t="shared" ref="J1180:J1243" si="2353">IF(AND(ISNUMBER(#REF!), ISNUMBER(#REF!)),#REF! -#REF!,"")</f>
        <v/>
      </c>
      <c r="L1180" t="str">
        <f t="shared" ref="L1180:L1243" si="2354">IF(AND(ISNUMBER(#REF!), ISNUMBER(#REF!)),#REF! -#REF!,"")</f>
        <v/>
      </c>
    </row>
    <row r="1181" spans="10:12">
      <c r="J1181" t="str">
        <f t="shared" ref="J1181:J1244" si="2355">IF(AND(ISNUMBER(#REF!), ISNUMBER(#REF!)),#REF! -#REF!,"")</f>
        <v/>
      </c>
      <c r="L1181" t="str">
        <f t="shared" ref="L1181:L1244" si="2356">IF(AND(ISNUMBER(#REF!), ISNUMBER(#REF!)),#REF! -#REF!,"")</f>
        <v/>
      </c>
    </row>
    <row r="1182" spans="10:12">
      <c r="J1182" t="str">
        <f t="shared" ref="J1182:J1245" si="2357">IF(AND(ISNUMBER(#REF!), ISNUMBER(#REF!)),#REF! -#REF!,"")</f>
        <v/>
      </c>
      <c r="L1182" t="str">
        <f t="shared" ref="L1182:L1245" si="2358">IF(AND(ISNUMBER(#REF!), ISNUMBER(#REF!)),#REF! -#REF!,"")</f>
        <v/>
      </c>
    </row>
    <row r="1183" spans="10:12">
      <c r="J1183" t="str">
        <f t="shared" ref="J1183:J1246" si="2359">IF(AND(ISNUMBER(#REF!), ISNUMBER(#REF!)),#REF! -#REF!,"")</f>
        <v/>
      </c>
      <c r="L1183" t="str">
        <f t="shared" ref="L1183:L1246" si="2360">IF(AND(ISNUMBER(#REF!), ISNUMBER(#REF!)),#REF! -#REF!,"")</f>
        <v/>
      </c>
    </row>
    <row r="1184" spans="10:12">
      <c r="J1184" t="str">
        <f t="shared" ref="J1184:J1247" si="2361">IF(AND(ISNUMBER(#REF!), ISNUMBER(#REF!)),#REF! -#REF!,"")</f>
        <v/>
      </c>
      <c r="L1184" t="str">
        <f t="shared" ref="L1184:L1247" si="2362">IF(AND(ISNUMBER(#REF!), ISNUMBER(#REF!)),#REF! -#REF!,"")</f>
        <v/>
      </c>
    </row>
    <row r="1185" spans="10:12">
      <c r="J1185" t="str">
        <f t="shared" ref="J1185:J1248" si="2363">IF(AND(ISNUMBER(#REF!), ISNUMBER(#REF!)),#REF! -#REF!,"")</f>
        <v/>
      </c>
      <c r="L1185" t="str">
        <f t="shared" ref="L1185:L1248" si="2364">IF(AND(ISNUMBER(#REF!), ISNUMBER(#REF!)),#REF! -#REF!,"")</f>
        <v/>
      </c>
    </row>
    <row r="1186" spans="10:12">
      <c r="J1186" t="str">
        <f t="shared" ref="J1186:J1249" si="2365">IF(AND(ISNUMBER(#REF!), ISNUMBER(#REF!)),#REF! -#REF!,"")</f>
        <v/>
      </c>
      <c r="L1186" t="str">
        <f t="shared" ref="L1186:L1249" si="2366">IF(AND(ISNUMBER(#REF!), ISNUMBER(#REF!)),#REF! -#REF!,"")</f>
        <v/>
      </c>
    </row>
    <row r="1187" spans="10:12">
      <c r="J1187" t="str">
        <f t="shared" ref="J1187:J1250" si="2367">IF(AND(ISNUMBER(#REF!), ISNUMBER(#REF!)),#REF! -#REF!,"")</f>
        <v/>
      </c>
      <c r="L1187" t="str">
        <f t="shared" ref="L1187:L1250" si="2368">IF(AND(ISNUMBER(#REF!), ISNUMBER(#REF!)),#REF! -#REF!,"")</f>
        <v/>
      </c>
    </row>
    <row r="1188" spans="10:12">
      <c r="J1188" t="str">
        <f t="shared" ref="J1188:J1251" si="2369">IF(AND(ISNUMBER(#REF!), ISNUMBER(#REF!)),#REF! -#REF!,"")</f>
        <v/>
      </c>
      <c r="L1188" t="str">
        <f t="shared" ref="L1188:L1251" si="2370">IF(AND(ISNUMBER(#REF!), ISNUMBER(#REF!)),#REF! -#REF!,"")</f>
        <v/>
      </c>
    </row>
    <row r="1189" spans="10:12">
      <c r="J1189" t="str">
        <f t="shared" ref="J1189:J1252" si="2371">IF(AND(ISNUMBER(#REF!), ISNUMBER(#REF!)),#REF! -#REF!,"")</f>
        <v/>
      </c>
      <c r="L1189" t="str">
        <f t="shared" ref="L1189:L1252" si="2372">IF(AND(ISNUMBER(#REF!), ISNUMBER(#REF!)),#REF! -#REF!,"")</f>
        <v/>
      </c>
    </row>
    <row r="1190" spans="10:12">
      <c r="J1190" t="str">
        <f t="shared" ref="J1190:J1253" si="2373">IF(AND(ISNUMBER(#REF!), ISNUMBER(#REF!)),#REF! -#REF!,"")</f>
        <v/>
      </c>
      <c r="L1190" t="str">
        <f t="shared" ref="L1190:L1253" si="2374">IF(AND(ISNUMBER(#REF!), ISNUMBER(#REF!)),#REF! -#REF!,"")</f>
        <v/>
      </c>
    </row>
    <row r="1191" spans="10:12">
      <c r="J1191" t="str">
        <f t="shared" ref="J1191:J1254" si="2375">IF(AND(ISNUMBER(#REF!), ISNUMBER(#REF!)),#REF! -#REF!,"")</f>
        <v/>
      </c>
      <c r="L1191" t="str">
        <f t="shared" ref="L1191:L1254" si="2376">IF(AND(ISNUMBER(#REF!), ISNUMBER(#REF!)),#REF! -#REF!,"")</f>
        <v/>
      </c>
    </row>
    <row r="1192" spans="10:12">
      <c r="J1192" t="str">
        <f t="shared" ref="J1192:J1255" si="2377">IF(AND(ISNUMBER(#REF!), ISNUMBER(#REF!)),#REF! -#REF!,"")</f>
        <v/>
      </c>
      <c r="L1192" t="str">
        <f t="shared" ref="L1192:L1255" si="2378">IF(AND(ISNUMBER(#REF!), ISNUMBER(#REF!)),#REF! -#REF!,"")</f>
        <v/>
      </c>
    </row>
    <row r="1193" spans="10:12">
      <c r="J1193" t="str">
        <f t="shared" ref="J1193:J1256" si="2379">IF(AND(ISNUMBER(#REF!), ISNUMBER(#REF!)),#REF! -#REF!,"")</f>
        <v/>
      </c>
      <c r="L1193" t="str">
        <f t="shared" ref="L1193:L1256" si="2380">IF(AND(ISNUMBER(#REF!), ISNUMBER(#REF!)),#REF! -#REF!,"")</f>
        <v/>
      </c>
    </row>
    <row r="1194" spans="10:12">
      <c r="J1194" t="str">
        <f t="shared" ref="J1194:J1257" si="2381">IF(AND(ISNUMBER(#REF!), ISNUMBER(#REF!)),#REF! -#REF!,"")</f>
        <v/>
      </c>
      <c r="L1194" t="str">
        <f t="shared" ref="L1194:L1257" si="2382">IF(AND(ISNUMBER(#REF!), ISNUMBER(#REF!)),#REF! -#REF!,"")</f>
        <v/>
      </c>
    </row>
    <row r="1195" spans="10:12">
      <c r="J1195" t="str">
        <f t="shared" ref="J1195:J1258" si="2383">IF(AND(ISNUMBER(#REF!), ISNUMBER(#REF!)),#REF! -#REF!,"")</f>
        <v/>
      </c>
      <c r="L1195" t="str">
        <f t="shared" ref="L1195:L1258" si="2384">IF(AND(ISNUMBER(#REF!), ISNUMBER(#REF!)),#REF! -#REF!,"")</f>
        <v/>
      </c>
    </row>
    <row r="1196" spans="10:12">
      <c r="J1196" t="str">
        <f t="shared" ref="J1196:J1259" si="2385">IF(AND(ISNUMBER(#REF!), ISNUMBER(#REF!)),#REF! -#REF!,"")</f>
        <v/>
      </c>
      <c r="L1196" t="str">
        <f t="shared" ref="L1196:L1259" si="2386">IF(AND(ISNUMBER(#REF!), ISNUMBER(#REF!)),#REF! -#REF!,"")</f>
        <v/>
      </c>
    </row>
    <row r="1197" spans="10:12">
      <c r="J1197" t="str">
        <f t="shared" ref="J1197:J1260" si="2387">IF(AND(ISNUMBER(#REF!), ISNUMBER(#REF!)),#REF! -#REF!,"")</f>
        <v/>
      </c>
      <c r="L1197" t="str">
        <f t="shared" ref="L1197:L1260" si="2388">IF(AND(ISNUMBER(#REF!), ISNUMBER(#REF!)),#REF! -#REF!,"")</f>
        <v/>
      </c>
    </row>
    <row r="1198" spans="10:12">
      <c r="J1198" t="str">
        <f t="shared" ref="J1198:J1261" si="2389">IF(AND(ISNUMBER(#REF!), ISNUMBER(#REF!)),#REF! -#REF!,"")</f>
        <v/>
      </c>
      <c r="L1198" t="str">
        <f t="shared" ref="L1198:L1261" si="2390">IF(AND(ISNUMBER(#REF!), ISNUMBER(#REF!)),#REF! -#REF!,"")</f>
        <v/>
      </c>
    </row>
    <row r="1199" spans="10:12">
      <c r="J1199" t="str">
        <f t="shared" ref="J1199:J1262" si="2391">IF(AND(ISNUMBER(#REF!), ISNUMBER(#REF!)),#REF! -#REF!,"")</f>
        <v/>
      </c>
      <c r="L1199" t="str">
        <f t="shared" ref="L1199:L1262" si="2392">IF(AND(ISNUMBER(#REF!), ISNUMBER(#REF!)),#REF! -#REF!,"")</f>
        <v/>
      </c>
    </row>
    <row r="1200" spans="10:12">
      <c r="J1200" t="str">
        <f t="shared" ref="J1200:J1263" si="2393">IF(AND(ISNUMBER(#REF!), ISNUMBER(#REF!)),#REF! -#REF!,"")</f>
        <v/>
      </c>
      <c r="L1200" t="str">
        <f t="shared" ref="L1200:L1263" si="2394">IF(AND(ISNUMBER(#REF!), ISNUMBER(#REF!)),#REF! -#REF!,"")</f>
        <v/>
      </c>
    </row>
    <row r="1201" spans="10:12">
      <c r="J1201" t="str">
        <f t="shared" ref="J1201:J1264" si="2395">IF(AND(ISNUMBER(#REF!), ISNUMBER(#REF!)),#REF! -#REF!,"")</f>
        <v/>
      </c>
      <c r="L1201" t="str">
        <f t="shared" ref="L1201:L1264" si="2396">IF(AND(ISNUMBER(#REF!), ISNUMBER(#REF!)),#REF! -#REF!,"")</f>
        <v/>
      </c>
    </row>
    <row r="1202" spans="10:12">
      <c r="J1202" t="str">
        <f t="shared" ref="J1202:J1265" si="2397">IF(AND(ISNUMBER(#REF!), ISNUMBER(#REF!)),#REF! -#REF!,"")</f>
        <v/>
      </c>
      <c r="L1202" t="str">
        <f t="shared" ref="L1202:L1265" si="2398">IF(AND(ISNUMBER(#REF!), ISNUMBER(#REF!)),#REF! -#REF!,"")</f>
        <v/>
      </c>
    </row>
    <row r="1203" spans="10:12">
      <c r="J1203" t="str">
        <f t="shared" ref="J1203:J1266" si="2399">IF(AND(ISNUMBER(#REF!), ISNUMBER(#REF!)),#REF! -#REF!,"")</f>
        <v/>
      </c>
      <c r="L1203" t="str">
        <f t="shared" ref="L1203:L1266" si="2400">IF(AND(ISNUMBER(#REF!), ISNUMBER(#REF!)),#REF! -#REF!,"")</f>
        <v/>
      </c>
    </row>
    <row r="1204" spans="10:12">
      <c r="J1204" t="str">
        <f t="shared" ref="J1204:J1267" si="2401">IF(AND(ISNUMBER(#REF!), ISNUMBER(#REF!)),#REF! -#REF!,"")</f>
        <v/>
      </c>
      <c r="L1204" t="str">
        <f t="shared" ref="L1204:L1267" si="2402">IF(AND(ISNUMBER(#REF!), ISNUMBER(#REF!)),#REF! -#REF!,"")</f>
        <v/>
      </c>
    </row>
    <row r="1205" spans="10:12">
      <c r="J1205" t="str">
        <f t="shared" ref="J1205:J1268" si="2403">IF(AND(ISNUMBER(#REF!), ISNUMBER(#REF!)),#REF! -#REF!,"")</f>
        <v/>
      </c>
      <c r="L1205" t="str">
        <f t="shared" ref="L1205:L1268" si="2404">IF(AND(ISNUMBER(#REF!), ISNUMBER(#REF!)),#REF! -#REF!,"")</f>
        <v/>
      </c>
    </row>
    <row r="1206" spans="10:12">
      <c r="J1206" t="str">
        <f t="shared" ref="J1206:J1269" si="2405">IF(AND(ISNUMBER(#REF!), ISNUMBER(#REF!)),#REF! -#REF!,"")</f>
        <v/>
      </c>
      <c r="L1206" t="str">
        <f t="shared" ref="L1206:L1269" si="2406">IF(AND(ISNUMBER(#REF!), ISNUMBER(#REF!)),#REF! -#REF!,"")</f>
        <v/>
      </c>
    </row>
    <row r="1207" spans="10:12">
      <c r="J1207" t="str">
        <f t="shared" ref="J1207:J1270" si="2407">IF(AND(ISNUMBER(#REF!), ISNUMBER(#REF!)),#REF! -#REF!,"")</f>
        <v/>
      </c>
      <c r="L1207" t="str">
        <f t="shared" ref="L1207:L1270" si="2408">IF(AND(ISNUMBER(#REF!), ISNUMBER(#REF!)),#REF! -#REF!,"")</f>
        <v/>
      </c>
    </row>
    <row r="1208" spans="10:12">
      <c r="J1208" t="str">
        <f t="shared" ref="J1208:J1271" si="2409">IF(AND(ISNUMBER(#REF!), ISNUMBER(#REF!)),#REF! -#REF!,"")</f>
        <v/>
      </c>
      <c r="L1208" t="str">
        <f t="shared" ref="L1208:L1271" si="2410">IF(AND(ISNUMBER(#REF!), ISNUMBER(#REF!)),#REF! -#REF!,"")</f>
        <v/>
      </c>
    </row>
    <row r="1209" spans="10:12">
      <c r="J1209" t="str">
        <f t="shared" ref="J1209:J1272" si="2411">IF(AND(ISNUMBER(#REF!), ISNUMBER(#REF!)),#REF! -#REF!,"")</f>
        <v/>
      </c>
      <c r="L1209" t="str">
        <f t="shared" ref="L1209:L1272" si="2412">IF(AND(ISNUMBER(#REF!), ISNUMBER(#REF!)),#REF! -#REF!,"")</f>
        <v/>
      </c>
    </row>
    <row r="1210" spans="10:12">
      <c r="J1210" t="str">
        <f t="shared" ref="J1210:J1273" si="2413">IF(AND(ISNUMBER(#REF!), ISNUMBER(#REF!)),#REF! -#REF!,"")</f>
        <v/>
      </c>
      <c r="L1210" t="str">
        <f t="shared" ref="L1210:L1273" si="2414">IF(AND(ISNUMBER(#REF!), ISNUMBER(#REF!)),#REF! -#REF!,"")</f>
        <v/>
      </c>
    </row>
    <row r="1211" spans="10:12">
      <c r="J1211" t="str">
        <f t="shared" ref="J1211:J1274" si="2415">IF(AND(ISNUMBER(#REF!), ISNUMBER(#REF!)),#REF! -#REF!,"")</f>
        <v/>
      </c>
      <c r="L1211" t="str">
        <f t="shared" ref="L1211:L1274" si="2416">IF(AND(ISNUMBER(#REF!), ISNUMBER(#REF!)),#REF! -#REF!,"")</f>
        <v/>
      </c>
    </row>
    <row r="1212" spans="10:12">
      <c r="J1212" t="str">
        <f t="shared" ref="J1212:J1275" si="2417">IF(AND(ISNUMBER(#REF!), ISNUMBER(#REF!)),#REF! -#REF!,"")</f>
        <v/>
      </c>
      <c r="L1212" t="str">
        <f t="shared" ref="L1212:L1275" si="2418">IF(AND(ISNUMBER(#REF!), ISNUMBER(#REF!)),#REF! -#REF!,"")</f>
        <v/>
      </c>
    </row>
    <row r="1213" spans="10:12">
      <c r="J1213" t="str">
        <f t="shared" ref="J1213:J1276" si="2419">IF(AND(ISNUMBER(#REF!), ISNUMBER(#REF!)),#REF! -#REF!,"")</f>
        <v/>
      </c>
      <c r="L1213" t="str">
        <f t="shared" ref="L1213:L1276" si="2420">IF(AND(ISNUMBER(#REF!), ISNUMBER(#REF!)),#REF! -#REF!,"")</f>
        <v/>
      </c>
    </row>
    <row r="1214" spans="10:12">
      <c r="J1214" t="str">
        <f t="shared" ref="J1214:J1277" si="2421">IF(AND(ISNUMBER(#REF!), ISNUMBER(#REF!)),#REF! -#REF!,"")</f>
        <v/>
      </c>
      <c r="L1214" t="str">
        <f t="shared" ref="L1214:L1277" si="2422">IF(AND(ISNUMBER(#REF!), ISNUMBER(#REF!)),#REF! -#REF!,"")</f>
        <v/>
      </c>
    </row>
    <row r="1215" spans="10:12">
      <c r="J1215" t="str">
        <f t="shared" ref="J1215:J1278" si="2423">IF(AND(ISNUMBER(#REF!), ISNUMBER(#REF!)),#REF! -#REF!,"")</f>
        <v/>
      </c>
      <c r="L1215" t="str">
        <f t="shared" ref="L1215:L1278" si="2424">IF(AND(ISNUMBER(#REF!), ISNUMBER(#REF!)),#REF! -#REF!,"")</f>
        <v/>
      </c>
    </row>
    <row r="1216" spans="10:12">
      <c r="J1216" t="str">
        <f t="shared" ref="J1216:J1279" si="2425">IF(AND(ISNUMBER(#REF!), ISNUMBER(#REF!)),#REF! -#REF!,"")</f>
        <v/>
      </c>
      <c r="L1216" t="str">
        <f t="shared" ref="L1216:L1279" si="2426">IF(AND(ISNUMBER(#REF!), ISNUMBER(#REF!)),#REF! -#REF!,"")</f>
        <v/>
      </c>
    </row>
    <row r="1217" spans="10:12">
      <c r="J1217" t="str">
        <f t="shared" ref="J1217:J1280" si="2427">IF(AND(ISNUMBER(#REF!), ISNUMBER(#REF!)),#REF! -#REF!,"")</f>
        <v/>
      </c>
      <c r="L1217" t="str">
        <f t="shared" ref="L1217:L1280" si="2428">IF(AND(ISNUMBER(#REF!), ISNUMBER(#REF!)),#REF! -#REF!,"")</f>
        <v/>
      </c>
    </row>
    <row r="1218" spans="10:12">
      <c r="J1218" t="str">
        <f t="shared" ref="J1218:J1281" si="2429">IF(AND(ISNUMBER(#REF!), ISNUMBER(#REF!)),#REF! -#REF!,"")</f>
        <v/>
      </c>
      <c r="L1218" t="str">
        <f t="shared" ref="L1218:L1281" si="2430">IF(AND(ISNUMBER(#REF!), ISNUMBER(#REF!)),#REF! -#REF!,"")</f>
        <v/>
      </c>
    </row>
    <row r="1219" spans="10:12">
      <c r="J1219" t="str">
        <f t="shared" ref="J1219:J1282" si="2431">IF(AND(ISNUMBER(#REF!), ISNUMBER(#REF!)),#REF! -#REF!,"")</f>
        <v/>
      </c>
      <c r="L1219" t="str">
        <f t="shared" ref="L1219:L1282" si="2432">IF(AND(ISNUMBER(#REF!), ISNUMBER(#REF!)),#REF! -#REF!,"")</f>
        <v/>
      </c>
    </row>
    <row r="1220" spans="10:12">
      <c r="J1220" t="str">
        <f t="shared" ref="J1220:J1283" si="2433">IF(AND(ISNUMBER(#REF!), ISNUMBER(#REF!)),#REF! -#REF!,"")</f>
        <v/>
      </c>
      <c r="L1220" t="str">
        <f t="shared" ref="L1220:L1283" si="2434">IF(AND(ISNUMBER(#REF!), ISNUMBER(#REF!)),#REF! -#REF!,"")</f>
        <v/>
      </c>
    </row>
    <row r="1221" spans="10:12">
      <c r="J1221" t="str">
        <f t="shared" ref="J1221:J1284" si="2435">IF(AND(ISNUMBER(#REF!), ISNUMBER(#REF!)),#REF! -#REF!,"")</f>
        <v/>
      </c>
      <c r="L1221" t="str">
        <f t="shared" ref="L1221:L1284" si="2436">IF(AND(ISNUMBER(#REF!), ISNUMBER(#REF!)),#REF! -#REF!,"")</f>
        <v/>
      </c>
    </row>
    <row r="1222" spans="10:12">
      <c r="J1222" t="str">
        <f t="shared" ref="J1222:J1285" si="2437">IF(AND(ISNUMBER(#REF!), ISNUMBER(#REF!)),#REF! -#REF!,"")</f>
        <v/>
      </c>
      <c r="L1222" t="str">
        <f t="shared" ref="L1222:L1285" si="2438">IF(AND(ISNUMBER(#REF!), ISNUMBER(#REF!)),#REF! -#REF!,"")</f>
        <v/>
      </c>
    </row>
    <row r="1223" spans="10:12">
      <c r="J1223" t="str">
        <f t="shared" ref="J1223:J1286" si="2439">IF(AND(ISNUMBER(#REF!), ISNUMBER(#REF!)),#REF! -#REF!,"")</f>
        <v/>
      </c>
      <c r="L1223" t="str">
        <f t="shared" ref="L1223:L1286" si="2440">IF(AND(ISNUMBER(#REF!), ISNUMBER(#REF!)),#REF! -#REF!,"")</f>
        <v/>
      </c>
    </row>
    <row r="1224" spans="10:12">
      <c r="J1224" t="str">
        <f t="shared" ref="J1224:J1287" si="2441">IF(AND(ISNUMBER(#REF!), ISNUMBER(#REF!)),#REF! -#REF!,"")</f>
        <v/>
      </c>
      <c r="L1224" t="str">
        <f t="shared" ref="L1224:L1287" si="2442">IF(AND(ISNUMBER(#REF!), ISNUMBER(#REF!)),#REF! -#REF!,"")</f>
        <v/>
      </c>
    </row>
    <row r="1225" spans="10:12">
      <c r="J1225" t="str">
        <f t="shared" ref="J1225:J1288" si="2443">IF(AND(ISNUMBER(#REF!), ISNUMBER(#REF!)),#REF! -#REF!,"")</f>
        <v/>
      </c>
      <c r="L1225" t="str">
        <f t="shared" ref="L1225:L1288" si="2444">IF(AND(ISNUMBER(#REF!), ISNUMBER(#REF!)),#REF! -#REF!,"")</f>
        <v/>
      </c>
    </row>
    <row r="1226" spans="10:12">
      <c r="J1226" t="str">
        <f t="shared" ref="J1226:J1289" si="2445">IF(AND(ISNUMBER(#REF!), ISNUMBER(#REF!)),#REF! -#REF!,"")</f>
        <v/>
      </c>
      <c r="L1226" t="str">
        <f t="shared" ref="L1226:L1289" si="2446">IF(AND(ISNUMBER(#REF!), ISNUMBER(#REF!)),#REF! -#REF!,"")</f>
        <v/>
      </c>
    </row>
    <row r="1227" spans="10:12">
      <c r="J1227" t="str">
        <f t="shared" ref="J1227:J1290" si="2447">IF(AND(ISNUMBER(#REF!), ISNUMBER(#REF!)),#REF! -#REF!,"")</f>
        <v/>
      </c>
      <c r="L1227" t="str">
        <f t="shared" ref="L1227:L1290" si="2448">IF(AND(ISNUMBER(#REF!), ISNUMBER(#REF!)),#REF! -#REF!,"")</f>
        <v/>
      </c>
    </row>
    <row r="1228" spans="10:12">
      <c r="J1228" t="str">
        <f t="shared" ref="J1228:J1291" si="2449">IF(AND(ISNUMBER(#REF!), ISNUMBER(#REF!)),#REF! -#REF!,"")</f>
        <v/>
      </c>
      <c r="L1228" t="str">
        <f t="shared" ref="L1228:L1291" si="2450">IF(AND(ISNUMBER(#REF!), ISNUMBER(#REF!)),#REF! -#REF!,"")</f>
        <v/>
      </c>
    </row>
    <row r="1229" spans="10:12">
      <c r="J1229" t="str">
        <f t="shared" ref="J1229:J1292" si="2451">IF(AND(ISNUMBER(#REF!), ISNUMBER(#REF!)),#REF! -#REF!,"")</f>
        <v/>
      </c>
      <c r="L1229" t="str">
        <f t="shared" ref="L1229:L1292" si="2452">IF(AND(ISNUMBER(#REF!), ISNUMBER(#REF!)),#REF! -#REF!,"")</f>
        <v/>
      </c>
    </row>
    <row r="1230" spans="10:12">
      <c r="J1230" t="str">
        <f t="shared" ref="J1230:J1293" si="2453">IF(AND(ISNUMBER(#REF!), ISNUMBER(#REF!)),#REF! -#REF!,"")</f>
        <v/>
      </c>
      <c r="L1230" t="str">
        <f t="shared" ref="L1230:L1293" si="2454">IF(AND(ISNUMBER(#REF!), ISNUMBER(#REF!)),#REF! -#REF!,"")</f>
        <v/>
      </c>
    </row>
    <row r="1231" spans="10:12">
      <c r="J1231" t="str">
        <f t="shared" ref="J1231:J1294" si="2455">IF(AND(ISNUMBER(#REF!), ISNUMBER(#REF!)),#REF! -#REF!,"")</f>
        <v/>
      </c>
      <c r="L1231" t="str">
        <f t="shared" ref="L1231:L1294" si="2456">IF(AND(ISNUMBER(#REF!), ISNUMBER(#REF!)),#REF! -#REF!,"")</f>
        <v/>
      </c>
    </row>
    <row r="1232" spans="10:12">
      <c r="J1232" t="str">
        <f t="shared" ref="J1232:J1295" si="2457">IF(AND(ISNUMBER(#REF!), ISNUMBER(#REF!)),#REF! -#REF!,"")</f>
        <v/>
      </c>
      <c r="L1232" t="str">
        <f t="shared" ref="L1232:L1295" si="2458">IF(AND(ISNUMBER(#REF!), ISNUMBER(#REF!)),#REF! -#REF!,"")</f>
        <v/>
      </c>
    </row>
    <row r="1233" spans="10:12">
      <c r="J1233" t="str">
        <f t="shared" ref="J1233:J1296" si="2459">IF(AND(ISNUMBER(#REF!), ISNUMBER(#REF!)),#REF! -#REF!,"")</f>
        <v/>
      </c>
      <c r="L1233" t="str">
        <f t="shared" ref="L1233:L1296" si="2460">IF(AND(ISNUMBER(#REF!), ISNUMBER(#REF!)),#REF! -#REF!,"")</f>
        <v/>
      </c>
    </row>
    <row r="1234" spans="10:12">
      <c r="J1234" t="str">
        <f t="shared" ref="J1234:J1297" si="2461">IF(AND(ISNUMBER(#REF!), ISNUMBER(#REF!)),#REF! -#REF!,"")</f>
        <v/>
      </c>
      <c r="L1234" t="str">
        <f t="shared" ref="L1234:L1297" si="2462">IF(AND(ISNUMBER(#REF!), ISNUMBER(#REF!)),#REF! -#REF!,"")</f>
        <v/>
      </c>
    </row>
    <row r="1235" spans="10:12">
      <c r="J1235" t="str">
        <f t="shared" ref="J1235:J1298" si="2463">IF(AND(ISNUMBER(#REF!), ISNUMBER(#REF!)),#REF! -#REF!,"")</f>
        <v/>
      </c>
      <c r="L1235" t="str">
        <f t="shared" ref="L1235:L1298" si="2464">IF(AND(ISNUMBER(#REF!), ISNUMBER(#REF!)),#REF! -#REF!,"")</f>
        <v/>
      </c>
    </row>
    <row r="1236" spans="10:12">
      <c r="J1236" t="str">
        <f t="shared" ref="J1236:J1299" si="2465">IF(AND(ISNUMBER(#REF!), ISNUMBER(#REF!)),#REF! -#REF!,"")</f>
        <v/>
      </c>
      <c r="L1236" t="str">
        <f t="shared" ref="L1236:L1299" si="2466">IF(AND(ISNUMBER(#REF!), ISNUMBER(#REF!)),#REF! -#REF!,"")</f>
        <v/>
      </c>
    </row>
    <row r="1237" spans="10:12">
      <c r="J1237" t="str">
        <f t="shared" ref="J1237:J1300" si="2467">IF(AND(ISNUMBER(#REF!), ISNUMBER(#REF!)),#REF! -#REF!,"")</f>
        <v/>
      </c>
      <c r="L1237" t="str">
        <f t="shared" ref="L1237:L1300" si="2468">IF(AND(ISNUMBER(#REF!), ISNUMBER(#REF!)),#REF! -#REF!,"")</f>
        <v/>
      </c>
    </row>
    <row r="1238" spans="10:12">
      <c r="J1238" t="str">
        <f t="shared" ref="J1238:J1301" si="2469">IF(AND(ISNUMBER(#REF!), ISNUMBER(#REF!)),#REF! -#REF!,"")</f>
        <v/>
      </c>
      <c r="L1238" t="str">
        <f t="shared" ref="L1238:L1301" si="2470">IF(AND(ISNUMBER(#REF!), ISNUMBER(#REF!)),#REF! -#REF!,"")</f>
        <v/>
      </c>
    </row>
    <row r="1239" spans="10:12">
      <c r="J1239" t="str">
        <f t="shared" ref="J1239:J1302" si="2471">IF(AND(ISNUMBER(#REF!), ISNUMBER(#REF!)),#REF! -#REF!,"")</f>
        <v/>
      </c>
      <c r="L1239" t="str">
        <f t="shared" ref="L1239:L1302" si="2472">IF(AND(ISNUMBER(#REF!), ISNUMBER(#REF!)),#REF! -#REF!,"")</f>
        <v/>
      </c>
    </row>
    <row r="1240" spans="10:12">
      <c r="J1240" t="str">
        <f t="shared" ref="J1240:J1303" si="2473">IF(AND(ISNUMBER(#REF!), ISNUMBER(#REF!)),#REF! -#REF!,"")</f>
        <v/>
      </c>
      <c r="L1240" t="str">
        <f t="shared" ref="L1240:L1303" si="2474">IF(AND(ISNUMBER(#REF!), ISNUMBER(#REF!)),#REF! -#REF!,"")</f>
        <v/>
      </c>
    </row>
    <row r="1241" spans="10:12">
      <c r="J1241" t="str">
        <f t="shared" ref="J1241:J1304" si="2475">IF(AND(ISNUMBER(#REF!), ISNUMBER(#REF!)),#REF! -#REF!,"")</f>
        <v/>
      </c>
      <c r="L1241" t="str">
        <f t="shared" ref="L1241:L1304" si="2476">IF(AND(ISNUMBER(#REF!), ISNUMBER(#REF!)),#REF! -#REF!,"")</f>
        <v/>
      </c>
    </row>
    <row r="1242" spans="10:12">
      <c r="J1242" t="str">
        <f t="shared" ref="J1242:J1305" si="2477">IF(AND(ISNUMBER(#REF!), ISNUMBER(#REF!)),#REF! -#REF!,"")</f>
        <v/>
      </c>
      <c r="L1242" t="str">
        <f t="shared" ref="L1242:L1305" si="2478">IF(AND(ISNUMBER(#REF!), ISNUMBER(#REF!)),#REF! -#REF!,"")</f>
        <v/>
      </c>
    </row>
    <row r="1243" spans="10:12">
      <c r="J1243" t="str">
        <f t="shared" ref="J1243:J1306" si="2479">IF(AND(ISNUMBER(#REF!), ISNUMBER(#REF!)),#REF! -#REF!,"")</f>
        <v/>
      </c>
      <c r="L1243" t="str">
        <f t="shared" ref="L1243:L1306" si="2480">IF(AND(ISNUMBER(#REF!), ISNUMBER(#REF!)),#REF! -#REF!,"")</f>
        <v/>
      </c>
    </row>
    <row r="1244" spans="10:12">
      <c r="J1244" t="str">
        <f t="shared" ref="J1244:J1307" si="2481">IF(AND(ISNUMBER(#REF!), ISNUMBER(#REF!)),#REF! -#REF!,"")</f>
        <v/>
      </c>
      <c r="L1244" t="str">
        <f t="shared" ref="L1244:L1307" si="2482">IF(AND(ISNUMBER(#REF!), ISNUMBER(#REF!)),#REF! -#REF!,"")</f>
        <v/>
      </c>
    </row>
    <row r="1245" spans="10:12">
      <c r="J1245" t="str">
        <f t="shared" ref="J1245:J1308" si="2483">IF(AND(ISNUMBER(#REF!), ISNUMBER(#REF!)),#REF! -#REF!,"")</f>
        <v/>
      </c>
      <c r="L1245" t="str">
        <f t="shared" ref="L1245:L1308" si="2484">IF(AND(ISNUMBER(#REF!), ISNUMBER(#REF!)),#REF! -#REF!,"")</f>
        <v/>
      </c>
    </row>
    <row r="1246" spans="10:12">
      <c r="J1246" t="str">
        <f t="shared" ref="J1246:J1309" si="2485">IF(AND(ISNUMBER(#REF!), ISNUMBER(#REF!)),#REF! -#REF!,"")</f>
        <v/>
      </c>
      <c r="L1246" t="str">
        <f t="shared" ref="L1246:L1309" si="2486">IF(AND(ISNUMBER(#REF!), ISNUMBER(#REF!)),#REF! -#REF!,"")</f>
        <v/>
      </c>
    </row>
    <row r="1247" spans="10:12">
      <c r="J1247" t="str">
        <f t="shared" ref="J1247:J1310" si="2487">IF(AND(ISNUMBER(#REF!), ISNUMBER(#REF!)),#REF! -#REF!,"")</f>
        <v/>
      </c>
      <c r="L1247" t="str">
        <f t="shared" ref="L1247:L1310" si="2488">IF(AND(ISNUMBER(#REF!), ISNUMBER(#REF!)),#REF! -#REF!,"")</f>
        <v/>
      </c>
    </row>
    <row r="1248" spans="10:12">
      <c r="J1248" t="str">
        <f t="shared" ref="J1248:J1311" si="2489">IF(AND(ISNUMBER(#REF!), ISNUMBER(#REF!)),#REF! -#REF!,"")</f>
        <v/>
      </c>
      <c r="L1248" t="str">
        <f t="shared" ref="L1248:L1311" si="2490">IF(AND(ISNUMBER(#REF!), ISNUMBER(#REF!)),#REF! -#REF!,"")</f>
        <v/>
      </c>
    </row>
    <row r="1249" spans="10:12">
      <c r="J1249" t="str">
        <f t="shared" ref="J1249:J1312" si="2491">IF(AND(ISNUMBER(#REF!), ISNUMBER(#REF!)),#REF! -#REF!,"")</f>
        <v/>
      </c>
      <c r="L1249" t="str">
        <f t="shared" ref="L1249:L1312" si="2492">IF(AND(ISNUMBER(#REF!), ISNUMBER(#REF!)),#REF! -#REF!,"")</f>
        <v/>
      </c>
    </row>
    <row r="1250" spans="10:12">
      <c r="J1250" t="str">
        <f t="shared" ref="J1250:J1313" si="2493">IF(AND(ISNUMBER(#REF!), ISNUMBER(#REF!)),#REF! -#REF!,"")</f>
        <v/>
      </c>
      <c r="L1250" t="str">
        <f t="shared" ref="L1250:L1313" si="2494">IF(AND(ISNUMBER(#REF!), ISNUMBER(#REF!)),#REF! -#REF!,"")</f>
        <v/>
      </c>
    </row>
    <row r="1251" spans="10:12">
      <c r="J1251" t="str">
        <f t="shared" ref="J1251:J1314" si="2495">IF(AND(ISNUMBER(#REF!), ISNUMBER(#REF!)),#REF! -#REF!,"")</f>
        <v/>
      </c>
      <c r="L1251" t="str">
        <f t="shared" ref="L1251:L1314" si="2496">IF(AND(ISNUMBER(#REF!), ISNUMBER(#REF!)),#REF! -#REF!,"")</f>
        <v/>
      </c>
    </row>
    <row r="1252" spans="10:12">
      <c r="J1252" t="str">
        <f t="shared" ref="J1252:J1315" si="2497">IF(AND(ISNUMBER(#REF!), ISNUMBER(#REF!)),#REF! -#REF!,"")</f>
        <v/>
      </c>
      <c r="L1252" t="str">
        <f t="shared" ref="L1252:L1315" si="2498">IF(AND(ISNUMBER(#REF!), ISNUMBER(#REF!)),#REF! -#REF!,"")</f>
        <v/>
      </c>
    </row>
    <row r="1253" spans="10:12">
      <c r="J1253" t="str">
        <f t="shared" ref="J1253:J1316" si="2499">IF(AND(ISNUMBER(#REF!), ISNUMBER(#REF!)),#REF! -#REF!,"")</f>
        <v/>
      </c>
      <c r="L1253" t="str">
        <f t="shared" ref="L1253:L1316" si="2500">IF(AND(ISNUMBER(#REF!), ISNUMBER(#REF!)),#REF! -#REF!,"")</f>
        <v/>
      </c>
    </row>
    <row r="1254" spans="10:12">
      <c r="J1254" t="str">
        <f t="shared" ref="J1254:J1317" si="2501">IF(AND(ISNUMBER(#REF!), ISNUMBER(#REF!)),#REF! -#REF!,"")</f>
        <v/>
      </c>
      <c r="L1254" t="str">
        <f t="shared" ref="L1254:L1317" si="2502">IF(AND(ISNUMBER(#REF!), ISNUMBER(#REF!)),#REF! -#REF!,"")</f>
        <v/>
      </c>
    </row>
    <row r="1255" spans="10:12">
      <c r="J1255" t="str">
        <f t="shared" ref="J1255:J1318" si="2503">IF(AND(ISNUMBER(#REF!), ISNUMBER(#REF!)),#REF! -#REF!,"")</f>
        <v/>
      </c>
      <c r="L1255" t="str">
        <f t="shared" ref="L1255:L1318" si="2504">IF(AND(ISNUMBER(#REF!), ISNUMBER(#REF!)),#REF! -#REF!,"")</f>
        <v/>
      </c>
    </row>
    <row r="1256" spans="10:12">
      <c r="J1256" t="str">
        <f t="shared" ref="J1256:J1319" si="2505">IF(AND(ISNUMBER(#REF!), ISNUMBER(#REF!)),#REF! -#REF!,"")</f>
        <v/>
      </c>
      <c r="L1256" t="str">
        <f t="shared" ref="L1256:L1319" si="2506">IF(AND(ISNUMBER(#REF!), ISNUMBER(#REF!)),#REF! -#REF!,"")</f>
        <v/>
      </c>
    </row>
    <row r="1257" spans="10:12">
      <c r="J1257" t="str">
        <f t="shared" ref="J1257:J1320" si="2507">IF(AND(ISNUMBER(#REF!), ISNUMBER(#REF!)),#REF! -#REF!,"")</f>
        <v/>
      </c>
      <c r="L1257" t="str">
        <f t="shared" ref="L1257:L1320" si="2508">IF(AND(ISNUMBER(#REF!), ISNUMBER(#REF!)),#REF! -#REF!,"")</f>
        <v/>
      </c>
    </row>
    <row r="1258" spans="10:12">
      <c r="J1258" t="str">
        <f t="shared" ref="J1258:J1321" si="2509">IF(AND(ISNUMBER(#REF!), ISNUMBER(#REF!)),#REF! -#REF!,"")</f>
        <v/>
      </c>
      <c r="L1258" t="str">
        <f t="shared" ref="L1258:L1321" si="2510">IF(AND(ISNUMBER(#REF!), ISNUMBER(#REF!)),#REF! -#REF!,"")</f>
        <v/>
      </c>
    </row>
    <row r="1259" spans="10:12">
      <c r="J1259" t="str">
        <f t="shared" ref="J1259:J1322" si="2511">IF(AND(ISNUMBER(#REF!), ISNUMBER(#REF!)),#REF! -#REF!,"")</f>
        <v/>
      </c>
      <c r="L1259" t="str">
        <f t="shared" ref="L1259:L1322" si="2512">IF(AND(ISNUMBER(#REF!), ISNUMBER(#REF!)),#REF! -#REF!,"")</f>
        <v/>
      </c>
    </row>
    <row r="1260" spans="10:12">
      <c r="J1260" t="str">
        <f t="shared" ref="J1260:J1323" si="2513">IF(AND(ISNUMBER(#REF!), ISNUMBER(#REF!)),#REF! -#REF!,"")</f>
        <v/>
      </c>
      <c r="L1260" t="str">
        <f t="shared" ref="L1260:L1323" si="2514">IF(AND(ISNUMBER(#REF!), ISNUMBER(#REF!)),#REF! -#REF!,"")</f>
        <v/>
      </c>
    </row>
    <row r="1261" spans="10:12">
      <c r="J1261" t="str">
        <f t="shared" ref="J1261:J1324" si="2515">IF(AND(ISNUMBER(#REF!), ISNUMBER(#REF!)),#REF! -#REF!,"")</f>
        <v/>
      </c>
      <c r="L1261" t="str">
        <f t="shared" ref="L1261:L1324" si="2516">IF(AND(ISNUMBER(#REF!), ISNUMBER(#REF!)),#REF! -#REF!,"")</f>
        <v/>
      </c>
    </row>
    <row r="1262" spans="10:12">
      <c r="J1262" t="str">
        <f t="shared" ref="J1262:J1325" si="2517">IF(AND(ISNUMBER(#REF!), ISNUMBER(#REF!)),#REF! -#REF!,"")</f>
        <v/>
      </c>
      <c r="L1262" t="str">
        <f t="shared" ref="L1262:L1325" si="2518">IF(AND(ISNUMBER(#REF!), ISNUMBER(#REF!)),#REF! -#REF!,"")</f>
        <v/>
      </c>
    </row>
    <row r="1263" spans="10:12">
      <c r="J1263" t="str">
        <f t="shared" ref="J1263:J1326" si="2519">IF(AND(ISNUMBER(#REF!), ISNUMBER(#REF!)),#REF! -#REF!,"")</f>
        <v/>
      </c>
      <c r="L1263" t="str">
        <f t="shared" ref="L1263:L1326" si="2520">IF(AND(ISNUMBER(#REF!), ISNUMBER(#REF!)),#REF! -#REF!,"")</f>
        <v/>
      </c>
    </row>
    <row r="1264" spans="10:12">
      <c r="J1264" t="str">
        <f t="shared" ref="J1264:J1327" si="2521">IF(AND(ISNUMBER(#REF!), ISNUMBER(#REF!)),#REF! -#REF!,"")</f>
        <v/>
      </c>
      <c r="L1264" t="str">
        <f t="shared" ref="L1264:L1327" si="2522">IF(AND(ISNUMBER(#REF!), ISNUMBER(#REF!)),#REF! -#REF!,"")</f>
        <v/>
      </c>
    </row>
    <row r="1265" spans="10:12">
      <c r="J1265" t="str">
        <f t="shared" ref="J1265:J1328" si="2523">IF(AND(ISNUMBER(#REF!), ISNUMBER(#REF!)),#REF! -#REF!,"")</f>
        <v/>
      </c>
      <c r="L1265" t="str">
        <f t="shared" ref="L1265:L1328" si="2524">IF(AND(ISNUMBER(#REF!), ISNUMBER(#REF!)),#REF! -#REF!,"")</f>
        <v/>
      </c>
    </row>
    <row r="1266" spans="10:12">
      <c r="J1266" t="str">
        <f t="shared" ref="J1266:J1329" si="2525">IF(AND(ISNUMBER(#REF!), ISNUMBER(#REF!)),#REF! -#REF!,"")</f>
        <v/>
      </c>
      <c r="L1266" t="str">
        <f t="shared" ref="L1266:L1329" si="2526">IF(AND(ISNUMBER(#REF!), ISNUMBER(#REF!)),#REF! -#REF!,"")</f>
        <v/>
      </c>
    </row>
    <row r="1267" spans="10:12">
      <c r="J1267" t="str">
        <f t="shared" ref="J1267:J1330" si="2527">IF(AND(ISNUMBER(#REF!), ISNUMBER(#REF!)),#REF! -#REF!,"")</f>
        <v/>
      </c>
      <c r="L1267" t="str">
        <f t="shared" ref="L1267:L1330" si="2528">IF(AND(ISNUMBER(#REF!), ISNUMBER(#REF!)),#REF! -#REF!,"")</f>
        <v/>
      </c>
    </row>
    <row r="1268" spans="10:12">
      <c r="J1268" t="str">
        <f t="shared" ref="J1268:J1331" si="2529">IF(AND(ISNUMBER(#REF!), ISNUMBER(#REF!)),#REF! -#REF!,"")</f>
        <v/>
      </c>
      <c r="L1268" t="str">
        <f t="shared" ref="L1268:L1331" si="2530">IF(AND(ISNUMBER(#REF!), ISNUMBER(#REF!)),#REF! -#REF!,"")</f>
        <v/>
      </c>
    </row>
    <row r="1269" spans="10:12">
      <c r="J1269" t="str">
        <f t="shared" ref="J1269:J1332" si="2531">IF(AND(ISNUMBER(#REF!), ISNUMBER(#REF!)),#REF! -#REF!,"")</f>
        <v/>
      </c>
      <c r="L1269" t="str">
        <f t="shared" ref="L1269:L1332" si="2532">IF(AND(ISNUMBER(#REF!), ISNUMBER(#REF!)),#REF! -#REF!,"")</f>
        <v/>
      </c>
    </row>
    <row r="1270" spans="10:12">
      <c r="J1270" t="str">
        <f t="shared" ref="J1270:J1333" si="2533">IF(AND(ISNUMBER(#REF!), ISNUMBER(#REF!)),#REF! -#REF!,"")</f>
        <v/>
      </c>
      <c r="L1270" t="str">
        <f t="shared" ref="L1270:L1333" si="2534">IF(AND(ISNUMBER(#REF!), ISNUMBER(#REF!)),#REF! -#REF!,"")</f>
        <v/>
      </c>
    </row>
    <row r="1271" spans="10:12">
      <c r="J1271" t="str">
        <f t="shared" ref="J1271:J1334" si="2535">IF(AND(ISNUMBER(#REF!), ISNUMBER(#REF!)),#REF! -#REF!,"")</f>
        <v/>
      </c>
      <c r="L1271" t="str">
        <f t="shared" ref="L1271:L1334" si="2536">IF(AND(ISNUMBER(#REF!), ISNUMBER(#REF!)),#REF! -#REF!,"")</f>
        <v/>
      </c>
    </row>
    <row r="1272" spans="10:12">
      <c r="J1272" t="str">
        <f t="shared" ref="J1272:J1335" si="2537">IF(AND(ISNUMBER(#REF!), ISNUMBER(#REF!)),#REF! -#REF!,"")</f>
        <v/>
      </c>
      <c r="L1272" t="str">
        <f t="shared" ref="L1272:L1335" si="2538">IF(AND(ISNUMBER(#REF!), ISNUMBER(#REF!)),#REF! -#REF!,"")</f>
        <v/>
      </c>
    </row>
    <row r="1273" spans="10:12">
      <c r="J1273" t="str">
        <f t="shared" ref="J1273:J1336" si="2539">IF(AND(ISNUMBER(#REF!), ISNUMBER(#REF!)),#REF! -#REF!,"")</f>
        <v/>
      </c>
      <c r="L1273" t="str">
        <f t="shared" ref="L1273:L1336" si="2540">IF(AND(ISNUMBER(#REF!), ISNUMBER(#REF!)),#REF! -#REF!,"")</f>
        <v/>
      </c>
    </row>
    <row r="1274" spans="10:12">
      <c r="J1274" t="str">
        <f t="shared" ref="J1274:J1337" si="2541">IF(AND(ISNUMBER(#REF!), ISNUMBER(#REF!)),#REF! -#REF!,"")</f>
        <v/>
      </c>
      <c r="L1274" t="str">
        <f t="shared" ref="L1274:L1337" si="2542">IF(AND(ISNUMBER(#REF!), ISNUMBER(#REF!)),#REF! -#REF!,"")</f>
        <v/>
      </c>
    </row>
    <row r="1275" spans="10:12">
      <c r="J1275" t="str">
        <f t="shared" ref="J1275:J1338" si="2543">IF(AND(ISNUMBER(#REF!), ISNUMBER(#REF!)),#REF! -#REF!,"")</f>
        <v/>
      </c>
      <c r="L1275" t="str">
        <f t="shared" ref="L1275:L1338" si="2544">IF(AND(ISNUMBER(#REF!), ISNUMBER(#REF!)),#REF! -#REF!,"")</f>
        <v/>
      </c>
    </row>
    <row r="1276" spans="10:12">
      <c r="J1276" t="str">
        <f t="shared" ref="J1276:J1339" si="2545">IF(AND(ISNUMBER(#REF!), ISNUMBER(#REF!)),#REF! -#REF!,"")</f>
        <v/>
      </c>
      <c r="L1276" t="str">
        <f t="shared" ref="L1276:L1339" si="2546">IF(AND(ISNUMBER(#REF!), ISNUMBER(#REF!)),#REF! -#REF!,"")</f>
        <v/>
      </c>
    </row>
    <row r="1277" spans="10:12">
      <c r="J1277" t="str">
        <f t="shared" ref="J1277:J1340" si="2547">IF(AND(ISNUMBER(#REF!), ISNUMBER(#REF!)),#REF! -#REF!,"")</f>
        <v/>
      </c>
      <c r="L1277" t="str">
        <f t="shared" ref="L1277:L1340" si="2548">IF(AND(ISNUMBER(#REF!), ISNUMBER(#REF!)),#REF! -#REF!,"")</f>
        <v/>
      </c>
    </row>
    <row r="1278" spans="10:12">
      <c r="J1278" t="str">
        <f t="shared" ref="J1278:J1341" si="2549">IF(AND(ISNUMBER(#REF!), ISNUMBER(#REF!)),#REF! -#REF!,"")</f>
        <v/>
      </c>
      <c r="L1278" t="str">
        <f t="shared" ref="L1278:L1341" si="2550">IF(AND(ISNUMBER(#REF!), ISNUMBER(#REF!)),#REF! -#REF!,"")</f>
        <v/>
      </c>
    </row>
    <row r="1279" spans="10:12">
      <c r="J1279" t="str">
        <f t="shared" ref="J1279:J1342" si="2551">IF(AND(ISNUMBER(#REF!), ISNUMBER(#REF!)),#REF! -#REF!,"")</f>
        <v/>
      </c>
      <c r="L1279" t="str">
        <f t="shared" ref="L1279:L1342" si="2552">IF(AND(ISNUMBER(#REF!), ISNUMBER(#REF!)),#REF! -#REF!,"")</f>
        <v/>
      </c>
    </row>
    <row r="1280" spans="10:12">
      <c r="J1280" t="str">
        <f t="shared" ref="J1280:J1343" si="2553">IF(AND(ISNUMBER(#REF!), ISNUMBER(#REF!)),#REF! -#REF!,"")</f>
        <v/>
      </c>
      <c r="L1280" t="str">
        <f t="shared" ref="L1280:L1343" si="2554">IF(AND(ISNUMBER(#REF!), ISNUMBER(#REF!)),#REF! -#REF!,"")</f>
        <v/>
      </c>
    </row>
    <row r="1281" spans="10:12">
      <c r="J1281" t="str">
        <f t="shared" ref="J1281:J1344" si="2555">IF(AND(ISNUMBER(#REF!), ISNUMBER(#REF!)),#REF! -#REF!,"")</f>
        <v/>
      </c>
      <c r="L1281" t="str">
        <f t="shared" ref="L1281:L1344" si="2556">IF(AND(ISNUMBER(#REF!), ISNUMBER(#REF!)),#REF! -#REF!,"")</f>
        <v/>
      </c>
    </row>
    <row r="1282" spans="10:12">
      <c r="J1282" t="str">
        <f t="shared" ref="J1282:J1345" si="2557">IF(AND(ISNUMBER(#REF!), ISNUMBER(#REF!)),#REF! -#REF!,"")</f>
        <v/>
      </c>
      <c r="L1282" t="str">
        <f t="shared" ref="L1282:L1345" si="2558">IF(AND(ISNUMBER(#REF!), ISNUMBER(#REF!)),#REF! -#REF!,"")</f>
        <v/>
      </c>
    </row>
    <row r="1283" spans="10:12">
      <c r="J1283" t="str">
        <f t="shared" ref="J1283:J1346" si="2559">IF(AND(ISNUMBER(#REF!), ISNUMBER(#REF!)),#REF! -#REF!,"")</f>
        <v/>
      </c>
      <c r="L1283" t="str">
        <f t="shared" ref="L1283:L1346" si="2560">IF(AND(ISNUMBER(#REF!), ISNUMBER(#REF!)),#REF! -#REF!,"")</f>
        <v/>
      </c>
    </row>
    <row r="1284" spans="10:12">
      <c r="J1284" t="str">
        <f t="shared" ref="J1284:J1347" si="2561">IF(AND(ISNUMBER(#REF!), ISNUMBER(#REF!)),#REF! -#REF!,"")</f>
        <v/>
      </c>
      <c r="L1284" t="str">
        <f t="shared" ref="L1284:L1347" si="2562">IF(AND(ISNUMBER(#REF!), ISNUMBER(#REF!)),#REF! -#REF!,"")</f>
        <v/>
      </c>
    </row>
    <row r="1285" spans="10:12">
      <c r="J1285" t="str">
        <f t="shared" ref="J1285:J1348" si="2563">IF(AND(ISNUMBER(#REF!), ISNUMBER(#REF!)),#REF! -#REF!,"")</f>
        <v/>
      </c>
      <c r="L1285" t="str">
        <f t="shared" ref="L1285:L1348" si="2564">IF(AND(ISNUMBER(#REF!), ISNUMBER(#REF!)),#REF! -#REF!,"")</f>
        <v/>
      </c>
    </row>
    <row r="1286" spans="10:12">
      <c r="J1286" t="str">
        <f t="shared" ref="J1286:J1349" si="2565">IF(AND(ISNUMBER(#REF!), ISNUMBER(#REF!)),#REF! -#REF!,"")</f>
        <v/>
      </c>
      <c r="L1286" t="str">
        <f t="shared" ref="L1286:L1349" si="2566">IF(AND(ISNUMBER(#REF!), ISNUMBER(#REF!)),#REF! -#REF!,"")</f>
        <v/>
      </c>
    </row>
    <row r="1287" spans="10:12">
      <c r="J1287" t="str">
        <f t="shared" ref="J1287:J1350" si="2567">IF(AND(ISNUMBER(#REF!), ISNUMBER(#REF!)),#REF! -#REF!,"")</f>
        <v/>
      </c>
      <c r="L1287" t="str">
        <f t="shared" ref="L1287:L1350" si="2568">IF(AND(ISNUMBER(#REF!), ISNUMBER(#REF!)),#REF! -#REF!,"")</f>
        <v/>
      </c>
    </row>
    <row r="1288" spans="10:12">
      <c r="J1288" t="str">
        <f t="shared" ref="J1288:J1351" si="2569">IF(AND(ISNUMBER(#REF!), ISNUMBER(#REF!)),#REF! -#REF!,"")</f>
        <v/>
      </c>
      <c r="L1288" t="str">
        <f t="shared" ref="L1288:L1351" si="2570">IF(AND(ISNUMBER(#REF!), ISNUMBER(#REF!)),#REF! -#REF!,"")</f>
        <v/>
      </c>
    </row>
    <row r="1289" spans="10:12">
      <c r="J1289" t="str">
        <f t="shared" ref="J1289:J1352" si="2571">IF(AND(ISNUMBER(#REF!), ISNUMBER(#REF!)),#REF! -#REF!,"")</f>
        <v/>
      </c>
      <c r="L1289" t="str">
        <f t="shared" ref="L1289:L1352" si="2572">IF(AND(ISNUMBER(#REF!), ISNUMBER(#REF!)),#REF! -#REF!,"")</f>
        <v/>
      </c>
    </row>
    <row r="1290" spans="10:12">
      <c r="J1290" t="str">
        <f t="shared" ref="J1290:J1353" si="2573">IF(AND(ISNUMBER(#REF!), ISNUMBER(#REF!)),#REF! -#REF!,"")</f>
        <v/>
      </c>
      <c r="L1290" t="str">
        <f t="shared" ref="L1290:L1353" si="2574">IF(AND(ISNUMBER(#REF!), ISNUMBER(#REF!)),#REF! -#REF!,"")</f>
        <v/>
      </c>
    </row>
    <row r="1291" spans="10:12">
      <c r="J1291" t="str">
        <f t="shared" ref="J1291:J1354" si="2575">IF(AND(ISNUMBER(#REF!), ISNUMBER(#REF!)),#REF! -#REF!,"")</f>
        <v/>
      </c>
      <c r="L1291" t="str">
        <f t="shared" ref="L1291:L1354" si="2576">IF(AND(ISNUMBER(#REF!), ISNUMBER(#REF!)),#REF! -#REF!,"")</f>
        <v/>
      </c>
    </row>
    <row r="1292" spans="10:12">
      <c r="J1292" t="str">
        <f t="shared" ref="J1292:J1355" si="2577">IF(AND(ISNUMBER(#REF!), ISNUMBER(#REF!)),#REF! -#REF!,"")</f>
        <v/>
      </c>
      <c r="L1292" t="str">
        <f t="shared" ref="L1292:L1355" si="2578">IF(AND(ISNUMBER(#REF!), ISNUMBER(#REF!)),#REF! -#REF!,"")</f>
        <v/>
      </c>
    </row>
    <row r="1293" spans="10:12">
      <c r="J1293" t="str">
        <f t="shared" ref="J1293:J1356" si="2579">IF(AND(ISNUMBER(#REF!), ISNUMBER(#REF!)),#REF! -#REF!,"")</f>
        <v/>
      </c>
      <c r="L1293" t="str">
        <f t="shared" ref="L1293:L1356" si="2580">IF(AND(ISNUMBER(#REF!), ISNUMBER(#REF!)),#REF! -#REF!,"")</f>
        <v/>
      </c>
    </row>
    <row r="1294" spans="10:12">
      <c r="J1294" t="str">
        <f t="shared" ref="J1294:J1357" si="2581">IF(AND(ISNUMBER(#REF!), ISNUMBER(#REF!)),#REF! -#REF!,"")</f>
        <v/>
      </c>
      <c r="L1294" t="str">
        <f t="shared" ref="L1294:L1357" si="2582">IF(AND(ISNUMBER(#REF!), ISNUMBER(#REF!)),#REF! -#REF!,"")</f>
        <v/>
      </c>
    </row>
    <row r="1295" spans="10:12">
      <c r="J1295" t="str">
        <f t="shared" ref="J1295:J1358" si="2583">IF(AND(ISNUMBER(#REF!), ISNUMBER(#REF!)),#REF! -#REF!,"")</f>
        <v/>
      </c>
      <c r="L1295" t="str">
        <f t="shared" ref="L1295:L1358" si="2584">IF(AND(ISNUMBER(#REF!), ISNUMBER(#REF!)),#REF! -#REF!,"")</f>
        <v/>
      </c>
    </row>
    <row r="1296" spans="10:12">
      <c r="J1296" t="str">
        <f t="shared" ref="J1296:J1359" si="2585">IF(AND(ISNUMBER(#REF!), ISNUMBER(#REF!)),#REF! -#REF!,"")</f>
        <v/>
      </c>
      <c r="L1296" t="str">
        <f t="shared" ref="L1296:L1359" si="2586">IF(AND(ISNUMBER(#REF!), ISNUMBER(#REF!)),#REF! -#REF!,"")</f>
        <v/>
      </c>
    </row>
    <row r="1297" spans="10:12">
      <c r="J1297" t="str">
        <f t="shared" ref="J1297:J1360" si="2587">IF(AND(ISNUMBER(#REF!), ISNUMBER(#REF!)),#REF! -#REF!,"")</f>
        <v/>
      </c>
      <c r="L1297" t="str">
        <f t="shared" ref="L1297:L1360" si="2588">IF(AND(ISNUMBER(#REF!), ISNUMBER(#REF!)),#REF! -#REF!,"")</f>
        <v/>
      </c>
    </row>
    <row r="1298" spans="10:12">
      <c r="J1298" t="str">
        <f t="shared" ref="J1298:J1361" si="2589">IF(AND(ISNUMBER(#REF!), ISNUMBER(#REF!)),#REF! -#REF!,"")</f>
        <v/>
      </c>
      <c r="L1298" t="str">
        <f t="shared" ref="L1298:L1361" si="2590">IF(AND(ISNUMBER(#REF!), ISNUMBER(#REF!)),#REF! -#REF!,"")</f>
        <v/>
      </c>
    </row>
    <row r="1299" spans="10:12">
      <c r="J1299" t="str">
        <f t="shared" ref="J1299:J1362" si="2591">IF(AND(ISNUMBER(#REF!), ISNUMBER(#REF!)),#REF! -#REF!,"")</f>
        <v/>
      </c>
      <c r="L1299" t="str">
        <f t="shared" ref="L1299:L1362" si="2592">IF(AND(ISNUMBER(#REF!), ISNUMBER(#REF!)),#REF! -#REF!,"")</f>
        <v/>
      </c>
    </row>
    <row r="1300" spans="10:12">
      <c r="J1300" t="str">
        <f t="shared" ref="J1300:J1363" si="2593">IF(AND(ISNUMBER(#REF!), ISNUMBER(#REF!)),#REF! -#REF!,"")</f>
        <v/>
      </c>
      <c r="L1300" t="str">
        <f t="shared" ref="L1300:L1363" si="2594">IF(AND(ISNUMBER(#REF!), ISNUMBER(#REF!)),#REF! -#REF!,"")</f>
        <v/>
      </c>
    </row>
    <row r="1301" spans="10:12">
      <c r="J1301" t="str">
        <f t="shared" ref="J1301:J1364" si="2595">IF(AND(ISNUMBER(#REF!), ISNUMBER(#REF!)),#REF! -#REF!,"")</f>
        <v/>
      </c>
      <c r="L1301" t="str">
        <f t="shared" ref="L1301:L1364" si="2596">IF(AND(ISNUMBER(#REF!), ISNUMBER(#REF!)),#REF! -#REF!,"")</f>
        <v/>
      </c>
    </row>
    <row r="1302" spans="10:12">
      <c r="J1302" t="str">
        <f t="shared" ref="J1302:J1365" si="2597">IF(AND(ISNUMBER(#REF!), ISNUMBER(#REF!)),#REF! -#REF!,"")</f>
        <v/>
      </c>
      <c r="L1302" t="str">
        <f t="shared" ref="L1302:L1365" si="2598">IF(AND(ISNUMBER(#REF!), ISNUMBER(#REF!)),#REF! -#REF!,"")</f>
        <v/>
      </c>
    </row>
    <row r="1303" spans="10:12">
      <c r="J1303" t="str">
        <f t="shared" ref="J1303:J1366" si="2599">IF(AND(ISNUMBER(#REF!), ISNUMBER(#REF!)),#REF! -#REF!,"")</f>
        <v/>
      </c>
      <c r="L1303" t="str">
        <f t="shared" ref="L1303:L1366" si="2600">IF(AND(ISNUMBER(#REF!), ISNUMBER(#REF!)),#REF! -#REF!,"")</f>
        <v/>
      </c>
    </row>
    <row r="1304" spans="10:12">
      <c r="J1304" t="str">
        <f t="shared" ref="J1304:J1367" si="2601">IF(AND(ISNUMBER(#REF!), ISNUMBER(#REF!)),#REF! -#REF!,"")</f>
        <v/>
      </c>
      <c r="L1304" t="str">
        <f t="shared" ref="L1304:L1367" si="2602">IF(AND(ISNUMBER(#REF!), ISNUMBER(#REF!)),#REF! -#REF!,"")</f>
        <v/>
      </c>
    </row>
    <row r="1305" spans="10:12">
      <c r="J1305" t="str">
        <f t="shared" ref="J1305:J1368" si="2603">IF(AND(ISNUMBER(#REF!), ISNUMBER(#REF!)),#REF! -#REF!,"")</f>
        <v/>
      </c>
      <c r="L1305" t="str">
        <f t="shared" ref="L1305:L1368" si="2604">IF(AND(ISNUMBER(#REF!), ISNUMBER(#REF!)),#REF! -#REF!,"")</f>
        <v/>
      </c>
    </row>
    <row r="1306" spans="10:12">
      <c r="J1306" t="str">
        <f t="shared" ref="J1306:J1369" si="2605">IF(AND(ISNUMBER(#REF!), ISNUMBER(#REF!)),#REF! -#REF!,"")</f>
        <v/>
      </c>
      <c r="L1306" t="str">
        <f t="shared" ref="L1306:L1369" si="2606">IF(AND(ISNUMBER(#REF!), ISNUMBER(#REF!)),#REF! -#REF!,"")</f>
        <v/>
      </c>
    </row>
    <row r="1307" spans="10:12">
      <c r="J1307" t="str">
        <f t="shared" ref="J1307:J1370" si="2607">IF(AND(ISNUMBER(#REF!), ISNUMBER(#REF!)),#REF! -#REF!,"")</f>
        <v/>
      </c>
      <c r="L1307" t="str">
        <f t="shared" ref="L1307:L1370" si="2608">IF(AND(ISNUMBER(#REF!), ISNUMBER(#REF!)),#REF! -#REF!,"")</f>
        <v/>
      </c>
    </row>
    <row r="1308" spans="10:12">
      <c r="J1308" t="str">
        <f t="shared" ref="J1308:J1371" si="2609">IF(AND(ISNUMBER(#REF!), ISNUMBER(#REF!)),#REF! -#REF!,"")</f>
        <v/>
      </c>
      <c r="L1308" t="str">
        <f t="shared" ref="L1308:L1371" si="2610">IF(AND(ISNUMBER(#REF!), ISNUMBER(#REF!)),#REF! -#REF!,"")</f>
        <v/>
      </c>
    </row>
    <row r="1309" spans="10:12">
      <c r="J1309" t="str">
        <f t="shared" ref="J1309:J1372" si="2611">IF(AND(ISNUMBER(#REF!), ISNUMBER(#REF!)),#REF! -#REF!,"")</f>
        <v/>
      </c>
      <c r="L1309" t="str">
        <f t="shared" ref="L1309:L1372" si="2612">IF(AND(ISNUMBER(#REF!), ISNUMBER(#REF!)),#REF! -#REF!,"")</f>
        <v/>
      </c>
    </row>
    <row r="1310" spans="10:12">
      <c r="J1310" t="str">
        <f t="shared" ref="J1310:J1373" si="2613">IF(AND(ISNUMBER(#REF!), ISNUMBER(#REF!)),#REF! -#REF!,"")</f>
        <v/>
      </c>
      <c r="L1310" t="str">
        <f t="shared" ref="L1310:L1373" si="2614">IF(AND(ISNUMBER(#REF!), ISNUMBER(#REF!)),#REF! -#REF!,"")</f>
        <v/>
      </c>
    </row>
    <row r="1311" spans="10:12">
      <c r="J1311" t="str">
        <f t="shared" ref="J1311:J1374" si="2615">IF(AND(ISNUMBER(#REF!), ISNUMBER(#REF!)),#REF! -#REF!,"")</f>
        <v/>
      </c>
      <c r="L1311" t="str">
        <f t="shared" ref="L1311:L1374" si="2616">IF(AND(ISNUMBER(#REF!), ISNUMBER(#REF!)),#REF! -#REF!,"")</f>
        <v/>
      </c>
    </row>
    <row r="1312" spans="10:12">
      <c r="J1312" t="str">
        <f t="shared" ref="J1312:J1375" si="2617">IF(AND(ISNUMBER(#REF!), ISNUMBER(#REF!)),#REF! -#REF!,"")</f>
        <v/>
      </c>
      <c r="L1312" t="str">
        <f t="shared" ref="L1312:L1375" si="2618">IF(AND(ISNUMBER(#REF!), ISNUMBER(#REF!)),#REF! -#REF!,"")</f>
        <v/>
      </c>
    </row>
    <row r="1313" spans="10:12">
      <c r="J1313" t="str">
        <f t="shared" ref="J1313:J1376" si="2619">IF(AND(ISNUMBER(#REF!), ISNUMBER(#REF!)),#REF! -#REF!,"")</f>
        <v/>
      </c>
      <c r="L1313" t="str">
        <f t="shared" ref="L1313:L1376" si="2620">IF(AND(ISNUMBER(#REF!), ISNUMBER(#REF!)),#REF! -#REF!,"")</f>
        <v/>
      </c>
    </row>
    <row r="1314" spans="10:12">
      <c r="J1314" t="str">
        <f t="shared" ref="J1314:J1377" si="2621">IF(AND(ISNUMBER(#REF!), ISNUMBER(#REF!)),#REF! -#REF!,"")</f>
        <v/>
      </c>
      <c r="L1314" t="str">
        <f t="shared" ref="L1314:L1377" si="2622">IF(AND(ISNUMBER(#REF!), ISNUMBER(#REF!)),#REF! -#REF!,"")</f>
        <v/>
      </c>
    </row>
    <row r="1315" spans="10:12">
      <c r="J1315" t="str">
        <f t="shared" ref="J1315:J1378" si="2623">IF(AND(ISNUMBER(#REF!), ISNUMBER(#REF!)),#REF! -#REF!,"")</f>
        <v/>
      </c>
      <c r="L1315" t="str">
        <f t="shared" ref="L1315:L1378" si="2624">IF(AND(ISNUMBER(#REF!), ISNUMBER(#REF!)),#REF! -#REF!,"")</f>
        <v/>
      </c>
    </row>
    <row r="1316" spans="10:12">
      <c r="J1316" t="str">
        <f t="shared" ref="J1316:J1379" si="2625">IF(AND(ISNUMBER(#REF!), ISNUMBER(#REF!)),#REF! -#REF!,"")</f>
        <v/>
      </c>
      <c r="L1316" t="str">
        <f t="shared" ref="L1316:L1379" si="2626">IF(AND(ISNUMBER(#REF!), ISNUMBER(#REF!)),#REF! -#REF!,"")</f>
        <v/>
      </c>
    </row>
    <row r="1317" spans="10:12">
      <c r="J1317" t="str">
        <f t="shared" ref="J1317:J1380" si="2627">IF(AND(ISNUMBER(#REF!), ISNUMBER(#REF!)),#REF! -#REF!,"")</f>
        <v/>
      </c>
      <c r="L1317" t="str">
        <f t="shared" ref="L1317:L1380" si="2628">IF(AND(ISNUMBER(#REF!), ISNUMBER(#REF!)),#REF! -#REF!,"")</f>
        <v/>
      </c>
    </row>
    <row r="1318" spans="10:12">
      <c r="J1318" t="str">
        <f t="shared" ref="J1318:J1381" si="2629">IF(AND(ISNUMBER(#REF!), ISNUMBER(#REF!)),#REF! -#REF!,"")</f>
        <v/>
      </c>
      <c r="L1318" t="str">
        <f t="shared" ref="L1318:L1381" si="2630">IF(AND(ISNUMBER(#REF!), ISNUMBER(#REF!)),#REF! -#REF!,"")</f>
        <v/>
      </c>
    </row>
    <row r="1319" spans="10:12">
      <c r="J1319" t="str">
        <f t="shared" ref="J1319:J1382" si="2631">IF(AND(ISNUMBER(#REF!), ISNUMBER(#REF!)),#REF! -#REF!,"")</f>
        <v/>
      </c>
      <c r="L1319" t="str">
        <f t="shared" ref="L1319:L1382" si="2632">IF(AND(ISNUMBER(#REF!), ISNUMBER(#REF!)),#REF! -#REF!,"")</f>
        <v/>
      </c>
    </row>
    <row r="1320" spans="10:12">
      <c r="J1320" t="str">
        <f t="shared" ref="J1320:J1383" si="2633">IF(AND(ISNUMBER(#REF!), ISNUMBER(#REF!)),#REF! -#REF!,"")</f>
        <v/>
      </c>
      <c r="L1320" t="str">
        <f t="shared" ref="L1320:L1383" si="2634">IF(AND(ISNUMBER(#REF!), ISNUMBER(#REF!)),#REF! -#REF!,"")</f>
        <v/>
      </c>
    </row>
    <row r="1321" spans="10:12">
      <c r="J1321" t="str">
        <f t="shared" ref="J1321:J1384" si="2635">IF(AND(ISNUMBER(#REF!), ISNUMBER(#REF!)),#REF! -#REF!,"")</f>
        <v/>
      </c>
      <c r="L1321" t="str">
        <f t="shared" ref="L1321:L1384" si="2636">IF(AND(ISNUMBER(#REF!), ISNUMBER(#REF!)),#REF! -#REF!,"")</f>
        <v/>
      </c>
    </row>
    <row r="1322" spans="10:12">
      <c r="J1322" t="str">
        <f t="shared" ref="J1322:J1385" si="2637">IF(AND(ISNUMBER(#REF!), ISNUMBER(#REF!)),#REF! -#REF!,"")</f>
        <v/>
      </c>
      <c r="L1322" t="str">
        <f t="shared" ref="L1322:L1385" si="2638">IF(AND(ISNUMBER(#REF!), ISNUMBER(#REF!)),#REF! -#REF!,"")</f>
        <v/>
      </c>
    </row>
    <row r="1323" spans="10:12">
      <c r="J1323" t="str">
        <f t="shared" ref="J1323:J1386" si="2639">IF(AND(ISNUMBER(#REF!), ISNUMBER(#REF!)),#REF! -#REF!,"")</f>
        <v/>
      </c>
      <c r="L1323" t="str">
        <f t="shared" ref="L1323:L1386" si="2640">IF(AND(ISNUMBER(#REF!), ISNUMBER(#REF!)),#REF! -#REF!,"")</f>
        <v/>
      </c>
    </row>
    <row r="1324" spans="10:12">
      <c r="J1324" t="str">
        <f t="shared" ref="J1324:J1387" si="2641">IF(AND(ISNUMBER(#REF!), ISNUMBER(#REF!)),#REF! -#REF!,"")</f>
        <v/>
      </c>
      <c r="L1324" t="str">
        <f t="shared" ref="L1324:L1387" si="2642">IF(AND(ISNUMBER(#REF!), ISNUMBER(#REF!)),#REF! -#REF!,"")</f>
        <v/>
      </c>
    </row>
    <row r="1325" spans="10:12">
      <c r="J1325" t="str">
        <f t="shared" ref="J1325:J1388" si="2643">IF(AND(ISNUMBER(#REF!), ISNUMBER(#REF!)),#REF! -#REF!,"")</f>
        <v/>
      </c>
      <c r="L1325" t="str">
        <f t="shared" ref="L1325:L1388" si="2644">IF(AND(ISNUMBER(#REF!), ISNUMBER(#REF!)),#REF! -#REF!,"")</f>
        <v/>
      </c>
    </row>
    <row r="1326" spans="10:12">
      <c r="J1326" t="str">
        <f t="shared" ref="J1326:J1389" si="2645">IF(AND(ISNUMBER(#REF!), ISNUMBER(#REF!)),#REF! -#REF!,"")</f>
        <v/>
      </c>
      <c r="L1326" t="str">
        <f t="shared" ref="L1326:L1389" si="2646">IF(AND(ISNUMBER(#REF!), ISNUMBER(#REF!)),#REF! -#REF!,"")</f>
        <v/>
      </c>
    </row>
    <row r="1327" spans="10:12">
      <c r="J1327" t="str">
        <f t="shared" ref="J1327:J1390" si="2647">IF(AND(ISNUMBER(#REF!), ISNUMBER(#REF!)),#REF! -#REF!,"")</f>
        <v/>
      </c>
      <c r="L1327" t="str">
        <f t="shared" ref="L1327:L1390" si="2648">IF(AND(ISNUMBER(#REF!), ISNUMBER(#REF!)),#REF! -#REF!,"")</f>
        <v/>
      </c>
    </row>
    <row r="1328" spans="10:12">
      <c r="J1328" t="str">
        <f t="shared" ref="J1328:J1391" si="2649">IF(AND(ISNUMBER(#REF!), ISNUMBER(#REF!)),#REF! -#REF!,"")</f>
        <v/>
      </c>
      <c r="L1328" t="str">
        <f t="shared" ref="L1328:L1391" si="2650">IF(AND(ISNUMBER(#REF!), ISNUMBER(#REF!)),#REF! -#REF!,"")</f>
        <v/>
      </c>
    </row>
    <row r="1329" spans="10:12">
      <c r="J1329" t="str">
        <f t="shared" ref="J1329:J1392" si="2651">IF(AND(ISNUMBER(#REF!), ISNUMBER(#REF!)),#REF! -#REF!,"")</f>
        <v/>
      </c>
      <c r="L1329" t="str">
        <f t="shared" ref="L1329:L1392" si="2652">IF(AND(ISNUMBER(#REF!), ISNUMBER(#REF!)),#REF! -#REF!,"")</f>
        <v/>
      </c>
    </row>
    <row r="1330" spans="10:12">
      <c r="J1330" t="str">
        <f t="shared" ref="J1330:J1393" si="2653">IF(AND(ISNUMBER(#REF!), ISNUMBER(#REF!)),#REF! -#REF!,"")</f>
        <v/>
      </c>
      <c r="L1330" t="str">
        <f t="shared" ref="L1330:L1393" si="2654">IF(AND(ISNUMBER(#REF!), ISNUMBER(#REF!)),#REF! -#REF!,"")</f>
        <v/>
      </c>
    </row>
    <row r="1331" spans="10:12">
      <c r="J1331" t="str">
        <f t="shared" ref="J1331:J1394" si="2655">IF(AND(ISNUMBER(#REF!), ISNUMBER(#REF!)),#REF! -#REF!,"")</f>
        <v/>
      </c>
      <c r="L1331" t="str">
        <f t="shared" ref="L1331:L1394" si="2656">IF(AND(ISNUMBER(#REF!), ISNUMBER(#REF!)),#REF! -#REF!,"")</f>
        <v/>
      </c>
    </row>
    <row r="1332" spans="10:12">
      <c r="J1332" t="str">
        <f t="shared" ref="J1332:J1395" si="2657">IF(AND(ISNUMBER(#REF!), ISNUMBER(#REF!)),#REF! -#REF!,"")</f>
        <v/>
      </c>
      <c r="L1332" t="str">
        <f t="shared" ref="L1332:L1395" si="2658">IF(AND(ISNUMBER(#REF!), ISNUMBER(#REF!)),#REF! -#REF!,"")</f>
        <v/>
      </c>
    </row>
    <row r="1333" spans="10:12">
      <c r="J1333" t="str">
        <f t="shared" ref="J1333:J1396" si="2659">IF(AND(ISNUMBER(#REF!), ISNUMBER(#REF!)),#REF! -#REF!,"")</f>
        <v/>
      </c>
      <c r="L1333" t="str">
        <f t="shared" ref="L1333:L1396" si="2660">IF(AND(ISNUMBER(#REF!), ISNUMBER(#REF!)),#REF! -#REF!,"")</f>
        <v/>
      </c>
    </row>
    <row r="1334" spans="10:12">
      <c r="J1334" t="str">
        <f t="shared" ref="J1334:J1397" si="2661">IF(AND(ISNUMBER(#REF!), ISNUMBER(#REF!)),#REF! -#REF!,"")</f>
        <v/>
      </c>
      <c r="L1334" t="str">
        <f t="shared" ref="L1334:L1397" si="2662">IF(AND(ISNUMBER(#REF!), ISNUMBER(#REF!)),#REF! -#REF!,"")</f>
        <v/>
      </c>
    </row>
    <row r="1335" spans="10:12">
      <c r="J1335" t="str">
        <f t="shared" ref="J1335:J1398" si="2663">IF(AND(ISNUMBER(#REF!), ISNUMBER(#REF!)),#REF! -#REF!,"")</f>
        <v/>
      </c>
      <c r="L1335" t="str">
        <f t="shared" ref="L1335:L1398" si="2664">IF(AND(ISNUMBER(#REF!), ISNUMBER(#REF!)),#REF! -#REF!,"")</f>
        <v/>
      </c>
    </row>
    <row r="1336" spans="10:12">
      <c r="J1336" t="str">
        <f t="shared" ref="J1336:J1399" si="2665">IF(AND(ISNUMBER(#REF!), ISNUMBER(#REF!)),#REF! -#REF!,"")</f>
        <v/>
      </c>
      <c r="L1336" t="str">
        <f t="shared" ref="L1336:L1399" si="2666">IF(AND(ISNUMBER(#REF!), ISNUMBER(#REF!)),#REF! -#REF!,"")</f>
        <v/>
      </c>
    </row>
    <row r="1337" spans="10:12">
      <c r="J1337" t="str">
        <f t="shared" ref="J1337:J1400" si="2667">IF(AND(ISNUMBER(#REF!), ISNUMBER(#REF!)),#REF! -#REF!,"")</f>
        <v/>
      </c>
      <c r="L1337" t="str">
        <f t="shared" ref="L1337:L1400" si="2668">IF(AND(ISNUMBER(#REF!), ISNUMBER(#REF!)),#REF! -#REF!,"")</f>
        <v/>
      </c>
    </row>
    <row r="1338" spans="10:12">
      <c r="J1338" t="str">
        <f t="shared" ref="J1338:J1401" si="2669">IF(AND(ISNUMBER(#REF!), ISNUMBER(#REF!)),#REF! -#REF!,"")</f>
        <v/>
      </c>
      <c r="L1338" t="str">
        <f t="shared" ref="L1338:L1401" si="2670">IF(AND(ISNUMBER(#REF!), ISNUMBER(#REF!)),#REF! -#REF!,"")</f>
        <v/>
      </c>
    </row>
    <row r="1339" spans="10:12">
      <c r="J1339" t="str">
        <f t="shared" ref="J1339:J1402" si="2671">IF(AND(ISNUMBER(#REF!), ISNUMBER(#REF!)),#REF! -#REF!,"")</f>
        <v/>
      </c>
      <c r="L1339" t="str">
        <f t="shared" ref="L1339:L1402" si="2672">IF(AND(ISNUMBER(#REF!), ISNUMBER(#REF!)),#REF! -#REF!,"")</f>
        <v/>
      </c>
    </row>
    <row r="1340" spans="10:12">
      <c r="J1340" t="str">
        <f t="shared" ref="J1340:J1403" si="2673">IF(AND(ISNUMBER(#REF!), ISNUMBER(#REF!)),#REF! -#REF!,"")</f>
        <v/>
      </c>
      <c r="L1340" t="str">
        <f t="shared" ref="L1340:L1403" si="2674">IF(AND(ISNUMBER(#REF!), ISNUMBER(#REF!)),#REF! -#REF!,"")</f>
        <v/>
      </c>
    </row>
    <row r="1341" spans="10:12">
      <c r="J1341" t="str">
        <f t="shared" ref="J1341:J1404" si="2675">IF(AND(ISNUMBER(#REF!), ISNUMBER(#REF!)),#REF! -#REF!,"")</f>
        <v/>
      </c>
      <c r="L1341" t="str">
        <f t="shared" ref="L1341:L1404" si="2676">IF(AND(ISNUMBER(#REF!), ISNUMBER(#REF!)),#REF! -#REF!,"")</f>
        <v/>
      </c>
    </row>
    <row r="1342" spans="10:12">
      <c r="J1342" t="str">
        <f t="shared" ref="J1342:J1405" si="2677">IF(AND(ISNUMBER(#REF!), ISNUMBER(#REF!)),#REF! -#REF!,"")</f>
        <v/>
      </c>
      <c r="L1342" t="str">
        <f t="shared" ref="L1342:L1405" si="2678">IF(AND(ISNUMBER(#REF!), ISNUMBER(#REF!)),#REF! -#REF!,"")</f>
        <v/>
      </c>
    </row>
    <row r="1343" spans="10:12">
      <c r="J1343" t="str">
        <f t="shared" ref="J1343:J1406" si="2679">IF(AND(ISNUMBER(#REF!), ISNUMBER(#REF!)),#REF! -#REF!,"")</f>
        <v/>
      </c>
      <c r="L1343" t="str">
        <f t="shared" ref="L1343:L1406" si="2680">IF(AND(ISNUMBER(#REF!), ISNUMBER(#REF!)),#REF! -#REF!,"")</f>
        <v/>
      </c>
    </row>
    <row r="1344" spans="10:12">
      <c r="J1344" t="str">
        <f t="shared" ref="J1344:J1407" si="2681">IF(AND(ISNUMBER(#REF!), ISNUMBER(#REF!)),#REF! -#REF!,"")</f>
        <v/>
      </c>
      <c r="L1344" t="str">
        <f t="shared" ref="L1344:L1407" si="2682">IF(AND(ISNUMBER(#REF!), ISNUMBER(#REF!)),#REF! -#REF!,"")</f>
        <v/>
      </c>
    </row>
    <row r="1345" spans="10:12">
      <c r="J1345" t="str">
        <f t="shared" ref="J1345:J1408" si="2683">IF(AND(ISNUMBER(#REF!), ISNUMBER(#REF!)),#REF! -#REF!,"")</f>
        <v/>
      </c>
      <c r="L1345" t="str">
        <f t="shared" ref="L1345:L1408" si="2684">IF(AND(ISNUMBER(#REF!), ISNUMBER(#REF!)),#REF! -#REF!,"")</f>
        <v/>
      </c>
    </row>
    <row r="1346" spans="10:12">
      <c r="J1346" t="str">
        <f t="shared" ref="J1346:J1409" si="2685">IF(AND(ISNUMBER(#REF!), ISNUMBER(#REF!)),#REF! -#REF!,"")</f>
        <v/>
      </c>
      <c r="L1346" t="str">
        <f t="shared" ref="L1346:L1409" si="2686">IF(AND(ISNUMBER(#REF!), ISNUMBER(#REF!)),#REF! -#REF!,"")</f>
        <v/>
      </c>
    </row>
    <row r="1347" spans="10:12">
      <c r="J1347" t="str">
        <f t="shared" ref="J1347:J1410" si="2687">IF(AND(ISNUMBER(#REF!), ISNUMBER(#REF!)),#REF! -#REF!,"")</f>
        <v/>
      </c>
      <c r="L1347" t="str">
        <f t="shared" ref="L1347:L1410" si="2688">IF(AND(ISNUMBER(#REF!), ISNUMBER(#REF!)),#REF! -#REF!,"")</f>
        <v/>
      </c>
    </row>
    <row r="1348" spans="10:12">
      <c r="J1348" t="str">
        <f t="shared" ref="J1348:J1411" si="2689">IF(AND(ISNUMBER(#REF!), ISNUMBER(#REF!)),#REF! -#REF!,"")</f>
        <v/>
      </c>
      <c r="L1348" t="str">
        <f t="shared" ref="L1348:L1411" si="2690">IF(AND(ISNUMBER(#REF!), ISNUMBER(#REF!)),#REF! -#REF!,"")</f>
        <v/>
      </c>
    </row>
    <row r="1349" spans="10:12">
      <c r="J1349" t="str">
        <f t="shared" ref="J1349:J1412" si="2691">IF(AND(ISNUMBER(#REF!), ISNUMBER(#REF!)),#REF! -#REF!,"")</f>
        <v/>
      </c>
      <c r="L1349" t="str">
        <f t="shared" ref="L1349:L1412" si="2692">IF(AND(ISNUMBER(#REF!), ISNUMBER(#REF!)),#REF! -#REF!,"")</f>
        <v/>
      </c>
    </row>
    <row r="1350" spans="10:12">
      <c r="J1350" t="str">
        <f t="shared" ref="J1350:J1413" si="2693">IF(AND(ISNUMBER(#REF!), ISNUMBER(#REF!)),#REF! -#REF!,"")</f>
        <v/>
      </c>
      <c r="L1350" t="str">
        <f t="shared" ref="L1350:L1413" si="2694">IF(AND(ISNUMBER(#REF!), ISNUMBER(#REF!)),#REF! -#REF!,"")</f>
        <v/>
      </c>
    </row>
    <row r="1351" spans="10:12">
      <c r="J1351" t="str">
        <f t="shared" ref="J1351:J1414" si="2695">IF(AND(ISNUMBER(#REF!), ISNUMBER(#REF!)),#REF! -#REF!,"")</f>
        <v/>
      </c>
      <c r="L1351" t="str">
        <f t="shared" ref="L1351:L1414" si="2696">IF(AND(ISNUMBER(#REF!), ISNUMBER(#REF!)),#REF! -#REF!,"")</f>
        <v/>
      </c>
    </row>
    <row r="1352" spans="10:12">
      <c r="J1352" t="str">
        <f t="shared" ref="J1352:J1415" si="2697">IF(AND(ISNUMBER(#REF!), ISNUMBER(#REF!)),#REF! -#REF!,"")</f>
        <v/>
      </c>
      <c r="L1352" t="str">
        <f t="shared" ref="L1352:L1415" si="2698">IF(AND(ISNUMBER(#REF!), ISNUMBER(#REF!)),#REF! -#REF!,"")</f>
        <v/>
      </c>
    </row>
    <row r="1353" spans="10:12">
      <c r="J1353" t="str">
        <f t="shared" ref="J1353:J1416" si="2699">IF(AND(ISNUMBER(#REF!), ISNUMBER(#REF!)),#REF! -#REF!,"")</f>
        <v/>
      </c>
      <c r="L1353" t="str">
        <f t="shared" ref="L1353:L1416" si="2700">IF(AND(ISNUMBER(#REF!), ISNUMBER(#REF!)),#REF! -#REF!,"")</f>
        <v/>
      </c>
    </row>
    <row r="1354" spans="10:12">
      <c r="J1354" t="str">
        <f t="shared" ref="J1354:J1417" si="2701">IF(AND(ISNUMBER(#REF!), ISNUMBER(#REF!)),#REF! -#REF!,"")</f>
        <v/>
      </c>
      <c r="L1354" t="str">
        <f t="shared" ref="L1354:L1417" si="2702">IF(AND(ISNUMBER(#REF!), ISNUMBER(#REF!)),#REF! -#REF!,"")</f>
        <v/>
      </c>
    </row>
    <row r="1355" spans="10:12">
      <c r="J1355" t="str">
        <f t="shared" ref="J1355:J1418" si="2703">IF(AND(ISNUMBER(#REF!), ISNUMBER(#REF!)),#REF! -#REF!,"")</f>
        <v/>
      </c>
      <c r="L1355" t="str">
        <f t="shared" ref="L1355:L1418" si="2704">IF(AND(ISNUMBER(#REF!), ISNUMBER(#REF!)),#REF! -#REF!,"")</f>
        <v/>
      </c>
    </row>
    <row r="1356" spans="10:12">
      <c r="J1356" t="str">
        <f t="shared" ref="J1356:J1419" si="2705">IF(AND(ISNUMBER(#REF!), ISNUMBER(#REF!)),#REF! -#REF!,"")</f>
        <v/>
      </c>
      <c r="L1356" t="str">
        <f t="shared" ref="L1356:L1419" si="2706">IF(AND(ISNUMBER(#REF!), ISNUMBER(#REF!)),#REF! -#REF!,"")</f>
        <v/>
      </c>
    </row>
    <row r="1357" spans="10:12">
      <c r="J1357" t="str">
        <f t="shared" ref="J1357:J1420" si="2707">IF(AND(ISNUMBER(#REF!), ISNUMBER(#REF!)),#REF! -#REF!,"")</f>
        <v/>
      </c>
      <c r="L1357" t="str">
        <f t="shared" ref="L1357:L1420" si="2708">IF(AND(ISNUMBER(#REF!), ISNUMBER(#REF!)),#REF! -#REF!,"")</f>
        <v/>
      </c>
    </row>
    <row r="1358" spans="10:12">
      <c r="J1358" t="str">
        <f t="shared" ref="J1358:J1421" si="2709">IF(AND(ISNUMBER(#REF!), ISNUMBER(#REF!)),#REF! -#REF!,"")</f>
        <v/>
      </c>
      <c r="L1358" t="str">
        <f t="shared" ref="L1358:L1421" si="2710">IF(AND(ISNUMBER(#REF!), ISNUMBER(#REF!)),#REF! -#REF!,"")</f>
        <v/>
      </c>
    </row>
    <row r="1359" spans="10:12">
      <c r="J1359" t="str">
        <f t="shared" ref="J1359:J1422" si="2711">IF(AND(ISNUMBER(#REF!), ISNUMBER(#REF!)),#REF! -#REF!,"")</f>
        <v/>
      </c>
      <c r="L1359" t="str">
        <f t="shared" ref="L1359:L1422" si="2712">IF(AND(ISNUMBER(#REF!), ISNUMBER(#REF!)),#REF! -#REF!,"")</f>
        <v/>
      </c>
    </row>
    <row r="1360" spans="10:12">
      <c r="J1360" t="str">
        <f t="shared" ref="J1360:J1423" si="2713">IF(AND(ISNUMBER(#REF!), ISNUMBER(#REF!)),#REF! -#REF!,"")</f>
        <v/>
      </c>
      <c r="L1360" t="str">
        <f t="shared" ref="L1360:L1423" si="2714">IF(AND(ISNUMBER(#REF!), ISNUMBER(#REF!)),#REF! -#REF!,"")</f>
        <v/>
      </c>
    </row>
    <row r="1361" spans="10:12">
      <c r="J1361" t="str">
        <f t="shared" ref="J1361:J1424" si="2715">IF(AND(ISNUMBER(#REF!), ISNUMBER(#REF!)),#REF! -#REF!,"")</f>
        <v/>
      </c>
      <c r="L1361" t="str">
        <f t="shared" ref="L1361:L1424" si="2716">IF(AND(ISNUMBER(#REF!), ISNUMBER(#REF!)),#REF! -#REF!,"")</f>
        <v/>
      </c>
    </row>
    <row r="1362" spans="10:12">
      <c r="J1362" t="str">
        <f t="shared" ref="J1362:J1425" si="2717">IF(AND(ISNUMBER(#REF!), ISNUMBER(#REF!)),#REF! -#REF!,"")</f>
        <v/>
      </c>
      <c r="L1362" t="str">
        <f t="shared" ref="L1362:L1425" si="2718">IF(AND(ISNUMBER(#REF!), ISNUMBER(#REF!)),#REF! -#REF!,"")</f>
        <v/>
      </c>
    </row>
    <row r="1363" spans="10:12">
      <c r="J1363" t="str">
        <f t="shared" ref="J1363:J1426" si="2719">IF(AND(ISNUMBER(#REF!), ISNUMBER(#REF!)),#REF! -#REF!,"")</f>
        <v/>
      </c>
      <c r="L1363" t="str">
        <f t="shared" ref="L1363:L1426" si="2720">IF(AND(ISNUMBER(#REF!), ISNUMBER(#REF!)),#REF! -#REF!,"")</f>
        <v/>
      </c>
    </row>
    <row r="1364" spans="10:12">
      <c r="J1364" t="str">
        <f t="shared" ref="J1364:J1427" si="2721">IF(AND(ISNUMBER(#REF!), ISNUMBER(#REF!)),#REF! -#REF!,"")</f>
        <v/>
      </c>
      <c r="L1364" t="str">
        <f t="shared" ref="L1364:L1427" si="2722">IF(AND(ISNUMBER(#REF!), ISNUMBER(#REF!)),#REF! -#REF!,"")</f>
        <v/>
      </c>
    </row>
    <row r="1365" spans="10:12">
      <c r="J1365" t="str">
        <f t="shared" ref="J1365:J1428" si="2723">IF(AND(ISNUMBER(#REF!), ISNUMBER(#REF!)),#REF! -#REF!,"")</f>
        <v/>
      </c>
      <c r="L1365" t="str">
        <f t="shared" ref="L1365:L1428" si="2724">IF(AND(ISNUMBER(#REF!), ISNUMBER(#REF!)),#REF! -#REF!,"")</f>
        <v/>
      </c>
    </row>
    <row r="1366" spans="10:12">
      <c r="J1366" t="str">
        <f t="shared" ref="J1366:J1429" si="2725">IF(AND(ISNUMBER(#REF!), ISNUMBER(#REF!)),#REF! -#REF!,"")</f>
        <v/>
      </c>
      <c r="L1366" t="str">
        <f t="shared" ref="L1366:L1429" si="2726">IF(AND(ISNUMBER(#REF!), ISNUMBER(#REF!)),#REF! -#REF!,"")</f>
        <v/>
      </c>
    </row>
    <row r="1367" spans="10:12">
      <c r="J1367" t="str">
        <f t="shared" ref="J1367:J1430" si="2727">IF(AND(ISNUMBER(#REF!), ISNUMBER(#REF!)),#REF! -#REF!,"")</f>
        <v/>
      </c>
      <c r="L1367" t="str">
        <f t="shared" ref="L1367:L1430" si="2728">IF(AND(ISNUMBER(#REF!), ISNUMBER(#REF!)),#REF! -#REF!,"")</f>
        <v/>
      </c>
    </row>
    <row r="1368" spans="10:12">
      <c r="J1368" t="str">
        <f t="shared" ref="J1368:J1431" si="2729">IF(AND(ISNUMBER(#REF!), ISNUMBER(#REF!)),#REF! -#REF!,"")</f>
        <v/>
      </c>
      <c r="L1368" t="str">
        <f t="shared" ref="L1368:L1431" si="2730">IF(AND(ISNUMBER(#REF!), ISNUMBER(#REF!)),#REF! -#REF!,"")</f>
        <v/>
      </c>
    </row>
    <row r="1369" spans="10:12">
      <c r="J1369" t="str">
        <f t="shared" ref="J1369:J1432" si="2731">IF(AND(ISNUMBER(#REF!), ISNUMBER(#REF!)),#REF! -#REF!,"")</f>
        <v/>
      </c>
      <c r="L1369" t="str">
        <f t="shared" ref="L1369:L1432" si="2732">IF(AND(ISNUMBER(#REF!), ISNUMBER(#REF!)),#REF! -#REF!,"")</f>
        <v/>
      </c>
    </row>
    <row r="1370" spans="10:12">
      <c r="J1370" t="str">
        <f t="shared" ref="J1370:J1433" si="2733">IF(AND(ISNUMBER(#REF!), ISNUMBER(#REF!)),#REF! -#REF!,"")</f>
        <v/>
      </c>
      <c r="L1370" t="str">
        <f t="shared" ref="L1370:L1433" si="2734">IF(AND(ISNUMBER(#REF!), ISNUMBER(#REF!)),#REF! -#REF!,"")</f>
        <v/>
      </c>
    </row>
    <row r="1371" spans="10:12">
      <c r="J1371" t="str">
        <f t="shared" ref="J1371:J1434" si="2735">IF(AND(ISNUMBER(#REF!), ISNUMBER(#REF!)),#REF! -#REF!,"")</f>
        <v/>
      </c>
      <c r="L1371" t="str">
        <f t="shared" ref="L1371:L1434" si="2736">IF(AND(ISNUMBER(#REF!), ISNUMBER(#REF!)),#REF! -#REF!,"")</f>
        <v/>
      </c>
    </row>
    <row r="1372" spans="10:12">
      <c r="J1372" t="str">
        <f t="shared" ref="J1372:J1435" si="2737">IF(AND(ISNUMBER(#REF!), ISNUMBER(#REF!)),#REF! -#REF!,"")</f>
        <v/>
      </c>
      <c r="L1372" t="str">
        <f t="shared" ref="L1372:L1435" si="2738">IF(AND(ISNUMBER(#REF!), ISNUMBER(#REF!)),#REF! -#REF!,"")</f>
        <v/>
      </c>
    </row>
    <row r="1373" spans="10:12">
      <c r="J1373" t="str">
        <f t="shared" ref="J1373:J1436" si="2739">IF(AND(ISNUMBER(#REF!), ISNUMBER(#REF!)),#REF! -#REF!,"")</f>
        <v/>
      </c>
      <c r="L1373" t="str">
        <f t="shared" ref="L1373:L1436" si="2740">IF(AND(ISNUMBER(#REF!), ISNUMBER(#REF!)),#REF! -#REF!,"")</f>
        <v/>
      </c>
    </row>
    <row r="1374" spans="10:12">
      <c r="J1374" t="str">
        <f t="shared" ref="J1374:J1437" si="2741">IF(AND(ISNUMBER(#REF!), ISNUMBER(#REF!)),#REF! -#REF!,"")</f>
        <v/>
      </c>
      <c r="L1374" t="str">
        <f t="shared" ref="L1374:L1437" si="2742">IF(AND(ISNUMBER(#REF!), ISNUMBER(#REF!)),#REF! -#REF!,"")</f>
        <v/>
      </c>
    </row>
    <row r="1375" spans="10:12">
      <c r="J1375" t="str">
        <f t="shared" ref="J1375:J1438" si="2743">IF(AND(ISNUMBER(#REF!), ISNUMBER(#REF!)),#REF! -#REF!,"")</f>
        <v/>
      </c>
      <c r="L1375" t="str">
        <f t="shared" ref="L1375:L1438" si="2744">IF(AND(ISNUMBER(#REF!), ISNUMBER(#REF!)),#REF! -#REF!,"")</f>
        <v/>
      </c>
    </row>
    <row r="1376" spans="10:12">
      <c r="J1376" t="str">
        <f t="shared" ref="J1376:J1439" si="2745">IF(AND(ISNUMBER(#REF!), ISNUMBER(#REF!)),#REF! -#REF!,"")</f>
        <v/>
      </c>
      <c r="L1376" t="str">
        <f t="shared" ref="L1376:L1439" si="2746">IF(AND(ISNUMBER(#REF!), ISNUMBER(#REF!)),#REF! -#REF!,"")</f>
        <v/>
      </c>
    </row>
    <row r="1377" spans="10:12">
      <c r="J1377" t="str">
        <f t="shared" ref="J1377:J1440" si="2747">IF(AND(ISNUMBER(#REF!), ISNUMBER(#REF!)),#REF! -#REF!,"")</f>
        <v/>
      </c>
      <c r="L1377" t="str">
        <f t="shared" ref="L1377:L1440" si="2748">IF(AND(ISNUMBER(#REF!), ISNUMBER(#REF!)),#REF! -#REF!,"")</f>
        <v/>
      </c>
    </row>
    <row r="1378" spans="10:12">
      <c r="J1378" t="str">
        <f t="shared" ref="J1378:J1441" si="2749">IF(AND(ISNUMBER(#REF!), ISNUMBER(#REF!)),#REF! -#REF!,"")</f>
        <v/>
      </c>
      <c r="L1378" t="str">
        <f t="shared" ref="L1378:L1441" si="2750">IF(AND(ISNUMBER(#REF!), ISNUMBER(#REF!)),#REF! -#REF!,"")</f>
        <v/>
      </c>
    </row>
    <row r="1379" spans="10:12">
      <c r="J1379" t="str">
        <f t="shared" ref="J1379:J1442" si="2751">IF(AND(ISNUMBER(#REF!), ISNUMBER(#REF!)),#REF! -#REF!,"")</f>
        <v/>
      </c>
      <c r="L1379" t="str">
        <f t="shared" ref="L1379:L1442" si="2752">IF(AND(ISNUMBER(#REF!), ISNUMBER(#REF!)),#REF! -#REF!,"")</f>
        <v/>
      </c>
    </row>
    <row r="1380" spans="10:12">
      <c r="J1380" t="str">
        <f t="shared" ref="J1380:J1443" si="2753">IF(AND(ISNUMBER(#REF!), ISNUMBER(#REF!)),#REF! -#REF!,"")</f>
        <v/>
      </c>
      <c r="L1380" t="str">
        <f t="shared" ref="L1380:L1443" si="2754">IF(AND(ISNUMBER(#REF!), ISNUMBER(#REF!)),#REF! -#REF!,"")</f>
        <v/>
      </c>
    </row>
    <row r="1381" spans="10:12">
      <c r="J1381" t="str">
        <f t="shared" ref="J1381:J1444" si="2755">IF(AND(ISNUMBER(#REF!), ISNUMBER(#REF!)),#REF! -#REF!,"")</f>
        <v/>
      </c>
      <c r="L1381" t="str">
        <f t="shared" ref="L1381:L1444" si="2756">IF(AND(ISNUMBER(#REF!), ISNUMBER(#REF!)),#REF! -#REF!,"")</f>
        <v/>
      </c>
    </row>
    <row r="1382" spans="10:12">
      <c r="J1382" t="str">
        <f t="shared" ref="J1382:J1445" si="2757">IF(AND(ISNUMBER(#REF!), ISNUMBER(#REF!)),#REF! -#REF!,"")</f>
        <v/>
      </c>
      <c r="L1382" t="str">
        <f t="shared" ref="L1382:L1445" si="2758">IF(AND(ISNUMBER(#REF!), ISNUMBER(#REF!)),#REF! -#REF!,"")</f>
        <v/>
      </c>
    </row>
    <row r="1383" spans="10:12">
      <c r="J1383" t="str">
        <f t="shared" ref="J1383:J1446" si="2759">IF(AND(ISNUMBER(#REF!), ISNUMBER(#REF!)),#REF! -#REF!,"")</f>
        <v/>
      </c>
      <c r="L1383" t="str">
        <f t="shared" ref="L1383:L1446" si="2760">IF(AND(ISNUMBER(#REF!), ISNUMBER(#REF!)),#REF! -#REF!,"")</f>
        <v/>
      </c>
    </row>
    <row r="1384" spans="10:12">
      <c r="J1384" t="str">
        <f t="shared" ref="J1384:J1447" si="2761">IF(AND(ISNUMBER(#REF!), ISNUMBER(#REF!)),#REF! -#REF!,"")</f>
        <v/>
      </c>
      <c r="L1384" t="str">
        <f t="shared" ref="L1384:L1447" si="2762">IF(AND(ISNUMBER(#REF!), ISNUMBER(#REF!)),#REF! -#REF!,"")</f>
        <v/>
      </c>
    </row>
    <row r="1385" spans="10:12">
      <c r="J1385" t="str">
        <f t="shared" ref="J1385:J1448" si="2763">IF(AND(ISNUMBER(#REF!), ISNUMBER(#REF!)),#REF! -#REF!,"")</f>
        <v/>
      </c>
      <c r="L1385" t="str">
        <f t="shared" ref="L1385:L1448" si="2764">IF(AND(ISNUMBER(#REF!), ISNUMBER(#REF!)),#REF! -#REF!,"")</f>
        <v/>
      </c>
    </row>
    <row r="1386" spans="10:12">
      <c r="J1386" t="str">
        <f t="shared" ref="J1386:J1449" si="2765">IF(AND(ISNUMBER(#REF!), ISNUMBER(#REF!)),#REF! -#REF!,"")</f>
        <v/>
      </c>
      <c r="L1386" t="str">
        <f t="shared" ref="L1386:L1449" si="2766">IF(AND(ISNUMBER(#REF!), ISNUMBER(#REF!)),#REF! -#REF!,"")</f>
        <v/>
      </c>
    </row>
    <row r="1387" spans="10:12">
      <c r="J1387" t="str">
        <f t="shared" ref="J1387:J1450" si="2767">IF(AND(ISNUMBER(#REF!), ISNUMBER(#REF!)),#REF! -#REF!,"")</f>
        <v/>
      </c>
      <c r="L1387" t="str">
        <f t="shared" ref="L1387:L1450" si="2768">IF(AND(ISNUMBER(#REF!), ISNUMBER(#REF!)),#REF! -#REF!,"")</f>
        <v/>
      </c>
    </row>
    <row r="1388" spans="10:12">
      <c r="J1388" t="str">
        <f t="shared" ref="J1388:J1451" si="2769">IF(AND(ISNUMBER(#REF!), ISNUMBER(#REF!)),#REF! -#REF!,"")</f>
        <v/>
      </c>
      <c r="L1388" t="str">
        <f t="shared" ref="L1388:L1451" si="2770">IF(AND(ISNUMBER(#REF!), ISNUMBER(#REF!)),#REF! -#REF!,"")</f>
        <v/>
      </c>
    </row>
    <row r="1389" spans="10:12">
      <c r="J1389" t="str">
        <f t="shared" ref="J1389:J1452" si="2771">IF(AND(ISNUMBER(#REF!), ISNUMBER(#REF!)),#REF! -#REF!,"")</f>
        <v/>
      </c>
      <c r="L1389" t="str">
        <f t="shared" ref="L1389:L1452" si="2772">IF(AND(ISNUMBER(#REF!), ISNUMBER(#REF!)),#REF! -#REF!,"")</f>
        <v/>
      </c>
    </row>
    <row r="1390" spans="10:12">
      <c r="J1390" t="str">
        <f t="shared" ref="J1390:J1453" si="2773">IF(AND(ISNUMBER(#REF!), ISNUMBER(#REF!)),#REF! -#REF!,"")</f>
        <v/>
      </c>
      <c r="L1390" t="str">
        <f t="shared" ref="L1390:L1453" si="2774">IF(AND(ISNUMBER(#REF!), ISNUMBER(#REF!)),#REF! -#REF!,"")</f>
        <v/>
      </c>
    </row>
    <row r="1391" spans="10:12">
      <c r="J1391" t="str">
        <f t="shared" ref="J1391:J1454" si="2775">IF(AND(ISNUMBER(#REF!), ISNUMBER(#REF!)),#REF! -#REF!,"")</f>
        <v/>
      </c>
      <c r="L1391" t="str">
        <f t="shared" ref="L1391:L1454" si="2776">IF(AND(ISNUMBER(#REF!), ISNUMBER(#REF!)),#REF! -#REF!,"")</f>
        <v/>
      </c>
    </row>
    <row r="1392" spans="10:12">
      <c r="J1392" t="str">
        <f t="shared" ref="J1392:J1455" si="2777">IF(AND(ISNUMBER(#REF!), ISNUMBER(#REF!)),#REF! -#REF!,"")</f>
        <v/>
      </c>
      <c r="L1392" t="str">
        <f t="shared" ref="L1392:L1455" si="2778">IF(AND(ISNUMBER(#REF!), ISNUMBER(#REF!)),#REF! -#REF!,"")</f>
        <v/>
      </c>
    </row>
    <row r="1393" spans="10:12">
      <c r="J1393" t="str">
        <f t="shared" ref="J1393:J1456" si="2779">IF(AND(ISNUMBER(#REF!), ISNUMBER(#REF!)),#REF! -#REF!,"")</f>
        <v/>
      </c>
      <c r="L1393" t="str">
        <f t="shared" ref="L1393:L1456" si="2780">IF(AND(ISNUMBER(#REF!), ISNUMBER(#REF!)),#REF! -#REF!,"")</f>
        <v/>
      </c>
    </row>
    <row r="1394" spans="10:12">
      <c r="J1394" t="str">
        <f t="shared" ref="J1394:J1457" si="2781">IF(AND(ISNUMBER(#REF!), ISNUMBER(#REF!)),#REF! -#REF!,"")</f>
        <v/>
      </c>
      <c r="L1394" t="str">
        <f t="shared" ref="L1394:L1457" si="2782">IF(AND(ISNUMBER(#REF!), ISNUMBER(#REF!)),#REF! -#REF!,"")</f>
        <v/>
      </c>
    </row>
    <row r="1395" spans="10:12">
      <c r="J1395" t="str">
        <f t="shared" ref="J1395:J1458" si="2783">IF(AND(ISNUMBER(#REF!), ISNUMBER(#REF!)),#REF! -#REF!,"")</f>
        <v/>
      </c>
      <c r="L1395" t="str">
        <f t="shared" ref="L1395:L1458" si="2784">IF(AND(ISNUMBER(#REF!), ISNUMBER(#REF!)),#REF! -#REF!,"")</f>
        <v/>
      </c>
    </row>
    <row r="1396" spans="10:12">
      <c r="J1396" t="str">
        <f t="shared" ref="J1396:J1459" si="2785">IF(AND(ISNUMBER(#REF!), ISNUMBER(#REF!)),#REF! -#REF!,"")</f>
        <v/>
      </c>
      <c r="L1396" t="str">
        <f t="shared" ref="L1396:L1459" si="2786">IF(AND(ISNUMBER(#REF!), ISNUMBER(#REF!)),#REF! -#REF!,"")</f>
        <v/>
      </c>
    </row>
    <row r="1397" spans="10:12">
      <c r="J1397" t="str">
        <f t="shared" ref="J1397:J1460" si="2787">IF(AND(ISNUMBER(#REF!), ISNUMBER(#REF!)),#REF! -#REF!,"")</f>
        <v/>
      </c>
      <c r="L1397" t="str">
        <f t="shared" ref="L1397:L1460" si="2788">IF(AND(ISNUMBER(#REF!), ISNUMBER(#REF!)),#REF! -#REF!,"")</f>
        <v/>
      </c>
    </row>
    <row r="1398" spans="10:12">
      <c r="J1398" t="str">
        <f t="shared" ref="J1398:J1461" si="2789">IF(AND(ISNUMBER(#REF!), ISNUMBER(#REF!)),#REF! -#REF!,"")</f>
        <v/>
      </c>
      <c r="L1398" t="str">
        <f t="shared" ref="L1398:L1461" si="2790">IF(AND(ISNUMBER(#REF!), ISNUMBER(#REF!)),#REF! -#REF!,"")</f>
        <v/>
      </c>
    </row>
    <row r="1399" spans="10:12">
      <c r="J1399" t="str">
        <f t="shared" ref="J1399:J1462" si="2791">IF(AND(ISNUMBER(#REF!), ISNUMBER(#REF!)),#REF! -#REF!,"")</f>
        <v/>
      </c>
      <c r="L1399" t="str">
        <f t="shared" ref="L1399:L1462" si="2792">IF(AND(ISNUMBER(#REF!), ISNUMBER(#REF!)),#REF! -#REF!,"")</f>
        <v/>
      </c>
    </row>
    <row r="1400" spans="10:12">
      <c r="J1400" t="str">
        <f t="shared" ref="J1400:J1463" si="2793">IF(AND(ISNUMBER(#REF!), ISNUMBER(#REF!)),#REF! -#REF!,"")</f>
        <v/>
      </c>
      <c r="L1400" t="str">
        <f t="shared" ref="L1400:L1463" si="2794">IF(AND(ISNUMBER(#REF!), ISNUMBER(#REF!)),#REF! -#REF!,"")</f>
        <v/>
      </c>
    </row>
    <row r="1401" spans="10:12">
      <c r="J1401" t="str">
        <f t="shared" ref="J1401:J1464" si="2795">IF(AND(ISNUMBER(#REF!), ISNUMBER(#REF!)),#REF! -#REF!,"")</f>
        <v/>
      </c>
      <c r="L1401" t="str">
        <f t="shared" ref="L1401:L1464" si="2796">IF(AND(ISNUMBER(#REF!), ISNUMBER(#REF!)),#REF! -#REF!,"")</f>
        <v/>
      </c>
    </row>
    <row r="1402" spans="10:12">
      <c r="J1402" t="str">
        <f t="shared" ref="J1402:J1465" si="2797">IF(AND(ISNUMBER(#REF!), ISNUMBER(#REF!)),#REF! -#REF!,"")</f>
        <v/>
      </c>
      <c r="L1402" t="str">
        <f t="shared" ref="L1402:L1465" si="2798">IF(AND(ISNUMBER(#REF!), ISNUMBER(#REF!)),#REF! -#REF!,"")</f>
        <v/>
      </c>
    </row>
    <row r="1403" spans="10:12">
      <c r="J1403" t="str">
        <f t="shared" ref="J1403:J1466" si="2799">IF(AND(ISNUMBER(#REF!), ISNUMBER(#REF!)),#REF! -#REF!,"")</f>
        <v/>
      </c>
      <c r="L1403" t="str">
        <f t="shared" ref="L1403:L1466" si="2800">IF(AND(ISNUMBER(#REF!), ISNUMBER(#REF!)),#REF! -#REF!,"")</f>
        <v/>
      </c>
    </row>
    <row r="1404" spans="10:12">
      <c r="J1404" t="str">
        <f t="shared" ref="J1404:J1467" si="2801">IF(AND(ISNUMBER(#REF!), ISNUMBER(#REF!)),#REF! -#REF!,"")</f>
        <v/>
      </c>
      <c r="L1404" t="str">
        <f t="shared" ref="L1404:L1467" si="2802">IF(AND(ISNUMBER(#REF!), ISNUMBER(#REF!)),#REF! -#REF!,"")</f>
        <v/>
      </c>
    </row>
    <row r="1405" spans="10:12">
      <c r="J1405" t="str">
        <f t="shared" ref="J1405:J1468" si="2803">IF(AND(ISNUMBER(#REF!), ISNUMBER(#REF!)),#REF! -#REF!,"")</f>
        <v/>
      </c>
      <c r="L1405" t="str">
        <f t="shared" ref="L1405:L1468" si="2804">IF(AND(ISNUMBER(#REF!), ISNUMBER(#REF!)),#REF! -#REF!,"")</f>
        <v/>
      </c>
    </row>
    <row r="1406" spans="10:12">
      <c r="J1406" t="str">
        <f t="shared" ref="J1406:J1469" si="2805">IF(AND(ISNUMBER(#REF!), ISNUMBER(#REF!)),#REF! -#REF!,"")</f>
        <v/>
      </c>
      <c r="L1406" t="str">
        <f t="shared" ref="L1406:L1469" si="2806">IF(AND(ISNUMBER(#REF!), ISNUMBER(#REF!)),#REF! -#REF!,"")</f>
        <v/>
      </c>
    </row>
    <row r="1407" spans="10:12">
      <c r="J1407" t="str">
        <f t="shared" ref="J1407:J1470" si="2807">IF(AND(ISNUMBER(#REF!), ISNUMBER(#REF!)),#REF! -#REF!,"")</f>
        <v/>
      </c>
      <c r="L1407" t="str">
        <f t="shared" ref="L1407:L1470" si="2808">IF(AND(ISNUMBER(#REF!), ISNUMBER(#REF!)),#REF! -#REF!,"")</f>
        <v/>
      </c>
    </row>
    <row r="1408" spans="10:12">
      <c r="J1408" t="str">
        <f t="shared" ref="J1408:J1471" si="2809">IF(AND(ISNUMBER(#REF!), ISNUMBER(#REF!)),#REF! -#REF!,"")</f>
        <v/>
      </c>
      <c r="L1408" t="str">
        <f t="shared" ref="L1408:L1471" si="2810">IF(AND(ISNUMBER(#REF!), ISNUMBER(#REF!)),#REF! -#REF!,"")</f>
        <v/>
      </c>
    </row>
    <row r="1409" spans="10:12">
      <c r="J1409" t="str">
        <f t="shared" ref="J1409:J1472" si="2811">IF(AND(ISNUMBER(#REF!), ISNUMBER(#REF!)),#REF! -#REF!,"")</f>
        <v/>
      </c>
      <c r="L1409" t="str">
        <f t="shared" ref="L1409:L1472" si="2812">IF(AND(ISNUMBER(#REF!), ISNUMBER(#REF!)),#REF! -#REF!,"")</f>
        <v/>
      </c>
    </row>
    <row r="1410" spans="10:12">
      <c r="J1410" t="str">
        <f t="shared" ref="J1410:J1473" si="2813">IF(AND(ISNUMBER(#REF!), ISNUMBER(#REF!)),#REF! -#REF!,"")</f>
        <v/>
      </c>
      <c r="L1410" t="str">
        <f t="shared" ref="L1410:L1473" si="2814">IF(AND(ISNUMBER(#REF!), ISNUMBER(#REF!)),#REF! -#REF!,"")</f>
        <v/>
      </c>
    </row>
    <row r="1411" spans="10:12">
      <c r="J1411" t="str">
        <f t="shared" ref="J1411:J1474" si="2815">IF(AND(ISNUMBER(#REF!), ISNUMBER(#REF!)),#REF! -#REF!,"")</f>
        <v/>
      </c>
      <c r="L1411" t="str">
        <f t="shared" ref="L1411:L1474" si="2816">IF(AND(ISNUMBER(#REF!), ISNUMBER(#REF!)),#REF! -#REF!,"")</f>
        <v/>
      </c>
    </row>
    <row r="1412" spans="10:12">
      <c r="J1412" t="str">
        <f t="shared" ref="J1412:J1475" si="2817">IF(AND(ISNUMBER(#REF!), ISNUMBER(#REF!)),#REF! -#REF!,"")</f>
        <v/>
      </c>
      <c r="L1412" t="str">
        <f t="shared" ref="L1412:L1475" si="2818">IF(AND(ISNUMBER(#REF!), ISNUMBER(#REF!)),#REF! -#REF!,"")</f>
        <v/>
      </c>
    </row>
    <row r="1413" spans="10:12">
      <c r="J1413" t="str">
        <f t="shared" ref="J1413:J1476" si="2819">IF(AND(ISNUMBER(#REF!), ISNUMBER(#REF!)),#REF! -#REF!,"")</f>
        <v/>
      </c>
      <c r="L1413" t="str">
        <f t="shared" ref="L1413:L1476" si="2820">IF(AND(ISNUMBER(#REF!), ISNUMBER(#REF!)),#REF! -#REF!,"")</f>
        <v/>
      </c>
    </row>
    <row r="1414" spans="10:12">
      <c r="J1414" t="str">
        <f t="shared" ref="J1414:J1477" si="2821">IF(AND(ISNUMBER(#REF!), ISNUMBER(#REF!)),#REF! -#REF!,"")</f>
        <v/>
      </c>
      <c r="L1414" t="str">
        <f t="shared" ref="L1414:L1477" si="2822">IF(AND(ISNUMBER(#REF!), ISNUMBER(#REF!)),#REF! -#REF!,"")</f>
        <v/>
      </c>
    </row>
    <row r="1415" spans="10:12">
      <c r="J1415" t="str">
        <f t="shared" ref="J1415:J1478" si="2823">IF(AND(ISNUMBER(#REF!), ISNUMBER(#REF!)),#REF! -#REF!,"")</f>
        <v/>
      </c>
      <c r="L1415" t="str">
        <f t="shared" ref="L1415:L1478" si="2824">IF(AND(ISNUMBER(#REF!), ISNUMBER(#REF!)),#REF! -#REF!,"")</f>
        <v/>
      </c>
    </row>
    <row r="1416" spans="10:12">
      <c r="J1416" t="str">
        <f t="shared" ref="J1416:J1479" si="2825">IF(AND(ISNUMBER(#REF!), ISNUMBER(#REF!)),#REF! -#REF!,"")</f>
        <v/>
      </c>
      <c r="L1416" t="str">
        <f t="shared" ref="L1416:L1479" si="2826">IF(AND(ISNUMBER(#REF!), ISNUMBER(#REF!)),#REF! -#REF!,"")</f>
        <v/>
      </c>
    </row>
    <row r="1417" spans="10:12">
      <c r="J1417" t="str">
        <f t="shared" ref="J1417:J1480" si="2827">IF(AND(ISNUMBER(#REF!), ISNUMBER(#REF!)),#REF! -#REF!,"")</f>
        <v/>
      </c>
      <c r="L1417" t="str">
        <f t="shared" ref="L1417:L1480" si="2828">IF(AND(ISNUMBER(#REF!), ISNUMBER(#REF!)),#REF! -#REF!,"")</f>
        <v/>
      </c>
    </row>
    <row r="1418" spans="10:12">
      <c r="J1418" t="str">
        <f t="shared" ref="J1418:J1481" si="2829">IF(AND(ISNUMBER(#REF!), ISNUMBER(#REF!)),#REF! -#REF!,"")</f>
        <v/>
      </c>
      <c r="L1418" t="str">
        <f t="shared" ref="L1418:L1481" si="2830">IF(AND(ISNUMBER(#REF!), ISNUMBER(#REF!)),#REF! -#REF!,"")</f>
        <v/>
      </c>
    </row>
    <row r="1419" spans="10:12">
      <c r="J1419" t="str">
        <f t="shared" ref="J1419:J1482" si="2831">IF(AND(ISNUMBER(#REF!), ISNUMBER(#REF!)),#REF! -#REF!,"")</f>
        <v/>
      </c>
      <c r="L1419" t="str">
        <f t="shared" ref="L1419:L1482" si="2832">IF(AND(ISNUMBER(#REF!), ISNUMBER(#REF!)),#REF! -#REF!,"")</f>
        <v/>
      </c>
    </row>
    <row r="1420" spans="10:12">
      <c r="J1420" t="str">
        <f t="shared" ref="J1420:J1483" si="2833">IF(AND(ISNUMBER(#REF!), ISNUMBER(#REF!)),#REF! -#REF!,"")</f>
        <v/>
      </c>
      <c r="L1420" t="str">
        <f t="shared" ref="L1420:L1483" si="2834">IF(AND(ISNUMBER(#REF!), ISNUMBER(#REF!)),#REF! -#REF!,"")</f>
        <v/>
      </c>
    </row>
    <row r="1421" spans="10:12">
      <c r="J1421" t="str">
        <f t="shared" ref="J1421:J1484" si="2835">IF(AND(ISNUMBER(#REF!), ISNUMBER(#REF!)),#REF! -#REF!,"")</f>
        <v/>
      </c>
      <c r="L1421" t="str">
        <f t="shared" ref="L1421:L1484" si="2836">IF(AND(ISNUMBER(#REF!), ISNUMBER(#REF!)),#REF! -#REF!,"")</f>
        <v/>
      </c>
    </row>
    <row r="1422" spans="10:12">
      <c r="J1422" t="str">
        <f t="shared" ref="J1422:J1485" si="2837">IF(AND(ISNUMBER(#REF!), ISNUMBER(#REF!)),#REF! -#REF!,"")</f>
        <v/>
      </c>
      <c r="L1422" t="str">
        <f t="shared" ref="L1422:L1485" si="2838">IF(AND(ISNUMBER(#REF!), ISNUMBER(#REF!)),#REF! -#REF!,"")</f>
        <v/>
      </c>
    </row>
    <row r="1423" spans="10:12">
      <c r="J1423" t="str">
        <f t="shared" ref="J1423:J1486" si="2839">IF(AND(ISNUMBER(#REF!), ISNUMBER(#REF!)),#REF! -#REF!,"")</f>
        <v/>
      </c>
      <c r="L1423" t="str">
        <f t="shared" ref="L1423:L1486" si="2840">IF(AND(ISNUMBER(#REF!), ISNUMBER(#REF!)),#REF! -#REF!,"")</f>
        <v/>
      </c>
    </row>
    <row r="1424" spans="10:12">
      <c r="J1424" t="str">
        <f t="shared" ref="J1424:J1487" si="2841">IF(AND(ISNUMBER(#REF!), ISNUMBER(#REF!)),#REF! -#REF!,"")</f>
        <v/>
      </c>
      <c r="L1424" t="str">
        <f t="shared" ref="L1424:L1487" si="2842">IF(AND(ISNUMBER(#REF!), ISNUMBER(#REF!)),#REF! -#REF!,"")</f>
        <v/>
      </c>
    </row>
    <row r="1425" spans="10:12">
      <c r="J1425" t="str">
        <f t="shared" ref="J1425:J1488" si="2843">IF(AND(ISNUMBER(#REF!), ISNUMBER(#REF!)),#REF! -#REF!,"")</f>
        <v/>
      </c>
      <c r="L1425" t="str">
        <f t="shared" ref="L1425:L1488" si="2844">IF(AND(ISNUMBER(#REF!), ISNUMBER(#REF!)),#REF! -#REF!,"")</f>
        <v/>
      </c>
    </row>
    <row r="1426" spans="10:12">
      <c r="J1426" t="str">
        <f t="shared" ref="J1426:J1489" si="2845">IF(AND(ISNUMBER(#REF!), ISNUMBER(#REF!)),#REF! -#REF!,"")</f>
        <v/>
      </c>
      <c r="L1426" t="str">
        <f t="shared" ref="L1426:L1489" si="2846">IF(AND(ISNUMBER(#REF!), ISNUMBER(#REF!)),#REF! -#REF!,"")</f>
        <v/>
      </c>
    </row>
    <row r="1427" spans="10:12">
      <c r="J1427" t="str">
        <f t="shared" ref="J1427:J1490" si="2847">IF(AND(ISNUMBER(#REF!), ISNUMBER(#REF!)),#REF! -#REF!,"")</f>
        <v/>
      </c>
      <c r="L1427" t="str">
        <f t="shared" ref="L1427:L1490" si="2848">IF(AND(ISNUMBER(#REF!), ISNUMBER(#REF!)),#REF! -#REF!,"")</f>
        <v/>
      </c>
    </row>
    <row r="1428" spans="10:12">
      <c r="J1428" t="str">
        <f t="shared" ref="J1428:J1491" si="2849">IF(AND(ISNUMBER(#REF!), ISNUMBER(#REF!)),#REF! -#REF!,"")</f>
        <v/>
      </c>
      <c r="L1428" t="str">
        <f t="shared" ref="L1428:L1491" si="2850">IF(AND(ISNUMBER(#REF!), ISNUMBER(#REF!)),#REF! -#REF!,"")</f>
        <v/>
      </c>
    </row>
    <row r="1429" spans="10:12">
      <c r="J1429" t="str">
        <f t="shared" ref="J1429:J1492" si="2851">IF(AND(ISNUMBER(#REF!), ISNUMBER(#REF!)),#REF! -#REF!,"")</f>
        <v/>
      </c>
      <c r="L1429" t="str">
        <f t="shared" ref="L1429:L1492" si="2852">IF(AND(ISNUMBER(#REF!), ISNUMBER(#REF!)),#REF! -#REF!,"")</f>
        <v/>
      </c>
    </row>
    <row r="1430" spans="10:12">
      <c r="J1430" t="str">
        <f t="shared" ref="J1430:J1493" si="2853">IF(AND(ISNUMBER(#REF!), ISNUMBER(#REF!)),#REF! -#REF!,"")</f>
        <v/>
      </c>
      <c r="L1430" t="str">
        <f t="shared" ref="L1430:L1493" si="2854">IF(AND(ISNUMBER(#REF!), ISNUMBER(#REF!)),#REF! -#REF!,"")</f>
        <v/>
      </c>
    </row>
    <row r="1431" spans="10:12">
      <c r="J1431" t="str">
        <f t="shared" ref="J1431:J1494" si="2855">IF(AND(ISNUMBER(#REF!), ISNUMBER(#REF!)),#REF! -#REF!,"")</f>
        <v/>
      </c>
      <c r="L1431" t="str">
        <f t="shared" ref="L1431:L1494" si="2856">IF(AND(ISNUMBER(#REF!), ISNUMBER(#REF!)),#REF! -#REF!,"")</f>
        <v/>
      </c>
    </row>
    <row r="1432" spans="10:12">
      <c r="J1432" t="str">
        <f t="shared" ref="J1432:J1495" si="2857">IF(AND(ISNUMBER(#REF!), ISNUMBER(#REF!)),#REF! -#REF!,"")</f>
        <v/>
      </c>
      <c r="L1432" t="str">
        <f t="shared" ref="L1432:L1495" si="2858">IF(AND(ISNUMBER(#REF!), ISNUMBER(#REF!)),#REF! -#REF!,"")</f>
        <v/>
      </c>
    </row>
    <row r="1433" spans="10:12">
      <c r="J1433" t="str">
        <f t="shared" ref="J1433:J1496" si="2859">IF(AND(ISNUMBER(#REF!), ISNUMBER(#REF!)),#REF! -#REF!,"")</f>
        <v/>
      </c>
      <c r="L1433" t="str">
        <f t="shared" ref="L1433:L1496" si="2860">IF(AND(ISNUMBER(#REF!), ISNUMBER(#REF!)),#REF! -#REF!,"")</f>
        <v/>
      </c>
    </row>
    <row r="1434" spans="10:12">
      <c r="J1434" t="str">
        <f t="shared" ref="J1434:J1497" si="2861">IF(AND(ISNUMBER(#REF!), ISNUMBER(#REF!)),#REF! -#REF!,"")</f>
        <v/>
      </c>
      <c r="L1434" t="str">
        <f t="shared" ref="L1434:L1497" si="2862">IF(AND(ISNUMBER(#REF!), ISNUMBER(#REF!)),#REF! -#REF!,"")</f>
        <v/>
      </c>
    </row>
    <row r="1435" spans="10:12">
      <c r="J1435" t="str">
        <f t="shared" ref="J1435:J1498" si="2863">IF(AND(ISNUMBER(#REF!), ISNUMBER(#REF!)),#REF! -#REF!,"")</f>
        <v/>
      </c>
      <c r="L1435" t="str">
        <f t="shared" ref="L1435:L1498" si="2864">IF(AND(ISNUMBER(#REF!), ISNUMBER(#REF!)),#REF! -#REF!,"")</f>
        <v/>
      </c>
    </row>
    <row r="1436" spans="10:12">
      <c r="J1436" t="str">
        <f t="shared" ref="J1436:J1499" si="2865">IF(AND(ISNUMBER(#REF!), ISNUMBER(#REF!)),#REF! -#REF!,"")</f>
        <v/>
      </c>
      <c r="L1436" t="str">
        <f t="shared" ref="L1436:L1499" si="2866">IF(AND(ISNUMBER(#REF!), ISNUMBER(#REF!)),#REF! -#REF!,"")</f>
        <v/>
      </c>
    </row>
    <row r="1437" spans="10:12">
      <c r="J1437" t="str">
        <f t="shared" ref="J1437:J1500" si="2867">IF(AND(ISNUMBER(#REF!), ISNUMBER(#REF!)),#REF! -#REF!,"")</f>
        <v/>
      </c>
      <c r="L1437" t="str">
        <f t="shared" ref="L1437:L1500" si="2868">IF(AND(ISNUMBER(#REF!), ISNUMBER(#REF!)),#REF! -#REF!,"")</f>
        <v/>
      </c>
    </row>
    <row r="1438" spans="10:12">
      <c r="J1438" t="str">
        <f t="shared" ref="J1438:J1501" si="2869">IF(AND(ISNUMBER(#REF!), ISNUMBER(#REF!)),#REF! -#REF!,"")</f>
        <v/>
      </c>
      <c r="L1438" t="str">
        <f t="shared" ref="L1438:L1501" si="2870">IF(AND(ISNUMBER(#REF!), ISNUMBER(#REF!)),#REF! -#REF!,"")</f>
        <v/>
      </c>
    </row>
    <row r="1439" spans="10:12">
      <c r="J1439" t="str">
        <f t="shared" ref="J1439:J1502" si="2871">IF(AND(ISNUMBER(#REF!), ISNUMBER(#REF!)),#REF! -#REF!,"")</f>
        <v/>
      </c>
      <c r="L1439" t="str">
        <f t="shared" ref="L1439:L1502" si="2872">IF(AND(ISNUMBER(#REF!), ISNUMBER(#REF!)),#REF! -#REF!,"")</f>
        <v/>
      </c>
    </row>
    <row r="1440" spans="10:12">
      <c r="J1440" t="str">
        <f t="shared" ref="J1440:J1503" si="2873">IF(AND(ISNUMBER(#REF!), ISNUMBER(#REF!)),#REF! -#REF!,"")</f>
        <v/>
      </c>
      <c r="L1440" t="str">
        <f t="shared" ref="L1440:L1503" si="2874">IF(AND(ISNUMBER(#REF!), ISNUMBER(#REF!)),#REF! -#REF!,"")</f>
        <v/>
      </c>
    </row>
    <row r="1441" spans="10:12">
      <c r="J1441" t="str">
        <f t="shared" ref="J1441:J1504" si="2875">IF(AND(ISNUMBER(#REF!), ISNUMBER(#REF!)),#REF! -#REF!,"")</f>
        <v/>
      </c>
      <c r="L1441" t="str">
        <f t="shared" ref="L1441:L1504" si="2876">IF(AND(ISNUMBER(#REF!), ISNUMBER(#REF!)),#REF! -#REF!,"")</f>
        <v/>
      </c>
    </row>
    <row r="1442" spans="10:12">
      <c r="J1442" t="str">
        <f t="shared" ref="J1442:J1505" si="2877">IF(AND(ISNUMBER(#REF!), ISNUMBER(#REF!)),#REF! -#REF!,"")</f>
        <v/>
      </c>
      <c r="L1442" t="str">
        <f t="shared" ref="L1442:L1505" si="2878">IF(AND(ISNUMBER(#REF!), ISNUMBER(#REF!)),#REF! -#REF!,"")</f>
        <v/>
      </c>
    </row>
    <row r="1443" spans="10:12">
      <c r="J1443" t="str">
        <f t="shared" ref="J1443:J1506" si="2879">IF(AND(ISNUMBER(#REF!), ISNUMBER(#REF!)),#REF! -#REF!,"")</f>
        <v/>
      </c>
      <c r="L1443" t="str">
        <f t="shared" ref="L1443:L1506" si="2880">IF(AND(ISNUMBER(#REF!), ISNUMBER(#REF!)),#REF! -#REF!,"")</f>
        <v/>
      </c>
    </row>
    <row r="1444" spans="10:12">
      <c r="J1444" t="str">
        <f t="shared" ref="J1444:J1507" si="2881">IF(AND(ISNUMBER(#REF!), ISNUMBER(#REF!)),#REF! -#REF!,"")</f>
        <v/>
      </c>
      <c r="L1444" t="str">
        <f t="shared" ref="L1444:L1507" si="2882">IF(AND(ISNUMBER(#REF!), ISNUMBER(#REF!)),#REF! -#REF!,"")</f>
        <v/>
      </c>
    </row>
    <row r="1445" spans="10:12">
      <c r="J1445" t="str">
        <f t="shared" ref="J1445:J1508" si="2883">IF(AND(ISNUMBER(#REF!), ISNUMBER(#REF!)),#REF! -#REF!,"")</f>
        <v/>
      </c>
      <c r="L1445" t="str">
        <f t="shared" ref="L1445:L1508" si="2884">IF(AND(ISNUMBER(#REF!), ISNUMBER(#REF!)),#REF! -#REF!,"")</f>
        <v/>
      </c>
    </row>
    <row r="1446" spans="10:12">
      <c r="J1446" t="str">
        <f t="shared" ref="J1446:J1509" si="2885">IF(AND(ISNUMBER(#REF!), ISNUMBER(#REF!)),#REF! -#REF!,"")</f>
        <v/>
      </c>
      <c r="L1446" t="str">
        <f t="shared" ref="L1446:L1509" si="2886">IF(AND(ISNUMBER(#REF!), ISNUMBER(#REF!)),#REF! -#REF!,"")</f>
        <v/>
      </c>
    </row>
    <row r="1447" spans="10:12">
      <c r="J1447" t="str">
        <f t="shared" ref="J1447:J1510" si="2887">IF(AND(ISNUMBER(#REF!), ISNUMBER(#REF!)),#REF! -#REF!,"")</f>
        <v/>
      </c>
      <c r="L1447" t="str">
        <f t="shared" ref="L1447:L1510" si="2888">IF(AND(ISNUMBER(#REF!), ISNUMBER(#REF!)),#REF! -#REF!,"")</f>
        <v/>
      </c>
    </row>
    <row r="1448" spans="10:12">
      <c r="J1448" t="str">
        <f t="shared" ref="J1448:J1511" si="2889">IF(AND(ISNUMBER(#REF!), ISNUMBER(#REF!)),#REF! -#REF!,"")</f>
        <v/>
      </c>
      <c r="L1448" t="str">
        <f t="shared" ref="L1448:L1511" si="2890">IF(AND(ISNUMBER(#REF!), ISNUMBER(#REF!)),#REF! -#REF!,"")</f>
        <v/>
      </c>
    </row>
    <row r="1449" spans="10:12">
      <c r="J1449" t="str">
        <f t="shared" ref="J1449:J1512" si="2891">IF(AND(ISNUMBER(#REF!), ISNUMBER(#REF!)),#REF! -#REF!,"")</f>
        <v/>
      </c>
      <c r="L1449" t="str">
        <f t="shared" ref="L1449:L1512" si="2892">IF(AND(ISNUMBER(#REF!), ISNUMBER(#REF!)),#REF! -#REF!,"")</f>
        <v/>
      </c>
    </row>
    <row r="1450" spans="10:12">
      <c r="J1450" t="str">
        <f t="shared" ref="J1450:J1513" si="2893">IF(AND(ISNUMBER(#REF!), ISNUMBER(#REF!)),#REF! -#REF!,"")</f>
        <v/>
      </c>
      <c r="L1450" t="str">
        <f t="shared" ref="L1450:L1513" si="2894">IF(AND(ISNUMBER(#REF!), ISNUMBER(#REF!)),#REF! -#REF!,"")</f>
        <v/>
      </c>
    </row>
    <row r="1451" spans="10:12">
      <c r="J1451" t="str">
        <f t="shared" ref="J1451:J1514" si="2895">IF(AND(ISNUMBER(#REF!), ISNUMBER(#REF!)),#REF! -#REF!,"")</f>
        <v/>
      </c>
      <c r="L1451" t="str">
        <f t="shared" ref="L1451:L1514" si="2896">IF(AND(ISNUMBER(#REF!), ISNUMBER(#REF!)),#REF! -#REF!,"")</f>
        <v/>
      </c>
    </row>
    <row r="1452" spans="10:12">
      <c r="J1452" t="str">
        <f t="shared" ref="J1452:J1515" si="2897">IF(AND(ISNUMBER(#REF!), ISNUMBER(#REF!)),#REF! -#REF!,"")</f>
        <v/>
      </c>
      <c r="L1452" t="str">
        <f t="shared" ref="L1452:L1515" si="2898">IF(AND(ISNUMBER(#REF!), ISNUMBER(#REF!)),#REF! -#REF!,"")</f>
        <v/>
      </c>
    </row>
    <row r="1453" spans="10:12">
      <c r="J1453" t="str">
        <f t="shared" ref="J1453:J1516" si="2899">IF(AND(ISNUMBER(#REF!), ISNUMBER(#REF!)),#REF! -#REF!,"")</f>
        <v/>
      </c>
      <c r="L1453" t="str">
        <f t="shared" ref="L1453:L1516" si="2900">IF(AND(ISNUMBER(#REF!), ISNUMBER(#REF!)),#REF! -#REF!,"")</f>
        <v/>
      </c>
    </row>
    <row r="1454" spans="10:12">
      <c r="J1454" t="str">
        <f t="shared" ref="J1454:J1517" si="2901">IF(AND(ISNUMBER(#REF!), ISNUMBER(#REF!)),#REF! -#REF!,"")</f>
        <v/>
      </c>
      <c r="L1454" t="str">
        <f t="shared" ref="L1454:L1517" si="2902">IF(AND(ISNUMBER(#REF!), ISNUMBER(#REF!)),#REF! -#REF!,"")</f>
        <v/>
      </c>
    </row>
    <row r="1455" spans="10:12">
      <c r="J1455" t="str">
        <f t="shared" ref="J1455:J1518" si="2903">IF(AND(ISNUMBER(#REF!), ISNUMBER(#REF!)),#REF! -#REF!,"")</f>
        <v/>
      </c>
      <c r="L1455" t="str">
        <f t="shared" ref="L1455:L1518" si="2904">IF(AND(ISNUMBER(#REF!), ISNUMBER(#REF!)),#REF! -#REF!,"")</f>
        <v/>
      </c>
    </row>
    <row r="1456" spans="10:12">
      <c r="J1456" t="str">
        <f t="shared" ref="J1456:J1519" si="2905">IF(AND(ISNUMBER(#REF!), ISNUMBER(#REF!)),#REF! -#REF!,"")</f>
        <v/>
      </c>
      <c r="L1456" t="str">
        <f t="shared" ref="L1456:L1519" si="2906">IF(AND(ISNUMBER(#REF!), ISNUMBER(#REF!)),#REF! -#REF!,"")</f>
        <v/>
      </c>
    </row>
    <row r="1457" spans="10:12">
      <c r="J1457" t="str">
        <f t="shared" ref="J1457:J1520" si="2907">IF(AND(ISNUMBER(#REF!), ISNUMBER(#REF!)),#REF! -#REF!,"")</f>
        <v/>
      </c>
      <c r="L1457" t="str">
        <f t="shared" ref="L1457:L1520" si="2908">IF(AND(ISNUMBER(#REF!), ISNUMBER(#REF!)),#REF! -#REF!,"")</f>
        <v/>
      </c>
    </row>
    <row r="1458" spans="10:12">
      <c r="J1458" t="str">
        <f t="shared" ref="J1458:J1521" si="2909">IF(AND(ISNUMBER(#REF!), ISNUMBER(#REF!)),#REF! -#REF!,"")</f>
        <v/>
      </c>
      <c r="L1458" t="str">
        <f t="shared" ref="L1458:L1521" si="2910">IF(AND(ISNUMBER(#REF!), ISNUMBER(#REF!)),#REF! -#REF!,"")</f>
        <v/>
      </c>
    </row>
    <row r="1459" spans="10:12">
      <c r="J1459" t="str">
        <f t="shared" ref="J1459:J1522" si="2911">IF(AND(ISNUMBER(#REF!), ISNUMBER(#REF!)),#REF! -#REF!,"")</f>
        <v/>
      </c>
      <c r="L1459" t="str">
        <f t="shared" ref="L1459:L1522" si="2912">IF(AND(ISNUMBER(#REF!), ISNUMBER(#REF!)),#REF! -#REF!,"")</f>
        <v/>
      </c>
    </row>
    <row r="1460" spans="10:12">
      <c r="J1460" t="str">
        <f t="shared" ref="J1460:J1523" si="2913">IF(AND(ISNUMBER(#REF!), ISNUMBER(#REF!)),#REF! -#REF!,"")</f>
        <v/>
      </c>
      <c r="L1460" t="str">
        <f t="shared" ref="L1460:L1523" si="2914">IF(AND(ISNUMBER(#REF!), ISNUMBER(#REF!)),#REF! -#REF!,"")</f>
        <v/>
      </c>
    </row>
    <row r="1461" spans="10:12">
      <c r="J1461" t="str">
        <f t="shared" ref="J1461:J1524" si="2915">IF(AND(ISNUMBER(#REF!), ISNUMBER(#REF!)),#REF! -#REF!,"")</f>
        <v/>
      </c>
      <c r="L1461" t="str">
        <f t="shared" ref="L1461:L1524" si="2916">IF(AND(ISNUMBER(#REF!), ISNUMBER(#REF!)),#REF! -#REF!,"")</f>
        <v/>
      </c>
    </row>
    <row r="1462" spans="10:12">
      <c r="J1462" t="str">
        <f t="shared" ref="J1462:J1525" si="2917">IF(AND(ISNUMBER(#REF!), ISNUMBER(#REF!)),#REF! -#REF!,"")</f>
        <v/>
      </c>
      <c r="L1462" t="str">
        <f t="shared" ref="L1462:L1525" si="2918">IF(AND(ISNUMBER(#REF!), ISNUMBER(#REF!)),#REF! -#REF!,"")</f>
        <v/>
      </c>
    </row>
    <row r="1463" spans="10:12">
      <c r="J1463" t="str">
        <f t="shared" ref="J1463:J1526" si="2919">IF(AND(ISNUMBER(#REF!), ISNUMBER(#REF!)),#REF! -#REF!,"")</f>
        <v/>
      </c>
      <c r="L1463" t="str">
        <f t="shared" ref="L1463:L1526" si="2920">IF(AND(ISNUMBER(#REF!), ISNUMBER(#REF!)),#REF! -#REF!,"")</f>
        <v/>
      </c>
    </row>
    <row r="1464" spans="10:12">
      <c r="J1464" t="str">
        <f t="shared" ref="J1464:J1527" si="2921">IF(AND(ISNUMBER(#REF!), ISNUMBER(#REF!)),#REF! -#REF!,"")</f>
        <v/>
      </c>
      <c r="L1464" t="str">
        <f t="shared" ref="L1464:L1527" si="2922">IF(AND(ISNUMBER(#REF!), ISNUMBER(#REF!)),#REF! -#REF!,"")</f>
        <v/>
      </c>
    </row>
    <row r="1465" spans="10:12">
      <c r="J1465" t="str">
        <f t="shared" ref="J1465:J1528" si="2923">IF(AND(ISNUMBER(#REF!), ISNUMBER(#REF!)),#REF! -#REF!,"")</f>
        <v/>
      </c>
      <c r="L1465" t="str">
        <f t="shared" ref="L1465:L1528" si="2924">IF(AND(ISNUMBER(#REF!), ISNUMBER(#REF!)),#REF! -#REF!,"")</f>
        <v/>
      </c>
    </row>
    <row r="1466" spans="10:12">
      <c r="J1466" t="str">
        <f t="shared" ref="J1466:J1529" si="2925">IF(AND(ISNUMBER(#REF!), ISNUMBER(#REF!)),#REF! -#REF!,"")</f>
        <v/>
      </c>
      <c r="L1466" t="str">
        <f t="shared" ref="L1466:L1529" si="2926">IF(AND(ISNUMBER(#REF!), ISNUMBER(#REF!)),#REF! -#REF!,"")</f>
        <v/>
      </c>
    </row>
    <row r="1467" spans="10:12">
      <c r="J1467" t="str">
        <f t="shared" ref="J1467:J1530" si="2927">IF(AND(ISNUMBER(#REF!), ISNUMBER(#REF!)),#REF! -#REF!,"")</f>
        <v/>
      </c>
      <c r="L1467" t="str">
        <f t="shared" ref="L1467:L1530" si="2928">IF(AND(ISNUMBER(#REF!), ISNUMBER(#REF!)),#REF! -#REF!,"")</f>
        <v/>
      </c>
    </row>
    <row r="1468" spans="10:12">
      <c r="J1468" t="str">
        <f t="shared" ref="J1468:J1531" si="2929">IF(AND(ISNUMBER(#REF!), ISNUMBER(#REF!)),#REF! -#REF!,"")</f>
        <v/>
      </c>
      <c r="L1468" t="str">
        <f t="shared" ref="L1468:L1531" si="2930">IF(AND(ISNUMBER(#REF!), ISNUMBER(#REF!)),#REF! -#REF!,"")</f>
        <v/>
      </c>
    </row>
    <row r="1469" spans="10:12">
      <c r="J1469" t="str">
        <f t="shared" ref="J1469:J1532" si="2931">IF(AND(ISNUMBER(#REF!), ISNUMBER(#REF!)),#REF! -#REF!,"")</f>
        <v/>
      </c>
      <c r="L1469" t="str">
        <f t="shared" ref="L1469:L1532" si="2932">IF(AND(ISNUMBER(#REF!), ISNUMBER(#REF!)),#REF! -#REF!,"")</f>
        <v/>
      </c>
    </row>
    <row r="1470" spans="10:12">
      <c r="J1470" t="str">
        <f t="shared" ref="J1470:J1533" si="2933">IF(AND(ISNUMBER(#REF!), ISNUMBER(#REF!)),#REF! -#REF!,"")</f>
        <v/>
      </c>
      <c r="L1470" t="str">
        <f t="shared" ref="L1470:L1533" si="2934">IF(AND(ISNUMBER(#REF!), ISNUMBER(#REF!)),#REF! -#REF!,"")</f>
        <v/>
      </c>
    </row>
    <row r="1471" spans="10:12">
      <c r="J1471" t="str">
        <f t="shared" ref="J1471:J1534" si="2935">IF(AND(ISNUMBER(#REF!), ISNUMBER(#REF!)),#REF! -#REF!,"")</f>
        <v/>
      </c>
      <c r="L1471" t="str">
        <f t="shared" ref="L1471:L1534" si="2936">IF(AND(ISNUMBER(#REF!), ISNUMBER(#REF!)),#REF! -#REF!,"")</f>
        <v/>
      </c>
    </row>
    <row r="1472" spans="10:12">
      <c r="J1472" t="str">
        <f t="shared" ref="J1472:J1535" si="2937">IF(AND(ISNUMBER(#REF!), ISNUMBER(#REF!)),#REF! -#REF!,"")</f>
        <v/>
      </c>
      <c r="L1472" t="str">
        <f t="shared" ref="L1472:L1535" si="2938">IF(AND(ISNUMBER(#REF!), ISNUMBER(#REF!)),#REF! -#REF!,"")</f>
        <v/>
      </c>
    </row>
    <row r="1473" spans="10:12">
      <c r="J1473" t="str">
        <f t="shared" ref="J1473:J1536" si="2939">IF(AND(ISNUMBER(#REF!), ISNUMBER(#REF!)),#REF! -#REF!,"")</f>
        <v/>
      </c>
      <c r="L1473" t="str">
        <f t="shared" ref="L1473:L1536" si="2940">IF(AND(ISNUMBER(#REF!), ISNUMBER(#REF!)),#REF! -#REF!,"")</f>
        <v/>
      </c>
    </row>
    <row r="1474" spans="10:12">
      <c r="J1474" t="str">
        <f t="shared" ref="J1474:J1537" si="2941">IF(AND(ISNUMBER(#REF!), ISNUMBER(#REF!)),#REF! -#REF!,"")</f>
        <v/>
      </c>
      <c r="L1474" t="str">
        <f t="shared" ref="L1474:L1537" si="2942">IF(AND(ISNUMBER(#REF!), ISNUMBER(#REF!)),#REF! -#REF!,"")</f>
        <v/>
      </c>
    </row>
    <row r="1475" spans="10:12">
      <c r="J1475" t="str">
        <f t="shared" ref="J1475:J1538" si="2943">IF(AND(ISNUMBER(#REF!), ISNUMBER(#REF!)),#REF! -#REF!,"")</f>
        <v/>
      </c>
      <c r="L1475" t="str">
        <f t="shared" ref="L1475:L1538" si="2944">IF(AND(ISNUMBER(#REF!), ISNUMBER(#REF!)),#REF! -#REF!,"")</f>
        <v/>
      </c>
    </row>
    <row r="1476" spans="10:12">
      <c r="J1476" t="str">
        <f t="shared" ref="J1476:J1539" si="2945">IF(AND(ISNUMBER(#REF!), ISNUMBER(#REF!)),#REF! -#REF!,"")</f>
        <v/>
      </c>
      <c r="L1476" t="str">
        <f t="shared" ref="L1476:L1539" si="2946">IF(AND(ISNUMBER(#REF!), ISNUMBER(#REF!)),#REF! -#REF!,"")</f>
        <v/>
      </c>
    </row>
    <row r="1477" spans="10:12">
      <c r="J1477" t="str">
        <f t="shared" ref="J1477:J1540" si="2947">IF(AND(ISNUMBER(#REF!), ISNUMBER(#REF!)),#REF! -#REF!,"")</f>
        <v/>
      </c>
      <c r="L1477" t="str">
        <f t="shared" ref="L1477:L1540" si="2948">IF(AND(ISNUMBER(#REF!), ISNUMBER(#REF!)),#REF! -#REF!,"")</f>
        <v/>
      </c>
    </row>
    <row r="1478" spans="10:12">
      <c r="J1478" t="str">
        <f t="shared" ref="J1478:J1541" si="2949">IF(AND(ISNUMBER(#REF!), ISNUMBER(#REF!)),#REF! -#REF!,"")</f>
        <v/>
      </c>
      <c r="L1478" t="str">
        <f t="shared" ref="L1478:L1541" si="2950">IF(AND(ISNUMBER(#REF!), ISNUMBER(#REF!)),#REF! -#REF!,"")</f>
        <v/>
      </c>
    </row>
    <row r="1479" spans="10:12">
      <c r="J1479" t="str">
        <f t="shared" ref="J1479:J1542" si="2951">IF(AND(ISNUMBER(#REF!), ISNUMBER(#REF!)),#REF! -#REF!,"")</f>
        <v/>
      </c>
      <c r="L1479" t="str">
        <f t="shared" ref="L1479:L1542" si="2952">IF(AND(ISNUMBER(#REF!), ISNUMBER(#REF!)),#REF! -#REF!,"")</f>
        <v/>
      </c>
    </row>
    <row r="1480" spans="10:12">
      <c r="J1480" t="str">
        <f t="shared" ref="J1480:J1543" si="2953">IF(AND(ISNUMBER(#REF!), ISNUMBER(#REF!)),#REF! -#REF!,"")</f>
        <v/>
      </c>
      <c r="L1480" t="str">
        <f t="shared" ref="L1480:L1543" si="2954">IF(AND(ISNUMBER(#REF!), ISNUMBER(#REF!)),#REF! -#REF!,"")</f>
        <v/>
      </c>
    </row>
    <row r="1481" spans="10:12">
      <c r="J1481" t="str">
        <f t="shared" ref="J1481:J1544" si="2955">IF(AND(ISNUMBER(#REF!), ISNUMBER(#REF!)),#REF! -#REF!,"")</f>
        <v/>
      </c>
      <c r="L1481" t="str">
        <f t="shared" ref="L1481:L1544" si="2956">IF(AND(ISNUMBER(#REF!), ISNUMBER(#REF!)),#REF! -#REF!,"")</f>
        <v/>
      </c>
    </row>
    <row r="1482" spans="10:12">
      <c r="J1482" t="str">
        <f t="shared" ref="J1482:J1545" si="2957">IF(AND(ISNUMBER(#REF!), ISNUMBER(#REF!)),#REF! -#REF!,"")</f>
        <v/>
      </c>
      <c r="L1482" t="str">
        <f t="shared" ref="L1482:L1545" si="2958">IF(AND(ISNUMBER(#REF!), ISNUMBER(#REF!)),#REF! -#REF!,"")</f>
        <v/>
      </c>
    </row>
    <row r="1483" spans="10:12">
      <c r="J1483" t="str">
        <f t="shared" ref="J1483:J1546" si="2959">IF(AND(ISNUMBER(#REF!), ISNUMBER(#REF!)),#REF! -#REF!,"")</f>
        <v/>
      </c>
      <c r="L1483" t="str">
        <f t="shared" ref="L1483:L1546" si="2960">IF(AND(ISNUMBER(#REF!), ISNUMBER(#REF!)),#REF! -#REF!,"")</f>
        <v/>
      </c>
    </row>
    <row r="1484" spans="10:12">
      <c r="J1484" t="str">
        <f t="shared" ref="J1484:J1547" si="2961">IF(AND(ISNUMBER(#REF!), ISNUMBER(#REF!)),#REF! -#REF!,"")</f>
        <v/>
      </c>
      <c r="L1484" t="str">
        <f t="shared" ref="L1484:L1547" si="2962">IF(AND(ISNUMBER(#REF!), ISNUMBER(#REF!)),#REF! -#REF!,"")</f>
        <v/>
      </c>
    </row>
    <row r="1485" spans="10:12">
      <c r="J1485" t="str">
        <f t="shared" ref="J1485:J1548" si="2963">IF(AND(ISNUMBER(#REF!), ISNUMBER(#REF!)),#REF! -#REF!,"")</f>
        <v/>
      </c>
      <c r="L1485" t="str">
        <f t="shared" ref="L1485:L1548" si="2964">IF(AND(ISNUMBER(#REF!), ISNUMBER(#REF!)),#REF! -#REF!,"")</f>
        <v/>
      </c>
    </row>
    <row r="1486" spans="10:12">
      <c r="J1486" t="str">
        <f t="shared" ref="J1486:J1549" si="2965">IF(AND(ISNUMBER(#REF!), ISNUMBER(#REF!)),#REF! -#REF!,"")</f>
        <v/>
      </c>
      <c r="L1486" t="str">
        <f t="shared" ref="L1486:L1549" si="2966">IF(AND(ISNUMBER(#REF!), ISNUMBER(#REF!)),#REF! -#REF!,"")</f>
        <v/>
      </c>
    </row>
    <row r="1487" spans="10:12">
      <c r="J1487" t="str">
        <f t="shared" ref="J1487:J1550" si="2967">IF(AND(ISNUMBER(#REF!), ISNUMBER(#REF!)),#REF! -#REF!,"")</f>
        <v/>
      </c>
      <c r="L1487" t="str">
        <f t="shared" ref="L1487:L1550" si="2968">IF(AND(ISNUMBER(#REF!), ISNUMBER(#REF!)),#REF! -#REF!,"")</f>
        <v/>
      </c>
    </row>
    <row r="1488" spans="10:12">
      <c r="J1488" t="str">
        <f t="shared" ref="J1488:J1551" si="2969">IF(AND(ISNUMBER(#REF!), ISNUMBER(#REF!)),#REF! -#REF!,"")</f>
        <v/>
      </c>
      <c r="L1488" t="str">
        <f t="shared" ref="L1488:L1551" si="2970">IF(AND(ISNUMBER(#REF!), ISNUMBER(#REF!)),#REF! -#REF!,"")</f>
        <v/>
      </c>
    </row>
    <row r="1489" spans="10:12">
      <c r="J1489" t="str">
        <f t="shared" ref="J1489:J1552" si="2971">IF(AND(ISNUMBER(#REF!), ISNUMBER(#REF!)),#REF! -#REF!,"")</f>
        <v/>
      </c>
      <c r="L1489" t="str">
        <f t="shared" ref="L1489:L1552" si="2972">IF(AND(ISNUMBER(#REF!), ISNUMBER(#REF!)),#REF! -#REF!,"")</f>
        <v/>
      </c>
    </row>
    <row r="1490" spans="10:12">
      <c r="J1490" t="str">
        <f t="shared" ref="J1490:J1553" si="2973">IF(AND(ISNUMBER(#REF!), ISNUMBER(#REF!)),#REF! -#REF!,"")</f>
        <v/>
      </c>
      <c r="L1490" t="str">
        <f t="shared" ref="L1490:L1553" si="2974">IF(AND(ISNUMBER(#REF!), ISNUMBER(#REF!)),#REF! -#REF!,"")</f>
        <v/>
      </c>
    </row>
    <row r="1491" spans="10:12">
      <c r="J1491" t="str">
        <f t="shared" ref="J1491:J1554" si="2975">IF(AND(ISNUMBER(#REF!), ISNUMBER(#REF!)),#REF! -#REF!,"")</f>
        <v/>
      </c>
      <c r="L1491" t="str">
        <f t="shared" ref="L1491:L1554" si="2976">IF(AND(ISNUMBER(#REF!), ISNUMBER(#REF!)),#REF! -#REF!,"")</f>
        <v/>
      </c>
    </row>
    <row r="1492" spans="10:12">
      <c r="J1492" t="str">
        <f t="shared" ref="J1492:J1555" si="2977">IF(AND(ISNUMBER(#REF!), ISNUMBER(#REF!)),#REF! -#REF!,"")</f>
        <v/>
      </c>
      <c r="L1492" t="str">
        <f t="shared" ref="L1492:L1555" si="2978">IF(AND(ISNUMBER(#REF!), ISNUMBER(#REF!)),#REF! -#REF!,"")</f>
        <v/>
      </c>
    </row>
    <row r="1493" spans="10:12">
      <c r="J1493" t="str">
        <f t="shared" ref="J1493:J1556" si="2979">IF(AND(ISNUMBER(#REF!), ISNUMBER(#REF!)),#REF! -#REF!,"")</f>
        <v/>
      </c>
      <c r="L1493" t="str">
        <f t="shared" ref="L1493:L1556" si="2980">IF(AND(ISNUMBER(#REF!), ISNUMBER(#REF!)),#REF! -#REF!,"")</f>
        <v/>
      </c>
    </row>
    <row r="1494" spans="10:12">
      <c r="J1494" t="str">
        <f t="shared" ref="J1494:J1557" si="2981">IF(AND(ISNUMBER(#REF!), ISNUMBER(#REF!)),#REF! -#REF!,"")</f>
        <v/>
      </c>
      <c r="L1494" t="str">
        <f t="shared" ref="L1494:L1557" si="2982">IF(AND(ISNUMBER(#REF!), ISNUMBER(#REF!)),#REF! -#REF!,"")</f>
        <v/>
      </c>
    </row>
    <row r="1495" spans="10:12">
      <c r="J1495" t="str">
        <f t="shared" ref="J1495:J1558" si="2983">IF(AND(ISNUMBER(#REF!), ISNUMBER(#REF!)),#REF! -#REF!,"")</f>
        <v/>
      </c>
      <c r="L1495" t="str">
        <f t="shared" ref="L1495:L1558" si="2984">IF(AND(ISNUMBER(#REF!), ISNUMBER(#REF!)),#REF! -#REF!,"")</f>
        <v/>
      </c>
    </row>
    <row r="1496" spans="10:12">
      <c r="J1496" t="str">
        <f t="shared" ref="J1496:J1559" si="2985">IF(AND(ISNUMBER(#REF!), ISNUMBER(#REF!)),#REF! -#REF!,"")</f>
        <v/>
      </c>
      <c r="L1496" t="str">
        <f t="shared" ref="L1496:L1559" si="2986">IF(AND(ISNUMBER(#REF!), ISNUMBER(#REF!)),#REF! -#REF!,"")</f>
        <v/>
      </c>
    </row>
    <row r="1497" spans="10:12">
      <c r="J1497" t="str">
        <f t="shared" ref="J1497:J1560" si="2987">IF(AND(ISNUMBER(#REF!), ISNUMBER(#REF!)),#REF! -#REF!,"")</f>
        <v/>
      </c>
      <c r="L1497" t="str">
        <f t="shared" ref="L1497:L1560" si="2988">IF(AND(ISNUMBER(#REF!), ISNUMBER(#REF!)),#REF! -#REF!,"")</f>
        <v/>
      </c>
    </row>
    <row r="1498" spans="10:12">
      <c r="J1498" t="str">
        <f t="shared" ref="J1498:J1561" si="2989">IF(AND(ISNUMBER(#REF!), ISNUMBER(#REF!)),#REF! -#REF!,"")</f>
        <v/>
      </c>
      <c r="L1498" t="str">
        <f t="shared" ref="L1498:L1561" si="2990">IF(AND(ISNUMBER(#REF!), ISNUMBER(#REF!)),#REF! -#REF!,"")</f>
        <v/>
      </c>
    </row>
    <row r="1499" spans="10:12">
      <c r="J1499" t="str">
        <f t="shared" ref="J1499:J1562" si="2991">IF(AND(ISNUMBER(#REF!), ISNUMBER(#REF!)),#REF! -#REF!,"")</f>
        <v/>
      </c>
      <c r="L1499" t="str">
        <f t="shared" ref="L1499:L1562" si="2992">IF(AND(ISNUMBER(#REF!), ISNUMBER(#REF!)),#REF! -#REF!,"")</f>
        <v/>
      </c>
    </row>
    <row r="1500" spans="10:12">
      <c r="J1500" t="str">
        <f t="shared" ref="J1500:J1563" si="2993">IF(AND(ISNUMBER(#REF!), ISNUMBER(#REF!)),#REF! -#REF!,"")</f>
        <v/>
      </c>
      <c r="L1500" t="str">
        <f t="shared" ref="L1500:L1563" si="2994">IF(AND(ISNUMBER(#REF!), ISNUMBER(#REF!)),#REF! -#REF!,"")</f>
        <v/>
      </c>
    </row>
    <row r="1501" spans="10:12">
      <c r="J1501" t="str">
        <f t="shared" ref="J1501:J1564" si="2995">IF(AND(ISNUMBER(#REF!), ISNUMBER(#REF!)),#REF! -#REF!,"")</f>
        <v/>
      </c>
      <c r="L1501" t="str">
        <f t="shared" ref="L1501:L1564" si="2996">IF(AND(ISNUMBER(#REF!), ISNUMBER(#REF!)),#REF! -#REF!,"")</f>
        <v/>
      </c>
    </row>
    <row r="1502" spans="10:12">
      <c r="J1502" t="str">
        <f t="shared" ref="J1502:J1565" si="2997">IF(AND(ISNUMBER(#REF!), ISNUMBER(#REF!)),#REF! -#REF!,"")</f>
        <v/>
      </c>
      <c r="L1502" t="str">
        <f t="shared" ref="L1502:L1565" si="2998">IF(AND(ISNUMBER(#REF!), ISNUMBER(#REF!)),#REF! -#REF!,"")</f>
        <v/>
      </c>
    </row>
    <row r="1503" spans="10:12">
      <c r="J1503" t="str">
        <f t="shared" ref="J1503:J1566" si="2999">IF(AND(ISNUMBER(#REF!), ISNUMBER(#REF!)),#REF! -#REF!,"")</f>
        <v/>
      </c>
      <c r="L1503" t="str">
        <f t="shared" ref="L1503:L1566" si="3000">IF(AND(ISNUMBER(#REF!), ISNUMBER(#REF!)),#REF! -#REF!,"")</f>
        <v/>
      </c>
    </row>
    <row r="1504" spans="10:12">
      <c r="J1504" t="str">
        <f t="shared" ref="J1504:J1567" si="3001">IF(AND(ISNUMBER(#REF!), ISNUMBER(#REF!)),#REF! -#REF!,"")</f>
        <v/>
      </c>
      <c r="L1504" t="str">
        <f t="shared" ref="L1504:L1567" si="3002">IF(AND(ISNUMBER(#REF!), ISNUMBER(#REF!)),#REF! -#REF!,"")</f>
        <v/>
      </c>
    </row>
    <row r="1505" spans="10:12">
      <c r="J1505" t="str">
        <f t="shared" ref="J1505:J1568" si="3003">IF(AND(ISNUMBER(#REF!), ISNUMBER(#REF!)),#REF! -#REF!,"")</f>
        <v/>
      </c>
      <c r="L1505" t="str">
        <f t="shared" ref="L1505:L1568" si="3004">IF(AND(ISNUMBER(#REF!), ISNUMBER(#REF!)),#REF! -#REF!,"")</f>
        <v/>
      </c>
    </row>
    <row r="1506" spans="10:12">
      <c r="J1506" t="str">
        <f t="shared" ref="J1506:J1569" si="3005">IF(AND(ISNUMBER(#REF!), ISNUMBER(#REF!)),#REF! -#REF!,"")</f>
        <v/>
      </c>
      <c r="L1506" t="str">
        <f t="shared" ref="L1506:L1569" si="3006">IF(AND(ISNUMBER(#REF!), ISNUMBER(#REF!)),#REF! -#REF!,"")</f>
        <v/>
      </c>
    </row>
    <row r="1507" spans="10:12">
      <c r="J1507" t="str">
        <f t="shared" ref="J1507:J1570" si="3007">IF(AND(ISNUMBER(#REF!), ISNUMBER(#REF!)),#REF! -#REF!,"")</f>
        <v/>
      </c>
      <c r="L1507" t="str">
        <f t="shared" ref="L1507:L1570" si="3008">IF(AND(ISNUMBER(#REF!), ISNUMBER(#REF!)),#REF! -#REF!,"")</f>
        <v/>
      </c>
    </row>
    <row r="1508" spans="10:12">
      <c r="J1508" t="str">
        <f t="shared" ref="J1508:J1571" si="3009">IF(AND(ISNUMBER(#REF!), ISNUMBER(#REF!)),#REF! -#REF!,"")</f>
        <v/>
      </c>
      <c r="L1508" t="str">
        <f t="shared" ref="L1508:L1571" si="3010">IF(AND(ISNUMBER(#REF!), ISNUMBER(#REF!)),#REF! -#REF!,"")</f>
        <v/>
      </c>
    </row>
    <row r="1509" spans="10:12">
      <c r="J1509" t="str">
        <f t="shared" ref="J1509:J1572" si="3011">IF(AND(ISNUMBER(#REF!), ISNUMBER(#REF!)),#REF! -#REF!,"")</f>
        <v/>
      </c>
      <c r="L1509" t="str">
        <f t="shared" ref="L1509:L1572" si="3012">IF(AND(ISNUMBER(#REF!), ISNUMBER(#REF!)),#REF! -#REF!,"")</f>
        <v/>
      </c>
    </row>
    <row r="1510" spans="10:12">
      <c r="J1510" t="str">
        <f t="shared" ref="J1510:J1573" si="3013">IF(AND(ISNUMBER(#REF!), ISNUMBER(#REF!)),#REF! -#REF!,"")</f>
        <v/>
      </c>
      <c r="L1510" t="str">
        <f t="shared" ref="L1510:L1573" si="3014">IF(AND(ISNUMBER(#REF!), ISNUMBER(#REF!)),#REF! -#REF!,"")</f>
        <v/>
      </c>
    </row>
    <row r="1511" spans="10:12">
      <c r="J1511" t="str">
        <f t="shared" ref="J1511:J1574" si="3015">IF(AND(ISNUMBER(#REF!), ISNUMBER(#REF!)),#REF! -#REF!,"")</f>
        <v/>
      </c>
      <c r="L1511" t="str">
        <f t="shared" ref="L1511:L1574" si="3016">IF(AND(ISNUMBER(#REF!), ISNUMBER(#REF!)),#REF! -#REF!,"")</f>
        <v/>
      </c>
    </row>
    <row r="1512" spans="10:12">
      <c r="J1512" t="str">
        <f t="shared" ref="J1512:J1575" si="3017">IF(AND(ISNUMBER(#REF!), ISNUMBER(#REF!)),#REF! -#REF!,"")</f>
        <v/>
      </c>
      <c r="L1512" t="str">
        <f t="shared" ref="L1512:L1575" si="3018">IF(AND(ISNUMBER(#REF!), ISNUMBER(#REF!)),#REF! -#REF!,"")</f>
        <v/>
      </c>
    </row>
    <row r="1513" spans="10:12">
      <c r="J1513" t="str">
        <f t="shared" ref="J1513:J1576" si="3019">IF(AND(ISNUMBER(#REF!), ISNUMBER(#REF!)),#REF! -#REF!,"")</f>
        <v/>
      </c>
      <c r="L1513" t="str">
        <f t="shared" ref="L1513:L1576" si="3020">IF(AND(ISNUMBER(#REF!), ISNUMBER(#REF!)),#REF! -#REF!,"")</f>
        <v/>
      </c>
    </row>
    <row r="1514" spans="10:12">
      <c r="J1514" t="str">
        <f t="shared" ref="J1514:J1577" si="3021">IF(AND(ISNUMBER(#REF!), ISNUMBER(#REF!)),#REF! -#REF!,"")</f>
        <v/>
      </c>
      <c r="L1514" t="str">
        <f t="shared" ref="L1514:L1577" si="3022">IF(AND(ISNUMBER(#REF!), ISNUMBER(#REF!)),#REF! -#REF!,"")</f>
        <v/>
      </c>
    </row>
    <row r="1515" spans="10:12">
      <c r="J1515" t="str">
        <f t="shared" ref="J1515:J1578" si="3023">IF(AND(ISNUMBER(#REF!), ISNUMBER(#REF!)),#REF! -#REF!,"")</f>
        <v/>
      </c>
      <c r="L1515" t="str">
        <f t="shared" ref="L1515:L1578" si="3024">IF(AND(ISNUMBER(#REF!), ISNUMBER(#REF!)),#REF! -#REF!,"")</f>
        <v/>
      </c>
    </row>
    <row r="1516" spans="10:12">
      <c r="J1516" t="str">
        <f t="shared" ref="J1516:J1579" si="3025">IF(AND(ISNUMBER(#REF!), ISNUMBER(#REF!)),#REF! -#REF!,"")</f>
        <v/>
      </c>
      <c r="L1516" t="str">
        <f t="shared" ref="L1516:L1579" si="3026">IF(AND(ISNUMBER(#REF!), ISNUMBER(#REF!)),#REF! -#REF!,"")</f>
        <v/>
      </c>
    </row>
    <row r="1517" spans="10:12">
      <c r="J1517" t="str">
        <f t="shared" ref="J1517:J1580" si="3027">IF(AND(ISNUMBER(#REF!), ISNUMBER(#REF!)),#REF! -#REF!,"")</f>
        <v/>
      </c>
      <c r="L1517" t="str">
        <f t="shared" ref="L1517:L1580" si="3028">IF(AND(ISNUMBER(#REF!), ISNUMBER(#REF!)),#REF! -#REF!,"")</f>
        <v/>
      </c>
    </row>
    <row r="1518" spans="10:12">
      <c r="J1518" t="str">
        <f t="shared" ref="J1518:J1581" si="3029">IF(AND(ISNUMBER(#REF!), ISNUMBER(#REF!)),#REF! -#REF!,"")</f>
        <v/>
      </c>
      <c r="L1518" t="str">
        <f t="shared" ref="L1518:L1581" si="3030">IF(AND(ISNUMBER(#REF!), ISNUMBER(#REF!)),#REF! -#REF!,"")</f>
        <v/>
      </c>
    </row>
    <row r="1519" spans="10:12">
      <c r="J1519" t="str">
        <f t="shared" ref="J1519:J1582" si="3031">IF(AND(ISNUMBER(#REF!), ISNUMBER(#REF!)),#REF! -#REF!,"")</f>
        <v/>
      </c>
      <c r="L1519" t="str">
        <f t="shared" ref="L1519:L1582" si="3032">IF(AND(ISNUMBER(#REF!), ISNUMBER(#REF!)),#REF! -#REF!,"")</f>
        <v/>
      </c>
    </row>
    <row r="1520" spans="10:12">
      <c r="J1520" t="str">
        <f t="shared" ref="J1520:J1583" si="3033">IF(AND(ISNUMBER(#REF!), ISNUMBER(#REF!)),#REF! -#REF!,"")</f>
        <v/>
      </c>
      <c r="L1520" t="str">
        <f t="shared" ref="L1520:L1583" si="3034">IF(AND(ISNUMBER(#REF!), ISNUMBER(#REF!)),#REF! -#REF!,"")</f>
        <v/>
      </c>
    </row>
    <row r="1521" spans="10:12">
      <c r="J1521" t="str">
        <f t="shared" ref="J1521:J1584" si="3035">IF(AND(ISNUMBER(#REF!), ISNUMBER(#REF!)),#REF! -#REF!,"")</f>
        <v/>
      </c>
      <c r="L1521" t="str">
        <f t="shared" ref="L1521:L1584" si="3036">IF(AND(ISNUMBER(#REF!), ISNUMBER(#REF!)),#REF! -#REF!,"")</f>
        <v/>
      </c>
    </row>
    <row r="1522" spans="10:12">
      <c r="J1522" t="str">
        <f t="shared" ref="J1522:J1585" si="3037">IF(AND(ISNUMBER(#REF!), ISNUMBER(#REF!)),#REF! -#REF!,"")</f>
        <v/>
      </c>
      <c r="L1522" t="str">
        <f t="shared" ref="L1522:L1585" si="3038">IF(AND(ISNUMBER(#REF!), ISNUMBER(#REF!)),#REF! -#REF!,"")</f>
        <v/>
      </c>
    </row>
    <row r="1523" spans="10:12">
      <c r="J1523" t="str">
        <f t="shared" ref="J1523:J1586" si="3039">IF(AND(ISNUMBER(#REF!), ISNUMBER(#REF!)),#REF! -#REF!,"")</f>
        <v/>
      </c>
      <c r="L1523" t="str">
        <f t="shared" ref="L1523:L1586" si="3040">IF(AND(ISNUMBER(#REF!), ISNUMBER(#REF!)),#REF! -#REF!,"")</f>
        <v/>
      </c>
    </row>
    <row r="1524" spans="10:12">
      <c r="J1524" t="str">
        <f t="shared" ref="J1524:J1587" si="3041">IF(AND(ISNUMBER(#REF!), ISNUMBER(#REF!)),#REF! -#REF!,"")</f>
        <v/>
      </c>
      <c r="L1524" t="str">
        <f t="shared" ref="L1524:L1587" si="3042">IF(AND(ISNUMBER(#REF!), ISNUMBER(#REF!)),#REF! -#REF!,"")</f>
        <v/>
      </c>
    </row>
    <row r="1525" spans="10:12">
      <c r="J1525" t="str">
        <f t="shared" ref="J1525:J1588" si="3043">IF(AND(ISNUMBER(#REF!), ISNUMBER(#REF!)),#REF! -#REF!,"")</f>
        <v/>
      </c>
      <c r="L1525" t="str">
        <f t="shared" ref="L1525:L1588" si="3044">IF(AND(ISNUMBER(#REF!), ISNUMBER(#REF!)),#REF! -#REF!,"")</f>
        <v/>
      </c>
    </row>
    <row r="1526" spans="10:12">
      <c r="J1526" t="str">
        <f t="shared" ref="J1526:J1589" si="3045">IF(AND(ISNUMBER(#REF!), ISNUMBER(#REF!)),#REF! -#REF!,"")</f>
        <v/>
      </c>
      <c r="L1526" t="str">
        <f t="shared" ref="L1526:L1589" si="3046">IF(AND(ISNUMBER(#REF!), ISNUMBER(#REF!)),#REF! -#REF!,"")</f>
        <v/>
      </c>
    </row>
    <row r="1527" spans="10:12">
      <c r="J1527" t="str">
        <f t="shared" ref="J1527:J1590" si="3047">IF(AND(ISNUMBER(#REF!), ISNUMBER(#REF!)),#REF! -#REF!,"")</f>
        <v/>
      </c>
      <c r="L1527" t="str">
        <f t="shared" ref="L1527:L1590" si="3048">IF(AND(ISNUMBER(#REF!), ISNUMBER(#REF!)),#REF! -#REF!,"")</f>
        <v/>
      </c>
    </row>
    <row r="1528" spans="10:12">
      <c r="J1528" t="str">
        <f t="shared" ref="J1528:J1591" si="3049">IF(AND(ISNUMBER(#REF!), ISNUMBER(#REF!)),#REF! -#REF!,"")</f>
        <v/>
      </c>
      <c r="L1528" t="str">
        <f t="shared" ref="L1528:L1591" si="3050">IF(AND(ISNUMBER(#REF!), ISNUMBER(#REF!)),#REF! -#REF!,"")</f>
        <v/>
      </c>
    </row>
    <row r="1529" spans="10:12">
      <c r="J1529" t="str">
        <f t="shared" ref="J1529:J1592" si="3051">IF(AND(ISNUMBER(#REF!), ISNUMBER(#REF!)),#REF! -#REF!,"")</f>
        <v/>
      </c>
      <c r="L1529" t="str">
        <f t="shared" ref="L1529:L1592" si="3052">IF(AND(ISNUMBER(#REF!), ISNUMBER(#REF!)),#REF! -#REF!,"")</f>
        <v/>
      </c>
    </row>
    <row r="1530" spans="10:12">
      <c r="J1530" t="str">
        <f t="shared" ref="J1530:J1593" si="3053">IF(AND(ISNUMBER(#REF!), ISNUMBER(#REF!)),#REF! -#REF!,"")</f>
        <v/>
      </c>
      <c r="L1530" t="str">
        <f t="shared" ref="L1530:L1593" si="3054">IF(AND(ISNUMBER(#REF!), ISNUMBER(#REF!)),#REF! -#REF!,"")</f>
        <v/>
      </c>
    </row>
    <row r="1531" spans="10:12">
      <c r="J1531" t="str">
        <f t="shared" ref="J1531:J1594" si="3055">IF(AND(ISNUMBER(#REF!), ISNUMBER(#REF!)),#REF! -#REF!,"")</f>
        <v/>
      </c>
      <c r="L1531" t="str">
        <f t="shared" ref="L1531:L1594" si="3056">IF(AND(ISNUMBER(#REF!), ISNUMBER(#REF!)),#REF! -#REF!,"")</f>
        <v/>
      </c>
    </row>
    <row r="1532" spans="10:12">
      <c r="J1532" t="str">
        <f t="shared" ref="J1532:J1595" si="3057">IF(AND(ISNUMBER(#REF!), ISNUMBER(#REF!)),#REF! -#REF!,"")</f>
        <v/>
      </c>
      <c r="L1532" t="str">
        <f t="shared" ref="L1532:L1595" si="3058">IF(AND(ISNUMBER(#REF!), ISNUMBER(#REF!)),#REF! -#REF!,"")</f>
        <v/>
      </c>
    </row>
    <row r="1533" spans="10:12">
      <c r="J1533" t="str">
        <f t="shared" ref="J1533:J1596" si="3059">IF(AND(ISNUMBER(#REF!), ISNUMBER(#REF!)),#REF! -#REF!,"")</f>
        <v/>
      </c>
      <c r="L1533" t="str">
        <f t="shared" ref="L1533:L1596" si="3060">IF(AND(ISNUMBER(#REF!), ISNUMBER(#REF!)),#REF! -#REF!,"")</f>
        <v/>
      </c>
    </row>
    <row r="1534" spans="10:12">
      <c r="J1534" t="str">
        <f t="shared" ref="J1534:J1597" si="3061">IF(AND(ISNUMBER(#REF!), ISNUMBER(#REF!)),#REF! -#REF!,"")</f>
        <v/>
      </c>
      <c r="L1534" t="str">
        <f t="shared" ref="L1534:L1597" si="3062">IF(AND(ISNUMBER(#REF!), ISNUMBER(#REF!)),#REF! -#REF!,"")</f>
        <v/>
      </c>
    </row>
    <row r="1535" spans="10:12">
      <c r="J1535" t="str">
        <f t="shared" ref="J1535:J1598" si="3063">IF(AND(ISNUMBER(#REF!), ISNUMBER(#REF!)),#REF! -#REF!,"")</f>
        <v/>
      </c>
      <c r="L1535" t="str">
        <f t="shared" ref="L1535:L1598" si="3064">IF(AND(ISNUMBER(#REF!), ISNUMBER(#REF!)),#REF! -#REF!,"")</f>
        <v/>
      </c>
    </row>
    <row r="1536" spans="10:12">
      <c r="J1536" t="str">
        <f t="shared" ref="J1536:J1599" si="3065">IF(AND(ISNUMBER(#REF!), ISNUMBER(#REF!)),#REF! -#REF!,"")</f>
        <v/>
      </c>
      <c r="L1536" t="str">
        <f t="shared" ref="L1536:L1599" si="3066">IF(AND(ISNUMBER(#REF!), ISNUMBER(#REF!)),#REF! -#REF!,"")</f>
        <v/>
      </c>
    </row>
    <row r="1537" spans="10:12">
      <c r="J1537" t="str">
        <f t="shared" ref="J1537:J1600" si="3067">IF(AND(ISNUMBER(#REF!), ISNUMBER(#REF!)),#REF! -#REF!,"")</f>
        <v/>
      </c>
      <c r="L1537" t="str">
        <f t="shared" ref="L1537:L1600" si="3068">IF(AND(ISNUMBER(#REF!), ISNUMBER(#REF!)),#REF! -#REF!,"")</f>
        <v/>
      </c>
    </row>
    <row r="1538" spans="10:12">
      <c r="J1538" t="str">
        <f t="shared" ref="J1538:J1601" si="3069">IF(AND(ISNUMBER(#REF!), ISNUMBER(#REF!)),#REF! -#REF!,"")</f>
        <v/>
      </c>
      <c r="L1538" t="str">
        <f t="shared" ref="L1538:L1601" si="3070">IF(AND(ISNUMBER(#REF!), ISNUMBER(#REF!)),#REF! -#REF!,"")</f>
        <v/>
      </c>
    </row>
    <row r="1539" spans="10:12">
      <c r="J1539" t="str">
        <f t="shared" ref="J1539:J1602" si="3071">IF(AND(ISNUMBER(#REF!), ISNUMBER(#REF!)),#REF! -#REF!,"")</f>
        <v/>
      </c>
      <c r="L1539" t="str">
        <f t="shared" ref="L1539:L1602" si="3072">IF(AND(ISNUMBER(#REF!), ISNUMBER(#REF!)),#REF! -#REF!,"")</f>
        <v/>
      </c>
    </row>
    <row r="1540" spans="10:12">
      <c r="J1540" t="str">
        <f t="shared" ref="J1540:J1603" si="3073">IF(AND(ISNUMBER(#REF!), ISNUMBER(#REF!)),#REF! -#REF!,"")</f>
        <v/>
      </c>
      <c r="L1540" t="str">
        <f t="shared" ref="L1540:L1603" si="3074">IF(AND(ISNUMBER(#REF!), ISNUMBER(#REF!)),#REF! -#REF!,"")</f>
        <v/>
      </c>
    </row>
    <row r="1541" spans="10:12">
      <c r="J1541" t="str">
        <f t="shared" ref="J1541:J1604" si="3075">IF(AND(ISNUMBER(#REF!), ISNUMBER(#REF!)),#REF! -#REF!,"")</f>
        <v/>
      </c>
      <c r="L1541" t="str">
        <f t="shared" ref="L1541:L1604" si="3076">IF(AND(ISNUMBER(#REF!), ISNUMBER(#REF!)),#REF! -#REF!,"")</f>
        <v/>
      </c>
    </row>
    <row r="1542" spans="10:12">
      <c r="J1542" t="str">
        <f t="shared" ref="J1542:J1605" si="3077">IF(AND(ISNUMBER(#REF!), ISNUMBER(#REF!)),#REF! -#REF!,"")</f>
        <v/>
      </c>
      <c r="L1542" t="str">
        <f t="shared" ref="L1542:L1605" si="3078">IF(AND(ISNUMBER(#REF!), ISNUMBER(#REF!)),#REF! -#REF!,"")</f>
        <v/>
      </c>
    </row>
    <row r="1543" spans="10:12">
      <c r="J1543" t="str">
        <f t="shared" ref="J1543:J1606" si="3079">IF(AND(ISNUMBER(#REF!), ISNUMBER(#REF!)),#REF! -#REF!,"")</f>
        <v/>
      </c>
      <c r="L1543" t="str">
        <f t="shared" ref="L1543:L1606" si="3080">IF(AND(ISNUMBER(#REF!), ISNUMBER(#REF!)),#REF! -#REF!,"")</f>
        <v/>
      </c>
    </row>
    <row r="1544" spans="10:12">
      <c r="J1544" t="str">
        <f t="shared" ref="J1544:J1607" si="3081">IF(AND(ISNUMBER(#REF!), ISNUMBER(#REF!)),#REF! -#REF!,"")</f>
        <v/>
      </c>
      <c r="L1544" t="str">
        <f t="shared" ref="L1544:L1607" si="3082">IF(AND(ISNUMBER(#REF!), ISNUMBER(#REF!)),#REF! -#REF!,"")</f>
        <v/>
      </c>
    </row>
    <row r="1545" spans="10:12">
      <c r="J1545" t="str">
        <f t="shared" ref="J1545:J1608" si="3083">IF(AND(ISNUMBER(#REF!), ISNUMBER(#REF!)),#REF! -#REF!,"")</f>
        <v/>
      </c>
      <c r="L1545" t="str">
        <f t="shared" ref="L1545:L1608" si="3084">IF(AND(ISNUMBER(#REF!), ISNUMBER(#REF!)),#REF! -#REF!,"")</f>
        <v/>
      </c>
    </row>
    <row r="1546" spans="10:12">
      <c r="J1546" t="str">
        <f t="shared" ref="J1546:J1609" si="3085">IF(AND(ISNUMBER(#REF!), ISNUMBER(#REF!)),#REF! -#REF!,"")</f>
        <v/>
      </c>
      <c r="L1546" t="str">
        <f t="shared" ref="L1546:L1609" si="3086">IF(AND(ISNUMBER(#REF!), ISNUMBER(#REF!)),#REF! -#REF!,"")</f>
        <v/>
      </c>
    </row>
    <row r="1547" spans="10:12">
      <c r="J1547" t="str">
        <f t="shared" ref="J1547:J1610" si="3087">IF(AND(ISNUMBER(#REF!), ISNUMBER(#REF!)),#REF! -#REF!,"")</f>
        <v/>
      </c>
      <c r="L1547" t="str">
        <f t="shared" ref="L1547:L1610" si="3088">IF(AND(ISNUMBER(#REF!), ISNUMBER(#REF!)),#REF! -#REF!,"")</f>
        <v/>
      </c>
    </row>
    <row r="1548" spans="10:12">
      <c r="J1548" t="str">
        <f t="shared" ref="J1548:J1611" si="3089">IF(AND(ISNUMBER(#REF!), ISNUMBER(#REF!)),#REF! -#REF!,"")</f>
        <v/>
      </c>
      <c r="L1548" t="str">
        <f t="shared" ref="L1548:L1611" si="3090">IF(AND(ISNUMBER(#REF!), ISNUMBER(#REF!)),#REF! -#REF!,"")</f>
        <v/>
      </c>
    </row>
    <row r="1549" spans="10:12">
      <c r="J1549" t="str">
        <f t="shared" ref="J1549:J1612" si="3091">IF(AND(ISNUMBER(#REF!), ISNUMBER(#REF!)),#REF! -#REF!,"")</f>
        <v/>
      </c>
      <c r="L1549" t="str">
        <f t="shared" ref="L1549:L1612" si="3092">IF(AND(ISNUMBER(#REF!), ISNUMBER(#REF!)),#REF! -#REF!,"")</f>
        <v/>
      </c>
    </row>
    <row r="1550" spans="10:12">
      <c r="J1550" t="str">
        <f t="shared" ref="J1550:J1613" si="3093">IF(AND(ISNUMBER(#REF!), ISNUMBER(#REF!)),#REF! -#REF!,"")</f>
        <v/>
      </c>
      <c r="L1550" t="str">
        <f t="shared" ref="L1550:L1613" si="3094">IF(AND(ISNUMBER(#REF!), ISNUMBER(#REF!)),#REF! -#REF!,"")</f>
        <v/>
      </c>
    </row>
    <row r="1551" spans="10:12">
      <c r="J1551" t="str">
        <f t="shared" ref="J1551:J1614" si="3095">IF(AND(ISNUMBER(#REF!), ISNUMBER(#REF!)),#REF! -#REF!,"")</f>
        <v/>
      </c>
      <c r="L1551" t="str">
        <f t="shared" ref="L1551:L1614" si="3096">IF(AND(ISNUMBER(#REF!), ISNUMBER(#REF!)),#REF! -#REF!,"")</f>
        <v/>
      </c>
    </row>
    <row r="1552" spans="10:12">
      <c r="J1552" t="str">
        <f t="shared" ref="J1552:J1615" si="3097">IF(AND(ISNUMBER(#REF!), ISNUMBER(#REF!)),#REF! -#REF!,"")</f>
        <v/>
      </c>
      <c r="L1552" t="str">
        <f t="shared" ref="L1552:L1615" si="3098">IF(AND(ISNUMBER(#REF!), ISNUMBER(#REF!)),#REF! -#REF!,"")</f>
        <v/>
      </c>
    </row>
    <row r="1553" spans="10:12">
      <c r="J1553" t="str">
        <f t="shared" ref="J1553:J1616" si="3099">IF(AND(ISNUMBER(#REF!), ISNUMBER(#REF!)),#REF! -#REF!,"")</f>
        <v/>
      </c>
      <c r="L1553" t="str">
        <f t="shared" ref="L1553:L1616" si="3100">IF(AND(ISNUMBER(#REF!), ISNUMBER(#REF!)),#REF! -#REF!,"")</f>
        <v/>
      </c>
    </row>
    <row r="1554" spans="10:12">
      <c r="J1554" t="str">
        <f t="shared" ref="J1554:J1617" si="3101">IF(AND(ISNUMBER(#REF!), ISNUMBER(#REF!)),#REF! -#REF!,"")</f>
        <v/>
      </c>
      <c r="L1554" t="str">
        <f t="shared" ref="L1554:L1617" si="3102">IF(AND(ISNUMBER(#REF!), ISNUMBER(#REF!)),#REF! -#REF!,"")</f>
        <v/>
      </c>
    </row>
    <row r="1555" spans="10:12">
      <c r="J1555" t="str">
        <f t="shared" ref="J1555:J1618" si="3103">IF(AND(ISNUMBER(#REF!), ISNUMBER(#REF!)),#REF! -#REF!,"")</f>
        <v/>
      </c>
      <c r="L1555" t="str">
        <f t="shared" ref="L1555:L1618" si="3104">IF(AND(ISNUMBER(#REF!), ISNUMBER(#REF!)),#REF! -#REF!,"")</f>
        <v/>
      </c>
    </row>
    <row r="1556" spans="10:12">
      <c r="J1556" t="str">
        <f t="shared" ref="J1556:J1619" si="3105">IF(AND(ISNUMBER(#REF!), ISNUMBER(#REF!)),#REF! -#REF!,"")</f>
        <v/>
      </c>
      <c r="L1556" t="str">
        <f t="shared" ref="L1556:L1619" si="3106">IF(AND(ISNUMBER(#REF!), ISNUMBER(#REF!)),#REF! -#REF!,"")</f>
        <v/>
      </c>
    </row>
    <row r="1557" spans="10:12">
      <c r="J1557" t="str">
        <f t="shared" ref="J1557:J1620" si="3107">IF(AND(ISNUMBER(#REF!), ISNUMBER(#REF!)),#REF! -#REF!,"")</f>
        <v/>
      </c>
      <c r="L1557" t="str">
        <f t="shared" ref="L1557:L1620" si="3108">IF(AND(ISNUMBER(#REF!), ISNUMBER(#REF!)),#REF! -#REF!,"")</f>
        <v/>
      </c>
    </row>
    <row r="1558" spans="10:12">
      <c r="J1558" t="str">
        <f t="shared" ref="J1558:J1621" si="3109">IF(AND(ISNUMBER(#REF!), ISNUMBER(#REF!)),#REF! -#REF!,"")</f>
        <v/>
      </c>
      <c r="L1558" t="str">
        <f t="shared" ref="L1558:L1621" si="3110">IF(AND(ISNUMBER(#REF!), ISNUMBER(#REF!)),#REF! -#REF!,"")</f>
        <v/>
      </c>
    </row>
    <row r="1559" spans="10:12">
      <c r="J1559" t="str">
        <f t="shared" ref="J1559:J1622" si="3111">IF(AND(ISNUMBER(#REF!), ISNUMBER(#REF!)),#REF! -#REF!,"")</f>
        <v/>
      </c>
      <c r="L1559" t="str">
        <f t="shared" ref="L1559:L1622" si="3112">IF(AND(ISNUMBER(#REF!), ISNUMBER(#REF!)),#REF! -#REF!,"")</f>
        <v/>
      </c>
    </row>
    <row r="1560" spans="10:12">
      <c r="J1560" t="str">
        <f t="shared" ref="J1560:J1623" si="3113">IF(AND(ISNUMBER(#REF!), ISNUMBER(#REF!)),#REF! -#REF!,"")</f>
        <v/>
      </c>
      <c r="L1560" t="str">
        <f t="shared" ref="L1560:L1623" si="3114">IF(AND(ISNUMBER(#REF!), ISNUMBER(#REF!)),#REF! -#REF!,"")</f>
        <v/>
      </c>
    </row>
    <row r="1561" spans="10:12">
      <c r="J1561" t="str">
        <f t="shared" ref="J1561:J1624" si="3115">IF(AND(ISNUMBER(#REF!), ISNUMBER(#REF!)),#REF! -#REF!,"")</f>
        <v/>
      </c>
      <c r="L1561" t="str">
        <f t="shared" ref="L1561:L1624" si="3116">IF(AND(ISNUMBER(#REF!), ISNUMBER(#REF!)),#REF! -#REF!,"")</f>
        <v/>
      </c>
    </row>
    <row r="1562" spans="10:12">
      <c r="J1562" t="str">
        <f t="shared" ref="J1562:J1625" si="3117">IF(AND(ISNUMBER(#REF!), ISNUMBER(#REF!)),#REF! -#REF!,"")</f>
        <v/>
      </c>
      <c r="L1562" t="str">
        <f t="shared" ref="L1562:L1625" si="3118">IF(AND(ISNUMBER(#REF!), ISNUMBER(#REF!)),#REF! -#REF!,"")</f>
        <v/>
      </c>
    </row>
    <row r="1563" spans="10:12">
      <c r="J1563" t="str">
        <f t="shared" ref="J1563:J1626" si="3119">IF(AND(ISNUMBER(#REF!), ISNUMBER(#REF!)),#REF! -#REF!,"")</f>
        <v/>
      </c>
      <c r="L1563" t="str">
        <f t="shared" ref="L1563:L1626" si="3120">IF(AND(ISNUMBER(#REF!), ISNUMBER(#REF!)),#REF! -#REF!,"")</f>
        <v/>
      </c>
    </row>
    <row r="1564" spans="10:12">
      <c r="J1564" t="str">
        <f t="shared" ref="J1564:J1627" si="3121">IF(AND(ISNUMBER(#REF!), ISNUMBER(#REF!)),#REF! -#REF!,"")</f>
        <v/>
      </c>
      <c r="L1564" t="str">
        <f t="shared" ref="L1564:L1627" si="3122">IF(AND(ISNUMBER(#REF!), ISNUMBER(#REF!)),#REF! -#REF!,"")</f>
        <v/>
      </c>
    </row>
    <row r="1565" spans="10:12">
      <c r="J1565" t="str">
        <f t="shared" ref="J1565:J1628" si="3123">IF(AND(ISNUMBER(#REF!), ISNUMBER(#REF!)),#REF! -#REF!,"")</f>
        <v/>
      </c>
      <c r="L1565" t="str">
        <f t="shared" ref="L1565:L1628" si="3124">IF(AND(ISNUMBER(#REF!), ISNUMBER(#REF!)),#REF! -#REF!,"")</f>
        <v/>
      </c>
    </row>
    <row r="1566" spans="10:12">
      <c r="J1566" t="str">
        <f t="shared" ref="J1566:J1629" si="3125">IF(AND(ISNUMBER(#REF!), ISNUMBER(#REF!)),#REF! -#REF!,"")</f>
        <v/>
      </c>
      <c r="L1566" t="str">
        <f t="shared" ref="L1566:L1629" si="3126">IF(AND(ISNUMBER(#REF!), ISNUMBER(#REF!)),#REF! -#REF!,"")</f>
        <v/>
      </c>
    </row>
    <row r="1567" spans="10:12">
      <c r="J1567" t="str">
        <f t="shared" ref="J1567:J1630" si="3127">IF(AND(ISNUMBER(#REF!), ISNUMBER(#REF!)),#REF! -#REF!,"")</f>
        <v/>
      </c>
      <c r="L1567" t="str">
        <f t="shared" ref="L1567:L1630" si="3128">IF(AND(ISNUMBER(#REF!), ISNUMBER(#REF!)),#REF! -#REF!,"")</f>
        <v/>
      </c>
    </row>
    <row r="1568" spans="10:12">
      <c r="J1568" t="str">
        <f t="shared" ref="J1568:J1631" si="3129">IF(AND(ISNUMBER(#REF!), ISNUMBER(#REF!)),#REF! -#REF!,"")</f>
        <v/>
      </c>
      <c r="L1568" t="str">
        <f t="shared" ref="L1568:L1631" si="3130">IF(AND(ISNUMBER(#REF!), ISNUMBER(#REF!)),#REF! -#REF!,"")</f>
        <v/>
      </c>
    </row>
    <row r="1569" spans="10:12">
      <c r="J1569" t="str">
        <f t="shared" ref="J1569:J1632" si="3131">IF(AND(ISNUMBER(#REF!), ISNUMBER(#REF!)),#REF! -#REF!,"")</f>
        <v/>
      </c>
      <c r="L1569" t="str">
        <f t="shared" ref="L1569:L1632" si="3132">IF(AND(ISNUMBER(#REF!), ISNUMBER(#REF!)),#REF! -#REF!,"")</f>
        <v/>
      </c>
    </row>
    <row r="1570" spans="10:12">
      <c r="J1570" t="str">
        <f t="shared" ref="J1570:J1633" si="3133">IF(AND(ISNUMBER(#REF!), ISNUMBER(#REF!)),#REF! -#REF!,"")</f>
        <v/>
      </c>
      <c r="L1570" t="str">
        <f t="shared" ref="L1570:L1633" si="3134">IF(AND(ISNUMBER(#REF!), ISNUMBER(#REF!)),#REF! -#REF!,"")</f>
        <v/>
      </c>
    </row>
    <row r="1571" spans="10:12">
      <c r="J1571" t="str">
        <f t="shared" ref="J1571:J1634" si="3135">IF(AND(ISNUMBER(#REF!), ISNUMBER(#REF!)),#REF! -#REF!,"")</f>
        <v/>
      </c>
      <c r="L1571" t="str">
        <f t="shared" ref="L1571:L1634" si="3136">IF(AND(ISNUMBER(#REF!), ISNUMBER(#REF!)),#REF! -#REF!,"")</f>
        <v/>
      </c>
    </row>
    <row r="1572" spans="10:12">
      <c r="J1572" t="str">
        <f t="shared" ref="J1572:J1635" si="3137">IF(AND(ISNUMBER(#REF!), ISNUMBER(#REF!)),#REF! -#REF!,"")</f>
        <v/>
      </c>
      <c r="L1572" t="str">
        <f t="shared" ref="L1572:L1635" si="3138">IF(AND(ISNUMBER(#REF!), ISNUMBER(#REF!)),#REF! -#REF!,"")</f>
        <v/>
      </c>
    </row>
    <row r="1573" spans="10:12">
      <c r="J1573" t="str">
        <f t="shared" ref="J1573:J1636" si="3139">IF(AND(ISNUMBER(#REF!), ISNUMBER(#REF!)),#REF! -#REF!,"")</f>
        <v/>
      </c>
      <c r="L1573" t="str">
        <f t="shared" ref="L1573:L1636" si="3140">IF(AND(ISNUMBER(#REF!), ISNUMBER(#REF!)),#REF! -#REF!,"")</f>
        <v/>
      </c>
    </row>
    <row r="1574" spans="10:12">
      <c r="J1574" t="str">
        <f t="shared" ref="J1574:J1637" si="3141">IF(AND(ISNUMBER(#REF!), ISNUMBER(#REF!)),#REF! -#REF!,"")</f>
        <v/>
      </c>
      <c r="L1574" t="str">
        <f t="shared" ref="L1574:L1637" si="3142">IF(AND(ISNUMBER(#REF!), ISNUMBER(#REF!)),#REF! -#REF!,"")</f>
        <v/>
      </c>
    </row>
    <row r="1575" spans="10:12">
      <c r="J1575" t="str">
        <f t="shared" ref="J1575:J1638" si="3143">IF(AND(ISNUMBER(#REF!), ISNUMBER(#REF!)),#REF! -#REF!,"")</f>
        <v/>
      </c>
      <c r="L1575" t="str">
        <f t="shared" ref="L1575:L1638" si="3144">IF(AND(ISNUMBER(#REF!), ISNUMBER(#REF!)),#REF! -#REF!,"")</f>
        <v/>
      </c>
    </row>
    <row r="1576" spans="10:12">
      <c r="J1576" t="str">
        <f t="shared" ref="J1576:J1639" si="3145">IF(AND(ISNUMBER(#REF!), ISNUMBER(#REF!)),#REF! -#REF!,"")</f>
        <v/>
      </c>
      <c r="L1576" t="str">
        <f t="shared" ref="L1576:L1639" si="3146">IF(AND(ISNUMBER(#REF!), ISNUMBER(#REF!)),#REF! -#REF!,"")</f>
        <v/>
      </c>
    </row>
    <row r="1577" spans="10:12">
      <c r="J1577" t="str">
        <f t="shared" ref="J1577:J1640" si="3147">IF(AND(ISNUMBER(#REF!), ISNUMBER(#REF!)),#REF! -#REF!,"")</f>
        <v/>
      </c>
      <c r="L1577" t="str">
        <f t="shared" ref="L1577:L1640" si="3148">IF(AND(ISNUMBER(#REF!), ISNUMBER(#REF!)),#REF! -#REF!,"")</f>
        <v/>
      </c>
    </row>
    <row r="1578" spans="10:12">
      <c r="J1578" t="str">
        <f t="shared" ref="J1578:J1641" si="3149">IF(AND(ISNUMBER(#REF!), ISNUMBER(#REF!)),#REF! -#REF!,"")</f>
        <v/>
      </c>
      <c r="L1578" t="str">
        <f t="shared" ref="L1578:L1641" si="3150">IF(AND(ISNUMBER(#REF!), ISNUMBER(#REF!)),#REF! -#REF!,"")</f>
        <v/>
      </c>
    </row>
    <row r="1579" spans="10:12">
      <c r="J1579" t="str">
        <f t="shared" ref="J1579:J1642" si="3151">IF(AND(ISNUMBER(#REF!), ISNUMBER(#REF!)),#REF! -#REF!,"")</f>
        <v/>
      </c>
      <c r="L1579" t="str">
        <f t="shared" ref="L1579:L1642" si="3152">IF(AND(ISNUMBER(#REF!), ISNUMBER(#REF!)),#REF! -#REF!,"")</f>
        <v/>
      </c>
    </row>
    <row r="1580" spans="10:12">
      <c r="J1580" t="str">
        <f t="shared" ref="J1580:J1643" si="3153">IF(AND(ISNUMBER(#REF!), ISNUMBER(#REF!)),#REF! -#REF!,"")</f>
        <v/>
      </c>
      <c r="L1580" t="str">
        <f t="shared" ref="L1580:L1643" si="3154">IF(AND(ISNUMBER(#REF!), ISNUMBER(#REF!)),#REF! -#REF!,"")</f>
        <v/>
      </c>
    </row>
    <row r="1581" spans="10:12">
      <c r="J1581" t="str">
        <f t="shared" ref="J1581:J1644" si="3155">IF(AND(ISNUMBER(#REF!), ISNUMBER(#REF!)),#REF! -#REF!,"")</f>
        <v/>
      </c>
      <c r="L1581" t="str">
        <f t="shared" ref="L1581:L1644" si="3156">IF(AND(ISNUMBER(#REF!), ISNUMBER(#REF!)),#REF! -#REF!,"")</f>
        <v/>
      </c>
    </row>
    <row r="1582" spans="10:12">
      <c r="J1582" t="str">
        <f t="shared" ref="J1582:J1645" si="3157">IF(AND(ISNUMBER(#REF!), ISNUMBER(#REF!)),#REF! -#REF!,"")</f>
        <v/>
      </c>
      <c r="L1582" t="str">
        <f t="shared" ref="L1582:L1645" si="3158">IF(AND(ISNUMBER(#REF!), ISNUMBER(#REF!)),#REF! -#REF!,"")</f>
        <v/>
      </c>
    </row>
    <row r="1583" spans="10:12">
      <c r="J1583" t="str">
        <f t="shared" ref="J1583:J1646" si="3159">IF(AND(ISNUMBER(#REF!), ISNUMBER(#REF!)),#REF! -#REF!,"")</f>
        <v/>
      </c>
      <c r="L1583" t="str">
        <f t="shared" ref="L1583:L1646" si="3160">IF(AND(ISNUMBER(#REF!), ISNUMBER(#REF!)),#REF! -#REF!,"")</f>
        <v/>
      </c>
    </row>
    <row r="1584" spans="10:12">
      <c r="J1584" t="str">
        <f t="shared" ref="J1584:J1647" si="3161">IF(AND(ISNUMBER(#REF!), ISNUMBER(#REF!)),#REF! -#REF!,"")</f>
        <v/>
      </c>
      <c r="L1584" t="str">
        <f t="shared" ref="L1584:L1647" si="3162">IF(AND(ISNUMBER(#REF!), ISNUMBER(#REF!)),#REF! -#REF!,"")</f>
        <v/>
      </c>
    </row>
    <row r="1585" spans="10:12">
      <c r="J1585" t="str">
        <f t="shared" ref="J1585:J1648" si="3163">IF(AND(ISNUMBER(#REF!), ISNUMBER(#REF!)),#REF! -#REF!,"")</f>
        <v/>
      </c>
      <c r="L1585" t="str">
        <f t="shared" ref="L1585:L1648" si="3164">IF(AND(ISNUMBER(#REF!), ISNUMBER(#REF!)),#REF! -#REF!,"")</f>
        <v/>
      </c>
    </row>
    <row r="1586" spans="10:12">
      <c r="J1586" t="str">
        <f t="shared" ref="J1586:J1649" si="3165">IF(AND(ISNUMBER(#REF!), ISNUMBER(#REF!)),#REF! -#REF!,"")</f>
        <v/>
      </c>
      <c r="L1586" t="str">
        <f t="shared" ref="L1586:L1649" si="3166">IF(AND(ISNUMBER(#REF!), ISNUMBER(#REF!)),#REF! -#REF!,"")</f>
        <v/>
      </c>
    </row>
    <row r="1587" spans="10:12">
      <c r="J1587" t="str">
        <f t="shared" ref="J1587:J1650" si="3167">IF(AND(ISNUMBER(#REF!), ISNUMBER(#REF!)),#REF! -#REF!,"")</f>
        <v/>
      </c>
      <c r="L1587" t="str">
        <f t="shared" ref="L1587:L1650" si="3168">IF(AND(ISNUMBER(#REF!), ISNUMBER(#REF!)),#REF! -#REF!,"")</f>
        <v/>
      </c>
    </row>
    <row r="1588" spans="10:12">
      <c r="J1588" t="str">
        <f t="shared" ref="J1588:J1651" si="3169">IF(AND(ISNUMBER(#REF!), ISNUMBER(#REF!)),#REF! -#REF!,"")</f>
        <v/>
      </c>
      <c r="L1588" t="str">
        <f t="shared" ref="L1588:L1651" si="3170">IF(AND(ISNUMBER(#REF!), ISNUMBER(#REF!)),#REF! -#REF!,"")</f>
        <v/>
      </c>
    </row>
    <row r="1589" spans="10:12">
      <c r="J1589" t="str">
        <f t="shared" ref="J1589:J1652" si="3171">IF(AND(ISNUMBER(#REF!), ISNUMBER(#REF!)),#REF! -#REF!,"")</f>
        <v/>
      </c>
      <c r="L1589" t="str">
        <f t="shared" ref="L1589:L1652" si="3172">IF(AND(ISNUMBER(#REF!), ISNUMBER(#REF!)),#REF! -#REF!,"")</f>
        <v/>
      </c>
    </row>
    <row r="1590" spans="10:12">
      <c r="J1590" t="str">
        <f t="shared" ref="J1590:J1653" si="3173">IF(AND(ISNUMBER(#REF!), ISNUMBER(#REF!)),#REF! -#REF!,"")</f>
        <v/>
      </c>
      <c r="L1590" t="str">
        <f t="shared" ref="L1590:L1653" si="3174">IF(AND(ISNUMBER(#REF!), ISNUMBER(#REF!)),#REF! -#REF!,"")</f>
        <v/>
      </c>
    </row>
    <row r="1591" spans="10:12">
      <c r="J1591" t="str">
        <f t="shared" ref="J1591:J1654" si="3175">IF(AND(ISNUMBER(#REF!), ISNUMBER(#REF!)),#REF! -#REF!,"")</f>
        <v/>
      </c>
      <c r="L1591" t="str">
        <f t="shared" ref="L1591:L1654" si="3176">IF(AND(ISNUMBER(#REF!), ISNUMBER(#REF!)),#REF! -#REF!,"")</f>
        <v/>
      </c>
    </row>
    <row r="1592" spans="10:12">
      <c r="J1592" t="str">
        <f t="shared" ref="J1592:J1655" si="3177">IF(AND(ISNUMBER(#REF!), ISNUMBER(#REF!)),#REF! -#REF!,"")</f>
        <v/>
      </c>
      <c r="L1592" t="str">
        <f t="shared" ref="L1592:L1655" si="3178">IF(AND(ISNUMBER(#REF!), ISNUMBER(#REF!)),#REF! -#REF!,"")</f>
        <v/>
      </c>
    </row>
    <row r="1593" spans="10:12">
      <c r="J1593" t="str">
        <f t="shared" ref="J1593:J1656" si="3179">IF(AND(ISNUMBER(#REF!), ISNUMBER(#REF!)),#REF! -#REF!,"")</f>
        <v/>
      </c>
      <c r="L1593" t="str">
        <f t="shared" ref="L1593:L1656" si="3180">IF(AND(ISNUMBER(#REF!), ISNUMBER(#REF!)),#REF! -#REF!,"")</f>
        <v/>
      </c>
    </row>
    <row r="1594" spans="10:12">
      <c r="J1594" t="str">
        <f t="shared" ref="J1594:J1657" si="3181">IF(AND(ISNUMBER(#REF!), ISNUMBER(#REF!)),#REF! -#REF!,"")</f>
        <v/>
      </c>
      <c r="L1594" t="str">
        <f t="shared" ref="L1594:L1657" si="3182">IF(AND(ISNUMBER(#REF!), ISNUMBER(#REF!)),#REF! -#REF!,"")</f>
        <v/>
      </c>
    </row>
    <row r="1595" spans="10:12">
      <c r="J1595" t="str">
        <f t="shared" ref="J1595:J1658" si="3183">IF(AND(ISNUMBER(#REF!), ISNUMBER(#REF!)),#REF! -#REF!,"")</f>
        <v/>
      </c>
      <c r="L1595" t="str">
        <f t="shared" ref="L1595:L1658" si="3184">IF(AND(ISNUMBER(#REF!), ISNUMBER(#REF!)),#REF! -#REF!,"")</f>
        <v/>
      </c>
    </row>
    <row r="1596" spans="10:12">
      <c r="J1596" t="str">
        <f t="shared" ref="J1596:J1659" si="3185">IF(AND(ISNUMBER(#REF!), ISNUMBER(#REF!)),#REF! -#REF!,"")</f>
        <v/>
      </c>
      <c r="L1596" t="str">
        <f t="shared" ref="L1596:L1659" si="3186">IF(AND(ISNUMBER(#REF!), ISNUMBER(#REF!)),#REF! -#REF!,"")</f>
        <v/>
      </c>
    </row>
    <row r="1597" spans="10:12">
      <c r="J1597" t="str">
        <f t="shared" ref="J1597:J1660" si="3187">IF(AND(ISNUMBER(#REF!), ISNUMBER(#REF!)),#REF! -#REF!,"")</f>
        <v/>
      </c>
      <c r="L1597" t="str">
        <f t="shared" ref="L1597:L1660" si="3188">IF(AND(ISNUMBER(#REF!), ISNUMBER(#REF!)),#REF! -#REF!,"")</f>
        <v/>
      </c>
    </row>
    <row r="1598" spans="10:12">
      <c r="J1598" t="str">
        <f t="shared" ref="J1598:J1661" si="3189">IF(AND(ISNUMBER(#REF!), ISNUMBER(#REF!)),#REF! -#REF!,"")</f>
        <v/>
      </c>
      <c r="L1598" t="str">
        <f t="shared" ref="L1598:L1661" si="3190">IF(AND(ISNUMBER(#REF!), ISNUMBER(#REF!)),#REF! -#REF!,"")</f>
        <v/>
      </c>
    </row>
    <row r="1599" spans="10:12">
      <c r="J1599" t="str">
        <f t="shared" ref="J1599:J1662" si="3191">IF(AND(ISNUMBER(#REF!), ISNUMBER(#REF!)),#REF! -#REF!,"")</f>
        <v/>
      </c>
      <c r="L1599" t="str">
        <f t="shared" ref="L1599:L1662" si="3192">IF(AND(ISNUMBER(#REF!), ISNUMBER(#REF!)),#REF! -#REF!,"")</f>
        <v/>
      </c>
    </row>
    <row r="1600" spans="10:12">
      <c r="J1600" t="str">
        <f t="shared" ref="J1600:J1663" si="3193">IF(AND(ISNUMBER(#REF!), ISNUMBER(#REF!)),#REF! -#REF!,"")</f>
        <v/>
      </c>
      <c r="L1600" t="str">
        <f t="shared" ref="L1600:L1663" si="3194">IF(AND(ISNUMBER(#REF!), ISNUMBER(#REF!)),#REF! -#REF!,"")</f>
        <v/>
      </c>
    </row>
    <row r="1601" spans="10:12">
      <c r="J1601" t="str">
        <f t="shared" ref="J1601:J1664" si="3195">IF(AND(ISNUMBER(#REF!), ISNUMBER(#REF!)),#REF! -#REF!,"")</f>
        <v/>
      </c>
      <c r="L1601" t="str">
        <f t="shared" ref="L1601:L1664" si="3196">IF(AND(ISNUMBER(#REF!), ISNUMBER(#REF!)),#REF! -#REF!,"")</f>
        <v/>
      </c>
    </row>
    <row r="1602" spans="10:12">
      <c r="J1602" t="str">
        <f t="shared" ref="J1602:J1665" si="3197">IF(AND(ISNUMBER(#REF!), ISNUMBER(#REF!)),#REF! -#REF!,"")</f>
        <v/>
      </c>
      <c r="L1602" t="str">
        <f t="shared" ref="L1602:L1665" si="3198">IF(AND(ISNUMBER(#REF!), ISNUMBER(#REF!)),#REF! -#REF!,"")</f>
        <v/>
      </c>
    </row>
    <row r="1603" spans="10:12">
      <c r="J1603" t="str">
        <f t="shared" ref="J1603:J1666" si="3199">IF(AND(ISNUMBER(#REF!), ISNUMBER(#REF!)),#REF! -#REF!,"")</f>
        <v/>
      </c>
      <c r="L1603" t="str">
        <f t="shared" ref="L1603:L1666" si="3200">IF(AND(ISNUMBER(#REF!), ISNUMBER(#REF!)),#REF! -#REF!,"")</f>
        <v/>
      </c>
    </row>
    <row r="1604" spans="10:12">
      <c r="J1604" t="str">
        <f t="shared" ref="J1604:J1667" si="3201">IF(AND(ISNUMBER(#REF!), ISNUMBER(#REF!)),#REF! -#REF!,"")</f>
        <v/>
      </c>
      <c r="L1604" t="str">
        <f t="shared" ref="L1604:L1667" si="3202">IF(AND(ISNUMBER(#REF!), ISNUMBER(#REF!)),#REF! -#REF!,"")</f>
        <v/>
      </c>
    </row>
    <row r="1605" spans="10:12">
      <c r="J1605" t="str">
        <f t="shared" ref="J1605:J1668" si="3203">IF(AND(ISNUMBER(#REF!), ISNUMBER(#REF!)),#REF! -#REF!,"")</f>
        <v/>
      </c>
      <c r="L1605" t="str">
        <f t="shared" ref="L1605:L1668" si="3204">IF(AND(ISNUMBER(#REF!), ISNUMBER(#REF!)),#REF! -#REF!,"")</f>
        <v/>
      </c>
    </row>
    <row r="1606" spans="10:12">
      <c r="J1606" t="str">
        <f t="shared" ref="J1606:J1669" si="3205">IF(AND(ISNUMBER(#REF!), ISNUMBER(#REF!)),#REF! -#REF!,"")</f>
        <v/>
      </c>
      <c r="L1606" t="str">
        <f t="shared" ref="L1606:L1669" si="3206">IF(AND(ISNUMBER(#REF!), ISNUMBER(#REF!)),#REF! -#REF!,"")</f>
        <v/>
      </c>
    </row>
    <row r="1607" spans="10:12">
      <c r="J1607" t="str">
        <f t="shared" ref="J1607:J1670" si="3207">IF(AND(ISNUMBER(#REF!), ISNUMBER(#REF!)),#REF! -#REF!,"")</f>
        <v/>
      </c>
      <c r="L1607" t="str">
        <f t="shared" ref="L1607:L1670" si="3208">IF(AND(ISNUMBER(#REF!), ISNUMBER(#REF!)),#REF! -#REF!,"")</f>
        <v/>
      </c>
    </row>
    <row r="1608" spans="10:12">
      <c r="J1608" t="str">
        <f t="shared" ref="J1608:J1671" si="3209">IF(AND(ISNUMBER(#REF!), ISNUMBER(#REF!)),#REF! -#REF!,"")</f>
        <v/>
      </c>
      <c r="L1608" t="str">
        <f t="shared" ref="L1608:L1671" si="3210">IF(AND(ISNUMBER(#REF!), ISNUMBER(#REF!)),#REF! -#REF!,"")</f>
        <v/>
      </c>
    </row>
    <row r="1609" spans="10:12">
      <c r="J1609" t="str">
        <f t="shared" ref="J1609:J1672" si="3211">IF(AND(ISNUMBER(#REF!), ISNUMBER(#REF!)),#REF! -#REF!,"")</f>
        <v/>
      </c>
      <c r="L1609" t="str">
        <f t="shared" ref="L1609:L1672" si="3212">IF(AND(ISNUMBER(#REF!), ISNUMBER(#REF!)),#REF! -#REF!,"")</f>
        <v/>
      </c>
    </row>
    <row r="1610" spans="10:12">
      <c r="J1610" t="str">
        <f t="shared" ref="J1610:J1673" si="3213">IF(AND(ISNUMBER(#REF!), ISNUMBER(#REF!)),#REF! -#REF!,"")</f>
        <v/>
      </c>
      <c r="L1610" t="str">
        <f t="shared" ref="L1610:L1673" si="3214">IF(AND(ISNUMBER(#REF!), ISNUMBER(#REF!)),#REF! -#REF!,"")</f>
        <v/>
      </c>
    </row>
    <row r="1611" spans="10:12">
      <c r="J1611" t="str">
        <f t="shared" ref="J1611:J1674" si="3215">IF(AND(ISNUMBER(#REF!), ISNUMBER(#REF!)),#REF! -#REF!,"")</f>
        <v/>
      </c>
      <c r="L1611" t="str">
        <f t="shared" ref="L1611:L1674" si="3216">IF(AND(ISNUMBER(#REF!), ISNUMBER(#REF!)),#REF! -#REF!,"")</f>
        <v/>
      </c>
    </row>
    <row r="1612" spans="10:12">
      <c r="J1612" t="str">
        <f t="shared" ref="J1612:J1675" si="3217">IF(AND(ISNUMBER(#REF!), ISNUMBER(#REF!)),#REF! -#REF!,"")</f>
        <v/>
      </c>
      <c r="L1612" t="str">
        <f t="shared" ref="L1612:L1675" si="3218">IF(AND(ISNUMBER(#REF!), ISNUMBER(#REF!)),#REF! -#REF!,"")</f>
        <v/>
      </c>
    </row>
    <row r="1613" spans="10:12">
      <c r="J1613" t="str">
        <f t="shared" ref="J1613:J1676" si="3219">IF(AND(ISNUMBER(#REF!), ISNUMBER(#REF!)),#REF! -#REF!,"")</f>
        <v/>
      </c>
      <c r="L1613" t="str">
        <f t="shared" ref="L1613:L1676" si="3220">IF(AND(ISNUMBER(#REF!), ISNUMBER(#REF!)),#REF! -#REF!,"")</f>
        <v/>
      </c>
    </row>
    <row r="1614" spans="10:12">
      <c r="J1614" t="str">
        <f t="shared" ref="J1614:J1677" si="3221">IF(AND(ISNUMBER(#REF!), ISNUMBER(#REF!)),#REF! -#REF!,"")</f>
        <v/>
      </c>
      <c r="L1614" t="str">
        <f t="shared" ref="L1614:L1677" si="3222">IF(AND(ISNUMBER(#REF!), ISNUMBER(#REF!)),#REF! -#REF!,"")</f>
        <v/>
      </c>
    </row>
    <row r="1615" spans="10:12">
      <c r="J1615" t="str">
        <f t="shared" ref="J1615:J1678" si="3223">IF(AND(ISNUMBER(#REF!), ISNUMBER(#REF!)),#REF! -#REF!,"")</f>
        <v/>
      </c>
      <c r="L1615" t="str">
        <f t="shared" ref="L1615:L1678" si="3224">IF(AND(ISNUMBER(#REF!), ISNUMBER(#REF!)),#REF! -#REF!,"")</f>
        <v/>
      </c>
    </row>
    <row r="1616" spans="10:12">
      <c r="J1616" t="str">
        <f t="shared" ref="J1616:J1679" si="3225">IF(AND(ISNUMBER(#REF!), ISNUMBER(#REF!)),#REF! -#REF!,"")</f>
        <v/>
      </c>
      <c r="L1616" t="str">
        <f t="shared" ref="L1616:L1679" si="3226">IF(AND(ISNUMBER(#REF!), ISNUMBER(#REF!)),#REF! -#REF!,"")</f>
        <v/>
      </c>
    </row>
    <row r="1617" spans="10:12">
      <c r="J1617" t="str">
        <f t="shared" ref="J1617:J1680" si="3227">IF(AND(ISNUMBER(#REF!), ISNUMBER(#REF!)),#REF! -#REF!,"")</f>
        <v/>
      </c>
      <c r="L1617" t="str">
        <f t="shared" ref="L1617:L1680" si="3228">IF(AND(ISNUMBER(#REF!), ISNUMBER(#REF!)),#REF! -#REF!,"")</f>
        <v/>
      </c>
    </row>
    <row r="1618" spans="10:12">
      <c r="J1618" t="str">
        <f t="shared" ref="J1618:J1681" si="3229">IF(AND(ISNUMBER(#REF!), ISNUMBER(#REF!)),#REF! -#REF!,"")</f>
        <v/>
      </c>
      <c r="L1618" t="str">
        <f t="shared" ref="L1618:L1681" si="3230">IF(AND(ISNUMBER(#REF!), ISNUMBER(#REF!)),#REF! -#REF!,"")</f>
        <v/>
      </c>
    </row>
    <row r="1619" spans="10:12">
      <c r="J1619" t="str">
        <f t="shared" ref="J1619:J1682" si="3231">IF(AND(ISNUMBER(#REF!), ISNUMBER(#REF!)),#REF! -#REF!,"")</f>
        <v/>
      </c>
      <c r="L1619" t="str">
        <f t="shared" ref="L1619:L1682" si="3232">IF(AND(ISNUMBER(#REF!), ISNUMBER(#REF!)),#REF! -#REF!,"")</f>
        <v/>
      </c>
    </row>
    <row r="1620" spans="10:12">
      <c r="J1620" t="str">
        <f t="shared" ref="J1620:J1683" si="3233">IF(AND(ISNUMBER(#REF!), ISNUMBER(#REF!)),#REF! -#REF!,"")</f>
        <v/>
      </c>
      <c r="L1620" t="str">
        <f t="shared" ref="L1620:L1683" si="3234">IF(AND(ISNUMBER(#REF!), ISNUMBER(#REF!)),#REF! -#REF!,"")</f>
        <v/>
      </c>
    </row>
    <row r="1621" spans="10:12">
      <c r="J1621" t="str">
        <f t="shared" ref="J1621:J1684" si="3235">IF(AND(ISNUMBER(#REF!), ISNUMBER(#REF!)),#REF! -#REF!,"")</f>
        <v/>
      </c>
      <c r="L1621" t="str">
        <f t="shared" ref="L1621:L1684" si="3236">IF(AND(ISNUMBER(#REF!), ISNUMBER(#REF!)),#REF! -#REF!,"")</f>
        <v/>
      </c>
    </row>
    <row r="1622" spans="10:12">
      <c r="J1622" t="str">
        <f t="shared" ref="J1622:J1685" si="3237">IF(AND(ISNUMBER(#REF!), ISNUMBER(#REF!)),#REF! -#REF!,"")</f>
        <v/>
      </c>
      <c r="L1622" t="str">
        <f t="shared" ref="L1622:L1685" si="3238">IF(AND(ISNUMBER(#REF!), ISNUMBER(#REF!)),#REF! -#REF!,"")</f>
        <v/>
      </c>
    </row>
    <row r="1623" spans="10:12">
      <c r="J1623" t="str">
        <f t="shared" ref="J1623:J1686" si="3239">IF(AND(ISNUMBER(#REF!), ISNUMBER(#REF!)),#REF! -#REF!,"")</f>
        <v/>
      </c>
      <c r="L1623" t="str">
        <f t="shared" ref="L1623:L1686" si="3240">IF(AND(ISNUMBER(#REF!), ISNUMBER(#REF!)),#REF! -#REF!,"")</f>
        <v/>
      </c>
    </row>
    <row r="1624" spans="10:12">
      <c r="J1624" t="str">
        <f t="shared" ref="J1624:J1687" si="3241">IF(AND(ISNUMBER(#REF!), ISNUMBER(#REF!)),#REF! -#REF!,"")</f>
        <v/>
      </c>
      <c r="L1624" t="str">
        <f t="shared" ref="L1624:L1687" si="3242">IF(AND(ISNUMBER(#REF!), ISNUMBER(#REF!)),#REF! -#REF!,"")</f>
        <v/>
      </c>
    </row>
    <row r="1625" spans="10:12">
      <c r="J1625" t="str">
        <f t="shared" ref="J1625:J1688" si="3243">IF(AND(ISNUMBER(#REF!), ISNUMBER(#REF!)),#REF! -#REF!,"")</f>
        <v/>
      </c>
      <c r="L1625" t="str">
        <f t="shared" ref="L1625:L1688" si="3244">IF(AND(ISNUMBER(#REF!), ISNUMBER(#REF!)),#REF! -#REF!,"")</f>
        <v/>
      </c>
    </row>
    <row r="1626" spans="10:12">
      <c r="J1626" t="str">
        <f t="shared" ref="J1626:J1689" si="3245">IF(AND(ISNUMBER(#REF!), ISNUMBER(#REF!)),#REF! -#REF!,"")</f>
        <v/>
      </c>
      <c r="L1626" t="str">
        <f t="shared" ref="L1626:L1689" si="3246">IF(AND(ISNUMBER(#REF!), ISNUMBER(#REF!)),#REF! -#REF!,"")</f>
        <v/>
      </c>
    </row>
    <row r="1627" spans="10:12">
      <c r="J1627" t="str">
        <f t="shared" ref="J1627:J1690" si="3247">IF(AND(ISNUMBER(#REF!), ISNUMBER(#REF!)),#REF! -#REF!,"")</f>
        <v/>
      </c>
      <c r="L1627" t="str">
        <f t="shared" ref="L1627:L1690" si="3248">IF(AND(ISNUMBER(#REF!), ISNUMBER(#REF!)),#REF! -#REF!,"")</f>
        <v/>
      </c>
    </row>
    <row r="1628" spans="10:12">
      <c r="J1628" t="str">
        <f t="shared" ref="J1628:J1691" si="3249">IF(AND(ISNUMBER(#REF!), ISNUMBER(#REF!)),#REF! -#REF!,"")</f>
        <v/>
      </c>
      <c r="L1628" t="str">
        <f t="shared" ref="L1628:L1691" si="3250">IF(AND(ISNUMBER(#REF!), ISNUMBER(#REF!)),#REF! -#REF!,"")</f>
        <v/>
      </c>
    </row>
    <row r="1629" spans="10:12">
      <c r="J1629" t="str">
        <f t="shared" ref="J1629:J1692" si="3251">IF(AND(ISNUMBER(#REF!), ISNUMBER(#REF!)),#REF! -#REF!,"")</f>
        <v/>
      </c>
      <c r="L1629" t="str">
        <f t="shared" ref="L1629:L1692" si="3252">IF(AND(ISNUMBER(#REF!), ISNUMBER(#REF!)),#REF! -#REF!,"")</f>
        <v/>
      </c>
    </row>
    <row r="1630" spans="10:12">
      <c r="J1630" t="str">
        <f t="shared" ref="J1630:J1693" si="3253">IF(AND(ISNUMBER(#REF!), ISNUMBER(#REF!)),#REF! -#REF!,"")</f>
        <v/>
      </c>
      <c r="L1630" t="str">
        <f t="shared" ref="L1630:L1693" si="3254">IF(AND(ISNUMBER(#REF!), ISNUMBER(#REF!)),#REF! -#REF!,"")</f>
        <v/>
      </c>
    </row>
    <row r="1631" spans="10:12">
      <c r="J1631" t="str">
        <f t="shared" ref="J1631:J1694" si="3255">IF(AND(ISNUMBER(#REF!), ISNUMBER(#REF!)),#REF! -#REF!,"")</f>
        <v/>
      </c>
      <c r="L1631" t="str">
        <f t="shared" ref="L1631:L1694" si="3256">IF(AND(ISNUMBER(#REF!), ISNUMBER(#REF!)),#REF! -#REF!,"")</f>
        <v/>
      </c>
    </row>
    <row r="1632" spans="10:12">
      <c r="J1632" t="str">
        <f t="shared" ref="J1632:J1695" si="3257">IF(AND(ISNUMBER(#REF!), ISNUMBER(#REF!)),#REF! -#REF!,"")</f>
        <v/>
      </c>
      <c r="L1632" t="str">
        <f t="shared" ref="L1632:L1695" si="3258">IF(AND(ISNUMBER(#REF!), ISNUMBER(#REF!)),#REF! -#REF!,"")</f>
        <v/>
      </c>
    </row>
    <row r="1633" spans="10:12">
      <c r="J1633" t="str">
        <f t="shared" ref="J1633:J1696" si="3259">IF(AND(ISNUMBER(#REF!), ISNUMBER(#REF!)),#REF! -#REF!,"")</f>
        <v/>
      </c>
      <c r="L1633" t="str">
        <f t="shared" ref="L1633:L1696" si="3260">IF(AND(ISNUMBER(#REF!), ISNUMBER(#REF!)),#REF! -#REF!,"")</f>
        <v/>
      </c>
    </row>
    <row r="1634" spans="10:12">
      <c r="J1634" t="str">
        <f t="shared" ref="J1634:J1697" si="3261">IF(AND(ISNUMBER(#REF!), ISNUMBER(#REF!)),#REF! -#REF!,"")</f>
        <v/>
      </c>
      <c r="L1634" t="str">
        <f t="shared" ref="L1634:L1697" si="3262">IF(AND(ISNUMBER(#REF!), ISNUMBER(#REF!)),#REF! -#REF!,"")</f>
        <v/>
      </c>
    </row>
    <row r="1635" spans="10:12">
      <c r="J1635" t="str">
        <f t="shared" ref="J1635:J1698" si="3263">IF(AND(ISNUMBER(#REF!), ISNUMBER(#REF!)),#REF! -#REF!,"")</f>
        <v/>
      </c>
      <c r="L1635" t="str">
        <f t="shared" ref="L1635:L1698" si="3264">IF(AND(ISNUMBER(#REF!), ISNUMBER(#REF!)),#REF! -#REF!,"")</f>
        <v/>
      </c>
    </row>
    <row r="1636" spans="10:12">
      <c r="J1636" t="str">
        <f t="shared" ref="J1636:J1699" si="3265">IF(AND(ISNUMBER(#REF!), ISNUMBER(#REF!)),#REF! -#REF!,"")</f>
        <v/>
      </c>
      <c r="L1636" t="str">
        <f t="shared" ref="L1636:L1699" si="3266">IF(AND(ISNUMBER(#REF!), ISNUMBER(#REF!)),#REF! -#REF!,"")</f>
        <v/>
      </c>
    </row>
    <row r="1637" spans="10:12">
      <c r="J1637" t="str">
        <f t="shared" ref="J1637:J1700" si="3267">IF(AND(ISNUMBER(#REF!), ISNUMBER(#REF!)),#REF! -#REF!,"")</f>
        <v/>
      </c>
      <c r="L1637" t="str">
        <f t="shared" ref="L1637:L1700" si="3268">IF(AND(ISNUMBER(#REF!), ISNUMBER(#REF!)),#REF! -#REF!,"")</f>
        <v/>
      </c>
    </row>
    <row r="1638" spans="10:12">
      <c r="J1638" t="str">
        <f t="shared" ref="J1638:J1701" si="3269">IF(AND(ISNUMBER(#REF!), ISNUMBER(#REF!)),#REF! -#REF!,"")</f>
        <v/>
      </c>
      <c r="L1638" t="str">
        <f t="shared" ref="L1638:L1701" si="3270">IF(AND(ISNUMBER(#REF!), ISNUMBER(#REF!)),#REF! -#REF!,"")</f>
        <v/>
      </c>
    </row>
    <row r="1639" spans="10:12">
      <c r="J1639" t="str">
        <f t="shared" ref="J1639:J1702" si="3271">IF(AND(ISNUMBER(#REF!), ISNUMBER(#REF!)),#REF! -#REF!,"")</f>
        <v/>
      </c>
      <c r="L1639" t="str">
        <f t="shared" ref="L1639:L1702" si="3272">IF(AND(ISNUMBER(#REF!), ISNUMBER(#REF!)),#REF! -#REF!,"")</f>
        <v/>
      </c>
    </row>
    <row r="1640" spans="10:12">
      <c r="J1640" t="str">
        <f t="shared" ref="J1640:J1703" si="3273">IF(AND(ISNUMBER(#REF!), ISNUMBER(#REF!)),#REF! -#REF!,"")</f>
        <v/>
      </c>
      <c r="L1640" t="str">
        <f t="shared" ref="L1640:L1703" si="3274">IF(AND(ISNUMBER(#REF!), ISNUMBER(#REF!)),#REF! -#REF!,"")</f>
        <v/>
      </c>
    </row>
    <row r="1641" spans="10:12">
      <c r="J1641" t="str">
        <f t="shared" ref="J1641:J1704" si="3275">IF(AND(ISNUMBER(#REF!), ISNUMBER(#REF!)),#REF! -#REF!,"")</f>
        <v/>
      </c>
      <c r="L1641" t="str">
        <f t="shared" ref="L1641:L1704" si="3276">IF(AND(ISNUMBER(#REF!), ISNUMBER(#REF!)),#REF! -#REF!,"")</f>
        <v/>
      </c>
    </row>
    <row r="1642" spans="10:12">
      <c r="J1642" t="str">
        <f t="shared" ref="J1642:J1705" si="3277">IF(AND(ISNUMBER(#REF!), ISNUMBER(#REF!)),#REF! -#REF!,"")</f>
        <v/>
      </c>
      <c r="L1642" t="str">
        <f t="shared" ref="L1642:L1705" si="3278">IF(AND(ISNUMBER(#REF!), ISNUMBER(#REF!)),#REF! -#REF!,"")</f>
        <v/>
      </c>
    </row>
    <row r="1643" spans="10:12">
      <c r="J1643" t="str">
        <f t="shared" ref="J1643:J1706" si="3279">IF(AND(ISNUMBER(#REF!), ISNUMBER(#REF!)),#REF! -#REF!,"")</f>
        <v/>
      </c>
      <c r="L1643" t="str">
        <f t="shared" ref="L1643:L1706" si="3280">IF(AND(ISNUMBER(#REF!), ISNUMBER(#REF!)),#REF! -#REF!,"")</f>
        <v/>
      </c>
    </row>
    <row r="1644" spans="10:12">
      <c r="J1644" t="str">
        <f t="shared" ref="J1644:J1707" si="3281">IF(AND(ISNUMBER(#REF!), ISNUMBER(#REF!)),#REF! -#REF!,"")</f>
        <v/>
      </c>
      <c r="L1644" t="str">
        <f t="shared" ref="L1644:L1707" si="3282">IF(AND(ISNUMBER(#REF!), ISNUMBER(#REF!)),#REF! -#REF!,"")</f>
        <v/>
      </c>
    </row>
    <row r="1645" spans="10:12">
      <c r="J1645" t="str">
        <f t="shared" ref="J1645:J1708" si="3283">IF(AND(ISNUMBER(#REF!), ISNUMBER(#REF!)),#REF! -#REF!,"")</f>
        <v/>
      </c>
      <c r="L1645" t="str">
        <f t="shared" ref="L1645:L1708" si="3284">IF(AND(ISNUMBER(#REF!), ISNUMBER(#REF!)),#REF! -#REF!,"")</f>
        <v/>
      </c>
    </row>
    <row r="1646" spans="10:12">
      <c r="J1646" t="str">
        <f t="shared" ref="J1646:J1709" si="3285">IF(AND(ISNUMBER(#REF!), ISNUMBER(#REF!)),#REF! -#REF!,"")</f>
        <v/>
      </c>
      <c r="L1646" t="str">
        <f t="shared" ref="L1646:L1709" si="3286">IF(AND(ISNUMBER(#REF!), ISNUMBER(#REF!)),#REF! -#REF!,"")</f>
        <v/>
      </c>
    </row>
    <row r="1647" spans="10:12">
      <c r="J1647" t="str">
        <f t="shared" ref="J1647:J1710" si="3287">IF(AND(ISNUMBER(#REF!), ISNUMBER(#REF!)),#REF! -#REF!,"")</f>
        <v/>
      </c>
      <c r="L1647" t="str">
        <f t="shared" ref="L1647:L1710" si="3288">IF(AND(ISNUMBER(#REF!), ISNUMBER(#REF!)),#REF! -#REF!,"")</f>
        <v/>
      </c>
    </row>
    <row r="1648" spans="10:12">
      <c r="J1648" t="str">
        <f t="shared" ref="J1648:J1711" si="3289">IF(AND(ISNUMBER(#REF!), ISNUMBER(#REF!)),#REF! -#REF!,"")</f>
        <v/>
      </c>
      <c r="L1648" t="str">
        <f t="shared" ref="L1648:L1711" si="3290">IF(AND(ISNUMBER(#REF!), ISNUMBER(#REF!)),#REF! -#REF!,"")</f>
        <v/>
      </c>
    </row>
    <row r="1649" spans="10:12">
      <c r="J1649" t="str">
        <f t="shared" ref="J1649:J1712" si="3291">IF(AND(ISNUMBER(#REF!), ISNUMBER(#REF!)),#REF! -#REF!,"")</f>
        <v/>
      </c>
      <c r="L1649" t="str">
        <f t="shared" ref="L1649:L1712" si="3292">IF(AND(ISNUMBER(#REF!), ISNUMBER(#REF!)),#REF! -#REF!,"")</f>
        <v/>
      </c>
    </row>
    <row r="1650" spans="10:12">
      <c r="J1650" t="str">
        <f t="shared" ref="J1650:J1713" si="3293">IF(AND(ISNUMBER(#REF!), ISNUMBER(#REF!)),#REF! -#REF!,"")</f>
        <v/>
      </c>
      <c r="L1650" t="str">
        <f t="shared" ref="L1650:L1713" si="3294">IF(AND(ISNUMBER(#REF!), ISNUMBER(#REF!)),#REF! -#REF!,"")</f>
        <v/>
      </c>
    </row>
    <row r="1651" spans="10:12">
      <c r="J1651" t="str">
        <f t="shared" ref="J1651:J1714" si="3295">IF(AND(ISNUMBER(#REF!), ISNUMBER(#REF!)),#REF! -#REF!,"")</f>
        <v/>
      </c>
      <c r="L1651" t="str">
        <f t="shared" ref="L1651:L1714" si="3296">IF(AND(ISNUMBER(#REF!), ISNUMBER(#REF!)),#REF! -#REF!,"")</f>
        <v/>
      </c>
    </row>
    <row r="1652" spans="10:12">
      <c r="J1652" t="str">
        <f t="shared" ref="J1652:J1715" si="3297">IF(AND(ISNUMBER(#REF!), ISNUMBER(#REF!)),#REF! -#REF!,"")</f>
        <v/>
      </c>
      <c r="L1652" t="str">
        <f t="shared" ref="L1652:L1715" si="3298">IF(AND(ISNUMBER(#REF!), ISNUMBER(#REF!)),#REF! -#REF!,"")</f>
        <v/>
      </c>
    </row>
    <row r="1653" spans="10:12">
      <c r="J1653" t="str">
        <f t="shared" ref="J1653:J1716" si="3299">IF(AND(ISNUMBER(#REF!), ISNUMBER(#REF!)),#REF! -#REF!,"")</f>
        <v/>
      </c>
      <c r="L1653" t="str">
        <f t="shared" ref="L1653:L1716" si="3300">IF(AND(ISNUMBER(#REF!), ISNUMBER(#REF!)),#REF! -#REF!,"")</f>
        <v/>
      </c>
    </row>
    <row r="1654" spans="10:12">
      <c r="J1654" t="str">
        <f t="shared" ref="J1654:J1717" si="3301">IF(AND(ISNUMBER(#REF!), ISNUMBER(#REF!)),#REF! -#REF!,"")</f>
        <v/>
      </c>
      <c r="L1654" t="str">
        <f t="shared" ref="L1654:L1717" si="3302">IF(AND(ISNUMBER(#REF!), ISNUMBER(#REF!)),#REF! -#REF!,"")</f>
        <v/>
      </c>
    </row>
    <row r="1655" spans="10:12">
      <c r="J1655" t="str">
        <f t="shared" ref="J1655:J1718" si="3303">IF(AND(ISNUMBER(#REF!), ISNUMBER(#REF!)),#REF! -#REF!,"")</f>
        <v/>
      </c>
      <c r="L1655" t="str">
        <f t="shared" ref="L1655:L1718" si="3304">IF(AND(ISNUMBER(#REF!), ISNUMBER(#REF!)),#REF! -#REF!,"")</f>
        <v/>
      </c>
    </row>
    <row r="1656" spans="10:12">
      <c r="J1656" t="str">
        <f t="shared" ref="J1656:J1719" si="3305">IF(AND(ISNUMBER(#REF!), ISNUMBER(#REF!)),#REF! -#REF!,"")</f>
        <v/>
      </c>
      <c r="L1656" t="str">
        <f t="shared" ref="L1656:L1719" si="3306">IF(AND(ISNUMBER(#REF!), ISNUMBER(#REF!)),#REF! -#REF!,"")</f>
        <v/>
      </c>
    </row>
    <row r="1657" spans="10:12">
      <c r="J1657" t="str">
        <f t="shared" ref="J1657:J1720" si="3307">IF(AND(ISNUMBER(#REF!), ISNUMBER(#REF!)),#REF! -#REF!,"")</f>
        <v/>
      </c>
      <c r="L1657" t="str">
        <f t="shared" ref="L1657:L1720" si="3308">IF(AND(ISNUMBER(#REF!), ISNUMBER(#REF!)),#REF! -#REF!,"")</f>
        <v/>
      </c>
    </row>
    <row r="1658" spans="10:12">
      <c r="J1658" t="str">
        <f t="shared" ref="J1658:J1721" si="3309">IF(AND(ISNUMBER(#REF!), ISNUMBER(#REF!)),#REF! -#REF!,"")</f>
        <v/>
      </c>
      <c r="L1658" t="str">
        <f t="shared" ref="L1658:L1721" si="3310">IF(AND(ISNUMBER(#REF!), ISNUMBER(#REF!)),#REF! -#REF!,"")</f>
        <v/>
      </c>
    </row>
    <row r="1659" spans="10:12">
      <c r="J1659" t="str">
        <f t="shared" ref="J1659:J1722" si="3311">IF(AND(ISNUMBER(#REF!), ISNUMBER(#REF!)),#REF! -#REF!,"")</f>
        <v/>
      </c>
      <c r="L1659" t="str">
        <f t="shared" ref="L1659:L1722" si="3312">IF(AND(ISNUMBER(#REF!), ISNUMBER(#REF!)),#REF! -#REF!,"")</f>
        <v/>
      </c>
    </row>
    <row r="1660" spans="10:12">
      <c r="J1660" t="str">
        <f t="shared" ref="J1660:J1723" si="3313">IF(AND(ISNUMBER(#REF!), ISNUMBER(#REF!)),#REF! -#REF!,"")</f>
        <v/>
      </c>
      <c r="L1660" t="str">
        <f t="shared" ref="L1660:L1723" si="3314">IF(AND(ISNUMBER(#REF!), ISNUMBER(#REF!)),#REF! -#REF!,"")</f>
        <v/>
      </c>
    </row>
    <row r="1661" spans="10:12">
      <c r="J1661" t="str">
        <f t="shared" ref="J1661:J1724" si="3315">IF(AND(ISNUMBER(#REF!), ISNUMBER(#REF!)),#REF! -#REF!,"")</f>
        <v/>
      </c>
      <c r="L1661" t="str">
        <f t="shared" ref="L1661:L1724" si="3316">IF(AND(ISNUMBER(#REF!), ISNUMBER(#REF!)),#REF! -#REF!,"")</f>
        <v/>
      </c>
    </row>
    <row r="1662" spans="10:12">
      <c r="J1662" t="str">
        <f t="shared" ref="J1662:J1725" si="3317">IF(AND(ISNUMBER(#REF!), ISNUMBER(#REF!)),#REF! -#REF!,"")</f>
        <v/>
      </c>
      <c r="L1662" t="str">
        <f t="shared" ref="L1662:L1725" si="3318">IF(AND(ISNUMBER(#REF!), ISNUMBER(#REF!)),#REF! -#REF!,"")</f>
        <v/>
      </c>
    </row>
    <row r="1663" spans="10:12">
      <c r="J1663" t="str">
        <f t="shared" ref="J1663:J1726" si="3319">IF(AND(ISNUMBER(#REF!), ISNUMBER(#REF!)),#REF! -#REF!,"")</f>
        <v/>
      </c>
      <c r="L1663" t="str">
        <f t="shared" ref="L1663:L1726" si="3320">IF(AND(ISNUMBER(#REF!), ISNUMBER(#REF!)),#REF! -#REF!,"")</f>
        <v/>
      </c>
    </row>
    <row r="1664" spans="10:12">
      <c r="J1664" t="str">
        <f t="shared" ref="J1664:J1727" si="3321">IF(AND(ISNUMBER(#REF!), ISNUMBER(#REF!)),#REF! -#REF!,"")</f>
        <v/>
      </c>
      <c r="L1664" t="str">
        <f t="shared" ref="L1664:L1727" si="3322">IF(AND(ISNUMBER(#REF!), ISNUMBER(#REF!)),#REF! -#REF!,"")</f>
        <v/>
      </c>
    </row>
    <row r="1665" spans="10:12">
      <c r="J1665" t="str">
        <f t="shared" ref="J1665:J1728" si="3323">IF(AND(ISNUMBER(#REF!), ISNUMBER(#REF!)),#REF! -#REF!,"")</f>
        <v/>
      </c>
      <c r="L1665" t="str">
        <f t="shared" ref="L1665:L1728" si="3324">IF(AND(ISNUMBER(#REF!), ISNUMBER(#REF!)),#REF! -#REF!,"")</f>
        <v/>
      </c>
    </row>
    <row r="1666" spans="10:12">
      <c r="J1666" t="str">
        <f t="shared" ref="J1666:J1729" si="3325">IF(AND(ISNUMBER(#REF!), ISNUMBER(#REF!)),#REF! -#REF!,"")</f>
        <v/>
      </c>
      <c r="L1666" t="str">
        <f t="shared" ref="L1666:L1729" si="3326">IF(AND(ISNUMBER(#REF!), ISNUMBER(#REF!)),#REF! -#REF!,"")</f>
        <v/>
      </c>
    </row>
    <row r="1667" spans="10:12">
      <c r="J1667" t="str">
        <f t="shared" ref="J1667:J1730" si="3327">IF(AND(ISNUMBER(#REF!), ISNUMBER(#REF!)),#REF! -#REF!,"")</f>
        <v/>
      </c>
      <c r="L1667" t="str">
        <f t="shared" ref="L1667:L1730" si="3328">IF(AND(ISNUMBER(#REF!), ISNUMBER(#REF!)),#REF! -#REF!,"")</f>
        <v/>
      </c>
    </row>
    <row r="1668" spans="10:12">
      <c r="J1668" t="str">
        <f t="shared" ref="J1668:J1731" si="3329">IF(AND(ISNUMBER(#REF!), ISNUMBER(#REF!)),#REF! -#REF!,"")</f>
        <v/>
      </c>
      <c r="L1668" t="str">
        <f t="shared" ref="L1668:L1731" si="3330">IF(AND(ISNUMBER(#REF!), ISNUMBER(#REF!)),#REF! -#REF!,"")</f>
        <v/>
      </c>
    </row>
    <row r="1669" spans="10:12">
      <c r="J1669" t="str">
        <f t="shared" ref="J1669:J1732" si="3331">IF(AND(ISNUMBER(#REF!), ISNUMBER(#REF!)),#REF! -#REF!,"")</f>
        <v/>
      </c>
      <c r="L1669" t="str">
        <f t="shared" ref="L1669:L1732" si="3332">IF(AND(ISNUMBER(#REF!), ISNUMBER(#REF!)),#REF! -#REF!,"")</f>
        <v/>
      </c>
    </row>
    <row r="1670" spans="10:12">
      <c r="J1670" t="str">
        <f t="shared" ref="J1670:J1733" si="3333">IF(AND(ISNUMBER(#REF!), ISNUMBER(#REF!)),#REF! -#REF!,"")</f>
        <v/>
      </c>
      <c r="L1670" t="str">
        <f t="shared" ref="L1670:L1733" si="3334">IF(AND(ISNUMBER(#REF!), ISNUMBER(#REF!)),#REF! -#REF!,"")</f>
        <v/>
      </c>
    </row>
    <row r="1671" spans="10:12">
      <c r="J1671" t="str">
        <f t="shared" ref="J1671:J1734" si="3335">IF(AND(ISNUMBER(#REF!), ISNUMBER(#REF!)),#REF! -#REF!,"")</f>
        <v/>
      </c>
      <c r="L1671" t="str">
        <f t="shared" ref="L1671:L1734" si="3336">IF(AND(ISNUMBER(#REF!), ISNUMBER(#REF!)),#REF! -#REF!,"")</f>
        <v/>
      </c>
    </row>
    <row r="1672" spans="10:12">
      <c r="J1672" t="str">
        <f t="shared" ref="J1672:J1735" si="3337">IF(AND(ISNUMBER(#REF!), ISNUMBER(#REF!)),#REF! -#REF!,"")</f>
        <v/>
      </c>
      <c r="L1672" t="str">
        <f t="shared" ref="L1672:L1735" si="3338">IF(AND(ISNUMBER(#REF!), ISNUMBER(#REF!)),#REF! -#REF!,"")</f>
        <v/>
      </c>
    </row>
    <row r="1673" spans="10:12">
      <c r="J1673" t="str">
        <f t="shared" ref="J1673:J1736" si="3339">IF(AND(ISNUMBER(#REF!), ISNUMBER(#REF!)),#REF! -#REF!,"")</f>
        <v/>
      </c>
      <c r="L1673" t="str">
        <f t="shared" ref="L1673:L1736" si="3340">IF(AND(ISNUMBER(#REF!), ISNUMBER(#REF!)),#REF! -#REF!,"")</f>
        <v/>
      </c>
    </row>
    <row r="1674" spans="10:12">
      <c r="J1674" t="str">
        <f t="shared" ref="J1674:J1737" si="3341">IF(AND(ISNUMBER(#REF!), ISNUMBER(#REF!)),#REF! -#REF!,"")</f>
        <v/>
      </c>
      <c r="L1674" t="str">
        <f t="shared" ref="L1674:L1737" si="3342">IF(AND(ISNUMBER(#REF!), ISNUMBER(#REF!)),#REF! -#REF!,"")</f>
        <v/>
      </c>
    </row>
    <row r="1675" spans="10:12">
      <c r="J1675" t="str">
        <f t="shared" ref="J1675:J1738" si="3343">IF(AND(ISNUMBER(#REF!), ISNUMBER(#REF!)),#REF! -#REF!,"")</f>
        <v/>
      </c>
      <c r="L1675" t="str">
        <f t="shared" ref="L1675:L1738" si="3344">IF(AND(ISNUMBER(#REF!), ISNUMBER(#REF!)),#REF! -#REF!,"")</f>
        <v/>
      </c>
    </row>
    <row r="1676" spans="10:12">
      <c r="J1676" t="str">
        <f t="shared" ref="J1676:J1739" si="3345">IF(AND(ISNUMBER(#REF!), ISNUMBER(#REF!)),#REF! -#REF!,"")</f>
        <v/>
      </c>
      <c r="L1676" t="str">
        <f t="shared" ref="L1676:L1739" si="3346">IF(AND(ISNUMBER(#REF!), ISNUMBER(#REF!)),#REF! -#REF!,"")</f>
        <v/>
      </c>
    </row>
    <row r="1677" spans="10:12">
      <c r="J1677" t="str">
        <f t="shared" ref="J1677:J1740" si="3347">IF(AND(ISNUMBER(#REF!), ISNUMBER(#REF!)),#REF! -#REF!,"")</f>
        <v/>
      </c>
      <c r="L1677" t="str">
        <f t="shared" ref="L1677:L1740" si="3348">IF(AND(ISNUMBER(#REF!), ISNUMBER(#REF!)),#REF! -#REF!,"")</f>
        <v/>
      </c>
    </row>
    <row r="1678" spans="10:12">
      <c r="J1678" t="str">
        <f t="shared" ref="J1678:J1741" si="3349">IF(AND(ISNUMBER(#REF!), ISNUMBER(#REF!)),#REF! -#REF!,"")</f>
        <v/>
      </c>
      <c r="L1678" t="str">
        <f t="shared" ref="L1678:L1741" si="3350">IF(AND(ISNUMBER(#REF!), ISNUMBER(#REF!)),#REF! -#REF!,"")</f>
        <v/>
      </c>
    </row>
    <row r="1679" spans="10:12">
      <c r="J1679" t="str">
        <f t="shared" ref="J1679:J1742" si="3351">IF(AND(ISNUMBER(#REF!), ISNUMBER(#REF!)),#REF! -#REF!,"")</f>
        <v/>
      </c>
      <c r="L1679" t="str">
        <f t="shared" ref="L1679:L1742" si="3352">IF(AND(ISNUMBER(#REF!), ISNUMBER(#REF!)),#REF! -#REF!,"")</f>
        <v/>
      </c>
    </row>
    <row r="1680" spans="10:12">
      <c r="J1680" t="str">
        <f t="shared" ref="J1680:J1743" si="3353">IF(AND(ISNUMBER(#REF!), ISNUMBER(#REF!)),#REF! -#REF!,"")</f>
        <v/>
      </c>
      <c r="L1680" t="str">
        <f t="shared" ref="L1680:L1743" si="3354">IF(AND(ISNUMBER(#REF!), ISNUMBER(#REF!)),#REF! -#REF!,"")</f>
        <v/>
      </c>
    </row>
    <row r="1681" spans="10:12">
      <c r="J1681" t="str">
        <f t="shared" ref="J1681:J1744" si="3355">IF(AND(ISNUMBER(#REF!), ISNUMBER(#REF!)),#REF! -#REF!,"")</f>
        <v/>
      </c>
      <c r="L1681" t="str">
        <f t="shared" ref="L1681:L1744" si="3356">IF(AND(ISNUMBER(#REF!), ISNUMBER(#REF!)),#REF! -#REF!,"")</f>
        <v/>
      </c>
    </row>
    <row r="1682" spans="10:12">
      <c r="J1682" t="str">
        <f t="shared" ref="J1682:J1745" si="3357">IF(AND(ISNUMBER(#REF!), ISNUMBER(#REF!)),#REF! -#REF!,"")</f>
        <v/>
      </c>
      <c r="L1682" t="str">
        <f t="shared" ref="L1682:L1745" si="3358">IF(AND(ISNUMBER(#REF!), ISNUMBER(#REF!)),#REF! -#REF!,"")</f>
        <v/>
      </c>
    </row>
    <row r="1683" spans="10:12">
      <c r="J1683" t="str">
        <f t="shared" ref="J1683:J1746" si="3359">IF(AND(ISNUMBER(#REF!), ISNUMBER(#REF!)),#REF! -#REF!,"")</f>
        <v/>
      </c>
      <c r="L1683" t="str">
        <f t="shared" ref="L1683:L1746" si="3360">IF(AND(ISNUMBER(#REF!), ISNUMBER(#REF!)),#REF! -#REF!,"")</f>
        <v/>
      </c>
    </row>
    <row r="1684" spans="10:12">
      <c r="J1684" t="str">
        <f t="shared" ref="J1684:J1747" si="3361">IF(AND(ISNUMBER(#REF!), ISNUMBER(#REF!)),#REF! -#REF!,"")</f>
        <v/>
      </c>
      <c r="L1684" t="str">
        <f t="shared" ref="L1684:L1747" si="3362">IF(AND(ISNUMBER(#REF!), ISNUMBER(#REF!)),#REF! -#REF!,"")</f>
        <v/>
      </c>
    </row>
    <row r="1685" spans="10:12">
      <c r="J1685" t="str">
        <f t="shared" ref="J1685:J1748" si="3363">IF(AND(ISNUMBER(#REF!), ISNUMBER(#REF!)),#REF! -#REF!,"")</f>
        <v/>
      </c>
      <c r="L1685" t="str">
        <f t="shared" ref="L1685:L1748" si="3364">IF(AND(ISNUMBER(#REF!), ISNUMBER(#REF!)),#REF! -#REF!,"")</f>
        <v/>
      </c>
    </row>
    <row r="1686" spans="10:12">
      <c r="J1686" t="str">
        <f t="shared" ref="J1686:J1749" si="3365">IF(AND(ISNUMBER(#REF!), ISNUMBER(#REF!)),#REF! -#REF!,"")</f>
        <v/>
      </c>
      <c r="L1686" t="str">
        <f t="shared" ref="L1686:L1749" si="3366">IF(AND(ISNUMBER(#REF!), ISNUMBER(#REF!)),#REF! -#REF!,"")</f>
        <v/>
      </c>
    </row>
    <row r="1687" spans="10:12">
      <c r="J1687" t="str">
        <f t="shared" ref="J1687:J1750" si="3367">IF(AND(ISNUMBER(#REF!), ISNUMBER(#REF!)),#REF! -#REF!,"")</f>
        <v/>
      </c>
      <c r="L1687" t="str">
        <f t="shared" ref="L1687:L1750" si="3368">IF(AND(ISNUMBER(#REF!), ISNUMBER(#REF!)),#REF! -#REF!,"")</f>
        <v/>
      </c>
    </row>
    <row r="1688" spans="10:12">
      <c r="J1688" t="str">
        <f t="shared" ref="J1688:J1751" si="3369">IF(AND(ISNUMBER(#REF!), ISNUMBER(#REF!)),#REF! -#REF!,"")</f>
        <v/>
      </c>
      <c r="L1688" t="str">
        <f t="shared" ref="L1688:L1751" si="3370">IF(AND(ISNUMBER(#REF!), ISNUMBER(#REF!)),#REF! -#REF!,"")</f>
        <v/>
      </c>
    </row>
    <row r="1689" spans="10:12">
      <c r="J1689" t="str">
        <f t="shared" ref="J1689:J1752" si="3371">IF(AND(ISNUMBER(#REF!), ISNUMBER(#REF!)),#REF! -#REF!,"")</f>
        <v/>
      </c>
      <c r="L1689" t="str">
        <f t="shared" ref="L1689:L1752" si="3372">IF(AND(ISNUMBER(#REF!), ISNUMBER(#REF!)),#REF! -#REF!,"")</f>
        <v/>
      </c>
    </row>
    <row r="1690" spans="10:12">
      <c r="J1690" t="str">
        <f t="shared" ref="J1690:J1753" si="3373">IF(AND(ISNUMBER(#REF!), ISNUMBER(#REF!)),#REF! -#REF!,"")</f>
        <v/>
      </c>
      <c r="L1690" t="str">
        <f t="shared" ref="L1690:L1753" si="3374">IF(AND(ISNUMBER(#REF!), ISNUMBER(#REF!)),#REF! -#REF!,"")</f>
        <v/>
      </c>
    </row>
    <row r="1691" spans="10:12">
      <c r="J1691" t="str">
        <f t="shared" ref="J1691:J1754" si="3375">IF(AND(ISNUMBER(#REF!), ISNUMBER(#REF!)),#REF! -#REF!,"")</f>
        <v/>
      </c>
      <c r="L1691" t="str">
        <f t="shared" ref="L1691:L1754" si="3376">IF(AND(ISNUMBER(#REF!), ISNUMBER(#REF!)),#REF! -#REF!,"")</f>
        <v/>
      </c>
    </row>
    <row r="1692" spans="10:12">
      <c r="J1692" t="str">
        <f t="shared" ref="J1692:J1755" si="3377">IF(AND(ISNUMBER(#REF!), ISNUMBER(#REF!)),#REF! -#REF!,"")</f>
        <v/>
      </c>
      <c r="L1692" t="str">
        <f t="shared" ref="L1692:L1755" si="3378">IF(AND(ISNUMBER(#REF!), ISNUMBER(#REF!)),#REF! -#REF!,"")</f>
        <v/>
      </c>
    </row>
    <row r="1693" spans="10:12">
      <c r="J1693" t="str">
        <f t="shared" ref="J1693:J1756" si="3379">IF(AND(ISNUMBER(#REF!), ISNUMBER(#REF!)),#REF! -#REF!,"")</f>
        <v/>
      </c>
      <c r="L1693" t="str">
        <f t="shared" ref="L1693:L1756" si="3380">IF(AND(ISNUMBER(#REF!), ISNUMBER(#REF!)),#REF! -#REF!,"")</f>
        <v/>
      </c>
    </row>
    <row r="1694" spans="10:12">
      <c r="J1694" t="str">
        <f t="shared" ref="J1694:J1757" si="3381">IF(AND(ISNUMBER(#REF!), ISNUMBER(#REF!)),#REF! -#REF!,"")</f>
        <v/>
      </c>
      <c r="L1694" t="str">
        <f t="shared" ref="L1694:L1757" si="3382">IF(AND(ISNUMBER(#REF!), ISNUMBER(#REF!)),#REF! -#REF!,"")</f>
        <v/>
      </c>
    </row>
    <row r="1695" spans="10:12">
      <c r="J1695" t="str">
        <f t="shared" ref="J1695:J1758" si="3383">IF(AND(ISNUMBER(#REF!), ISNUMBER(#REF!)),#REF! -#REF!,"")</f>
        <v/>
      </c>
      <c r="L1695" t="str">
        <f t="shared" ref="L1695:L1758" si="3384">IF(AND(ISNUMBER(#REF!), ISNUMBER(#REF!)),#REF! -#REF!,"")</f>
        <v/>
      </c>
    </row>
    <row r="1696" spans="10:12">
      <c r="J1696" t="str">
        <f t="shared" ref="J1696:J1759" si="3385">IF(AND(ISNUMBER(#REF!), ISNUMBER(#REF!)),#REF! -#REF!,"")</f>
        <v/>
      </c>
      <c r="L1696" t="str">
        <f t="shared" ref="L1696:L1759" si="3386">IF(AND(ISNUMBER(#REF!), ISNUMBER(#REF!)),#REF! -#REF!,"")</f>
        <v/>
      </c>
    </row>
    <row r="1697" spans="10:12">
      <c r="J1697" t="str">
        <f t="shared" ref="J1697:J1760" si="3387">IF(AND(ISNUMBER(#REF!), ISNUMBER(#REF!)),#REF! -#REF!,"")</f>
        <v/>
      </c>
      <c r="L1697" t="str">
        <f t="shared" ref="L1697:L1760" si="3388">IF(AND(ISNUMBER(#REF!), ISNUMBER(#REF!)),#REF! -#REF!,"")</f>
        <v/>
      </c>
    </row>
    <row r="1698" spans="10:12">
      <c r="J1698" t="str">
        <f t="shared" ref="J1698:J1761" si="3389">IF(AND(ISNUMBER(#REF!), ISNUMBER(#REF!)),#REF! -#REF!,"")</f>
        <v/>
      </c>
      <c r="L1698" t="str">
        <f t="shared" ref="L1698:L1761" si="3390">IF(AND(ISNUMBER(#REF!), ISNUMBER(#REF!)),#REF! -#REF!,"")</f>
        <v/>
      </c>
    </row>
    <row r="1699" spans="10:12">
      <c r="J1699" t="str">
        <f t="shared" ref="J1699:J1762" si="3391">IF(AND(ISNUMBER(#REF!), ISNUMBER(#REF!)),#REF! -#REF!,"")</f>
        <v/>
      </c>
      <c r="L1699" t="str">
        <f t="shared" ref="L1699:L1762" si="3392">IF(AND(ISNUMBER(#REF!), ISNUMBER(#REF!)),#REF! -#REF!,"")</f>
        <v/>
      </c>
    </row>
    <row r="1700" spans="10:12">
      <c r="J1700" t="str">
        <f t="shared" ref="J1700:J1763" si="3393">IF(AND(ISNUMBER(#REF!), ISNUMBER(#REF!)),#REF! -#REF!,"")</f>
        <v/>
      </c>
      <c r="L1700" t="str">
        <f t="shared" ref="L1700:L1763" si="3394">IF(AND(ISNUMBER(#REF!), ISNUMBER(#REF!)),#REF! -#REF!,"")</f>
        <v/>
      </c>
    </row>
    <row r="1701" spans="10:12">
      <c r="J1701" t="str">
        <f t="shared" ref="J1701:J1764" si="3395">IF(AND(ISNUMBER(#REF!), ISNUMBER(#REF!)),#REF! -#REF!,"")</f>
        <v/>
      </c>
      <c r="L1701" t="str">
        <f t="shared" ref="L1701:L1764" si="3396">IF(AND(ISNUMBER(#REF!), ISNUMBER(#REF!)),#REF! -#REF!,"")</f>
        <v/>
      </c>
    </row>
    <row r="1702" spans="10:12">
      <c r="J1702" t="str">
        <f t="shared" ref="J1702:J1765" si="3397">IF(AND(ISNUMBER(#REF!), ISNUMBER(#REF!)),#REF! -#REF!,"")</f>
        <v/>
      </c>
      <c r="L1702" t="str">
        <f t="shared" ref="L1702:L1765" si="3398">IF(AND(ISNUMBER(#REF!), ISNUMBER(#REF!)),#REF! -#REF!,"")</f>
        <v/>
      </c>
    </row>
    <row r="1703" spans="10:12">
      <c r="J1703" t="str">
        <f t="shared" ref="J1703:J1766" si="3399">IF(AND(ISNUMBER(#REF!), ISNUMBER(#REF!)),#REF! -#REF!,"")</f>
        <v/>
      </c>
      <c r="L1703" t="str">
        <f t="shared" ref="L1703:L1766" si="3400">IF(AND(ISNUMBER(#REF!), ISNUMBER(#REF!)),#REF! -#REF!,"")</f>
        <v/>
      </c>
    </row>
    <row r="1704" spans="10:12">
      <c r="J1704" t="str">
        <f t="shared" ref="J1704:J1767" si="3401">IF(AND(ISNUMBER(#REF!), ISNUMBER(#REF!)),#REF! -#REF!,"")</f>
        <v/>
      </c>
      <c r="L1704" t="str">
        <f t="shared" ref="L1704:L1767" si="3402">IF(AND(ISNUMBER(#REF!), ISNUMBER(#REF!)),#REF! -#REF!,"")</f>
        <v/>
      </c>
    </row>
    <row r="1705" spans="10:12">
      <c r="J1705" t="str">
        <f t="shared" ref="J1705:J1768" si="3403">IF(AND(ISNUMBER(#REF!), ISNUMBER(#REF!)),#REF! -#REF!,"")</f>
        <v/>
      </c>
      <c r="L1705" t="str">
        <f t="shared" ref="L1705:L1768" si="3404">IF(AND(ISNUMBER(#REF!), ISNUMBER(#REF!)),#REF! -#REF!,"")</f>
        <v/>
      </c>
    </row>
    <row r="1706" spans="10:12">
      <c r="J1706" t="str">
        <f t="shared" ref="J1706:J1769" si="3405">IF(AND(ISNUMBER(#REF!), ISNUMBER(#REF!)),#REF! -#REF!,"")</f>
        <v/>
      </c>
      <c r="L1706" t="str">
        <f t="shared" ref="L1706:L1769" si="3406">IF(AND(ISNUMBER(#REF!), ISNUMBER(#REF!)),#REF! -#REF!,"")</f>
        <v/>
      </c>
    </row>
    <row r="1707" spans="10:12">
      <c r="J1707" t="str">
        <f t="shared" ref="J1707:J1770" si="3407">IF(AND(ISNUMBER(#REF!), ISNUMBER(#REF!)),#REF! -#REF!,"")</f>
        <v/>
      </c>
      <c r="L1707" t="str">
        <f t="shared" ref="L1707:L1770" si="3408">IF(AND(ISNUMBER(#REF!), ISNUMBER(#REF!)),#REF! -#REF!,"")</f>
        <v/>
      </c>
    </row>
    <row r="1708" spans="10:12">
      <c r="J1708" t="str">
        <f t="shared" ref="J1708:J1771" si="3409">IF(AND(ISNUMBER(#REF!), ISNUMBER(#REF!)),#REF! -#REF!,"")</f>
        <v/>
      </c>
      <c r="L1708" t="str">
        <f t="shared" ref="L1708:L1771" si="3410">IF(AND(ISNUMBER(#REF!), ISNUMBER(#REF!)),#REF! -#REF!,"")</f>
        <v/>
      </c>
    </row>
    <row r="1709" spans="10:12">
      <c r="J1709" t="str">
        <f t="shared" ref="J1709:J1772" si="3411">IF(AND(ISNUMBER(#REF!), ISNUMBER(#REF!)),#REF! -#REF!,"")</f>
        <v/>
      </c>
      <c r="L1709" t="str">
        <f t="shared" ref="L1709:L1772" si="3412">IF(AND(ISNUMBER(#REF!), ISNUMBER(#REF!)),#REF! -#REF!,"")</f>
        <v/>
      </c>
    </row>
    <row r="1710" spans="10:12">
      <c r="J1710" t="str">
        <f t="shared" ref="J1710:J1773" si="3413">IF(AND(ISNUMBER(#REF!), ISNUMBER(#REF!)),#REF! -#REF!,"")</f>
        <v/>
      </c>
      <c r="L1710" t="str">
        <f t="shared" ref="L1710:L1773" si="3414">IF(AND(ISNUMBER(#REF!), ISNUMBER(#REF!)),#REF! -#REF!,"")</f>
        <v/>
      </c>
    </row>
    <row r="1711" spans="10:12">
      <c r="J1711" t="str">
        <f t="shared" ref="J1711:J1774" si="3415">IF(AND(ISNUMBER(#REF!), ISNUMBER(#REF!)),#REF! -#REF!,"")</f>
        <v/>
      </c>
      <c r="L1711" t="str">
        <f t="shared" ref="L1711:L1774" si="3416">IF(AND(ISNUMBER(#REF!), ISNUMBER(#REF!)),#REF! -#REF!,"")</f>
        <v/>
      </c>
    </row>
    <row r="1712" spans="10:12">
      <c r="J1712" t="str">
        <f t="shared" ref="J1712:J1775" si="3417">IF(AND(ISNUMBER(#REF!), ISNUMBER(#REF!)),#REF! -#REF!,"")</f>
        <v/>
      </c>
      <c r="L1712" t="str">
        <f t="shared" ref="L1712:L1775" si="3418">IF(AND(ISNUMBER(#REF!), ISNUMBER(#REF!)),#REF! -#REF!,"")</f>
        <v/>
      </c>
    </row>
    <row r="1713" spans="10:12">
      <c r="J1713" t="str">
        <f t="shared" ref="J1713:J1776" si="3419">IF(AND(ISNUMBER(#REF!), ISNUMBER(#REF!)),#REF! -#REF!,"")</f>
        <v/>
      </c>
      <c r="L1713" t="str">
        <f t="shared" ref="L1713:L1776" si="3420">IF(AND(ISNUMBER(#REF!), ISNUMBER(#REF!)),#REF! -#REF!,"")</f>
        <v/>
      </c>
    </row>
    <row r="1714" spans="10:12">
      <c r="J1714" t="str">
        <f t="shared" ref="J1714:J1777" si="3421">IF(AND(ISNUMBER(#REF!), ISNUMBER(#REF!)),#REF! -#REF!,"")</f>
        <v/>
      </c>
      <c r="L1714" t="str">
        <f t="shared" ref="L1714:L1777" si="3422">IF(AND(ISNUMBER(#REF!), ISNUMBER(#REF!)),#REF! -#REF!,"")</f>
        <v/>
      </c>
    </row>
    <row r="1715" spans="10:12">
      <c r="J1715" t="str">
        <f t="shared" ref="J1715:J1778" si="3423">IF(AND(ISNUMBER(#REF!), ISNUMBER(#REF!)),#REF! -#REF!,"")</f>
        <v/>
      </c>
      <c r="L1715" t="str">
        <f t="shared" ref="L1715:L1778" si="3424">IF(AND(ISNUMBER(#REF!), ISNUMBER(#REF!)),#REF! -#REF!,"")</f>
        <v/>
      </c>
    </row>
    <row r="1716" spans="10:12">
      <c r="J1716" t="str">
        <f t="shared" ref="J1716:J1779" si="3425">IF(AND(ISNUMBER(#REF!), ISNUMBER(#REF!)),#REF! -#REF!,"")</f>
        <v/>
      </c>
      <c r="L1716" t="str">
        <f t="shared" ref="L1716:L1779" si="3426">IF(AND(ISNUMBER(#REF!), ISNUMBER(#REF!)),#REF! -#REF!,"")</f>
        <v/>
      </c>
    </row>
    <row r="1717" spans="10:12">
      <c r="J1717" t="str">
        <f t="shared" ref="J1717:J1780" si="3427">IF(AND(ISNUMBER(#REF!), ISNUMBER(#REF!)),#REF! -#REF!,"")</f>
        <v/>
      </c>
      <c r="L1717" t="str">
        <f t="shared" ref="L1717:L1780" si="3428">IF(AND(ISNUMBER(#REF!), ISNUMBER(#REF!)),#REF! -#REF!,"")</f>
        <v/>
      </c>
    </row>
    <row r="1718" spans="10:12">
      <c r="J1718" t="str">
        <f t="shared" ref="J1718:J1781" si="3429">IF(AND(ISNUMBER(#REF!), ISNUMBER(#REF!)),#REF! -#REF!,"")</f>
        <v/>
      </c>
      <c r="L1718" t="str">
        <f t="shared" ref="L1718:L1781" si="3430">IF(AND(ISNUMBER(#REF!), ISNUMBER(#REF!)),#REF! -#REF!,"")</f>
        <v/>
      </c>
    </row>
    <row r="1719" spans="10:12">
      <c r="J1719" t="str">
        <f t="shared" ref="J1719:J1782" si="3431">IF(AND(ISNUMBER(#REF!), ISNUMBER(#REF!)),#REF! -#REF!,"")</f>
        <v/>
      </c>
      <c r="L1719" t="str">
        <f t="shared" ref="L1719:L1782" si="3432">IF(AND(ISNUMBER(#REF!), ISNUMBER(#REF!)),#REF! -#REF!,"")</f>
        <v/>
      </c>
    </row>
    <row r="1720" spans="10:12">
      <c r="J1720" t="str">
        <f t="shared" ref="J1720:J1783" si="3433">IF(AND(ISNUMBER(#REF!), ISNUMBER(#REF!)),#REF! -#REF!,"")</f>
        <v/>
      </c>
      <c r="L1720" t="str">
        <f t="shared" ref="L1720:L1783" si="3434">IF(AND(ISNUMBER(#REF!), ISNUMBER(#REF!)),#REF! -#REF!,"")</f>
        <v/>
      </c>
    </row>
    <row r="1721" spans="10:12">
      <c r="J1721" t="str">
        <f t="shared" ref="J1721:J1784" si="3435">IF(AND(ISNUMBER(#REF!), ISNUMBER(#REF!)),#REF! -#REF!,"")</f>
        <v/>
      </c>
      <c r="L1721" t="str">
        <f t="shared" ref="L1721:L1784" si="3436">IF(AND(ISNUMBER(#REF!), ISNUMBER(#REF!)),#REF! -#REF!,"")</f>
        <v/>
      </c>
    </row>
    <row r="1722" spans="10:12">
      <c r="J1722" t="str">
        <f t="shared" ref="J1722:J1785" si="3437">IF(AND(ISNUMBER(#REF!), ISNUMBER(#REF!)),#REF! -#REF!,"")</f>
        <v/>
      </c>
      <c r="L1722" t="str">
        <f t="shared" ref="L1722:L1785" si="3438">IF(AND(ISNUMBER(#REF!), ISNUMBER(#REF!)),#REF! -#REF!,"")</f>
        <v/>
      </c>
    </row>
    <row r="1723" spans="10:12">
      <c r="J1723" t="str">
        <f t="shared" ref="J1723:J1786" si="3439">IF(AND(ISNUMBER(#REF!), ISNUMBER(#REF!)),#REF! -#REF!,"")</f>
        <v/>
      </c>
      <c r="L1723" t="str">
        <f t="shared" ref="L1723:L1786" si="3440">IF(AND(ISNUMBER(#REF!), ISNUMBER(#REF!)),#REF! -#REF!,"")</f>
        <v/>
      </c>
    </row>
    <row r="1724" spans="10:12">
      <c r="J1724" t="str">
        <f t="shared" ref="J1724:J1787" si="3441">IF(AND(ISNUMBER(#REF!), ISNUMBER(#REF!)),#REF! -#REF!,"")</f>
        <v/>
      </c>
      <c r="L1724" t="str">
        <f t="shared" ref="L1724:L1787" si="3442">IF(AND(ISNUMBER(#REF!), ISNUMBER(#REF!)),#REF! -#REF!,"")</f>
        <v/>
      </c>
    </row>
    <row r="1725" spans="10:12">
      <c r="J1725" t="str">
        <f t="shared" ref="J1725:J1788" si="3443">IF(AND(ISNUMBER(#REF!), ISNUMBER(#REF!)),#REF! -#REF!,"")</f>
        <v/>
      </c>
      <c r="L1725" t="str">
        <f t="shared" ref="L1725:L1788" si="3444">IF(AND(ISNUMBER(#REF!), ISNUMBER(#REF!)),#REF! -#REF!,"")</f>
        <v/>
      </c>
    </row>
    <row r="1726" spans="10:12">
      <c r="J1726" t="str">
        <f t="shared" ref="J1726:J1789" si="3445">IF(AND(ISNUMBER(#REF!), ISNUMBER(#REF!)),#REF! -#REF!,"")</f>
        <v/>
      </c>
      <c r="L1726" t="str">
        <f t="shared" ref="L1726:L1789" si="3446">IF(AND(ISNUMBER(#REF!), ISNUMBER(#REF!)),#REF! -#REF!,"")</f>
        <v/>
      </c>
    </row>
    <row r="1727" spans="10:12">
      <c r="J1727" t="str">
        <f t="shared" ref="J1727:J1790" si="3447">IF(AND(ISNUMBER(#REF!), ISNUMBER(#REF!)),#REF! -#REF!,"")</f>
        <v/>
      </c>
      <c r="L1727" t="str">
        <f t="shared" ref="L1727:L1790" si="3448">IF(AND(ISNUMBER(#REF!), ISNUMBER(#REF!)),#REF! -#REF!,"")</f>
        <v/>
      </c>
    </row>
    <row r="1728" spans="10:12">
      <c r="J1728" t="str">
        <f t="shared" ref="J1728:J1791" si="3449">IF(AND(ISNUMBER(#REF!), ISNUMBER(#REF!)),#REF! -#REF!,"")</f>
        <v/>
      </c>
      <c r="L1728" t="str">
        <f t="shared" ref="L1728:L1791" si="3450">IF(AND(ISNUMBER(#REF!), ISNUMBER(#REF!)),#REF! -#REF!,"")</f>
        <v/>
      </c>
    </row>
    <row r="1729" spans="10:12">
      <c r="J1729" t="str">
        <f t="shared" ref="J1729:J1792" si="3451">IF(AND(ISNUMBER(#REF!), ISNUMBER(#REF!)),#REF! -#REF!,"")</f>
        <v/>
      </c>
      <c r="L1729" t="str">
        <f t="shared" ref="L1729:L1792" si="3452">IF(AND(ISNUMBER(#REF!), ISNUMBER(#REF!)),#REF! -#REF!,"")</f>
        <v/>
      </c>
    </row>
    <row r="1730" spans="10:12">
      <c r="J1730" t="str">
        <f t="shared" ref="J1730:J1793" si="3453">IF(AND(ISNUMBER(#REF!), ISNUMBER(#REF!)),#REF! -#REF!,"")</f>
        <v/>
      </c>
      <c r="L1730" t="str">
        <f t="shared" ref="L1730:L1793" si="3454">IF(AND(ISNUMBER(#REF!), ISNUMBER(#REF!)),#REF! -#REF!,"")</f>
        <v/>
      </c>
    </row>
    <row r="1731" spans="10:12">
      <c r="J1731" t="str">
        <f t="shared" ref="J1731:J1794" si="3455">IF(AND(ISNUMBER(#REF!), ISNUMBER(#REF!)),#REF! -#REF!,"")</f>
        <v/>
      </c>
      <c r="L1731" t="str">
        <f t="shared" ref="L1731:L1794" si="3456">IF(AND(ISNUMBER(#REF!), ISNUMBER(#REF!)),#REF! -#REF!,"")</f>
        <v/>
      </c>
    </row>
    <row r="1732" spans="10:12">
      <c r="J1732" t="str">
        <f t="shared" ref="J1732:J1795" si="3457">IF(AND(ISNUMBER(#REF!), ISNUMBER(#REF!)),#REF! -#REF!,"")</f>
        <v/>
      </c>
      <c r="L1732" t="str">
        <f t="shared" ref="L1732:L1795" si="3458">IF(AND(ISNUMBER(#REF!), ISNUMBER(#REF!)),#REF! -#REF!,"")</f>
        <v/>
      </c>
    </row>
    <row r="1733" spans="10:12">
      <c r="J1733" t="str">
        <f t="shared" ref="J1733:J1796" si="3459">IF(AND(ISNUMBER(#REF!), ISNUMBER(#REF!)),#REF! -#REF!,"")</f>
        <v/>
      </c>
      <c r="L1733" t="str">
        <f t="shared" ref="L1733:L1796" si="3460">IF(AND(ISNUMBER(#REF!), ISNUMBER(#REF!)),#REF! -#REF!,"")</f>
        <v/>
      </c>
    </row>
    <row r="1734" spans="10:12">
      <c r="J1734" t="str">
        <f t="shared" ref="J1734:J1797" si="3461">IF(AND(ISNUMBER(#REF!), ISNUMBER(#REF!)),#REF! -#REF!,"")</f>
        <v/>
      </c>
      <c r="L1734" t="str">
        <f t="shared" ref="L1734:L1797" si="3462">IF(AND(ISNUMBER(#REF!), ISNUMBER(#REF!)),#REF! -#REF!,"")</f>
        <v/>
      </c>
    </row>
    <row r="1735" spans="10:12">
      <c r="J1735" t="str">
        <f t="shared" ref="J1735:J1798" si="3463">IF(AND(ISNUMBER(#REF!), ISNUMBER(#REF!)),#REF! -#REF!,"")</f>
        <v/>
      </c>
      <c r="L1735" t="str">
        <f t="shared" ref="L1735:L1798" si="3464">IF(AND(ISNUMBER(#REF!), ISNUMBER(#REF!)),#REF! -#REF!,"")</f>
        <v/>
      </c>
    </row>
    <row r="1736" spans="10:12">
      <c r="J1736" t="str">
        <f t="shared" ref="J1736:J1799" si="3465">IF(AND(ISNUMBER(#REF!), ISNUMBER(#REF!)),#REF! -#REF!,"")</f>
        <v/>
      </c>
      <c r="L1736" t="str">
        <f t="shared" ref="L1736:L1799" si="3466">IF(AND(ISNUMBER(#REF!), ISNUMBER(#REF!)),#REF! -#REF!,"")</f>
        <v/>
      </c>
    </row>
    <row r="1737" spans="10:12">
      <c r="J1737" t="str">
        <f t="shared" ref="J1737:J1800" si="3467">IF(AND(ISNUMBER(#REF!), ISNUMBER(#REF!)),#REF! -#REF!,"")</f>
        <v/>
      </c>
      <c r="L1737" t="str">
        <f t="shared" ref="L1737:L1800" si="3468">IF(AND(ISNUMBER(#REF!), ISNUMBER(#REF!)),#REF! -#REF!,"")</f>
        <v/>
      </c>
    </row>
    <row r="1738" spans="10:12">
      <c r="J1738" t="str">
        <f t="shared" ref="J1738:J1801" si="3469">IF(AND(ISNUMBER(#REF!), ISNUMBER(#REF!)),#REF! -#REF!,"")</f>
        <v/>
      </c>
      <c r="L1738" t="str">
        <f t="shared" ref="L1738:L1801" si="3470">IF(AND(ISNUMBER(#REF!), ISNUMBER(#REF!)),#REF! -#REF!,"")</f>
        <v/>
      </c>
    </row>
    <row r="1739" spans="10:12">
      <c r="J1739" t="str">
        <f t="shared" ref="J1739:J1802" si="3471">IF(AND(ISNUMBER(#REF!), ISNUMBER(#REF!)),#REF! -#REF!,"")</f>
        <v/>
      </c>
      <c r="L1739" t="str">
        <f t="shared" ref="L1739:L1802" si="3472">IF(AND(ISNUMBER(#REF!), ISNUMBER(#REF!)),#REF! -#REF!,"")</f>
        <v/>
      </c>
    </row>
    <row r="1740" spans="10:12">
      <c r="J1740" t="str">
        <f t="shared" ref="J1740:J1803" si="3473">IF(AND(ISNUMBER(#REF!), ISNUMBER(#REF!)),#REF! -#REF!,"")</f>
        <v/>
      </c>
      <c r="L1740" t="str">
        <f t="shared" ref="L1740:L1803" si="3474">IF(AND(ISNUMBER(#REF!), ISNUMBER(#REF!)),#REF! -#REF!,"")</f>
        <v/>
      </c>
    </row>
    <row r="1741" spans="10:12">
      <c r="J1741" t="str">
        <f t="shared" ref="J1741:J1804" si="3475">IF(AND(ISNUMBER(#REF!), ISNUMBER(#REF!)),#REF! -#REF!,"")</f>
        <v/>
      </c>
      <c r="L1741" t="str">
        <f t="shared" ref="L1741:L1804" si="3476">IF(AND(ISNUMBER(#REF!), ISNUMBER(#REF!)),#REF! -#REF!,"")</f>
        <v/>
      </c>
    </row>
    <row r="1742" spans="10:12">
      <c r="J1742" t="str">
        <f t="shared" ref="J1742:J1805" si="3477">IF(AND(ISNUMBER(#REF!), ISNUMBER(#REF!)),#REF! -#REF!,"")</f>
        <v/>
      </c>
      <c r="L1742" t="str">
        <f t="shared" ref="L1742:L1805" si="3478">IF(AND(ISNUMBER(#REF!), ISNUMBER(#REF!)),#REF! -#REF!,"")</f>
        <v/>
      </c>
    </row>
    <row r="1743" spans="10:12">
      <c r="J1743" t="str">
        <f t="shared" ref="J1743:J1806" si="3479">IF(AND(ISNUMBER(#REF!), ISNUMBER(#REF!)),#REF! -#REF!,"")</f>
        <v/>
      </c>
      <c r="L1743" t="str">
        <f t="shared" ref="L1743:L1806" si="3480">IF(AND(ISNUMBER(#REF!), ISNUMBER(#REF!)),#REF! -#REF!,"")</f>
        <v/>
      </c>
    </row>
    <row r="1744" spans="10:12">
      <c r="J1744" t="str">
        <f t="shared" ref="J1744:J1807" si="3481">IF(AND(ISNUMBER(#REF!), ISNUMBER(#REF!)),#REF! -#REF!,"")</f>
        <v/>
      </c>
      <c r="L1744" t="str">
        <f t="shared" ref="L1744:L1807" si="3482">IF(AND(ISNUMBER(#REF!), ISNUMBER(#REF!)),#REF! -#REF!,"")</f>
        <v/>
      </c>
    </row>
    <row r="1745" spans="10:12">
      <c r="J1745" t="str">
        <f t="shared" ref="J1745:J1808" si="3483">IF(AND(ISNUMBER(#REF!), ISNUMBER(#REF!)),#REF! -#REF!,"")</f>
        <v/>
      </c>
      <c r="L1745" t="str">
        <f t="shared" ref="L1745:L1808" si="3484">IF(AND(ISNUMBER(#REF!), ISNUMBER(#REF!)),#REF! -#REF!,"")</f>
        <v/>
      </c>
    </row>
    <row r="1746" spans="10:12">
      <c r="J1746" t="str">
        <f t="shared" ref="J1746:J1809" si="3485">IF(AND(ISNUMBER(#REF!), ISNUMBER(#REF!)),#REF! -#REF!,"")</f>
        <v/>
      </c>
      <c r="L1746" t="str">
        <f t="shared" ref="L1746:L1809" si="3486">IF(AND(ISNUMBER(#REF!), ISNUMBER(#REF!)),#REF! -#REF!,"")</f>
        <v/>
      </c>
    </row>
    <row r="1747" spans="10:12">
      <c r="J1747" t="str">
        <f t="shared" ref="J1747:J1810" si="3487">IF(AND(ISNUMBER(#REF!), ISNUMBER(#REF!)),#REF! -#REF!,"")</f>
        <v/>
      </c>
      <c r="L1747" t="str">
        <f t="shared" ref="L1747:L1810" si="3488">IF(AND(ISNUMBER(#REF!), ISNUMBER(#REF!)),#REF! -#REF!,"")</f>
        <v/>
      </c>
    </row>
    <row r="1748" spans="10:12">
      <c r="J1748" t="str">
        <f t="shared" ref="J1748:J1811" si="3489">IF(AND(ISNUMBER(#REF!), ISNUMBER(#REF!)),#REF! -#REF!,"")</f>
        <v/>
      </c>
      <c r="L1748" t="str">
        <f t="shared" ref="L1748:L1811" si="3490">IF(AND(ISNUMBER(#REF!), ISNUMBER(#REF!)),#REF! -#REF!,"")</f>
        <v/>
      </c>
    </row>
    <row r="1749" spans="10:12">
      <c r="J1749" t="str">
        <f t="shared" ref="J1749:J1812" si="3491">IF(AND(ISNUMBER(#REF!), ISNUMBER(#REF!)),#REF! -#REF!,"")</f>
        <v/>
      </c>
      <c r="L1749" t="str">
        <f t="shared" ref="L1749:L1812" si="3492">IF(AND(ISNUMBER(#REF!), ISNUMBER(#REF!)),#REF! -#REF!,"")</f>
        <v/>
      </c>
    </row>
    <row r="1750" spans="10:12">
      <c r="J1750" t="str">
        <f t="shared" ref="J1750:J1813" si="3493">IF(AND(ISNUMBER(#REF!), ISNUMBER(#REF!)),#REF! -#REF!,"")</f>
        <v/>
      </c>
      <c r="L1750" t="str">
        <f t="shared" ref="L1750:L1813" si="3494">IF(AND(ISNUMBER(#REF!), ISNUMBER(#REF!)),#REF! -#REF!,"")</f>
        <v/>
      </c>
    </row>
    <row r="1751" spans="10:12">
      <c r="J1751" t="str">
        <f t="shared" ref="J1751:J1814" si="3495">IF(AND(ISNUMBER(#REF!), ISNUMBER(#REF!)),#REF! -#REF!,"")</f>
        <v/>
      </c>
      <c r="L1751" t="str">
        <f t="shared" ref="L1751:L1814" si="3496">IF(AND(ISNUMBER(#REF!), ISNUMBER(#REF!)),#REF! -#REF!,"")</f>
        <v/>
      </c>
    </row>
    <row r="1752" spans="10:12">
      <c r="J1752" t="str">
        <f t="shared" ref="J1752:J1815" si="3497">IF(AND(ISNUMBER(#REF!), ISNUMBER(#REF!)),#REF! -#REF!,"")</f>
        <v/>
      </c>
      <c r="L1752" t="str">
        <f t="shared" ref="L1752:L1815" si="3498">IF(AND(ISNUMBER(#REF!), ISNUMBER(#REF!)),#REF! -#REF!,"")</f>
        <v/>
      </c>
    </row>
    <row r="1753" spans="10:12">
      <c r="J1753" t="str">
        <f t="shared" ref="J1753:J1816" si="3499">IF(AND(ISNUMBER(#REF!), ISNUMBER(#REF!)),#REF! -#REF!,"")</f>
        <v/>
      </c>
      <c r="L1753" t="str">
        <f t="shared" ref="L1753:L1816" si="3500">IF(AND(ISNUMBER(#REF!), ISNUMBER(#REF!)),#REF! -#REF!,"")</f>
        <v/>
      </c>
    </row>
    <row r="1754" spans="10:12">
      <c r="J1754" t="str">
        <f t="shared" ref="J1754:J1817" si="3501">IF(AND(ISNUMBER(#REF!), ISNUMBER(#REF!)),#REF! -#REF!,"")</f>
        <v/>
      </c>
      <c r="L1754" t="str">
        <f t="shared" ref="L1754:L1817" si="3502">IF(AND(ISNUMBER(#REF!), ISNUMBER(#REF!)),#REF! -#REF!,"")</f>
        <v/>
      </c>
    </row>
    <row r="1755" spans="10:12">
      <c r="J1755" t="str">
        <f t="shared" ref="J1755:J1818" si="3503">IF(AND(ISNUMBER(#REF!), ISNUMBER(#REF!)),#REF! -#REF!,"")</f>
        <v/>
      </c>
      <c r="L1755" t="str">
        <f t="shared" ref="L1755:L1818" si="3504">IF(AND(ISNUMBER(#REF!), ISNUMBER(#REF!)),#REF! -#REF!,"")</f>
        <v/>
      </c>
    </row>
    <row r="1756" spans="10:12">
      <c r="J1756" t="str">
        <f t="shared" ref="J1756:J1819" si="3505">IF(AND(ISNUMBER(#REF!), ISNUMBER(#REF!)),#REF! -#REF!,"")</f>
        <v/>
      </c>
      <c r="L1756" t="str">
        <f t="shared" ref="L1756:L1819" si="3506">IF(AND(ISNUMBER(#REF!), ISNUMBER(#REF!)),#REF! -#REF!,"")</f>
        <v/>
      </c>
    </row>
    <row r="1757" spans="10:12">
      <c r="J1757" t="str">
        <f t="shared" ref="J1757:J1820" si="3507">IF(AND(ISNUMBER(#REF!), ISNUMBER(#REF!)),#REF! -#REF!,"")</f>
        <v/>
      </c>
      <c r="L1757" t="str">
        <f t="shared" ref="L1757:L1820" si="3508">IF(AND(ISNUMBER(#REF!), ISNUMBER(#REF!)),#REF! -#REF!,"")</f>
        <v/>
      </c>
    </row>
    <row r="1758" spans="10:12">
      <c r="J1758" t="str">
        <f t="shared" ref="J1758:J1821" si="3509">IF(AND(ISNUMBER(#REF!), ISNUMBER(#REF!)),#REF! -#REF!,"")</f>
        <v/>
      </c>
      <c r="L1758" t="str">
        <f t="shared" ref="L1758:L1821" si="3510">IF(AND(ISNUMBER(#REF!), ISNUMBER(#REF!)),#REF! -#REF!,"")</f>
        <v/>
      </c>
    </row>
    <row r="1759" spans="10:12">
      <c r="J1759" t="str">
        <f t="shared" ref="J1759:J1822" si="3511">IF(AND(ISNUMBER(#REF!), ISNUMBER(#REF!)),#REF! -#REF!,"")</f>
        <v/>
      </c>
      <c r="L1759" t="str">
        <f t="shared" ref="L1759:L1822" si="3512">IF(AND(ISNUMBER(#REF!), ISNUMBER(#REF!)),#REF! -#REF!,"")</f>
        <v/>
      </c>
    </row>
    <row r="1760" spans="10:12">
      <c r="J1760" t="str">
        <f t="shared" ref="J1760:J1823" si="3513">IF(AND(ISNUMBER(#REF!), ISNUMBER(#REF!)),#REF! -#REF!,"")</f>
        <v/>
      </c>
      <c r="L1760" t="str">
        <f t="shared" ref="L1760:L1823" si="3514">IF(AND(ISNUMBER(#REF!), ISNUMBER(#REF!)),#REF! -#REF!,"")</f>
        <v/>
      </c>
    </row>
    <row r="1761" spans="10:12">
      <c r="J1761" t="str">
        <f t="shared" ref="J1761:J1824" si="3515">IF(AND(ISNUMBER(#REF!), ISNUMBER(#REF!)),#REF! -#REF!,"")</f>
        <v/>
      </c>
      <c r="L1761" t="str">
        <f t="shared" ref="L1761:L1824" si="3516">IF(AND(ISNUMBER(#REF!), ISNUMBER(#REF!)),#REF! -#REF!,"")</f>
        <v/>
      </c>
    </row>
    <row r="1762" spans="10:12">
      <c r="J1762" t="str">
        <f t="shared" ref="J1762:J1825" si="3517">IF(AND(ISNUMBER(#REF!), ISNUMBER(#REF!)),#REF! -#REF!,"")</f>
        <v/>
      </c>
      <c r="L1762" t="str">
        <f t="shared" ref="L1762:L1825" si="3518">IF(AND(ISNUMBER(#REF!), ISNUMBER(#REF!)),#REF! -#REF!,"")</f>
        <v/>
      </c>
    </row>
    <row r="1763" spans="10:12">
      <c r="J1763" t="str">
        <f t="shared" ref="J1763:J1826" si="3519">IF(AND(ISNUMBER(#REF!), ISNUMBER(#REF!)),#REF! -#REF!,"")</f>
        <v/>
      </c>
      <c r="L1763" t="str">
        <f t="shared" ref="L1763:L1826" si="3520">IF(AND(ISNUMBER(#REF!), ISNUMBER(#REF!)),#REF! -#REF!,"")</f>
        <v/>
      </c>
    </row>
    <row r="1764" spans="10:12">
      <c r="J1764" t="str">
        <f t="shared" ref="J1764:J1827" si="3521">IF(AND(ISNUMBER(#REF!), ISNUMBER(#REF!)),#REF! -#REF!,"")</f>
        <v/>
      </c>
      <c r="L1764" t="str">
        <f t="shared" ref="L1764:L1827" si="3522">IF(AND(ISNUMBER(#REF!), ISNUMBER(#REF!)),#REF! -#REF!,"")</f>
        <v/>
      </c>
    </row>
    <row r="1765" spans="10:12">
      <c r="J1765" t="str">
        <f t="shared" ref="J1765:J1828" si="3523">IF(AND(ISNUMBER(#REF!), ISNUMBER(#REF!)),#REF! -#REF!,"")</f>
        <v/>
      </c>
      <c r="L1765" t="str">
        <f t="shared" ref="L1765:L1828" si="3524">IF(AND(ISNUMBER(#REF!), ISNUMBER(#REF!)),#REF! -#REF!,"")</f>
        <v/>
      </c>
    </row>
    <row r="1766" spans="10:12">
      <c r="J1766" t="str">
        <f t="shared" ref="J1766:J1829" si="3525">IF(AND(ISNUMBER(#REF!), ISNUMBER(#REF!)),#REF! -#REF!,"")</f>
        <v/>
      </c>
      <c r="L1766" t="str">
        <f t="shared" ref="L1766:L1829" si="3526">IF(AND(ISNUMBER(#REF!), ISNUMBER(#REF!)),#REF! -#REF!,"")</f>
        <v/>
      </c>
    </row>
    <row r="1767" spans="10:12">
      <c r="J1767" t="str">
        <f t="shared" ref="J1767:J1830" si="3527">IF(AND(ISNUMBER(#REF!), ISNUMBER(#REF!)),#REF! -#REF!,"")</f>
        <v/>
      </c>
      <c r="L1767" t="str">
        <f t="shared" ref="L1767:L1830" si="3528">IF(AND(ISNUMBER(#REF!), ISNUMBER(#REF!)),#REF! -#REF!,"")</f>
        <v/>
      </c>
    </row>
    <row r="1768" spans="10:12">
      <c r="J1768" t="str">
        <f t="shared" ref="J1768:J1831" si="3529">IF(AND(ISNUMBER(#REF!), ISNUMBER(#REF!)),#REF! -#REF!,"")</f>
        <v/>
      </c>
      <c r="L1768" t="str">
        <f t="shared" ref="L1768:L1831" si="3530">IF(AND(ISNUMBER(#REF!), ISNUMBER(#REF!)),#REF! -#REF!,"")</f>
        <v/>
      </c>
    </row>
    <row r="1769" spans="10:12">
      <c r="J1769" t="str">
        <f t="shared" ref="J1769:J1832" si="3531">IF(AND(ISNUMBER(#REF!), ISNUMBER(#REF!)),#REF! -#REF!,"")</f>
        <v/>
      </c>
      <c r="L1769" t="str">
        <f t="shared" ref="L1769:L1832" si="3532">IF(AND(ISNUMBER(#REF!), ISNUMBER(#REF!)),#REF! -#REF!,"")</f>
        <v/>
      </c>
    </row>
    <row r="1770" spans="10:12">
      <c r="J1770" t="str">
        <f t="shared" ref="J1770:J1833" si="3533">IF(AND(ISNUMBER(#REF!), ISNUMBER(#REF!)),#REF! -#REF!,"")</f>
        <v/>
      </c>
      <c r="L1770" t="str">
        <f t="shared" ref="L1770:L1833" si="3534">IF(AND(ISNUMBER(#REF!), ISNUMBER(#REF!)),#REF! -#REF!,"")</f>
        <v/>
      </c>
    </row>
    <row r="1771" spans="10:12">
      <c r="J1771" t="str">
        <f t="shared" ref="J1771:J1834" si="3535">IF(AND(ISNUMBER(#REF!), ISNUMBER(#REF!)),#REF! -#REF!,"")</f>
        <v/>
      </c>
      <c r="L1771" t="str">
        <f t="shared" ref="L1771:L1834" si="3536">IF(AND(ISNUMBER(#REF!), ISNUMBER(#REF!)),#REF! -#REF!,"")</f>
        <v/>
      </c>
    </row>
    <row r="1772" spans="10:12">
      <c r="J1772" t="str">
        <f t="shared" ref="J1772:J1835" si="3537">IF(AND(ISNUMBER(#REF!), ISNUMBER(#REF!)),#REF! -#REF!,"")</f>
        <v/>
      </c>
      <c r="L1772" t="str">
        <f t="shared" ref="L1772:L1835" si="3538">IF(AND(ISNUMBER(#REF!), ISNUMBER(#REF!)),#REF! -#REF!,"")</f>
        <v/>
      </c>
    </row>
    <row r="1773" spans="10:12">
      <c r="J1773" t="str">
        <f t="shared" ref="J1773:J1836" si="3539">IF(AND(ISNUMBER(#REF!), ISNUMBER(#REF!)),#REF! -#REF!,"")</f>
        <v/>
      </c>
      <c r="L1773" t="str">
        <f t="shared" ref="L1773:L1836" si="3540">IF(AND(ISNUMBER(#REF!), ISNUMBER(#REF!)),#REF! -#REF!,"")</f>
        <v/>
      </c>
    </row>
    <row r="1774" spans="10:12">
      <c r="J1774" t="str">
        <f t="shared" ref="J1774:J1837" si="3541">IF(AND(ISNUMBER(#REF!), ISNUMBER(#REF!)),#REF! -#REF!,"")</f>
        <v/>
      </c>
      <c r="L1774" t="str">
        <f t="shared" ref="L1774:L1837" si="3542">IF(AND(ISNUMBER(#REF!), ISNUMBER(#REF!)),#REF! -#REF!,"")</f>
        <v/>
      </c>
    </row>
    <row r="1775" spans="10:12">
      <c r="J1775" t="str">
        <f t="shared" ref="J1775:J1838" si="3543">IF(AND(ISNUMBER(#REF!), ISNUMBER(#REF!)),#REF! -#REF!,"")</f>
        <v/>
      </c>
      <c r="L1775" t="str">
        <f t="shared" ref="L1775:L1838" si="3544">IF(AND(ISNUMBER(#REF!), ISNUMBER(#REF!)),#REF! -#REF!,"")</f>
        <v/>
      </c>
    </row>
    <row r="1776" spans="10:12">
      <c r="J1776" t="str">
        <f t="shared" ref="J1776:J1839" si="3545">IF(AND(ISNUMBER(#REF!), ISNUMBER(#REF!)),#REF! -#REF!,"")</f>
        <v/>
      </c>
      <c r="L1776" t="str">
        <f t="shared" ref="L1776:L1839" si="3546">IF(AND(ISNUMBER(#REF!), ISNUMBER(#REF!)),#REF! -#REF!,"")</f>
        <v/>
      </c>
    </row>
    <row r="1777" spans="10:12">
      <c r="J1777" t="str">
        <f t="shared" ref="J1777:J1840" si="3547">IF(AND(ISNUMBER(#REF!), ISNUMBER(#REF!)),#REF! -#REF!,"")</f>
        <v/>
      </c>
      <c r="L1777" t="str">
        <f t="shared" ref="L1777:L1840" si="3548">IF(AND(ISNUMBER(#REF!), ISNUMBER(#REF!)),#REF! -#REF!,"")</f>
        <v/>
      </c>
    </row>
    <row r="1778" spans="10:12">
      <c r="J1778" t="str">
        <f t="shared" ref="J1778:J1841" si="3549">IF(AND(ISNUMBER(#REF!), ISNUMBER(#REF!)),#REF! -#REF!,"")</f>
        <v/>
      </c>
      <c r="L1778" t="str">
        <f t="shared" ref="L1778:L1841" si="3550">IF(AND(ISNUMBER(#REF!), ISNUMBER(#REF!)),#REF! -#REF!,"")</f>
        <v/>
      </c>
    </row>
    <row r="1779" spans="10:12">
      <c r="J1779" t="str">
        <f t="shared" ref="J1779:J1842" si="3551">IF(AND(ISNUMBER(#REF!), ISNUMBER(#REF!)),#REF! -#REF!,"")</f>
        <v/>
      </c>
      <c r="L1779" t="str">
        <f t="shared" ref="L1779:L1842" si="3552">IF(AND(ISNUMBER(#REF!), ISNUMBER(#REF!)),#REF! -#REF!,"")</f>
        <v/>
      </c>
    </row>
    <row r="1780" spans="10:12">
      <c r="J1780" t="str">
        <f t="shared" ref="J1780:J1843" si="3553">IF(AND(ISNUMBER(#REF!), ISNUMBER(#REF!)),#REF! -#REF!,"")</f>
        <v/>
      </c>
      <c r="L1780" t="str">
        <f t="shared" ref="L1780:L1843" si="3554">IF(AND(ISNUMBER(#REF!), ISNUMBER(#REF!)),#REF! -#REF!,"")</f>
        <v/>
      </c>
    </row>
    <row r="1781" spans="10:12">
      <c r="J1781" t="str">
        <f t="shared" ref="J1781:J1844" si="3555">IF(AND(ISNUMBER(#REF!), ISNUMBER(#REF!)),#REF! -#REF!,"")</f>
        <v/>
      </c>
      <c r="L1781" t="str">
        <f t="shared" ref="L1781:L1844" si="3556">IF(AND(ISNUMBER(#REF!), ISNUMBER(#REF!)),#REF! -#REF!,"")</f>
        <v/>
      </c>
    </row>
    <row r="1782" spans="10:12">
      <c r="J1782" t="str">
        <f t="shared" ref="J1782:J1845" si="3557">IF(AND(ISNUMBER(#REF!), ISNUMBER(#REF!)),#REF! -#REF!,"")</f>
        <v/>
      </c>
      <c r="L1782" t="str">
        <f t="shared" ref="L1782:L1845" si="3558">IF(AND(ISNUMBER(#REF!), ISNUMBER(#REF!)),#REF! -#REF!,"")</f>
        <v/>
      </c>
    </row>
    <row r="1783" spans="10:12">
      <c r="J1783" t="str">
        <f t="shared" ref="J1783:J1846" si="3559">IF(AND(ISNUMBER(#REF!), ISNUMBER(#REF!)),#REF! -#REF!,"")</f>
        <v/>
      </c>
      <c r="L1783" t="str">
        <f t="shared" ref="L1783:L1846" si="3560">IF(AND(ISNUMBER(#REF!), ISNUMBER(#REF!)),#REF! -#REF!,"")</f>
        <v/>
      </c>
    </row>
    <row r="1784" spans="10:12">
      <c r="J1784" t="str">
        <f t="shared" ref="J1784:J1847" si="3561">IF(AND(ISNUMBER(#REF!), ISNUMBER(#REF!)),#REF! -#REF!,"")</f>
        <v/>
      </c>
      <c r="L1784" t="str">
        <f t="shared" ref="L1784:L1847" si="3562">IF(AND(ISNUMBER(#REF!), ISNUMBER(#REF!)),#REF! -#REF!,"")</f>
        <v/>
      </c>
    </row>
    <row r="1785" spans="10:12">
      <c r="J1785" t="str">
        <f t="shared" ref="J1785:J1848" si="3563">IF(AND(ISNUMBER(#REF!), ISNUMBER(#REF!)),#REF! -#REF!,"")</f>
        <v/>
      </c>
      <c r="L1785" t="str">
        <f t="shared" ref="L1785:L1848" si="3564">IF(AND(ISNUMBER(#REF!), ISNUMBER(#REF!)),#REF! -#REF!,"")</f>
        <v/>
      </c>
    </row>
    <row r="1786" spans="10:12">
      <c r="J1786" t="str">
        <f t="shared" ref="J1786:J1849" si="3565">IF(AND(ISNUMBER(#REF!), ISNUMBER(#REF!)),#REF! -#REF!,"")</f>
        <v/>
      </c>
      <c r="L1786" t="str">
        <f t="shared" ref="L1786:L1849" si="3566">IF(AND(ISNUMBER(#REF!), ISNUMBER(#REF!)),#REF! -#REF!,"")</f>
        <v/>
      </c>
    </row>
    <row r="1787" spans="10:12">
      <c r="J1787" t="str">
        <f t="shared" ref="J1787:J1850" si="3567">IF(AND(ISNUMBER(#REF!), ISNUMBER(#REF!)),#REF! -#REF!,"")</f>
        <v/>
      </c>
      <c r="L1787" t="str">
        <f t="shared" ref="L1787:L1850" si="3568">IF(AND(ISNUMBER(#REF!), ISNUMBER(#REF!)),#REF! -#REF!,"")</f>
        <v/>
      </c>
    </row>
    <row r="1788" spans="10:12">
      <c r="J1788" t="str">
        <f t="shared" ref="J1788:J1851" si="3569">IF(AND(ISNUMBER(#REF!), ISNUMBER(#REF!)),#REF! -#REF!,"")</f>
        <v/>
      </c>
      <c r="L1788" t="str">
        <f t="shared" ref="L1788:L1851" si="3570">IF(AND(ISNUMBER(#REF!), ISNUMBER(#REF!)),#REF! -#REF!,"")</f>
        <v/>
      </c>
    </row>
    <row r="1789" spans="10:12">
      <c r="J1789" t="str">
        <f t="shared" ref="J1789:J1852" si="3571">IF(AND(ISNUMBER(#REF!), ISNUMBER(#REF!)),#REF! -#REF!,"")</f>
        <v/>
      </c>
      <c r="L1789" t="str">
        <f t="shared" ref="L1789:L1852" si="3572">IF(AND(ISNUMBER(#REF!), ISNUMBER(#REF!)),#REF! -#REF!,"")</f>
        <v/>
      </c>
    </row>
    <row r="1790" spans="10:12">
      <c r="J1790" t="str">
        <f t="shared" ref="J1790:J1853" si="3573">IF(AND(ISNUMBER(#REF!), ISNUMBER(#REF!)),#REF! -#REF!,"")</f>
        <v/>
      </c>
      <c r="L1790" t="str">
        <f t="shared" ref="L1790:L1853" si="3574">IF(AND(ISNUMBER(#REF!), ISNUMBER(#REF!)),#REF! -#REF!,"")</f>
        <v/>
      </c>
    </row>
    <row r="1791" spans="10:12">
      <c r="J1791" t="str">
        <f t="shared" ref="J1791:J1854" si="3575">IF(AND(ISNUMBER(#REF!), ISNUMBER(#REF!)),#REF! -#REF!,"")</f>
        <v/>
      </c>
      <c r="L1791" t="str">
        <f t="shared" ref="L1791:L1854" si="3576">IF(AND(ISNUMBER(#REF!), ISNUMBER(#REF!)),#REF! -#REF!,"")</f>
        <v/>
      </c>
    </row>
    <row r="1792" spans="10:12">
      <c r="J1792" t="str">
        <f t="shared" ref="J1792:J1855" si="3577">IF(AND(ISNUMBER(#REF!), ISNUMBER(#REF!)),#REF! -#REF!,"")</f>
        <v/>
      </c>
      <c r="L1792" t="str">
        <f t="shared" ref="L1792:L1855" si="3578">IF(AND(ISNUMBER(#REF!), ISNUMBER(#REF!)),#REF! -#REF!,"")</f>
        <v/>
      </c>
    </row>
    <row r="1793" spans="10:12">
      <c r="J1793" t="str">
        <f t="shared" ref="J1793:J1856" si="3579">IF(AND(ISNUMBER(#REF!), ISNUMBER(#REF!)),#REF! -#REF!,"")</f>
        <v/>
      </c>
      <c r="L1793" t="str">
        <f t="shared" ref="L1793:L1856" si="3580">IF(AND(ISNUMBER(#REF!), ISNUMBER(#REF!)),#REF! -#REF!,"")</f>
        <v/>
      </c>
    </row>
    <row r="1794" spans="10:12">
      <c r="J1794" t="str">
        <f t="shared" ref="J1794:J1857" si="3581">IF(AND(ISNUMBER(#REF!), ISNUMBER(#REF!)),#REF! -#REF!,"")</f>
        <v/>
      </c>
      <c r="L1794" t="str">
        <f t="shared" ref="L1794:L1857" si="3582">IF(AND(ISNUMBER(#REF!), ISNUMBER(#REF!)),#REF! -#REF!,"")</f>
        <v/>
      </c>
    </row>
    <row r="1795" spans="10:12">
      <c r="J1795" t="str">
        <f t="shared" ref="J1795:J1858" si="3583">IF(AND(ISNUMBER(#REF!), ISNUMBER(#REF!)),#REF! -#REF!,"")</f>
        <v/>
      </c>
      <c r="L1795" t="str">
        <f t="shared" ref="L1795:L1858" si="3584">IF(AND(ISNUMBER(#REF!), ISNUMBER(#REF!)),#REF! -#REF!,"")</f>
        <v/>
      </c>
    </row>
    <row r="1796" spans="10:12">
      <c r="J1796" t="str">
        <f t="shared" ref="J1796:J1859" si="3585">IF(AND(ISNUMBER(#REF!), ISNUMBER(#REF!)),#REF! -#REF!,"")</f>
        <v/>
      </c>
      <c r="L1796" t="str">
        <f t="shared" ref="L1796:L1859" si="3586">IF(AND(ISNUMBER(#REF!), ISNUMBER(#REF!)),#REF! -#REF!,"")</f>
        <v/>
      </c>
    </row>
    <row r="1797" spans="10:12">
      <c r="J1797" t="str">
        <f t="shared" ref="J1797:J1860" si="3587">IF(AND(ISNUMBER(#REF!), ISNUMBER(#REF!)),#REF! -#REF!,"")</f>
        <v/>
      </c>
      <c r="L1797" t="str">
        <f t="shared" ref="L1797:L1860" si="3588">IF(AND(ISNUMBER(#REF!), ISNUMBER(#REF!)),#REF! -#REF!,"")</f>
        <v/>
      </c>
    </row>
    <row r="1798" spans="10:12">
      <c r="J1798" t="str">
        <f t="shared" ref="J1798:J1861" si="3589">IF(AND(ISNUMBER(#REF!), ISNUMBER(#REF!)),#REF! -#REF!,"")</f>
        <v/>
      </c>
      <c r="L1798" t="str">
        <f t="shared" ref="L1798:L1861" si="3590">IF(AND(ISNUMBER(#REF!), ISNUMBER(#REF!)),#REF! -#REF!,"")</f>
        <v/>
      </c>
    </row>
    <row r="1799" spans="10:12">
      <c r="J1799" t="str">
        <f t="shared" ref="J1799:J1862" si="3591">IF(AND(ISNUMBER(#REF!), ISNUMBER(#REF!)),#REF! -#REF!,"")</f>
        <v/>
      </c>
      <c r="L1799" t="str">
        <f t="shared" ref="L1799:L1862" si="3592">IF(AND(ISNUMBER(#REF!), ISNUMBER(#REF!)),#REF! -#REF!,"")</f>
        <v/>
      </c>
    </row>
    <row r="1800" spans="10:12">
      <c r="J1800" t="str">
        <f t="shared" ref="J1800:J1863" si="3593">IF(AND(ISNUMBER(#REF!), ISNUMBER(#REF!)),#REF! -#REF!,"")</f>
        <v/>
      </c>
      <c r="L1800" t="str">
        <f t="shared" ref="L1800:L1863" si="3594">IF(AND(ISNUMBER(#REF!), ISNUMBER(#REF!)),#REF! -#REF!,"")</f>
        <v/>
      </c>
    </row>
    <row r="1801" spans="10:12">
      <c r="J1801" t="str">
        <f t="shared" ref="J1801:J1864" si="3595">IF(AND(ISNUMBER(#REF!), ISNUMBER(#REF!)),#REF! -#REF!,"")</f>
        <v/>
      </c>
      <c r="L1801" t="str">
        <f t="shared" ref="L1801:L1864" si="3596">IF(AND(ISNUMBER(#REF!), ISNUMBER(#REF!)),#REF! -#REF!,"")</f>
        <v/>
      </c>
    </row>
    <row r="1802" spans="10:12">
      <c r="J1802" t="str">
        <f t="shared" ref="J1802:J1865" si="3597">IF(AND(ISNUMBER(#REF!), ISNUMBER(#REF!)),#REF! -#REF!,"")</f>
        <v/>
      </c>
      <c r="L1802" t="str">
        <f t="shared" ref="L1802:L1865" si="3598">IF(AND(ISNUMBER(#REF!), ISNUMBER(#REF!)),#REF! -#REF!,"")</f>
        <v/>
      </c>
    </row>
    <row r="1803" spans="10:12">
      <c r="J1803" t="str">
        <f t="shared" ref="J1803:J1866" si="3599">IF(AND(ISNUMBER(#REF!), ISNUMBER(#REF!)),#REF! -#REF!,"")</f>
        <v/>
      </c>
      <c r="L1803" t="str">
        <f t="shared" ref="L1803:L1866" si="3600">IF(AND(ISNUMBER(#REF!), ISNUMBER(#REF!)),#REF! -#REF!,"")</f>
        <v/>
      </c>
    </row>
    <row r="1804" spans="10:12">
      <c r="J1804" t="str">
        <f t="shared" ref="J1804:J1867" si="3601">IF(AND(ISNUMBER(#REF!), ISNUMBER(#REF!)),#REF! -#REF!,"")</f>
        <v/>
      </c>
      <c r="L1804" t="str">
        <f t="shared" ref="L1804:L1867" si="3602">IF(AND(ISNUMBER(#REF!), ISNUMBER(#REF!)),#REF! -#REF!,"")</f>
        <v/>
      </c>
    </row>
    <row r="1805" spans="10:12">
      <c r="J1805" t="str">
        <f t="shared" ref="J1805:J1868" si="3603">IF(AND(ISNUMBER(#REF!), ISNUMBER(#REF!)),#REF! -#REF!,"")</f>
        <v/>
      </c>
      <c r="L1805" t="str">
        <f t="shared" ref="L1805:L1868" si="3604">IF(AND(ISNUMBER(#REF!), ISNUMBER(#REF!)),#REF! -#REF!,"")</f>
        <v/>
      </c>
    </row>
    <row r="1806" spans="10:12">
      <c r="J1806" t="str">
        <f t="shared" ref="J1806:J1869" si="3605">IF(AND(ISNUMBER(#REF!), ISNUMBER(#REF!)),#REF! -#REF!,"")</f>
        <v/>
      </c>
      <c r="L1806" t="str">
        <f t="shared" ref="L1806:L1869" si="3606">IF(AND(ISNUMBER(#REF!), ISNUMBER(#REF!)),#REF! -#REF!,"")</f>
        <v/>
      </c>
    </row>
    <row r="1807" spans="10:12">
      <c r="J1807" t="str">
        <f t="shared" ref="J1807:J1870" si="3607">IF(AND(ISNUMBER(#REF!), ISNUMBER(#REF!)),#REF! -#REF!,"")</f>
        <v/>
      </c>
      <c r="L1807" t="str">
        <f t="shared" ref="L1807:L1870" si="3608">IF(AND(ISNUMBER(#REF!), ISNUMBER(#REF!)),#REF! -#REF!,"")</f>
        <v/>
      </c>
    </row>
    <row r="1808" spans="10:12">
      <c r="J1808" t="str">
        <f t="shared" ref="J1808:J1871" si="3609">IF(AND(ISNUMBER(#REF!), ISNUMBER(#REF!)),#REF! -#REF!,"")</f>
        <v/>
      </c>
      <c r="L1808" t="str">
        <f t="shared" ref="L1808:L1871" si="3610">IF(AND(ISNUMBER(#REF!), ISNUMBER(#REF!)),#REF! -#REF!,"")</f>
        <v/>
      </c>
    </row>
    <row r="1809" spans="10:12">
      <c r="J1809" t="str">
        <f t="shared" ref="J1809:J1872" si="3611">IF(AND(ISNUMBER(#REF!), ISNUMBER(#REF!)),#REF! -#REF!,"")</f>
        <v/>
      </c>
      <c r="L1809" t="str">
        <f t="shared" ref="L1809:L1872" si="3612">IF(AND(ISNUMBER(#REF!), ISNUMBER(#REF!)),#REF! -#REF!,"")</f>
        <v/>
      </c>
    </row>
    <row r="1810" spans="10:12">
      <c r="J1810" t="str">
        <f t="shared" ref="J1810:J1873" si="3613">IF(AND(ISNUMBER(#REF!), ISNUMBER(#REF!)),#REF! -#REF!,"")</f>
        <v/>
      </c>
      <c r="L1810" t="str">
        <f t="shared" ref="L1810:L1873" si="3614">IF(AND(ISNUMBER(#REF!), ISNUMBER(#REF!)),#REF! -#REF!,"")</f>
        <v/>
      </c>
    </row>
    <row r="1811" spans="10:12">
      <c r="J1811" t="str">
        <f t="shared" ref="J1811:J1874" si="3615">IF(AND(ISNUMBER(#REF!), ISNUMBER(#REF!)),#REF! -#REF!,"")</f>
        <v/>
      </c>
      <c r="L1811" t="str">
        <f t="shared" ref="L1811:L1874" si="3616">IF(AND(ISNUMBER(#REF!), ISNUMBER(#REF!)),#REF! -#REF!,"")</f>
        <v/>
      </c>
    </row>
    <row r="1812" spans="10:12">
      <c r="J1812" t="str">
        <f t="shared" ref="J1812:J1875" si="3617">IF(AND(ISNUMBER(#REF!), ISNUMBER(#REF!)),#REF! -#REF!,"")</f>
        <v/>
      </c>
      <c r="L1812" t="str">
        <f t="shared" ref="L1812:L1875" si="3618">IF(AND(ISNUMBER(#REF!), ISNUMBER(#REF!)),#REF! -#REF!,"")</f>
        <v/>
      </c>
    </row>
    <row r="1813" spans="10:12">
      <c r="J1813" t="str">
        <f t="shared" ref="J1813:J1876" si="3619">IF(AND(ISNUMBER(#REF!), ISNUMBER(#REF!)),#REF! -#REF!,"")</f>
        <v/>
      </c>
      <c r="L1813" t="str">
        <f t="shared" ref="L1813:L1876" si="3620">IF(AND(ISNUMBER(#REF!), ISNUMBER(#REF!)),#REF! -#REF!,"")</f>
        <v/>
      </c>
    </row>
    <row r="1814" spans="10:12">
      <c r="J1814" t="str">
        <f t="shared" ref="J1814:J1877" si="3621">IF(AND(ISNUMBER(#REF!), ISNUMBER(#REF!)),#REF! -#REF!,"")</f>
        <v/>
      </c>
      <c r="L1814" t="str">
        <f t="shared" ref="L1814:L1877" si="3622">IF(AND(ISNUMBER(#REF!), ISNUMBER(#REF!)),#REF! -#REF!,"")</f>
        <v/>
      </c>
    </row>
    <row r="1815" spans="10:12">
      <c r="J1815" t="str">
        <f t="shared" ref="J1815:J1878" si="3623">IF(AND(ISNUMBER(#REF!), ISNUMBER(#REF!)),#REF! -#REF!,"")</f>
        <v/>
      </c>
      <c r="L1815" t="str">
        <f t="shared" ref="L1815:L1878" si="3624">IF(AND(ISNUMBER(#REF!), ISNUMBER(#REF!)),#REF! -#REF!,"")</f>
        <v/>
      </c>
    </row>
    <row r="1816" spans="10:12">
      <c r="J1816" t="str">
        <f t="shared" ref="J1816:J1879" si="3625">IF(AND(ISNUMBER(#REF!), ISNUMBER(#REF!)),#REF! -#REF!,"")</f>
        <v/>
      </c>
      <c r="L1816" t="str">
        <f t="shared" ref="L1816:L1879" si="3626">IF(AND(ISNUMBER(#REF!), ISNUMBER(#REF!)),#REF! -#REF!,"")</f>
        <v/>
      </c>
    </row>
    <row r="1817" spans="10:12">
      <c r="J1817" t="str">
        <f t="shared" ref="J1817:J1880" si="3627">IF(AND(ISNUMBER(#REF!), ISNUMBER(#REF!)),#REF! -#REF!,"")</f>
        <v/>
      </c>
      <c r="L1817" t="str">
        <f t="shared" ref="L1817:L1880" si="3628">IF(AND(ISNUMBER(#REF!), ISNUMBER(#REF!)),#REF! -#REF!,"")</f>
        <v/>
      </c>
    </row>
    <row r="1818" spans="10:12">
      <c r="J1818" t="str">
        <f t="shared" ref="J1818:J1881" si="3629">IF(AND(ISNUMBER(#REF!), ISNUMBER(#REF!)),#REF! -#REF!,"")</f>
        <v/>
      </c>
      <c r="L1818" t="str">
        <f t="shared" ref="L1818:L1881" si="3630">IF(AND(ISNUMBER(#REF!), ISNUMBER(#REF!)),#REF! -#REF!,"")</f>
        <v/>
      </c>
    </row>
    <row r="1819" spans="10:12">
      <c r="J1819" t="str">
        <f t="shared" ref="J1819:J1882" si="3631">IF(AND(ISNUMBER(#REF!), ISNUMBER(#REF!)),#REF! -#REF!,"")</f>
        <v/>
      </c>
      <c r="L1819" t="str">
        <f t="shared" ref="L1819:L1882" si="3632">IF(AND(ISNUMBER(#REF!), ISNUMBER(#REF!)),#REF! -#REF!,"")</f>
        <v/>
      </c>
    </row>
    <row r="1820" spans="10:12">
      <c r="J1820" t="str">
        <f t="shared" ref="J1820:J1883" si="3633">IF(AND(ISNUMBER(#REF!), ISNUMBER(#REF!)),#REF! -#REF!,"")</f>
        <v/>
      </c>
      <c r="L1820" t="str">
        <f t="shared" ref="L1820:L1883" si="3634">IF(AND(ISNUMBER(#REF!), ISNUMBER(#REF!)),#REF! -#REF!,"")</f>
        <v/>
      </c>
    </row>
    <row r="1821" spans="10:12">
      <c r="J1821" t="str">
        <f t="shared" ref="J1821:J1884" si="3635">IF(AND(ISNUMBER(#REF!), ISNUMBER(#REF!)),#REF! -#REF!,"")</f>
        <v/>
      </c>
      <c r="L1821" t="str">
        <f t="shared" ref="L1821:L1884" si="3636">IF(AND(ISNUMBER(#REF!), ISNUMBER(#REF!)),#REF! -#REF!,"")</f>
        <v/>
      </c>
    </row>
    <row r="1822" spans="10:12">
      <c r="J1822" t="str">
        <f t="shared" ref="J1822:J1885" si="3637">IF(AND(ISNUMBER(#REF!), ISNUMBER(#REF!)),#REF! -#REF!,"")</f>
        <v/>
      </c>
      <c r="L1822" t="str">
        <f t="shared" ref="L1822:L1885" si="3638">IF(AND(ISNUMBER(#REF!), ISNUMBER(#REF!)),#REF! -#REF!,"")</f>
        <v/>
      </c>
    </row>
    <row r="1823" spans="10:12">
      <c r="J1823" t="str">
        <f t="shared" ref="J1823:J1886" si="3639">IF(AND(ISNUMBER(#REF!), ISNUMBER(#REF!)),#REF! -#REF!,"")</f>
        <v/>
      </c>
      <c r="L1823" t="str">
        <f t="shared" ref="L1823:L1886" si="3640">IF(AND(ISNUMBER(#REF!), ISNUMBER(#REF!)),#REF! -#REF!,"")</f>
        <v/>
      </c>
    </row>
    <row r="1824" spans="10:12">
      <c r="J1824" t="str">
        <f t="shared" ref="J1824:J1887" si="3641">IF(AND(ISNUMBER(#REF!), ISNUMBER(#REF!)),#REF! -#REF!,"")</f>
        <v/>
      </c>
      <c r="L1824" t="str">
        <f t="shared" ref="L1824:L1887" si="3642">IF(AND(ISNUMBER(#REF!), ISNUMBER(#REF!)),#REF! -#REF!,"")</f>
        <v/>
      </c>
    </row>
    <row r="1825" spans="10:12">
      <c r="J1825" t="str">
        <f t="shared" ref="J1825:J1888" si="3643">IF(AND(ISNUMBER(#REF!), ISNUMBER(#REF!)),#REF! -#REF!,"")</f>
        <v/>
      </c>
      <c r="L1825" t="str">
        <f t="shared" ref="L1825:L1888" si="3644">IF(AND(ISNUMBER(#REF!), ISNUMBER(#REF!)),#REF! -#REF!,"")</f>
        <v/>
      </c>
    </row>
    <row r="1826" spans="10:12">
      <c r="J1826" t="str">
        <f t="shared" ref="J1826:J1889" si="3645">IF(AND(ISNUMBER(#REF!), ISNUMBER(#REF!)),#REF! -#REF!,"")</f>
        <v/>
      </c>
      <c r="L1826" t="str">
        <f t="shared" ref="L1826:L1889" si="3646">IF(AND(ISNUMBER(#REF!), ISNUMBER(#REF!)),#REF! -#REF!,"")</f>
        <v/>
      </c>
    </row>
    <row r="1827" spans="10:12">
      <c r="J1827" t="str">
        <f t="shared" ref="J1827:J1890" si="3647">IF(AND(ISNUMBER(#REF!), ISNUMBER(#REF!)),#REF! -#REF!,"")</f>
        <v/>
      </c>
      <c r="L1827" t="str">
        <f t="shared" ref="L1827:L1890" si="3648">IF(AND(ISNUMBER(#REF!), ISNUMBER(#REF!)),#REF! -#REF!,"")</f>
        <v/>
      </c>
    </row>
    <row r="1828" spans="10:12">
      <c r="J1828" t="str">
        <f t="shared" ref="J1828:J1891" si="3649">IF(AND(ISNUMBER(#REF!), ISNUMBER(#REF!)),#REF! -#REF!,"")</f>
        <v/>
      </c>
      <c r="L1828" t="str">
        <f t="shared" ref="L1828:L1891" si="3650">IF(AND(ISNUMBER(#REF!), ISNUMBER(#REF!)),#REF! -#REF!,"")</f>
        <v/>
      </c>
    </row>
    <row r="1829" spans="10:12">
      <c r="J1829" t="str">
        <f t="shared" ref="J1829:J1892" si="3651">IF(AND(ISNUMBER(#REF!), ISNUMBER(#REF!)),#REF! -#REF!,"")</f>
        <v/>
      </c>
      <c r="L1829" t="str">
        <f t="shared" ref="L1829:L1892" si="3652">IF(AND(ISNUMBER(#REF!), ISNUMBER(#REF!)),#REF! -#REF!,"")</f>
        <v/>
      </c>
    </row>
    <row r="1830" spans="10:12">
      <c r="J1830" t="str">
        <f t="shared" ref="J1830:J1893" si="3653">IF(AND(ISNUMBER(#REF!), ISNUMBER(#REF!)),#REF! -#REF!,"")</f>
        <v/>
      </c>
      <c r="L1830" t="str">
        <f t="shared" ref="L1830:L1893" si="3654">IF(AND(ISNUMBER(#REF!), ISNUMBER(#REF!)),#REF! -#REF!,"")</f>
        <v/>
      </c>
    </row>
    <row r="1831" spans="10:12">
      <c r="J1831" t="str">
        <f t="shared" ref="J1831:J1894" si="3655">IF(AND(ISNUMBER(#REF!), ISNUMBER(#REF!)),#REF! -#REF!,"")</f>
        <v/>
      </c>
      <c r="L1831" t="str">
        <f t="shared" ref="L1831:L1894" si="3656">IF(AND(ISNUMBER(#REF!), ISNUMBER(#REF!)),#REF! -#REF!,"")</f>
        <v/>
      </c>
    </row>
    <row r="1832" spans="10:12">
      <c r="J1832" t="str">
        <f t="shared" ref="J1832:J1895" si="3657">IF(AND(ISNUMBER(#REF!), ISNUMBER(#REF!)),#REF! -#REF!,"")</f>
        <v/>
      </c>
      <c r="L1832" t="str">
        <f t="shared" ref="L1832:L1895" si="3658">IF(AND(ISNUMBER(#REF!), ISNUMBER(#REF!)),#REF! -#REF!,"")</f>
        <v/>
      </c>
    </row>
    <row r="1833" spans="10:12">
      <c r="J1833" t="str">
        <f t="shared" ref="J1833:J1896" si="3659">IF(AND(ISNUMBER(#REF!), ISNUMBER(#REF!)),#REF! -#REF!,"")</f>
        <v/>
      </c>
      <c r="L1833" t="str">
        <f t="shared" ref="L1833:L1896" si="3660">IF(AND(ISNUMBER(#REF!), ISNUMBER(#REF!)),#REF! -#REF!,"")</f>
        <v/>
      </c>
    </row>
    <row r="1834" spans="10:12">
      <c r="J1834" t="str">
        <f t="shared" ref="J1834:J1897" si="3661">IF(AND(ISNUMBER(#REF!), ISNUMBER(#REF!)),#REF! -#REF!,"")</f>
        <v/>
      </c>
      <c r="L1834" t="str">
        <f t="shared" ref="L1834:L1897" si="3662">IF(AND(ISNUMBER(#REF!), ISNUMBER(#REF!)),#REF! -#REF!,"")</f>
        <v/>
      </c>
    </row>
    <row r="1835" spans="10:12">
      <c r="J1835" t="str">
        <f t="shared" ref="J1835:J1898" si="3663">IF(AND(ISNUMBER(#REF!), ISNUMBER(#REF!)),#REF! -#REF!,"")</f>
        <v/>
      </c>
      <c r="L1835" t="str">
        <f t="shared" ref="L1835:L1898" si="3664">IF(AND(ISNUMBER(#REF!), ISNUMBER(#REF!)),#REF! -#REF!,"")</f>
        <v/>
      </c>
    </row>
    <row r="1836" spans="10:12">
      <c r="J1836" t="str">
        <f t="shared" ref="J1836:J1899" si="3665">IF(AND(ISNUMBER(#REF!), ISNUMBER(#REF!)),#REF! -#REF!,"")</f>
        <v/>
      </c>
      <c r="L1836" t="str">
        <f t="shared" ref="L1836:L1899" si="3666">IF(AND(ISNUMBER(#REF!), ISNUMBER(#REF!)),#REF! -#REF!,"")</f>
        <v/>
      </c>
    </row>
    <row r="1837" spans="10:12">
      <c r="J1837" t="str">
        <f t="shared" ref="J1837:J1900" si="3667">IF(AND(ISNUMBER(#REF!), ISNUMBER(#REF!)),#REF! -#REF!,"")</f>
        <v/>
      </c>
      <c r="L1837" t="str">
        <f t="shared" ref="L1837:L1900" si="3668">IF(AND(ISNUMBER(#REF!), ISNUMBER(#REF!)),#REF! -#REF!,"")</f>
        <v/>
      </c>
    </row>
    <row r="1838" spans="10:12">
      <c r="J1838" t="str">
        <f t="shared" ref="J1838:J1901" si="3669">IF(AND(ISNUMBER(#REF!), ISNUMBER(#REF!)),#REF! -#REF!,"")</f>
        <v/>
      </c>
      <c r="L1838" t="str">
        <f t="shared" ref="L1838:L1901" si="3670">IF(AND(ISNUMBER(#REF!), ISNUMBER(#REF!)),#REF! -#REF!,"")</f>
        <v/>
      </c>
    </row>
    <row r="1839" spans="10:12">
      <c r="J1839" t="str">
        <f t="shared" ref="J1839:J1902" si="3671">IF(AND(ISNUMBER(#REF!), ISNUMBER(#REF!)),#REF! -#REF!,"")</f>
        <v/>
      </c>
      <c r="L1839" t="str">
        <f t="shared" ref="L1839:L1902" si="3672">IF(AND(ISNUMBER(#REF!), ISNUMBER(#REF!)),#REF! -#REF!,"")</f>
        <v/>
      </c>
    </row>
    <row r="1840" spans="10:12">
      <c r="J1840" t="str">
        <f t="shared" ref="J1840:J1903" si="3673">IF(AND(ISNUMBER(#REF!), ISNUMBER(#REF!)),#REF! -#REF!,"")</f>
        <v/>
      </c>
      <c r="L1840" t="str">
        <f t="shared" ref="L1840:L1903" si="3674">IF(AND(ISNUMBER(#REF!), ISNUMBER(#REF!)),#REF! -#REF!,"")</f>
        <v/>
      </c>
    </row>
    <row r="1841" spans="10:12">
      <c r="J1841" t="str">
        <f t="shared" ref="J1841:J1904" si="3675">IF(AND(ISNUMBER(#REF!), ISNUMBER(#REF!)),#REF! -#REF!,"")</f>
        <v/>
      </c>
      <c r="L1841" t="str">
        <f t="shared" ref="L1841:L1904" si="3676">IF(AND(ISNUMBER(#REF!), ISNUMBER(#REF!)),#REF! -#REF!,"")</f>
        <v/>
      </c>
    </row>
    <row r="1842" spans="10:12">
      <c r="J1842" t="str">
        <f t="shared" ref="J1842:J1905" si="3677">IF(AND(ISNUMBER(#REF!), ISNUMBER(#REF!)),#REF! -#REF!,"")</f>
        <v/>
      </c>
      <c r="L1842" t="str">
        <f t="shared" ref="L1842:L1905" si="3678">IF(AND(ISNUMBER(#REF!), ISNUMBER(#REF!)),#REF! -#REF!,"")</f>
        <v/>
      </c>
    </row>
    <row r="1843" spans="10:12">
      <c r="J1843" t="str">
        <f t="shared" ref="J1843:J1906" si="3679">IF(AND(ISNUMBER(#REF!), ISNUMBER(#REF!)),#REF! -#REF!,"")</f>
        <v/>
      </c>
      <c r="L1843" t="str">
        <f t="shared" ref="L1843:L1906" si="3680">IF(AND(ISNUMBER(#REF!), ISNUMBER(#REF!)),#REF! -#REF!,"")</f>
        <v/>
      </c>
    </row>
    <row r="1844" spans="10:12">
      <c r="J1844" t="str">
        <f t="shared" ref="J1844:J1907" si="3681">IF(AND(ISNUMBER(#REF!), ISNUMBER(#REF!)),#REF! -#REF!,"")</f>
        <v/>
      </c>
      <c r="L1844" t="str">
        <f t="shared" ref="L1844:L1907" si="3682">IF(AND(ISNUMBER(#REF!), ISNUMBER(#REF!)),#REF! -#REF!,"")</f>
        <v/>
      </c>
    </row>
    <row r="1845" spans="10:12">
      <c r="J1845" t="str">
        <f t="shared" ref="J1845:J1908" si="3683">IF(AND(ISNUMBER(#REF!), ISNUMBER(#REF!)),#REF! -#REF!,"")</f>
        <v/>
      </c>
      <c r="L1845" t="str">
        <f t="shared" ref="L1845:L1908" si="3684">IF(AND(ISNUMBER(#REF!), ISNUMBER(#REF!)),#REF! -#REF!,"")</f>
        <v/>
      </c>
    </row>
    <row r="1846" spans="10:12">
      <c r="J1846" t="str">
        <f t="shared" ref="J1846:J1909" si="3685">IF(AND(ISNUMBER(#REF!), ISNUMBER(#REF!)),#REF! -#REF!,"")</f>
        <v/>
      </c>
      <c r="L1846" t="str">
        <f t="shared" ref="L1846:L1909" si="3686">IF(AND(ISNUMBER(#REF!), ISNUMBER(#REF!)),#REF! -#REF!,"")</f>
        <v/>
      </c>
    </row>
    <row r="1847" spans="10:12">
      <c r="J1847" t="str">
        <f t="shared" ref="J1847:J1910" si="3687">IF(AND(ISNUMBER(#REF!), ISNUMBER(#REF!)),#REF! -#REF!,"")</f>
        <v/>
      </c>
      <c r="L1847" t="str">
        <f t="shared" ref="L1847:L1910" si="3688">IF(AND(ISNUMBER(#REF!), ISNUMBER(#REF!)),#REF! -#REF!,"")</f>
        <v/>
      </c>
    </row>
    <row r="1848" spans="10:12">
      <c r="J1848" t="str">
        <f t="shared" ref="J1848:J1911" si="3689">IF(AND(ISNUMBER(#REF!), ISNUMBER(#REF!)),#REF! -#REF!,"")</f>
        <v/>
      </c>
      <c r="L1848" t="str">
        <f t="shared" ref="L1848:L1911" si="3690">IF(AND(ISNUMBER(#REF!), ISNUMBER(#REF!)),#REF! -#REF!,"")</f>
        <v/>
      </c>
    </row>
    <row r="1849" spans="10:12">
      <c r="J1849" t="str">
        <f t="shared" ref="J1849:J1912" si="3691">IF(AND(ISNUMBER(#REF!), ISNUMBER(#REF!)),#REF! -#REF!,"")</f>
        <v/>
      </c>
      <c r="L1849" t="str">
        <f t="shared" ref="L1849:L1912" si="3692">IF(AND(ISNUMBER(#REF!), ISNUMBER(#REF!)),#REF! -#REF!,"")</f>
        <v/>
      </c>
    </row>
    <row r="1850" spans="10:12">
      <c r="J1850" t="str">
        <f t="shared" ref="J1850:J1913" si="3693">IF(AND(ISNUMBER(#REF!), ISNUMBER(#REF!)),#REF! -#REF!,"")</f>
        <v/>
      </c>
      <c r="L1850" t="str">
        <f t="shared" ref="L1850:L1913" si="3694">IF(AND(ISNUMBER(#REF!), ISNUMBER(#REF!)),#REF! -#REF!,"")</f>
        <v/>
      </c>
    </row>
    <row r="1851" spans="10:12">
      <c r="J1851" t="str">
        <f t="shared" ref="J1851:J1914" si="3695">IF(AND(ISNUMBER(#REF!), ISNUMBER(#REF!)),#REF! -#REF!,"")</f>
        <v/>
      </c>
      <c r="L1851" t="str">
        <f t="shared" ref="L1851:L1914" si="3696">IF(AND(ISNUMBER(#REF!), ISNUMBER(#REF!)),#REF! -#REF!,"")</f>
        <v/>
      </c>
    </row>
    <row r="1852" spans="10:12">
      <c r="J1852" t="str">
        <f t="shared" ref="J1852:J1915" si="3697">IF(AND(ISNUMBER(#REF!), ISNUMBER(#REF!)),#REF! -#REF!,"")</f>
        <v/>
      </c>
      <c r="L1852" t="str">
        <f t="shared" ref="L1852:L1915" si="3698">IF(AND(ISNUMBER(#REF!), ISNUMBER(#REF!)),#REF! -#REF!,"")</f>
        <v/>
      </c>
    </row>
    <row r="1853" spans="10:12">
      <c r="J1853" t="str">
        <f t="shared" ref="J1853:J1916" si="3699">IF(AND(ISNUMBER(#REF!), ISNUMBER(#REF!)),#REF! -#REF!,"")</f>
        <v/>
      </c>
      <c r="L1853" t="str">
        <f t="shared" ref="L1853:L1916" si="3700">IF(AND(ISNUMBER(#REF!), ISNUMBER(#REF!)),#REF! -#REF!,"")</f>
        <v/>
      </c>
    </row>
    <row r="1854" spans="10:12">
      <c r="J1854" t="str">
        <f t="shared" ref="J1854:J1917" si="3701">IF(AND(ISNUMBER(#REF!), ISNUMBER(#REF!)),#REF! -#REF!,"")</f>
        <v/>
      </c>
      <c r="L1854" t="str">
        <f t="shared" ref="L1854:L1917" si="3702">IF(AND(ISNUMBER(#REF!), ISNUMBER(#REF!)),#REF! -#REF!,"")</f>
        <v/>
      </c>
    </row>
    <row r="1855" spans="10:12">
      <c r="J1855" t="str">
        <f t="shared" ref="J1855:J1918" si="3703">IF(AND(ISNUMBER(#REF!), ISNUMBER(#REF!)),#REF! -#REF!,"")</f>
        <v/>
      </c>
      <c r="L1855" t="str">
        <f t="shared" ref="L1855:L1918" si="3704">IF(AND(ISNUMBER(#REF!), ISNUMBER(#REF!)),#REF! -#REF!,"")</f>
        <v/>
      </c>
    </row>
    <row r="1856" spans="10:12">
      <c r="J1856" t="str">
        <f t="shared" ref="J1856:J1919" si="3705">IF(AND(ISNUMBER(#REF!), ISNUMBER(#REF!)),#REF! -#REF!,"")</f>
        <v/>
      </c>
      <c r="L1856" t="str">
        <f t="shared" ref="L1856:L1919" si="3706">IF(AND(ISNUMBER(#REF!), ISNUMBER(#REF!)),#REF! -#REF!,"")</f>
        <v/>
      </c>
    </row>
    <row r="1857" spans="10:12">
      <c r="J1857" t="str">
        <f t="shared" ref="J1857:J1920" si="3707">IF(AND(ISNUMBER(#REF!), ISNUMBER(#REF!)),#REF! -#REF!,"")</f>
        <v/>
      </c>
      <c r="L1857" t="str">
        <f t="shared" ref="L1857:L1920" si="3708">IF(AND(ISNUMBER(#REF!), ISNUMBER(#REF!)),#REF! -#REF!,"")</f>
        <v/>
      </c>
    </row>
    <row r="1858" spans="10:12">
      <c r="J1858" t="str">
        <f t="shared" ref="J1858:J1921" si="3709">IF(AND(ISNUMBER(#REF!), ISNUMBER(#REF!)),#REF! -#REF!,"")</f>
        <v/>
      </c>
      <c r="L1858" t="str">
        <f t="shared" ref="L1858:L1921" si="3710">IF(AND(ISNUMBER(#REF!), ISNUMBER(#REF!)),#REF! -#REF!,"")</f>
        <v/>
      </c>
    </row>
    <row r="1859" spans="10:12">
      <c r="J1859" t="str">
        <f t="shared" ref="J1859:J1922" si="3711">IF(AND(ISNUMBER(#REF!), ISNUMBER(#REF!)),#REF! -#REF!,"")</f>
        <v/>
      </c>
      <c r="L1859" t="str">
        <f t="shared" ref="L1859:L1922" si="3712">IF(AND(ISNUMBER(#REF!), ISNUMBER(#REF!)),#REF! -#REF!,"")</f>
        <v/>
      </c>
    </row>
    <row r="1860" spans="10:12">
      <c r="J1860" t="str">
        <f t="shared" ref="J1860:J1923" si="3713">IF(AND(ISNUMBER(#REF!), ISNUMBER(#REF!)),#REF! -#REF!,"")</f>
        <v/>
      </c>
      <c r="L1860" t="str">
        <f t="shared" ref="L1860:L1923" si="3714">IF(AND(ISNUMBER(#REF!), ISNUMBER(#REF!)),#REF! -#REF!,"")</f>
        <v/>
      </c>
    </row>
    <row r="1861" spans="10:12">
      <c r="J1861" t="str">
        <f t="shared" ref="J1861:J1924" si="3715">IF(AND(ISNUMBER(#REF!), ISNUMBER(#REF!)),#REF! -#REF!,"")</f>
        <v/>
      </c>
      <c r="L1861" t="str">
        <f t="shared" ref="L1861:L1924" si="3716">IF(AND(ISNUMBER(#REF!), ISNUMBER(#REF!)),#REF! -#REF!,"")</f>
        <v/>
      </c>
    </row>
    <row r="1862" spans="10:12">
      <c r="J1862" t="str">
        <f t="shared" ref="J1862:J1925" si="3717">IF(AND(ISNUMBER(#REF!), ISNUMBER(#REF!)),#REF! -#REF!,"")</f>
        <v/>
      </c>
      <c r="L1862" t="str">
        <f t="shared" ref="L1862:L1925" si="3718">IF(AND(ISNUMBER(#REF!), ISNUMBER(#REF!)),#REF! -#REF!,"")</f>
        <v/>
      </c>
    </row>
    <row r="1863" spans="10:12">
      <c r="J1863" t="str">
        <f t="shared" ref="J1863:J1926" si="3719">IF(AND(ISNUMBER(#REF!), ISNUMBER(#REF!)),#REF! -#REF!,"")</f>
        <v/>
      </c>
      <c r="L1863" t="str">
        <f t="shared" ref="L1863:L1926" si="3720">IF(AND(ISNUMBER(#REF!), ISNUMBER(#REF!)),#REF! -#REF!,"")</f>
        <v/>
      </c>
    </row>
    <row r="1864" spans="10:12">
      <c r="J1864" t="str">
        <f t="shared" ref="J1864:J1927" si="3721">IF(AND(ISNUMBER(#REF!), ISNUMBER(#REF!)),#REF! -#REF!,"")</f>
        <v/>
      </c>
      <c r="L1864" t="str">
        <f t="shared" ref="L1864:L1927" si="3722">IF(AND(ISNUMBER(#REF!), ISNUMBER(#REF!)),#REF! -#REF!,"")</f>
        <v/>
      </c>
    </row>
    <row r="1865" spans="10:12">
      <c r="J1865" t="str">
        <f t="shared" ref="J1865:J1928" si="3723">IF(AND(ISNUMBER(#REF!), ISNUMBER(#REF!)),#REF! -#REF!,"")</f>
        <v/>
      </c>
      <c r="L1865" t="str">
        <f t="shared" ref="L1865:L1928" si="3724">IF(AND(ISNUMBER(#REF!), ISNUMBER(#REF!)),#REF! -#REF!,"")</f>
        <v/>
      </c>
    </row>
    <row r="1866" spans="10:12">
      <c r="J1866" t="str">
        <f t="shared" ref="J1866:J1929" si="3725">IF(AND(ISNUMBER(#REF!), ISNUMBER(#REF!)),#REF! -#REF!,"")</f>
        <v/>
      </c>
      <c r="L1866" t="str">
        <f t="shared" ref="L1866:L1929" si="3726">IF(AND(ISNUMBER(#REF!), ISNUMBER(#REF!)),#REF! -#REF!,"")</f>
        <v/>
      </c>
    </row>
    <row r="1867" spans="10:12">
      <c r="J1867" t="str">
        <f t="shared" ref="J1867:J1930" si="3727">IF(AND(ISNUMBER(#REF!), ISNUMBER(#REF!)),#REF! -#REF!,"")</f>
        <v/>
      </c>
      <c r="L1867" t="str">
        <f t="shared" ref="L1867:L1930" si="3728">IF(AND(ISNUMBER(#REF!), ISNUMBER(#REF!)),#REF! -#REF!,"")</f>
        <v/>
      </c>
    </row>
    <row r="1868" spans="10:12">
      <c r="J1868" t="str">
        <f t="shared" ref="J1868:J1931" si="3729">IF(AND(ISNUMBER(#REF!), ISNUMBER(#REF!)),#REF! -#REF!,"")</f>
        <v/>
      </c>
      <c r="L1868" t="str">
        <f t="shared" ref="L1868:L1931" si="3730">IF(AND(ISNUMBER(#REF!), ISNUMBER(#REF!)),#REF! -#REF!,"")</f>
        <v/>
      </c>
    </row>
    <row r="1869" spans="10:12">
      <c r="J1869" t="str">
        <f t="shared" ref="J1869:J1932" si="3731">IF(AND(ISNUMBER(#REF!), ISNUMBER(#REF!)),#REF! -#REF!,"")</f>
        <v/>
      </c>
      <c r="L1869" t="str">
        <f t="shared" ref="L1869:L1932" si="3732">IF(AND(ISNUMBER(#REF!), ISNUMBER(#REF!)),#REF! -#REF!,"")</f>
        <v/>
      </c>
    </row>
    <row r="1870" spans="10:12">
      <c r="J1870" t="str">
        <f t="shared" ref="J1870:J1933" si="3733">IF(AND(ISNUMBER(#REF!), ISNUMBER(#REF!)),#REF! -#REF!,"")</f>
        <v/>
      </c>
      <c r="L1870" t="str">
        <f t="shared" ref="L1870:L1933" si="3734">IF(AND(ISNUMBER(#REF!), ISNUMBER(#REF!)),#REF! -#REF!,"")</f>
        <v/>
      </c>
    </row>
    <row r="1871" spans="10:12">
      <c r="J1871" t="str">
        <f t="shared" ref="J1871:J1934" si="3735">IF(AND(ISNUMBER(#REF!), ISNUMBER(#REF!)),#REF! -#REF!,"")</f>
        <v/>
      </c>
      <c r="L1871" t="str">
        <f t="shared" ref="L1871:L1934" si="3736">IF(AND(ISNUMBER(#REF!), ISNUMBER(#REF!)),#REF! -#REF!,"")</f>
        <v/>
      </c>
    </row>
    <row r="1872" spans="10:12">
      <c r="J1872" t="str">
        <f t="shared" ref="J1872:J1935" si="3737">IF(AND(ISNUMBER(#REF!), ISNUMBER(#REF!)),#REF! -#REF!,"")</f>
        <v/>
      </c>
      <c r="L1872" t="str">
        <f t="shared" ref="L1872:L1935" si="3738">IF(AND(ISNUMBER(#REF!), ISNUMBER(#REF!)),#REF! -#REF!,"")</f>
        <v/>
      </c>
    </row>
    <row r="1873" spans="10:12">
      <c r="J1873" t="str">
        <f t="shared" ref="J1873:J1936" si="3739">IF(AND(ISNUMBER(#REF!), ISNUMBER(#REF!)),#REF! -#REF!,"")</f>
        <v/>
      </c>
      <c r="L1873" t="str">
        <f t="shared" ref="L1873:L1936" si="3740">IF(AND(ISNUMBER(#REF!), ISNUMBER(#REF!)),#REF! -#REF!,"")</f>
        <v/>
      </c>
    </row>
    <row r="1874" spans="10:12">
      <c r="J1874" t="str">
        <f t="shared" ref="J1874:J1937" si="3741">IF(AND(ISNUMBER(#REF!), ISNUMBER(#REF!)),#REF! -#REF!,"")</f>
        <v/>
      </c>
      <c r="L1874" t="str">
        <f t="shared" ref="L1874:L1937" si="3742">IF(AND(ISNUMBER(#REF!), ISNUMBER(#REF!)),#REF! -#REF!,"")</f>
        <v/>
      </c>
    </row>
    <row r="1875" spans="10:12">
      <c r="J1875" t="str">
        <f t="shared" ref="J1875:J1938" si="3743">IF(AND(ISNUMBER(#REF!), ISNUMBER(#REF!)),#REF! -#REF!,"")</f>
        <v/>
      </c>
      <c r="L1875" t="str">
        <f t="shared" ref="L1875:L1938" si="3744">IF(AND(ISNUMBER(#REF!), ISNUMBER(#REF!)),#REF! -#REF!,"")</f>
        <v/>
      </c>
    </row>
    <row r="1876" spans="10:12">
      <c r="J1876" t="str">
        <f t="shared" ref="J1876:J1939" si="3745">IF(AND(ISNUMBER(#REF!), ISNUMBER(#REF!)),#REF! -#REF!,"")</f>
        <v/>
      </c>
      <c r="L1876" t="str">
        <f t="shared" ref="L1876:L1939" si="3746">IF(AND(ISNUMBER(#REF!), ISNUMBER(#REF!)),#REF! -#REF!,"")</f>
        <v/>
      </c>
    </row>
    <row r="1877" spans="10:12">
      <c r="J1877" t="str">
        <f t="shared" ref="J1877:J1940" si="3747">IF(AND(ISNUMBER(#REF!), ISNUMBER(#REF!)),#REF! -#REF!,"")</f>
        <v/>
      </c>
      <c r="L1877" t="str">
        <f t="shared" ref="L1877:L1940" si="3748">IF(AND(ISNUMBER(#REF!), ISNUMBER(#REF!)),#REF! -#REF!,"")</f>
        <v/>
      </c>
    </row>
    <row r="1878" spans="10:12">
      <c r="J1878" t="str">
        <f t="shared" ref="J1878:J1941" si="3749">IF(AND(ISNUMBER(#REF!), ISNUMBER(#REF!)),#REF! -#REF!,"")</f>
        <v/>
      </c>
      <c r="L1878" t="str">
        <f t="shared" ref="L1878:L1941" si="3750">IF(AND(ISNUMBER(#REF!), ISNUMBER(#REF!)),#REF! -#REF!,"")</f>
        <v/>
      </c>
    </row>
    <row r="1879" spans="10:12">
      <c r="J1879" t="str">
        <f t="shared" ref="J1879:J1942" si="3751">IF(AND(ISNUMBER(#REF!), ISNUMBER(#REF!)),#REF! -#REF!,"")</f>
        <v/>
      </c>
      <c r="L1879" t="str">
        <f t="shared" ref="L1879:L1942" si="3752">IF(AND(ISNUMBER(#REF!), ISNUMBER(#REF!)),#REF! -#REF!,"")</f>
        <v/>
      </c>
    </row>
    <row r="1880" spans="10:12">
      <c r="J1880" t="str">
        <f t="shared" ref="J1880:J1943" si="3753">IF(AND(ISNUMBER(#REF!), ISNUMBER(#REF!)),#REF! -#REF!,"")</f>
        <v/>
      </c>
      <c r="L1880" t="str">
        <f t="shared" ref="L1880:L1943" si="3754">IF(AND(ISNUMBER(#REF!), ISNUMBER(#REF!)),#REF! -#REF!,"")</f>
        <v/>
      </c>
    </row>
    <row r="1881" spans="10:12">
      <c r="J1881" t="str">
        <f t="shared" ref="J1881:J1944" si="3755">IF(AND(ISNUMBER(#REF!), ISNUMBER(#REF!)),#REF! -#REF!,"")</f>
        <v/>
      </c>
      <c r="L1881" t="str">
        <f t="shared" ref="L1881:L1944" si="3756">IF(AND(ISNUMBER(#REF!), ISNUMBER(#REF!)),#REF! -#REF!,"")</f>
        <v/>
      </c>
    </row>
    <row r="1882" spans="10:12">
      <c r="J1882" t="str">
        <f t="shared" ref="J1882:J1945" si="3757">IF(AND(ISNUMBER(#REF!), ISNUMBER(#REF!)),#REF! -#REF!,"")</f>
        <v/>
      </c>
      <c r="L1882" t="str">
        <f t="shared" ref="L1882:L1945" si="3758">IF(AND(ISNUMBER(#REF!), ISNUMBER(#REF!)),#REF! -#REF!,"")</f>
        <v/>
      </c>
    </row>
    <row r="1883" spans="10:12">
      <c r="J1883" t="str">
        <f t="shared" ref="J1883:J1946" si="3759">IF(AND(ISNUMBER(#REF!), ISNUMBER(#REF!)),#REF! -#REF!,"")</f>
        <v/>
      </c>
      <c r="L1883" t="str">
        <f t="shared" ref="L1883:L1946" si="3760">IF(AND(ISNUMBER(#REF!), ISNUMBER(#REF!)),#REF! -#REF!,"")</f>
        <v/>
      </c>
    </row>
    <row r="1884" spans="10:12">
      <c r="J1884" t="str">
        <f t="shared" ref="J1884:J1947" si="3761">IF(AND(ISNUMBER(#REF!), ISNUMBER(#REF!)),#REF! -#REF!,"")</f>
        <v/>
      </c>
      <c r="L1884" t="str">
        <f t="shared" ref="L1884:L1947" si="3762">IF(AND(ISNUMBER(#REF!), ISNUMBER(#REF!)),#REF! -#REF!,"")</f>
        <v/>
      </c>
    </row>
    <row r="1885" spans="10:12">
      <c r="J1885" t="str">
        <f t="shared" ref="J1885:J1948" si="3763">IF(AND(ISNUMBER(#REF!), ISNUMBER(#REF!)),#REF! -#REF!,"")</f>
        <v/>
      </c>
      <c r="L1885" t="str">
        <f t="shared" ref="L1885:L1948" si="3764">IF(AND(ISNUMBER(#REF!), ISNUMBER(#REF!)),#REF! -#REF!,"")</f>
        <v/>
      </c>
    </row>
    <row r="1886" spans="10:12">
      <c r="J1886" t="str">
        <f t="shared" ref="J1886:J1949" si="3765">IF(AND(ISNUMBER(#REF!), ISNUMBER(#REF!)),#REF! -#REF!,"")</f>
        <v/>
      </c>
      <c r="L1886" t="str">
        <f t="shared" ref="L1886:L1949" si="3766">IF(AND(ISNUMBER(#REF!), ISNUMBER(#REF!)),#REF! -#REF!,"")</f>
        <v/>
      </c>
    </row>
    <row r="1887" spans="10:12">
      <c r="J1887" t="str">
        <f t="shared" ref="J1887:J1950" si="3767">IF(AND(ISNUMBER(#REF!), ISNUMBER(#REF!)),#REF! -#REF!,"")</f>
        <v/>
      </c>
      <c r="L1887" t="str">
        <f t="shared" ref="L1887:L1950" si="3768">IF(AND(ISNUMBER(#REF!), ISNUMBER(#REF!)),#REF! -#REF!,"")</f>
        <v/>
      </c>
    </row>
    <row r="1888" spans="10:12">
      <c r="J1888" t="str">
        <f t="shared" ref="J1888:J1951" si="3769">IF(AND(ISNUMBER(#REF!), ISNUMBER(#REF!)),#REF! -#REF!,"")</f>
        <v/>
      </c>
      <c r="L1888" t="str">
        <f t="shared" ref="L1888:L1951" si="3770">IF(AND(ISNUMBER(#REF!), ISNUMBER(#REF!)),#REF! -#REF!,"")</f>
        <v/>
      </c>
    </row>
    <row r="1889" spans="10:12">
      <c r="J1889" t="str">
        <f t="shared" ref="J1889:J1952" si="3771">IF(AND(ISNUMBER(#REF!), ISNUMBER(#REF!)),#REF! -#REF!,"")</f>
        <v/>
      </c>
      <c r="L1889" t="str">
        <f t="shared" ref="L1889:L1952" si="3772">IF(AND(ISNUMBER(#REF!), ISNUMBER(#REF!)),#REF! -#REF!,"")</f>
        <v/>
      </c>
    </row>
    <row r="1890" spans="10:12">
      <c r="J1890" t="str">
        <f t="shared" ref="J1890:J1953" si="3773">IF(AND(ISNUMBER(#REF!), ISNUMBER(#REF!)),#REF! -#REF!,"")</f>
        <v/>
      </c>
      <c r="L1890" t="str">
        <f t="shared" ref="L1890:L1953" si="3774">IF(AND(ISNUMBER(#REF!), ISNUMBER(#REF!)),#REF! -#REF!,"")</f>
        <v/>
      </c>
    </row>
    <row r="1891" spans="10:12">
      <c r="J1891" t="str">
        <f t="shared" ref="J1891:J1954" si="3775">IF(AND(ISNUMBER(#REF!), ISNUMBER(#REF!)),#REF! -#REF!,"")</f>
        <v/>
      </c>
      <c r="L1891" t="str">
        <f t="shared" ref="L1891:L1954" si="3776">IF(AND(ISNUMBER(#REF!), ISNUMBER(#REF!)),#REF! -#REF!,"")</f>
        <v/>
      </c>
    </row>
    <row r="1892" spans="10:12">
      <c r="J1892" t="str">
        <f t="shared" ref="J1892:J1955" si="3777">IF(AND(ISNUMBER(#REF!), ISNUMBER(#REF!)),#REF! -#REF!,"")</f>
        <v/>
      </c>
      <c r="L1892" t="str">
        <f t="shared" ref="L1892:L1955" si="3778">IF(AND(ISNUMBER(#REF!), ISNUMBER(#REF!)),#REF! -#REF!,"")</f>
        <v/>
      </c>
    </row>
    <row r="1893" spans="10:12">
      <c r="J1893" t="str">
        <f t="shared" ref="J1893:J1956" si="3779">IF(AND(ISNUMBER(#REF!), ISNUMBER(#REF!)),#REF! -#REF!,"")</f>
        <v/>
      </c>
      <c r="L1893" t="str">
        <f t="shared" ref="L1893:L1956" si="3780">IF(AND(ISNUMBER(#REF!), ISNUMBER(#REF!)),#REF! -#REF!,"")</f>
        <v/>
      </c>
    </row>
    <row r="1894" spans="10:12">
      <c r="J1894" t="str">
        <f t="shared" ref="J1894:J1957" si="3781">IF(AND(ISNUMBER(#REF!), ISNUMBER(#REF!)),#REF! -#REF!,"")</f>
        <v/>
      </c>
      <c r="L1894" t="str">
        <f t="shared" ref="L1894:L1957" si="3782">IF(AND(ISNUMBER(#REF!), ISNUMBER(#REF!)),#REF! -#REF!,"")</f>
        <v/>
      </c>
    </row>
    <row r="1895" spans="10:12">
      <c r="J1895" t="str">
        <f t="shared" ref="J1895:J1958" si="3783">IF(AND(ISNUMBER(#REF!), ISNUMBER(#REF!)),#REF! -#REF!,"")</f>
        <v/>
      </c>
      <c r="L1895" t="str">
        <f t="shared" ref="L1895:L1958" si="3784">IF(AND(ISNUMBER(#REF!), ISNUMBER(#REF!)),#REF! -#REF!,"")</f>
        <v/>
      </c>
    </row>
    <row r="1896" spans="10:12">
      <c r="J1896" t="str">
        <f t="shared" ref="J1896:J1959" si="3785">IF(AND(ISNUMBER(#REF!), ISNUMBER(#REF!)),#REF! -#REF!,"")</f>
        <v/>
      </c>
      <c r="L1896" t="str">
        <f t="shared" ref="L1896:L1959" si="3786">IF(AND(ISNUMBER(#REF!), ISNUMBER(#REF!)),#REF! -#REF!,"")</f>
        <v/>
      </c>
    </row>
    <row r="1897" spans="10:12">
      <c r="J1897" t="str">
        <f t="shared" ref="J1897:J1960" si="3787">IF(AND(ISNUMBER(#REF!), ISNUMBER(#REF!)),#REF! -#REF!,"")</f>
        <v/>
      </c>
      <c r="L1897" t="str">
        <f t="shared" ref="L1897:L1960" si="3788">IF(AND(ISNUMBER(#REF!), ISNUMBER(#REF!)),#REF! -#REF!,"")</f>
        <v/>
      </c>
    </row>
    <row r="1898" spans="10:12">
      <c r="J1898" t="str">
        <f t="shared" ref="J1898:J1961" si="3789">IF(AND(ISNUMBER(#REF!), ISNUMBER(#REF!)),#REF! -#REF!,"")</f>
        <v/>
      </c>
      <c r="L1898" t="str">
        <f t="shared" ref="L1898:L1961" si="3790">IF(AND(ISNUMBER(#REF!), ISNUMBER(#REF!)),#REF! -#REF!,"")</f>
        <v/>
      </c>
    </row>
    <row r="1899" spans="10:12">
      <c r="J1899" t="str">
        <f t="shared" ref="J1899:J1962" si="3791">IF(AND(ISNUMBER(#REF!), ISNUMBER(#REF!)),#REF! -#REF!,"")</f>
        <v/>
      </c>
      <c r="L1899" t="str">
        <f t="shared" ref="L1899:L1962" si="3792">IF(AND(ISNUMBER(#REF!), ISNUMBER(#REF!)),#REF! -#REF!,"")</f>
        <v/>
      </c>
    </row>
    <row r="1900" spans="10:12">
      <c r="J1900" t="str">
        <f t="shared" ref="J1900:J1963" si="3793">IF(AND(ISNUMBER(#REF!), ISNUMBER(#REF!)),#REF! -#REF!,"")</f>
        <v/>
      </c>
      <c r="L1900" t="str">
        <f t="shared" ref="L1900:L1963" si="3794">IF(AND(ISNUMBER(#REF!), ISNUMBER(#REF!)),#REF! -#REF!,"")</f>
        <v/>
      </c>
    </row>
    <row r="1901" spans="10:12">
      <c r="J1901" t="str">
        <f t="shared" ref="J1901:J1964" si="3795">IF(AND(ISNUMBER(#REF!), ISNUMBER(#REF!)),#REF! -#REF!,"")</f>
        <v/>
      </c>
      <c r="L1901" t="str">
        <f t="shared" ref="L1901:L1964" si="3796">IF(AND(ISNUMBER(#REF!), ISNUMBER(#REF!)),#REF! -#REF!,"")</f>
        <v/>
      </c>
    </row>
    <row r="1902" spans="10:12">
      <c r="J1902" t="str">
        <f t="shared" ref="J1902:J1965" si="3797">IF(AND(ISNUMBER(#REF!), ISNUMBER(#REF!)),#REF! -#REF!,"")</f>
        <v/>
      </c>
      <c r="L1902" t="str">
        <f t="shared" ref="L1902:L1965" si="3798">IF(AND(ISNUMBER(#REF!), ISNUMBER(#REF!)),#REF! -#REF!,"")</f>
        <v/>
      </c>
    </row>
    <row r="1903" spans="10:12">
      <c r="J1903" t="str">
        <f t="shared" ref="J1903:J1966" si="3799">IF(AND(ISNUMBER(#REF!), ISNUMBER(#REF!)),#REF! -#REF!,"")</f>
        <v/>
      </c>
      <c r="L1903" t="str">
        <f t="shared" ref="L1903:L1966" si="3800">IF(AND(ISNUMBER(#REF!), ISNUMBER(#REF!)),#REF! -#REF!,"")</f>
        <v/>
      </c>
    </row>
    <row r="1904" spans="10:12">
      <c r="J1904" t="str">
        <f t="shared" ref="J1904:J1967" si="3801">IF(AND(ISNUMBER(#REF!), ISNUMBER(#REF!)),#REF! -#REF!,"")</f>
        <v/>
      </c>
      <c r="L1904" t="str">
        <f t="shared" ref="L1904:L1967" si="3802">IF(AND(ISNUMBER(#REF!), ISNUMBER(#REF!)),#REF! -#REF!,"")</f>
        <v/>
      </c>
    </row>
    <row r="1905" spans="10:12">
      <c r="J1905" t="str">
        <f t="shared" ref="J1905:J1968" si="3803">IF(AND(ISNUMBER(#REF!), ISNUMBER(#REF!)),#REF! -#REF!,"")</f>
        <v/>
      </c>
      <c r="L1905" t="str">
        <f t="shared" ref="L1905:L1968" si="3804">IF(AND(ISNUMBER(#REF!), ISNUMBER(#REF!)),#REF! -#REF!,"")</f>
        <v/>
      </c>
    </row>
    <row r="1906" spans="10:12">
      <c r="J1906" t="str">
        <f t="shared" ref="J1906:J1969" si="3805">IF(AND(ISNUMBER(#REF!), ISNUMBER(#REF!)),#REF! -#REF!,"")</f>
        <v/>
      </c>
      <c r="L1906" t="str">
        <f t="shared" ref="L1906:L1969" si="3806">IF(AND(ISNUMBER(#REF!), ISNUMBER(#REF!)),#REF! -#REF!,"")</f>
        <v/>
      </c>
    </row>
    <row r="1907" spans="10:12">
      <c r="J1907" t="str">
        <f t="shared" ref="J1907:J1970" si="3807">IF(AND(ISNUMBER(#REF!), ISNUMBER(#REF!)),#REF! -#REF!,"")</f>
        <v/>
      </c>
      <c r="L1907" t="str">
        <f t="shared" ref="L1907:L1970" si="3808">IF(AND(ISNUMBER(#REF!), ISNUMBER(#REF!)),#REF! -#REF!,"")</f>
        <v/>
      </c>
    </row>
    <row r="1908" spans="10:12">
      <c r="J1908" t="str">
        <f t="shared" ref="J1908:J1971" si="3809">IF(AND(ISNUMBER(#REF!), ISNUMBER(#REF!)),#REF! -#REF!,"")</f>
        <v/>
      </c>
      <c r="L1908" t="str">
        <f t="shared" ref="L1908:L1971" si="3810">IF(AND(ISNUMBER(#REF!), ISNUMBER(#REF!)),#REF! -#REF!,"")</f>
        <v/>
      </c>
    </row>
    <row r="1909" spans="10:12">
      <c r="J1909" t="str">
        <f t="shared" ref="J1909:J1972" si="3811">IF(AND(ISNUMBER(#REF!), ISNUMBER(#REF!)),#REF! -#REF!,"")</f>
        <v/>
      </c>
      <c r="L1909" t="str">
        <f t="shared" ref="L1909:L1972" si="3812">IF(AND(ISNUMBER(#REF!), ISNUMBER(#REF!)),#REF! -#REF!,"")</f>
        <v/>
      </c>
    </row>
    <row r="1910" spans="10:12">
      <c r="J1910" t="str">
        <f t="shared" ref="J1910:J1973" si="3813">IF(AND(ISNUMBER(#REF!), ISNUMBER(#REF!)),#REF! -#REF!,"")</f>
        <v/>
      </c>
      <c r="L1910" t="str">
        <f t="shared" ref="L1910:L1973" si="3814">IF(AND(ISNUMBER(#REF!), ISNUMBER(#REF!)),#REF! -#REF!,"")</f>
        <v/>
      </c>
    </row>
    <row r="1911" spans="10:12">
      <c r="J1911" t="str">
        <f t="shared" ref="J1911:J1974" si="3815">IF(AND(ISNUMBER(#REF!), ISNUMBER(#REF!)),#REF! -#REF!,"")</f>
        <v/>
      </c>
      <c r="L1911" t="str">
        <f t="shared" ref="L1911:L1974" si="3816">IF(AND(ISNUMBER(#REF!), ISNUMBER(#REF!)),#REF! -#REF!,"")</f>
        <v/>
      </c>
    </row>
    <row r="1912" spans="10:12">
      <c r="J1912" t="str">
        <f t="shared" ref="J1912:J1975" si="3817">IF(AND(ISNUMBER(#REF!), ISNUMBER(#REF!)),#REF! -#REF!,"")</f>
        <v/>
      </c>
      <c r="L1912" t="str">
        <f t="shared" ref="L1912:L1975" si="3818">IF(AND(ISNUMBER(#REF!), ISNUMBER(#REF!)),#REF! -#REF!,"")</f>
        <v/>
      </c>
    </row>
    <row r="1913" spans="10:12">
      <c r="J1913" t="str">
        <f t="shared" ref="J1913:J1976" si="3819">IF(AND(ISNUMBER(#REF!), ISNUMBER(#REF!)),#REF! -#REF!,"")</f>
        <v/>
      </c>
      <c r="L1913" t="str">
        <f t="shared" ref="L1913:L1976" si="3820">IF(AND(ISNUMBER(#REF!), ISNUMBER(#REF!)),#REF! -#REF!,"")</f>
        <v/>
      </c>
    </row>
    <row r="1914" spans="10:12">
      <c r="J1914" t="str">
        <f t="shared" ref="J1914:J1977" si="3821">IF(AND(ISNUMBER(#REF!), ISNUMBER(#REF!)),#REF! -#REF!,"")</f>
        <v/>
      </c>
      <c r="L1914" t="str">
        <f t="shared" ref="L1914:L1977" si="3822">IF(AND(ISNUMBER(#REF!), ISNUMBER(#REF!)),#REF! -#REF!,"")</f>
        <v/>
      </c>
    </row>
    <row r="1915" spans="10:12">
      <c r="J1915" t="str">
        <f t="shared" ref="J1915:J1978" si="3823">IF(AND(ISNUMBER(#REF!), ISNUMBER(#REF!)),#REF! -#REF!,"")</f>
        <v/>
      </c>
      <c r="L1915" t="str">
        <f t="shared" ref="L1915:L1978" si="3824">IF(AND(ISNUMBER(#REF!), ISNUMBER(#REF!)),#REF! -#REF!,"")</f>
        <v/>
      </c>
    </row>
    <row r="1916" spans="10:12">
      <c r="J1916" t="str">
        <f t="shared" ref="J1916:J1979" si="3825">IF(AND(ISNUMBER(#REF!), ISNUMBER(#REF!)),#REF! -#REF!,"")</f>
        <v/>
      </c>
      <c r="L1916" t="str">
        <f t="shared" ref="L1916:L1979" si="3826">IF(AND(ISNUMBER(#REF!), ISNUMBER(#REF!)),#REF! -#REF!,"")</f>
        <v/>
      </c>
    </row>
    <row r="1917" spans="10:12">
      <c r="J1917" t="str">
        <f t="shared" ref="J1917:J1980" si="3827">IF(AND(ISNUMBER(#REF!), ISNUMBER(#REF!)),#REF! -#REF!,"")</f>
        <v/>
      </c>
      <c r="L1917" t="str">
        <f t="shared" ref="L1917:L1980" si="3828">IF(AND(ISNUMBER(#REF!), ISNUMBER(#REF!)),#REF! -#REF!,"")</f>
        <v/>
      </c>
    </row>
    <row r="1918" spans="10:12">
      <c r="J1918" t="str">
        <f t="shared" ref="J1918:J1981" si="3829">IF(AND(ISNUMBER(#REF!), ISNUMBER(#REF!)),#REF! -#REF!,"")</f>
        <v/>
      </c>
      <c r="L1918" t="str">
        <f t="shared" ref="L1918:L1981" si="3830">IF(AND(ISNUMBER(#REF!), ISNUMBER(#REF!)),#REF! -#REF!,"")</f>
        <v/>
      </c>
    </row>
    <row r="1919" spans="10:12">
      <c r="J1919" t="str">
        <f t="shared" ref="J1919:J1982" si="3831">IF(AND(ISNUMBER(#REF!), ISNUMBER(#REF!)),#REF! -#REF!,"")</f>
        <v/>
      </c>
      <c r="L1919" t="str">
        <f t="shared" ref="L1919:L1982" si="3832">IF(AND(ISNUMBER(#REF!), ISNUMBER(#REF!)),#REF! -#REF!,"")</f>
        <v/>
      </c>
    </row>
    <row r="1920" spans="10:12">
      <c r="J1920" t="str">
        <f t="shared" ref="J1920:J1983" si="3833">IF(AND(ISNUMBER(#REF!), ISNUMBER(#REF!)),#REF! -#REF!,"")</f>
        <v/>
      </c>
      <c r="L1920" t="str">
        <f t="shared" ref="L1920:L1983" si="3834">IF(AND(ISNUMBER(#REF!), ISNUMBER(#REF!)),#REF! -#REF!,"")</f>
        <v/>
      </c>
    </row>
    <row r="1921" spans="10:12">
      <c r="J1921" t="str">
        <f t="shared" ref="J1921:J1984" si="3835">IF(AND(ISNUMBER(#REF!), ISNUMBER(#REF!)),#REF! -#REF!,"")</f>
        <v/>
      </c>
      <c r="L1921" t="str">
        <f t="shared" ref="L1921:L1984" si="3836">IF(AND(ISNUMBER(#REF!), ISNUMBER(#REF!)),#REF! -#REF!,"")</f>
        <v/>
      </c>
    </row>
    <row r="1922" spans="10:12">
      <c r="J1922" t="str">
        <f t="shared" ref="J1922:J1985" si="3837">IF(AND(ISNUMBER(#REF!), ISNUMBER(#REF!)),#REF! -#REF!,"")</f>
        <v/>
      </c>
      <c r="L1922" t="str">
        <f t="shared" ref="L1922:L1985" si="3838">IF(AND(ISNUMBER(#REF!), ISNUMBER(#REF!)),#REF! -#REF!,"")</f>
        <v/>
      </c>
    </row>
    <row r="1923" spans="10:12">
      <c r="J1923" t="str">
        <f t="shared" ref="J1923:J1986" si="3839">IF(AND(ISNUMBER(#REF!), ISNUMBER(#REF!)),#REF! -#REF!,"")</f>
        <v/>
      </c>
      <c r="L1923" t="str">
        <f t="shared" ref="L1923:L1986" si="3840">IF(AND(ISNUMBER(#REF!), ISNUMBER(#REF!)),#REF! -#REF!,"")</f>
        <v/>
      </c>
    </row>
    <row r="1924" spans="10:12">
      <c r="J1924" t="str">
        <f t="shared" ref="J1924:J1987" si="3841">IF(AND(ISNUMBER(#REF!), ISNUMBER(#REF!)),#REF! -#REF!,"")</f>
        <v/>
      </c>
      <c r="L1924" t="str">
        <f t="shared" ref="L1924:L1987" si="3842">IF(AND(ISNUMBER(#REF!), ISNUMBER(#REF!)),#REF! -#REF!,"")</f>
        <v/>
      </c>
    </row>
    <row r="1925" spans="10:12">
      <c r="J1925" t="str">
        <f t="shared" ref="J1925:J1988" si="3843">IF(AND(ISNUMBER(#REF!), ISNUMBER(#REF!)),#REF! -#REF!,"")</f>
        <v/>
      </c>
      <c r="L1925" t="str">
        <f t="shared" ref="L1925:L1988" si="3844">IF(AND(ISNUMBER(#REF!), ISNUMBER(#REF!)),#REF! -#REF!,"")</f>
        <v/>
      </c>
    </row>
    <row r="1926" spans="10:12">
      <c r="J1926" t="str">
        <f t="shared" ref="J1926:J1989" si="3845">IF(AND(ISNUMBER(#REF!), ISNUMBER(#REF!)),#REF! -#REF!,"")</f>
        <v/>
      </c>
      <c r="L1926" t="str">
        <f t="shared" ref="L1926:L1989" si="3846">IF(AND(ISNUMBER(#REF!), ISNUMBER(#REF!)),#REF! -#REF!,"")</f>
        <v/>
      </c>
    </row>
    <row r="1927" spans="10:12">
      <c r="J1927" t="str">
        <f t="shared" ref="J1927:J1990" si="3847">IF(AND(ISNUMBER(#REF!), ISNUMBER(#REF!)),#REF! -#REF!,"")</f>
        <v/>
      </c>
      <c r="L1927" t="str">
        <f t="shared" ref="L1927:L1990" si="3848">IF(AND(ISNUMBER(#REF!), ISNUMBER(#REF!)),#REF! -#REF!,"")</f>
        <v/>
      </c>
    </row>
    <row r="1928" spans="10:12">
      <c r="J1928" t="str">
        <f t="shared" ref="J1928:J1991" si="3849">IF(AND(ISNUMBER(#REF!), ISNUMBER(#REF!)),#REF! -#REF!,"")</f>
        <v/>
      </c>
      <c r="L1928" t="str">
        <f t="shared" ref="L1928:L1991" si="3850">IF(AND(ISNUMBER(#REF!), ISNUMBER(#REF!)),#REF! -#REF!,"")</f>
        <v/>
      </c>
    </row>
    <row r="1929" spans="10:12">
      <c r="J1929" t="str">
        <f t="shared" ref="J1929:J1992" si="3851">IF(AND(ISNUMBER(#REF!), ISNUMBER(#REF!)),#REF! -#REF!,"")</f>
        <v/>
      </c>
      <c r="L1929" t="str">
        <f t="shared" ref="L1929:L1992" si="3852">IF(AND(ISNUMBER(#REF!), ISNUMBER(#REF!)),#REF! -#REF!,"")</f>
        <v/>
      </c>
    </row>
    <row r="1930" spans="10:12">
      <c r="J1930" t="str">
        <f t="shared" ref="J1930:J1993" si="3853">IF(AND(ISNUMBER(#REF!), ISNUMBER(#REF!)),#REF! -#REF!,"")</f>
        <v/>
      </c>
      <c r="L1930" t="str">
        <f t="shared" ref="L1930:L1993" si="3854">IF(AND(ISNUMBER(#REF!), ISNUMBER(#REF!)),#REF! -#REF!,"")</f>
        <v/>
      </c>
    </row>
    <row r="1931" spans="10:12">
      <c r="J1931" t="str">
        <f t="shared" ref="J1931:J1994" si="3855">IF(AND(ISNUMBER(#REF!), ISNUMBER(#REF!)),#REF! -#REF!,"")</f>
        <v/>
      </c>
      <c r="L1931" t="str">
        <f t="shared" ref="L1931:L1994" si="3856">IF(AND(ISNUMBER(#REF!), ISNUMBER(#REF!)),#REF! -#REF!,"")</f>
        <v/>
      </c>
    </row>
    <row r="1932" spans="10:12">
      <c r="J1932" t="str">
        <f t="shared" ref="J1932:J1995" si="3857">IF(AND(ISNUMBER(#REF!), ISNUMBER(#REF!)),#REF! -#REF!,"")</f>
        <v/>
      </c>
      <c r="L1932" t="str">
        <f t="shared" ref="L1932:L1995" si="3858">IF(AND(ISNUMBER(#REF!), ISNUMBER(#REF!)),#REF! -#REF!,"")</f>
        <v/>
      </c>
    </row>
    <row r="1933" spans="10:12">
      <c r="J1933" t="str">
        <f t="shared" ref="J1933:J1996" si="3859">IF(AND(ISNUMBER(#REF!), ISNUMBER(#REF!)),#REF! -#REF!,"")</f>
        <v/>
      </c>
      <c r="L1933" t="str">
        <f t="shared" ref="L1933:L1996" si="3860">IF(AND(ISNUMBER(#REF!), ISNUMBER(#REF!)),#REF! -#REF!,"")</f>
        <v/>
      </c>
    </row>
    <row r="1934" spans="10:12">
      <c r="J1934" t="str">
        <f t="shared" ref="J1934:J1997" si="3861">IF(AND(ISNUMBER(#REF!), ISNUMBER(#REF!)),#REF! -#REF!,"")</f>
        <v/>
      </c>
      <c r="L1934" t="str">
        <f t="shared" ref="L1934:L1997" si="3862">IF(AND(ISNUMBER(#REF!), ISNUMBER(#REF!)),#REF! -#REF!,"")</f>
        <v/>
      </c>
    </row>
    <row r="1935" spans="10:12">
      <c r="J1935" t="str">
        <f t="shared" ref="J1935:J1998" si="3863">IF(AND(ISNUMBER(#REF!), ISNUMBER(#REF!)),#REF! -#REF!,"")</f>
        <v/>
      </c>
      <c r="L1935" t="str">
        <f t="shared" ref="L1935:L1998" si="3864">IF(AND(ISNUMBER(#REF!), ISNUMBER(#REF!)),#REF! -#REF!,"")</f>
        <v/>
      </c>
    </row>
    <row r="1936" spans="10:12">
      <c r="J1936" t="str">
        <f t="shared" ref="J1936:J1999" si="3865">IF(AND(ISNUMBER(#REF!), ISNUMBER(#REF!)),#REF! -#REF!,"")</f>
        <v/>
      </c>
      <c r="L1936" t="str">
        <f t="shared" ref="L1936:L1999" si="3866">IF(AND(ISNUMBER(#REF!), ISNUMBER(#REF!)),#REF! -#REF!,"")</f>
        <v/>
      </c>
    </row>
    <row r="1937" spans="10:12">
      <c r="J1937" t="str">
        <f t="shared" ref="J1937:J2000" si="3867">IF(AND(ISNUMBER(#REF!), ISNUMBER(#REF!)),#REF! -#REF!,"")</f>
        <v/>
      </c>
      <c r="L1937" t="str">
        <f t="shared" ref="L1937:L2000" si="3868">IF(AND(ISNUMBER(#REF!), ISNUMBER(#REF!)),#REF! -#REF!,"")</f>
        <v/>
      </c>
    </row>
    <row r="1938" spans="10:12">
      <c r="J1938" t="str">
        <f t="shared" ref="J1938:J2001" si="3869">IF(AND(ISNUMBER(#REF!), ISNUMBER(#REF!)),#REF! -#REF!,"")</f>
        <v/>
      </c>
      <c r="L1938" t="str">
        <f t="shared" ref="L1938:L2001" si="3870">IF(AND(ISNUMBER(#REF!), ISNUMBER(#REF!)),#REF! -#REF!,"")</f>
        <v/>
      </c>
    </row>
    <row r="1939" spans="10:12">
      <c r="J1939" t="str">
        <f t="shared" ref="J1939:J2002" si="3871">IF(AND(ISNUMBER(#REF!), ISNUMBER(#REF!)),#REF! -#REF!,"")</f>
        <v/>
      </c>
      <c r="L1939" t="str">
        <f t="shared" ref="L1939:L2002" si="3872">IF(AND(ISNUMBER(#REF!), ISNUMBER(#REF!)),#REF! -#REF!,"")</f>
        <v/>
      </c>
    </row>
    <row r="1940" spans="10:12">
      <c r="J1940" t="str">
        <f t="shared" ref="J1940:J2003" si="3873">IF(AND(ISNUMBER(#REF!), ISNUMBER(#REF!)),#REF! -#REF!,"")</f>
        <v/>
      </c>
      <c r="L1940" t="str">
        <f t="shared" ref="L1940:L2003" si="3874">IF(AND(ISNUMBER(#REF!), ISNUMBER(#REF!)),#REF! -#REF!,"")</f>
        <v/>
      </c>
    </row>
    <row r="1941" spans="10:12">
      <c r="J1941" t="str">
        <f t="shared" ref="J1941:J2004" si="3875">IF(AND(ISNUMBER(#REF!), ISNUMBER(#REF!)),#REF! -#REF!,"")</f>
        <v/>
      </c>
      <c r="L1941" t="str">
        <f t="shared" ref="L1941:L2004" si="3876">IF(AND(ISNUMBER(#REF!), ISNUMBER(#REF!)),#REF! -#REF!,"")</f>
        <v/>
      </c>
    </row>
    <row r="1942" spans="10:12">
      <c r="J1942" t="str">
        <f t="shared" ref="J1942:J2005" si="3877">IF(AND(ISNUMBER(#REF!), ISNUMBER(#REF!)),#REF! -#REF!,"")</f>
        <v/>
      </c>
      <c r="L1942" t="str">
        <f t="shared" ref="L1942:L2005" si="3878">IF(AND(ISNUMBER(#REF!), ISNUMBER(#REF!)),#REF! -#REF!,"")</f>
        <v/>
      </c>
    </row>
    <row r="1943" spans="10:12">
      <c r="J1943" t="str">
        <f t="shared" ref="J1943:J2006" si="3879">IF(AND(ISNUMBER(#REF!), ISNUMBER(#REF!)),#REF! -#REF!,"")</f>
        <v/>
      </c>
      <c r="L1943" t="str">
        <f t="shared" ref="L1943:L2006" si="3880">IF(AND(ISNUMBER(#REF!), ISNUMBER(#REF!)),#REF! -#REF!,"")</f>
        <v/>
      </c>
    </row>
    <row r="1944" spans="10:12">
      <c r="J1944" t="str">
        <f t="shared" ref="J1944:J2007" si="3881">IF(AND(ISNUMBER(#REF!), ISNUMBER(#REF!)),#REF! -#REF!,"")</f>
        <v/>
      </c>
      <c r="L1944" t="str">
        <f t="shared" ref="L1944:L2007" si="3882">IF(AND(ISNUMBER(#REF!), ISNUMBER(#REF!)),#REF! -#REF!,"")</f>
        <v/>
      </c>
    </row>
    <row r="1945" spans="10:12">
      <c r="J1945" t="str">
        <f t="shared" ref="J1945:J2008" si="3883">IF(AND(ISNUMBER(#REF!), ISNUMBER(#REF!)),#REF! -#REF!,"")</f>
        <v/>
      </c>
      <c r="L1945" t="str">
        <f t="shared" ref="L1945:L2008" si="3884">IF(AND(ISNUMBER(#REF!), ISNUMBER(#REF!)),#REF! -#REF!,"")</f>
        <v/>
      </c>
    </row>
    <row r="1946" spans="10:12">
      <c r="J1946" t="str">
        <f t="shared" ref="J1946:J2009" si="3885">IF(AND(ISNUMBER(#REF!), ISNUMBER(#REF!)),#REF! -#REF!,"")</f>
        <v/>
      </c>
      <c r="L1946" t="str">
        <f t="shared" ref="L1946:L2009" si="3886">IF(AND(ISNUMBER(#REF!), ISNUMBER(#REF!)),#REF! -#REF!,"")</f>
        <v/>
      </c>
    </row>
    <row r="1947" spans="10:12">
      <c r="J1947" t="str">
        <f t="shared" ref="J1947:J2010" si="3887">IF(AND(ISNUMBER(#REF!), ISNUMBER(#REF!)),#REF! -#REF!,"")</f>
        <v/>
      </c>
      <c r="L1947" t="str">
        <f t="shared" ref="L1947:L2010" si="3888">IF(AND(ISNUMBER(#REF!), ISNUMBER(#REF!)),#REF! -#REF!,"")</f>
        <v/>
      </c>
    </row>
    <row r="1948" spans="10:12">
      <c r="J1948" t="str">
        <f t="shared" ref="J1948:J2011" si="3889">IF(AND(ISNUMBER(#REF!), ISNUMBER(#REF!)),#REF! -#REF!,"")</f>
        <v/>
      </c>
      <c r="L1948" t="str">
        <f t="shared" ref="L1948:L2011" si="3890">IF(AND(ISNUMBER(#REF!), ISNUMBER(#REF!)),#REF! -#REF!,"")</f>
        <v/>
      </c>
    </row>
    <row r="1949" spans="10:12">
      <c r="J1949" t="str">
        <f t="shared" ref="J1949:J2012" si="3891">IF(AND(ISNUMBER(#REF!), ISNUMBER(#REF!)),#REF! -#REF!,"")</f>
        <v/>
      </c>
      <c r="L1949" t="str">
        <f t="shared" ref="L1949:L2012" si="3892">IF(AND(ISNUMBER(#REF!), ISNUMBER(#REF!)),#REF! -#REF!,"")</f>
        <v/>
      </c>
    </row>
    <row r="1950" spans="10:12">
      <c r="J1950" t="str">
        <f t="shared" ref="J1950:J2013" si="3893">IF(AND(ISNUMBER(#REF!), ISNUMBER(#REF!)),#REF! -#REF!,"")</f>
        <v/>
      </c>
      <c r="L1950" t="str">
        <f t="shared" ref="L1950:L2013" si="3894">IF(AND(ISNUMBER(#REF!), ISNUMBER(#REF!)),#REF! -#REF!,"")</f>
        <v/>
      </c>
    </row>
    <row r="1951" spans="10:12">
      <c r="J1951" t="str">
        <f t="shared" ref="J1951:J2014" si="3895">IF(AND(ISNUMBER(#REF!), ISNUMBER(#REF!)),#REF! -#REF!,"")</f>
        <v/>
      </c>
      <c r="L1951" t="str">
        <f t="shared" ref="L1951:L2014" si="3896">IF(AND(ISNUMBER(#REF!), ISNUMBER(#REF!)),#REF! -#REF!,"")</f>
        <v/>
      </c>
    </row>
    <row r="1952" spans="10:12">
      <c r="J1952" t="str">
        <f t="shared" ref="J1952:J2015" si="3897">IF(AND(ISNUMBER(#REF!), ISNUMBER(#REF!)),#REF! -#REF!,"")</f>
        <v/>
      </c>
      <c r="L1952" t="str">
        <f t="shared" ref="L1952:L2015" si="3898">IF(AND(ISNUMBER(#REF!), ISNUMBER(#REF!)),#REF! -#REF!,"")</f>
        <v/>
      </c>
    </row>
    <row r="1953" spans="10:12">
      <c r="J1953" t="str">
        <f t="shared" ref="J1953:J2016" si="3899">IF(AND(ISNUMBER(#REF!), ISNUMBER(#REF!)),#REF! -#REF!,"")</f>
        <v/>
      </c>
      <c r="L1953" t="str">
        <f t="shared" ref="L1953:L2016" si="3900">IF(AND(ISNUMBER(#REF!), ISNUMBER(#REF!)),#REF! -#REF!,"")</f>
        <v/>
      </c>
    </row>
    <row r="1954" spans="10:12">
      <c r="J1954" t="str">
        <f t="shared" ref="J1954:J2017" si="3901">IF(AND(ISNUMBER(#REF!), ISNUMBER(#REF!)),#REF! -#REF!,"")</f>
        <v/>
      </c>
      <c r="L1954" t="str">
        <f t="shared" ref="L1954:L2017" si="3902">IF(AND(ISNUMBER(#REF!), ISNUMBER(#REF!)),#REF! -#REF!,"")</f>
        <v/>
      </c>
    </row>
    <row r="1955" spans="10:12">
      <c r="J1955" t="str">
        <f t="shared" ref="J1955:J2018" si="3903">IF(AND(ISNUMBER(#REF!), ISNUMBER(#REF!)),#REF! -#REF!,"")</f>
        <v/>
      </c>
      <c r="L1955" t="str">
        <f t="shared" ref="L1955:L2018" si="3904">IF(AND(ISNUMBER(#REF!), ISNUMBER(#REF!)),#REF! -#REF!,"")</f>
        <v/>
      </c>
    </row>
    <row r="1956" spans="10:12">
      <c r="J1956" t="str">
        <f t="shared" ref="J1956:J2019" si="3905">IF(AND(ISNUMBER(#REF!), ISNUMBER(#REF!)),#REF! -#REF!,"")</f>
        <v/>
      </c>
      <c r="L1956" t="str">
        <f t="shared" ref="L1956:L2019" si="3906">IF(AND(ISNUMBER(#REF!), ISNUMBER(#REF!)),#REF! -#REF!,"")</f>
        <v/>
      </c>
    </row>
    <row r="1957" spans="10:12">
      <c r="J1957" t="str">
        <f t="shared" ref="J1957:J2020" si="3907">IF(AND(ISNUMBER(#REF!), ISNUMBER(#REF!)),#REF! -#REF!,"")</f>
        <v/>
      </c>
      <c r="L1957" t="str">
        <f t="shared" ref="L1957:L2020" si="3908">IF(AND(ISNUMBER(#REF!), ISNUMBER(#REF!)),#REF! -#REF!,"")</f>
        <v/>
      </c>
    </row>
    <row r="1958" spans="10:12">
      <c r="J1958" t="str">
        <f t="shared" ref="J1958:J2021" si="3909">IF(AND(ISNUMBER(#REF!), ISNUMBER(#REF!)),#REF! -#REF!,"")</f>
        <v/>
      </c>
      <c r="L1958" t="str">
        <f t="shared" ref="L1958:L2021" si="3910">IF(AND(ISNUMBER(#REF!), ISNUMBER(#REF!)),#REF! -#REF!,"")</f>
        <v/>
      </c>
    </row>
    <row r="1959" spans="10:12">
      <c r="J1959" t="str">
        <f t="shared" ref="J1959:J2022" si="3911">IF(AND(ISNUMBER(#REF!), ISNUMBER(#REF!)),#REF! -#REF!,"")</f>
        <v/>
      </c>
      <c r="L1959" t="str">
        <f t="shared" ref="L1959:L2022" si="3912">IF(AND(ISNUMBER(#REF!), ISNUMBER(#REF!)),#REF! -#REF!,"")</f>
        <v/>
      </c>
    </row>
    <row r="1960" spans="10:12">
      <c r="J1960" t="str">
        <f t="shared" ref="J1960:J2023" si="3913">IF(AND(ISNUMBER(#REF!), ISNUMBER(#REF!)),#REF! -#REF!,"")</f>
        <v/>
      </c>
      <c r="L1960" t="str">
        <f t="shared" ref="L1960:L2023" si="3914">IF(AND(ISNUMBER(#REF!), ISNUMBER(#REF!)),#REF! -#REF!,"")</f>
        <v/>
      </c>
    </row>
    <row r="1961" spans="10:12">
      <c r="J1961" t="str">
        <f t="shared" ref="J1961:J2024" si="3915">IF(AND(ISNUMBER(#REF!), ISNUMBER(#REF!)),#REF! -#REF!,"")</f>
        <v/>
      </c>
      <c r="L1961" t="str">
        <f t="shared" ref="L1961:L2024" si="3916">IF(AND(ISNUMBER(#REF!), ISNUMBER(#REF!)),#REF! -#REF!,"")</f>
        <v/>
      </c>
    </row>
    <row r="1962" spans="10:12">
      <c r="J1962" t="str">
        <f t="shared" ref="J1962:J2025" si="3917">IF(AND(ISNUMBER(#REF!), ISNUMBER(#REF!)),#REF! -#REF!,"")</f>
        <v/>
      </c>
      <c r="L1962" t="str">
        <f t="shared" ref="L1962:L2025" si="3918">IF(AND(ISNUMBER(#REF!), ISNUMBER(#REF!)),#REF! -#REF!,"")</f>
        <v/>
      </c>
    </row>
    <row r="1963" spans="10:12">
      <c r="J1963" t="str">
        <f t="shared" ref="J1963:J2026" si="3919">IF(AND(ISNUMBER(#REF!), ISNUMBER(#REF!)),#REF! -#REF!,"")</f>
        <v/>
      </c>
      <c r="L1963" t="str">
        <f t="shared" ref="L1963:L2026" si="3920">IF(AND(ISNUMBER(#REF!), ISNUMBER(#REF!)),#REF! -#REF!,"")</f>
        <v/>
      </c>
    </row>
    <row r="1964" spans="10:12">
      <c r="J1964" t="str">
        <f t="shared" ref="J1964:J2027" si="3921">IF(AND(ISNUMBER(#REF!), ISNUMBER(#REF!)),#REF! -#REF!,"")</f>
        <v/>
      </c>
      <c r="L1964" t="str">
        <f t="shared" ref="L1964:L2027" si="3922">IF(AND(ISNUMBER(#REF!), ISNUMBER(#REF!)),#REF! -#REF!,"")</f>
        <v/>
      </c>
    </row>
    <row r="1965" spans="10:12">
      <c r="J1965" t="str">
        <f t="shared" ref="J1965:J2028" si="3923">IF(AND(ISNUMBER(#REF!), ISNUMBER(#REF!)),#REF! -#REF!,"")</f>
        <v/>
      </c>
      <c r="L1965" t="str">
        <f t="shared" ref="L1965:L2028" si="3924">IF(AND(ISNUMBER(#REF!), ISNUMBER(#REF!)),#REF! -#REF!,"")</f>
        <v/>
      </c>
    </row>
    <row r="1966" spans="10:12">
      <c r="J1966" t="str">
        <f t="shared" ref="J1966:J2029" si="3925">IF(AND(ISNUMBER(#REF!), ISNUMBER(#REF!)),#REF! -#REF!,"")</f>
        <v/>
      </c>
      <c r="L1966" t="str">
        <f t="shared" ref="L1966:L2029" si="3926">IF(AND(ISNUMBER(#REF!), ISNUMBER(#REF!)),#REF! -#REF!,"")</f>
        <v/>
      </c>
    </row>
    <row r="1967" spans="10:12">
      <c r="J1967" t="str">
        <f t="shared" ref="J1967:J2030" si="3927">IF(AND(ISNUMBER(#REF!), ISNUMBER(#REF!)),#REF! -#REF!,"")</f>
        <v/>
      </c>
      <c r="L1967" t="str">
        <f t="shared" ref="L1967:L2030" si="3928">IF(AND(ISNUMBER(#REF!), ISNUMBER(#REF!)),#REF! -#REF!,"")</f>
        <v/>
      </c>
    </row>
    <row r="1968" spans="10:12">
      <c r="J1968" t="str">
        <f t="shared" ref="J1968:J2031" si="3929">IF(AND(ISNUMBER(#REF!), ISNUMBER(#REF!)),#REF! -#REF!,"")</f>
        <v/>
      </c>
      <c r="L1968" t="str">
        <f t="shared" ref="L1968:L2031" si="3930">IF(AND(ISNUMBER(#REF!), ISNUMBER(#REF!)),#REF! -#REF!,"")</f>
        <v/>
      </c>
    </row>
    <row r="1969" spans="10:12">
      <c r="J1969" t="str">
        <f t="shared" ref="J1969:J2032" si="3931">IF(AND(ISNUMBER(#REF!), ISNUMBER(#REF!)),#REF! -#REF!,"")</f>
        <v/>
      </c>
      <c r="L1969" t="str">
        <f t="shared" ref="L1969:L2032" si="3932">IF(AND(ISNUMBER(#REF!), ISNUMBER(#REF!)),#REF! -#REF!,"")</f>
        <v/>
      </c>
    </row>
    <row r="1970" spans="10:12">
      <c r="J1970" t="str">
        <f t="shared" ref="J1970:J2033" si="3933">IF(AND(ISNUMBER(#REF!), ISNUMBER(#REF!)),#REF! -#REF!,"")</f>
        <v/>
      </c>
      <c r="L1970" t="str">
        <f t="shared" ref="L1970:L2033" si="3934">IF(AND(ISNUMBER(#REF!), ISNUMBER(#REF!)),#REF! -#REF!,"")</f>
        <v/>
      </c>
    </row>
    <row r="1971" spans="10:12">
      <c r="J1971" t="str">
        <f t="shared" ref="J1971:J2034" si="3935">IF(AND(ISNUMBER(#REF!), ISNUMBER(#REF!)),#REF! -#REF!,"")</f>
        <v/>
      </c>
      <c r="L1971" t="str">
        <f t="shared" ref="L1971:L2034" si="3936">IF(AND(ISNUMBER(#REF!), ISNUMBER(#REF!)),#REF! -#REF!,"")</f>
        <v/>
      </c>
    </row>
    <row r="1972" spans="10:12">
      <c r="J1972" t="str">
        <f t="shared" ref="J1972:J2035" si="3937">IF(AND(ISNUMBER(#REF!), ISNUMBER(#REF!)),#REF! -#REF!,"")</f>
        <v/>
      </c>
      <c r="L1972" t="str">
        <f t="shared" ref="L1972:L2035" si="3938">IF(AND(ISNUMBER(#REF!), ISNUMBER(#REF!)),#REF! -#REF!,"")</f>
        <v/>
      </c>
    </row>
    <row r="1973" spans="10:12">
      <c r="J1973" t="str">
        <f t="shared" ref="J1973:J2036" si="3939">IF(AND(ISNUMBER(#REF!), ISNUMBER(#REF!)),#REF! -#REF!,"")</f>
        <v/>
      </c>
      <c r="L1973" t="str">
        <f t="shared" ref="L1973:L2036" si="3940">IF(AND(ISNUMBER(#REF!), ISNUMBER(#REF!)),#REF! -#REF!,"")</f>
        <v/>
      </c>
    </row>
    <row r="1974" spans="10:12">
      <c r="J1974" t="str">
        <f t="shared" ref="J1974:J2037" si="3941">IF(AND(ISNUMBER(#REF!), ISNUMBER(#REF!)),#REF! -#REF!,"")</f>
        <v/>
      </c>
      <c r="L1974" t="str">
        <f t="shared" ref="L1974:L2037" si="3942">IF(AND(ISNUMBER(#REF!), ISNUMBER(#REF!)),#REF! -#REF!,"")</f>
        <v/>
      </c>
    </row>
    <row r="1975" spans="10:12">
      <c r="J1975" t="str">
        <f t="shared" ref="J1975:J2038" si="3943">IF(AND(ISNUMBER(#REF!), ISNUMBER(#REF!)),#REF! -#REF!,"")</f>
        <v/>
      </c>
      <c r="L1975" t="str">
        <f t="shared" ref="L1975:L2038" si="3944">IF(AND(ISNUMBER(#REF!), ISNUMBER(#REF!)),#REF! -#REF!,"")</f>
        <v/>
      </c>
    </row>
    <row r="1976" spans="10:12">
      <c r="J1976" t="str">
        <f t="shared" ref="J1976:J2039" si="3945">IF(AND(ISNUMBER(#REF!), ISNUMBER(#REF!)),#REF! -#REF!,"")</f>
        <v/>
      </c>
      <c r="L1976" t="str">
        <f t="shared" ref="L1976:L2039" si="3946">IF(AND(ISNUMBER(#REF!), ISNUMBER(#REF!)),#REF! -#REF!,"")</f>
        <v/>
      </c>
    </row>
    <row r="1977" spans="10:12">
      <c r="J1977" t="str">
        <f t="shared" ref="J1977:J2040" si="3947">IF(AND(ISNUMBER(#REF!), ISNUMBER(#REF!)),#REF! -#REF!,"")</f>
        <v/>
      </c>
      <c r="L1977" t="str">
        <f t="shared" ref="L1977:L2040" si="3948">IF(AND(ISNUMBER(#REF!), ISNUMBER(#REF!)),#REF! -#REF!,"")</f>
        <v/>
      </c>
    </row>
    <row r="1978" spans="10:12">
      <c r="J1978" t="str">
        <f t="shared" ref="J1978:J2041" si="3949">IF(AND(ISNUMBER(#REF!), ISNUMBER(#REF!)),#REF! -#REF!,"")</f>
        <v/>
      </c>
      <c r="L1978" t="str">
        <f t="shared" ref="L1978:L2041" si="3950">IF(AND(ISNUMBER(#REF!), ISNUMBER(#REF!)),#REF! -#REF!,"")</f>
        <v/>
      </c>
    </row>
    <row r="1979" spans="10:12">
      <c r="J1979" t="str">
        <f t="shared" ref="J1979:J2042" si="3951">IF(AND(ISNUMBER(#REF!), ISNUMBER(#REF!)),#REF! -#REF!,"")</f>
        <v/>
      </c>
      <c r="L1979" t="str">
        <f t="shared" ref="L1979:L2042" si="3952">IF(AND(ISNUMBER(#REF!), ISNUMBER(#REF!)),#REF! -#REF!,"")</f>
        <v/>
      </c>
    </row>
    <row r="1980" spans="10:12">
      <c r="J1980" t="str">
        <f t="shared" ref="J1980:J2043" si="3953">IF(AND(ISNUMBER(#REF!), ISNUMBER(#REF!)),#REF! -#REF!,"")</f>
        <v/>
      </c>
      <c r="L1980" t="str">
        <f t="shared" ref="L1980:L2043" si="3954">IF(AND(ISNUMBER(#REF!), ISNUMBER(#REF!)),#REF! -#REF!,"")</f>
        <v/>
      </c>
    </row>
    <row r="1981" spans="10:12">
      <c r="J1981" t="str">
        <f t="shared" ref="J1981:J2044" si="3955">IF(AND(ISNUMBER(#REF!), ISNUMBER(#REF!)),#REF! -#REF!,"")</f>
        <v/>
      </c>
      <c r="L1981" t="str">
        <f t="shared" ref="L1981:L2044" si="3956">IF(AND(ISNUMBER(#REF!), ISNUMBER(#REF!)),#REF! -#REF!,"")</f>
        <v/>
      </c>
    </row>
    <row r="1982" spans="10:12">
      <c r="J1982" t="str">
        <f t="shared" ref="J1982:J2045" si="3957">IF(AND(ISNUMBER(#REF!), ISNUMBER(#REF!)),#REF! -#REF!,"")</f>
        <v/>
      </c>
      <c r="L1982" t="str">
        <f t="shared" ref="L1982:L2045" si="3958">IF(AND(ISNUMBER(#REF!), ISNUMBER(#REF!)),#REF! -#REF!,"")</f>
        <v/>
      </c>
    </row>
    <row r="1983" spans="10:12">
      <c r="J1983" t="str">
        <f t="shared" ref="J1983:J2046" si="3959">IF(AND(ISNUMBER(#REF!), ISNUMBER(#REF!)),#REF! -#REF!,"")</f>
        <v/>
      </c>
      <c r="L1983" t="str">
        <f t="shared" ref="L1983:L2046" si="3960">IF(AND(ISNUMBER(#REF!), ISNUMBER(#REF!)),#REF! -#REF!,"")</f>
        <v/>
      </c>
    </row>
    <row r="1984" spans="10:12">
      <c r="J1984" t="str">
        <f t="shared" ref="J1984:J2047" si="3961">IF(AND(ISNUMBER(#REF!), ISNUMBER(#REF!)),#REF! -#REF!,"")</f>
        <v/>
      </c>
      <c r="L1984" t="str">
        <f t="shared" ref="L1984:L2047" si="3962">IF(AND(ISNUMBER(#REF!), ISNUMBER(#REF!)),#REF! -#REF!,"")</f>
        <v/>
      </c>
    </row>
    <row r="1985" spans="10:12">
      <c r="J1985" t="str">
        <f t="shared" ref="J1985:J2048" si="3963">IF(AND(ISNUMBER(#REF!), ISNUMBER(#REF!)),#REF! -#REF!,"")</f>
        <v/>
      </c>
      <c r="L1985" t="str">
        <f t="shared" ref="L1985:L2048" si="3964">IF(AND(ISNUMBER(#REF!), ISNUMBER(#REF!)),#REF! -#REF!,"")</f>
        <v/>
      </c>
    </row>
    <row r="1986" spans="10:12">
      <c r="J1986" t="str">
        <f t="shared" ref="J1986:J2049" si="3965">IF(AND(ISNUMBER(#REF!), ISNUMBER(#REF!)),#REF! -#REF!,"")</f>
        <v/>
      </c>
      <c r="L1986" t="str">
        <f t="shared" ref="L1986:L2049" si="3966">IF(AND(ISNUMBER(#REF!), ISNUMBER(#REF!)),#REF! -#REF!,"")</f>
        <v/>
      </c>
    </row>
    <row r="1987" spans="10:12">
      <c r="J1987" t="str">
        <f t="shared" ref="J1987:J2050" si="3967">IF(AND(ISNUMBER(#REF!), ISNUMBER(#REF!)),#REF! -#REF!,"")</f>
        <v/>
      </c>
      <c r="L1987" t="str">
        <f t="shared" ref="L1987:L2050" si="3968">IF(AND(ISNUMBER(#REF!), ISNUMBER(#REF!)),#REF! -#REF!,"")</f>
        <v/>
      </c>
    </row>
    <row r="1988" spans="10:12">
      <c r="J1988" t="str">
        <f t="shared" ref="J1988:J2051" si="3969">IF(AND(ISNUMBER(#REF!), ISNUMBER(#REF!)),#REF! -#REF!,"")</f>
        <v/>
      </c>
      <c r="L1988" t="str">
        <f t="shared" ref="L1988:L2051" si="3970">IF(AND(ISNUMBER(#REF!), ISNUMBER(#REF!)),#REF! -#REF!,"")</f>
        <v/>
      </c>
    </row>
    <row r="1989" spans="10:12">
      <c r="J1989" t="str">
        <f t="shared" ref="J1989:J2052" si="3971">IF(AND(ISNUMBER(#REF!), ISNUMBER(#REF!)),#REF! -#REF!,"")</f>
        <v/>
      </c>
      <c r="L1989" t="str">
        <f t="shared" ref="L1989:L2052" si="3972">IF(AND(ISNUMBER(#REF!), ISNUMBER(#REF!)),#REF! -#REF!,"")</f>
        <v/>
      </c>
    </row>
    <row r="1990" spans="10:12">
      <c r="J1990" t="str">
        <f t="shared" ref="J1990:J2053" si="3973">IF(AND(ISNUMBER(#REF!), ISNUMBER(#REF!)),#REF! -#REF!,"")</f>
        <v/>
      </c>
      <c r="L1990" t="str">
        <f t="shared" ref="L1990:L2053" si="3974">IF(AND(ISNUMBER(#REF!), ISNUMBER(#REF!)),#REF! -#REF!,"")</f>
        <v/>
      </c>
    </row>
    <row r="1991" spans="10:12">
      <c r="J1991" t="str">
        <f t="shared" ref="J1991:J2054" si="3975">IF(AND(ISNUMBER(#REF!), ISNUMBER(#REF!)),#REF! -#REF!,"")</f>
        <v/>
      </c>
      <c r="L1991" t="str">
        <f t="shared" ref="L1991:L2054" si="3976">IF(AND(ISNUMBER(#REF!), ISNUMBER(#REF!)),#REF! -#REF!,"")</f>
        <v/>
      </c>
    </row>
    <row r="1992" spans="10:12">
      <c r="J1992" t="str">
        <f t="shared" ref="J1992:J2055" si="3977">IF(AND(ISNUMBER(#REF!), ISNUMBER(#REF!)),#REF! -#REF!,"")</f>
        <v/>
      </c>
      <c r="L1992" t="str">
        <f t="shared" ref="L1992:L2055" si="3978">IF(AND(ISNUMBER(#REF!), ISNUMBER(#REF!)),#REF! -#REF!,"")</f>
        <v/>
      </c>
    </row>
    <row r="1993" spans="10:12">
      <c r="J1993" t="str">
        <f t="shared" ref="J1993:J2056" si="3979">IF(AND(ISNUMBER(#REF!), ISNUMBER(#REF!)),#REF! -#REF!,"")</f>
        <v/>
      </c>
      <c r="L1993" t="str">
        <f t="shared" ref="L1993:L2056" si="3980">IF(AND(ISNUMBER(#REF!), ISNUMBER(#REF!)),#REF! -#REF!,"")</f>
        <v/>
      </c>
    </row>
    <row r="1994" spans="10:12">
      <c r="J1994" t="str">
        <f t="shared" ref="J1994:J2057" si="3981">IF(AND(ISNUMBER(#REF!), ISNUMBER(#REF!)),#REF! -#REF!,"")</f>
        <v/>
      </c>
      <c r="L1994" t="str">
        <f t="shared" ref="L1994:L2057" si="3982">IF(AND(ISNUMBER(#REF!), ISNUMBER(#REF!)),#REF! -#REF!,"")</f>
        <v/>
      </c>
    </row>
    <row r="1995" spans="10:12">
      <c r="J1995" t="str">
        <f t="shared" ref="J1995:J2058" si="3983">IF(AND(ISNUMBER(#REF!), ISNUMBER(#REF!)),#REF! -#REF!,"")</f>
        <v/>
      </c>
      <c r="L1995" t="str">
        <f t="shared" ref="L1995:L2058" si="3984">IF(AND(ISNUMBER(#REF!), ISNUMBER(#REF!)),#REF! -#REF!,"")</f>
        <v/>
      </c>
    </row>
    <row r="1996" spans="10:12">
      <c r="J1996" t="str">
        <f t="shared" ref="J1996:J2059" si="3985">IF(AND(ISNUMBER(#REF!), ISNUMBER(#REF!)),#REF! -#REF!,"")</f>
        <v/>
      </c>
      <c r="L1996" t="str">
        <f t="shared" ref="L1996:L2059" si="3986">IF(AND(ISNUMBER(#REF!), ISNUMBER(#REF!)),#REF! -#REF!,"")</f>
        <v/>
      </c>
    </row>
    <row r="1997" spans="10:12">
      <c r="J1997" t="str">
        <f t="shared" ref="J1997:J2060" si="3987">IF(AND(ISNUMBER(#REF!), ISNUMBER(#REF!)),#REF! -#REF!,"")</f>
        <v/>
      </c>
      <c r="L1997" t="str">
        <f t="shared" ref="L1997:L2060" si="3988">IF(AND(ISNUMBER(#REF!), ISNUMBER(#REF!)),#REF! -#REF!,"")</f>
        <v/>
      </c>
    </row>
    <row r="1998" spans="10:12">
      <c r="J1998" t="str">
        <f t="shared" ref="J1998:J2061" si="3989">IF(AND(ISNUMBER(#REF!), ISNUMBER(#REF!)),#REF! -#REF!,"")</f>
        <v/>
      </c>
      <c r="L1998" t="str">
        <f t="shared" ref="L1998:L2061" si="3990">IF(AND(ISNUMBER(#REF!), ISNUMBER(#REF!)),#REF! -#REF!,"")</f>
        <v/>
      </c>
    </row>
    <row r="1999" spans="10:12">
      <c r="J1999" t="str">
        <f t="shared" ref="J1999:J2062" si="3991">IF(AND(ISNUMBER(#REF!), ISNUMBER(#REF!)),#REF! -#REF!,"")</f>
        <v/>
      </c>
      <c r="L1999" t="str">
        <f t="shared" ref="L1999:L2062" si="3992">IF(AND(ISNUMBER(#REF!), ISNUMBER(#REF!)),#REF! -#REF!,"")</f>
        <v/>
      </c>
    </row>
    <row r="2000" spans="10:12">
      <c r="J2000" t="str">
        <f t="shared" ref="J2000:J2063" si="3993">IF(AND(ISNUMBER(#REF!), ISNUMBER(#REF!)),#REF! -#REF!,"")</f>
        <v/>
      </c>
      <c r="L2000" t="str">
        <f t="shared" ref="L2000:L2063" si="3994">IF(AND(ISNUMBER(#REF!), ISNUMBER(#REF!)),#REF! -#REF!,"")</f>
        <v/>
      </c>
    </row>
    <row r="2001" spans="10:12">
      <c r="J2001" t="str">
        <f t="shared" ref="J2001:J2064" si="3995">IF(AND(ISNUMBER(#REF!), ISNUMBER(#REF!)),#REF! -#REF!,"")</f>
        <v/>
      </c>
      <c r="L2001" t="str">
        <f t="shared" ref="L2001:L2064" si="3996">IF(AND(ISNUMBER(#REF!), ISNUMBER(#REF!)),#REF! -#REF!,"")</f>
        <v/>
      </c>
    </row>
    <row r="2002" spans="10:12">
      <c r="J2002" t="str">
        <f t="shared" ref="J2002:J2065" si="3997">IF(AND(ISNUMBER(#REF!), ISNUMBER(#REF!)),#REF! -#REF!,"")</f>
        <v/>
      </c>
      <c r="L2002" t="str">
        <f t="shared" ref="L2002:L2065" si="3998">IF(AND(ISNUMBER(#REF!), ISNUMBER(#REF!)),#REF! -#REF!,"")</f>
        <v/>
      </c>
    </row>
    <row r="2003" spans="10:12">
      <c r="J2003" t="str">
        <f t="shared" ref="J2003:J2066" si="3999">IF(AND(ISNUMBER(#REF!), ISNUMBER(#REF!)),#REF! -#REF!,"")</f>
        <v/>
      </c>
      <c r="L2003" t="str">
        <f t="shared" ref="L2003:L2066" si="4000">IF(AND(ISNUMBER(#REF!), ISNUMBER(#REF!)),#REF! -#REF!,"")</f>
        <v/>
      </c>
    </row>
    <row r="2004" spans="10:12">
      <c r="J2004" t="str">
        <f t="shared" ref="J2004:J2067" si="4001">IF(AND(ISNUMBER(#REF!), ISNUMBER(#REF!)),#REF! -#REF!,"")</f>
        <v/>
      </c>
      <c r="L2004" t="str">
        <f t="shared" ref="L2004:L2067" si="4002">IF(AND(ISNUMBER(#REF!), ISNUMBER(#REF!)),#REF! -#REF!,"")</f>
        <v/>
      </c>
    </row>
    <row r="2005" spans="10:12">
      <c r="J2005" t="str">
        <f t="shared" ref="J2005:J2068" si="4003">IF(AND(ISNUMBER(#REF!), ISNUMBER(#REF!)),#REF! -#REF!,"")</f>
        <v/>
      </c>
      <c r="L2005" t="str">
        <f t="shared" ref="L2005:L2068" si="4004">IF(AND(ISNUMBER(#REF!), ISNUMBER(#REF!)),#REF! -#REF!,"")</f>
        <v/>
      </c>
    </row>
    <row r="2006" spans="10:12">
      <c r="J2006" t="str">
        <f t="shared" ref="J2006:J2069" si="4005">IF(AND(ISNUMBER(#REF!), ISNUMBER(#REF!)),#REF! -#REF!,"")</f>
        <v/>
      </c>
      <c r="L2006" t="str">
        <f t="shared" ref="L2006:L2069" si="4006">IF(AND(ISNUMBER(#REF!), ISNUMBER(#REF!)),#REF! -#REF!,"")</f>
        <v/>
      </c>
    </row>
    <row r="2007" spans="10:12">
      <c r="J2007" t="str">
        <f t="shared" ref="J2007:J2070" si="4007">IF(AND(ISNUMBER(#REF!), ISNUMBER(#REF!)),#REF! -#REF!,"")</f>
        <v/>
      </c>
      <c r="L2007" t="str">
        <f t="shared" ref="L2007:L2070" si="4008">IF(AND(ISNUMBER(#REF!), ISNUMBER(#REF!)),#REF! -#REF!,"")</f>
        <v/>
      </c>
    </row>
    <row r="2008" spans="10:12">
      <c r="J2008" t="str">
        <f t="shared" ref="J2008:J2071" si="4009">IF(AND(ISNUMBER(#REF!), ISNUMBER(#REF!)),#REF! -#REF!,"")</f>
        <v/>
      </c>
      <c r="L2008" t="str">
        <f t="shared" ref="L2008:L2071" si="4010">IF(AND(ISNUMBER(#REF!), ISNUMBER(#REF!)),#REF! -#REF!,"")</f>
        <v/>
      </c>
    </row>
    <row r="2009" spans="10:12">
      <c r="J2009" t="str">
        <f t="shared" ref="J2009:J2072" si="4011">IF(AND(ISNUMBER(#REF!), ISNUMBER(#REF!)),#REF! -#REF!,"")</f>
        <v/>
      </c>
      <c r="L2009" t="str">
        <f t="shared" ref="L2009:L2072" si="4012">IF(AND(ISNUMBER(#REF!), ISNUMBER(#REF!)),#REF! -#REF!,"")</f>
        <v/>
      </c>
    </row>
    <row r="2010" spans="10:12">
      <c r="J2010" t="str">
        <f t="shared" ref="J2010:J2073" si="4013">IF(AND(ISNUMBER(#REF!), ISNUMBER(#REF!)),#REF! -#REF!,"")</f>
        <v/>
      </c>
      <c r="L2010" t="str">
        <f t="shared" ref="L2010:L2073" si="4014">IF(AND(ISNUMBER(#REF!), ISNUMBER(#REF!)),#REF! -#REF!,"")</f>
        <v/>
      </c>
    </row>
    <row r="2011" spans="10:12">
      <c r="J2011" t="str">
        <f t="shared" ref="J2011:J2074" si="4015">IF(AND(ISNUMBER(#REF!), ISNUMBER(#REF!)),#REF! -#REF!,"")</f>
        <v/>
      </c>
      <c r="L2011" t="str">
        <f t="shared" ref="L2011:L2074" si="4016">IF(AND(ISNUMBER(#REF!), ISNUMBER(#REF!)),#REF! -#REF!,"")</f>
        <v/>
      </c>
    </row>
    <row r="2012" spans="10:12">
      <c r="J2012" t="str">
        <f t="shared" ref="J2012:J2075" si="4017">IF(AND(ISNUMBER(#REF!), ISNUMBER(#REF!)),#REF! -#REF!,"")</f>
        <v/>
      </c>
      <c r="L2012" t="str">
        <f t="shared" ref="L2012:L2075" si="4018">IF(AND(ISNUMBER(#REF!), ISNUMBER(#REF!)),#REF! -#REF!,"")</f>
        <v/>
      </c>
    </row>
    <row r="2013" spans="10:12">
      <c r="J2013" t="str">
        <f t="shared" ref="J2013:J2076" si="4019">IF(AND(ISNUMBER(#REF!), ISNUMBER(#REF!)),#REF! -#REF!,"")</f>
        <v/>
      </c>
      <c r="L2013" t="str">
        <f t="shared" ref="L2013:L2076" si="4020">IF(AND(ISNUMBER(#REF!), ISNUMBER(#REF!)),#REF! -#REF!,"")</f>
        <v/>
      </c>
    </row>
    <row r="2014" spans="10:12">
      <c r="J2014" t="str">
        <f t="shared" ref="J2014:J2077" si="4021">IF(AND(ISNUMBER(#REF!), ISNUMBER(#REF!)),#REF! -#REF!,"")</f>
        <v/>
      </c>
      <c r="L2014" t="str">
        <f t="shared" ref="L2014:L2077" si="4022">IF(AND(ISNUMBER(#REF!), ISNUMBER(#REF!)),#REF! -#REF!,"")</f>
        <v/>
      </c>
    </row>
    <row r="2015" spans="10:12">
      <c r="J2015" t="str">
        <f t="shared" ref="J2015:J2078" si="4023">IF(AND(ISNUMBER(#REF!), ISNUMBER(#REF!)),#REF! -#REF!,"")</f>
        <v/>
      </c>
      <c r="L2015" t="str">
        <f t="shared" ref="L2015:L2078" si="4024">IF(AND(ISNUMBER(#REF!), ISNUMBER(#REF!)),#REF! -#REF!,"")</f>
        <v/>
      </c>
    </row>
    <row r="2016" spans="10:12">
      <c r="J2016" t="str">
        <f t="shared" ref="J2016:J2079" si="4025">IF(AND(ISNUMBER(#REF!), ISNUMBER(#REF!)),#REF! -#REF!,"")</f>
        <v/>
      </c>
      <c r="L2016" t="str">
        <f t="shared" ref="L2016:L2079" si="4026">IF(AND(ISNUMBER(#REF!), ISNUMBER(#REF!)),#REF! -#REF!,"")</f>
        <v/>
      </c>
    </row>
    <row r="2017" spans="10:12">
      <c r="J2017" t="str">
        <f t="shared" ref="J2017:J2080" si="4027">IF(AND(ISNUMBER(#REF!), ISNUMBER(#REF!)),#REF! -#REF!,"")</f>
        <v/>
      </c>
      <c r="L2017" t="str">
        <f t="shared" ref="L2017:L2080" si="4028">IF(AND(ISNUMBER(#REF!), ISNUMBER(#REF!)),#REF! -#REF!,"")</f>
        <v/>
      </c>
    </row>
    <row r="2018" spans="10:12">
      <c r="J2018" t="str">
        <f t="shared" ref="J2018:J2081" si="4029">IF(AND(ISNUMBER(#REF!), ISNUMBER(#REF!)),#REF! -#REF!,"")</f>
        <v/>
      </c>
      <c r="L2018" t="str">
        <f t="shared" ref="L2018:L2081" si="4030">IF(AND(ISNUMBER(#REF!), ISNUMBER(#REF!)),#REF! -#REF!,"")</f>
        <v/>
      </c>
    </row>
    <row r="2019" spans="10:12">
      <c r="J2019" t="str">
        <f t="shared" ref="J2019:J2082" si="4031">IF(AND(ISNUMBER(#REF!), ISNUMBER(#REF!)),#REF! -#REF!,"")</f>
        <v/>
      </c>
      <c r="L2019" t="str">
        <f t="shared" ref="L2019:L2082" si="4032">IF(AND(ISNUMBER(#REF!), ISNUMBER(#REF!)),#REF! -#REF!,"")</f>
        <v/>
      </c>
    </row>
    <row r="2020" spans="10:12">
      <c r="J2020" t="str">
        <f t="shared" ref="J2020:J2083" si="4033">IF(AND(ISNUMBER(#REF!), ISNUMBER(#REF!)),#REF! -#REF!,"")</f>
        <v/>
      </c>
      <c r="L2020" t="str">
        <f t="shared" ref="L2020:L2083" si="4034">IF(AND(ISNUMBER(#REF!), ISNUMBER(#REF!)),#REF! -#REF!,"")</f>
        <v/>
      </c>
    </row>
    <row r="2021" spans="10:12">
      <c r="J2021" t="str">
        <f t="shared" ref="J2021:J2084" si="4035">IF(AND(ISNUMBER(#REF!), ISNUMBER(#REF!)),#REF! -#REF!,"")</f>
        <v/>
      </c>
      <c r="L2021" t="str">
        <f t="shared" ref="L2021:L2084" si="4036">IF(AND(ISNUMBER(#REF!), ISNUMBER(#REF!)),#REF! -#REF!,"")</f>
        <v/>
      </c>
    </row>
    <row r="2022" spans="10:12">
      <c r="J2022" t="str">
        <f t="shared" ref="J2022:J2085" si="4037">IF(AND(ISNUMBER(#REF!), ISNUMBER(#REF!)),#REF! -#REF!,"")</f>
        <v/>
      </c>
      <c r="L2022" t="str">
        <f t="shared" ref="L2022:L2085" si="4038">IF(AND(ISNUMBER(#REF!), ISNUMBER(#REF!)),#REF! -#REF!,"")</f>
        <v/>
      </c>
    </row>
    <row r="2023" spans="10:12">
      <c r="J2023" t="str">
        <f t="shared" ref="J2023:J2086" si="4039">IF(AND(ISNUMBER(#REF!), ISNUMBER(#REF!)),#REF! -#REF!,"")</f>
        <v/>
      </c>
      <c r="L2023" t="str">
        <f t="shared" ref="L2023:L2086" si="4040">IF(AND(ISNUMBER(#REF!), ISNUMBER(#REF!)),#REF! -#REF!,"")</f>
        <v/>
      </c>
    </row>
    <row r="2024" spans="10:12">
      <c r="J2024" t="str">
        <f t="shared" ref="J2024:J2087" si="4041">IF(AND(ISNUMBER(#REF!), ISNUMBER(#REF!)),#REF! -#REF!,"")</f>
        <v/>
      </c>
      <c r="L2024" t="str">
        <f t="shared" ref="L2024:L2087" si="4042">IF(AND(ISNUMBER(#REF!), ISNUMBER(#REF!)),#REF! -#REF!,"")</f>
        <v/>
      </c>
    </row>
    <row r="2025" spans="10:12">
      <c r="J2025" t="str">
        <f t="shared" ref="J2025:J2088" si="4043">IF(AND(ISNUMBER(#REF!), ISNUMBER(#REF!)),#REF! -#REF!,"")</f>
        <v/>
      </c>
      <c r="L2025" t="str">
        <f t="shared" ref="L2025:L2088" si="4044">IF(AND(ISNUMBER(#REF!), ISNUMBER(#REF!)),#REF! -#REF!,"")</f>
        <v/>
      </c>
    </row>
    <row r="2026" spans="10:12">
      <c r="J2026" t="str">
        <f t="shared" ref="J2026:J2089" si="4045">IF(AND(ISNUMBER(#REF!), ISNUMBER(#REF!)),#REF! -#REF!,"")</f>
        <v/>
      </c>
      <c r="L2026" t="str">
        <f t="shared" ref="L2026:L2089" si="4046">IF(AND(ISNUMBER(#REF!), ISNUMBER(#REF!)),#REF! -#REF!,"")</f>
        <v/>
      </c>
    </row>
    <row r="2027" spans="10:12">
      <c r="J2027" t="str">
        <f t="shared" ref="J2027:J2090" si="4047">IF(AND(ISNUMBER(#REF!), ISNUMBER(#REF!)),#REF! -#REF!,"")</f>
        <v/>
      </c>
      <c r="L2027" t="str">
        <f t="shared" ref="L2027:L2090" si="4048">IF(AND(ISNUMBER(#REF!), ISNUMBER(#REF!)),#REF! -#REF!,"")</f>
        <v/>
      </c>
    </row>
    <row r="2028" spans="10:12">
      <c r="J2028" t="str">
        <f t="shared" ref="J2028:J2091" si="4049">IF(AND(ISNUMBER(#REF!), ISNUMBER(#REF!)),#REF! -#REF!,"")</f>
        <v/>
      </c>
      <c r="L2028" t="str">
        <f t="shared" ref="L2028:L2091" si="4050">IF(AND(ISNUMBER(#REF!), ISNUMBER(#REF!)),#REF! -#REF!,"")</f>
        <v/>
      </c>
    </row>
    <row r="2029" spans="10:12">
      <c r="J2029" t="str">
        <f t="shared" ref="J2029:J2092" si="4051">IF(AND(ISNUMBER(#REF!), ISNUMBER(#REF!)),#REF! -#REF!,"")</f>
        <v/>
      </c>
      <c r="L2029" t="str">
        <f t="shared" ref="L2029:L2092" si="4052">IF(AND(ISNUMBER(#REF!), ISNUMBER(#REF!)),#REF! -#REF!,"")</f>
        <v/>
      </c>
    </row>
    <row r="2030" spans="10:12">
      <c r="J2030" t="str">
        <f t="shared" ref="J2030:J2093" si="4053">IF(AND(ISNUMBER(#REF!), ISNUMBER(#REF!)),#REF! -#REF!,"")</f>
        <v/>
      </c>
      <c r="L2030" t="str">
        <f t="shared" ref="L2030:L2093" si="4054">IF(AND(ISNUMBER(#REF!), ISNUMBER(#REF!)),#REF! -#REF!,"")</f>
        <v/>
      </c>
    </row>
    <row r="2031" spans="10:12">
      <c r="J2031" t="str">
        <f t="shared" ref="J2031:J2094" si="4055">IF(AND(ISNUMBER(#REF!), ISNUMBER(#REF!)),#REF! -#REF!,"")</f>
        <v/>
      </c>
      <c r="L2031" t="str">
        <f t="shared" ref="L2031:L2094" si="4056">IF(AND(ISNUMBER(#REF!), ISNUMBER(#REF!)),#REF! -#REF!,"")</f>
        <v/>
      </c>
    </row>
    <row r="2032" spans="10:12">
      <c r="J2032" t="str">
        <f t="shared" ref="J2032:J2095" si="4057">IF(AND(ISNUMBER(#REF!), ISNUMBER(#REF!)),#REF! -#REF!,"")</f>
        <v/>
      </c>
      <c r="L2032" t="str">
        <f t="shared" ref="L2032:L2095" si="4058">IF(AND(ISNUMBER(#REF!), ISNUMBER(#REF!)),#REF! -#REF!,"")</f>
        <v/>
      </c>
    </row>
    <row r="2033" spans="10:12">
      <c r="J2033" t="str">
        <f t="shared" ref="J2033:J2096" si="4059">IF(AND(ISNUMBER(#REF!), ISNUMBER(#REF!)),#REF! -#REF!,"")</f>
        <v/>
      </c>
      <c r="L2033" t="str">
        <f t="shared" ref="L2033:L2096" si="4060">IF(AND(ISNUMBER(#REF!), ISNUMBER(#REF!)),#REF! -#REF!,"")</f>
        <v/>
      </c>
    </row>
    <row r="2034" spans="10:12">
      <c r="J2034" t="str">
        <f t="shared" ref="J2034:J2097" si="4061">IF(AND(ISNUMBER(#REF!), ISNUMBER(#REF!)),#REF! -#REF!,"")</f>
        <v/>
      </c>
      <c r="L2034" t="str">
        <f t="shared" ref="L2034:L2097" si="4062">IF(AND(ISNUMBER(#REF!), ISNUMBER(#REF!)),#REF! -#REF!,"")</f>
        <v/>
      </c>
    </row>
    <row r="2035" spans="10:12">
      <c r="J2035" t="str">
        <f t="shared" ref="J2035:J2098" si="4063">IF(AND(ISNUMBER(#REF!), ISNUMBER(#REF!)),#REF! -#REF!,"")</f>
        <v/>
      </c>
      <c r="L2035" t="str">
        <f t="shared" ref="L2035:L2098" si="4064">IF(AND(ISNUMBER(#REF!), ISNUMBER(#REF!)),#REF! -#REF!,"")</f>
        <v/>
      </c>
    </row>
    <row r="2036" spans="10:12">
      <c r="J2036" t="str">
        <f t="shared" ref="J2036:J2099" si="4065">IF(AND(ISNUMBER(#REF!), ISNUMBER(#REF!)),#REF! -#REF!,"")</f>
        <v/>
      </c>
      <c r="L2036" t="str">
        <f t="shared" ref="L2036:L2099" si="4066">IF(AND(ISNUMBER(#REF!), ISNUMBER(#REF!)),#REF! -#REF!,"")</f>
        <v/>
      </c>
    </row>
    <row r="2037" spans="10:12">
      <c r="J2037" t="str">
        <f t="shared" ref="J2037:J2100" si="4067">IF(AND(ISNUMBER(#REF!), ISNUMBER(#REF!)),#REF! -#REF!,"")</f>
        <v/>
      </c>
      <c r="L2037" t="str">
        <f t="shared" ref="L2037:L2100" si="4068">IF(AND(ISNUMBER(#REF!), ISNUMBER(#REF!)),#REF! -#REF!,"")</f>
        <v/>
      </c>
    </row>
    <row r="2038" spans="10:12">
      <c r="J2038" t="str">
        <f t="shared" ref="J2038:J2101" si="4069">IF(AND(ISNUMBER(#REF!), ISNUMBER(#REF!)),#REF! -#REF!,"")</f>
        <v/>
      </c>
      <c r="L2038" t="str">
        <f t="shared" ref="L2038:L2101" si="4070">IF(AND(ISNUMBER(#REF!), ISNUMBER(#REF!)),#REF! -#REF!,"")</f>
        <v/>
      </c>
    </row>
    <row r="2039" spans="10:12">
      <c r="J2039" t="str">
        <f t="shared" ref="J2039:J2102" si="4071">IF(AND(ISNUMBER(#REF!), ISNUMBER(#REF!)),#REF! -#REF!,"")</f>
        <v/>
      </c>
      <c r="L2039" t="str">
        <f t="shared" ref="L2039:L2102" si="4072">IF(AND(ISNUMBER(#REF!), ISNUMBER(#REF!)),#REF! -#REF!,"")</f>
        <v/>
      </c>
    </row>
    <row r="2040" spans="10:12">
      <c r="J2040" t="str">
        <f t="shared" ref="J2040:J2103" si="4073">IF(AND(ISNUMBER(#REF!), ISNUMBER(#REF!)),#REF! -#REF!,"")</f>
        <v/>
      </c>
      <c r="L2040" t="str">
        <f t="shared" ref="L2040:L2103" si="4074">IF(AND(ISNUMBER(#REF!), ISNUMBER(#REF!)),#REF! -#REF!,"")</f>
        <v/>
      </c>
    </row>
    <row r="2041" spans="10:12">
      <c r="J2041" t="str">
        <f t="shared" ref="J2041:J2104" si="4075">IF(AND(ISNUMBER(#REF!), ISNUMBER(#REF!)),#REF! -#REF!,"")</f>
        <v/>
      </c>
      <c r="L2041" t="str">
        <f t="shared" ref="L2041:L2104" si="4076">IF(AND(ISNUMBER(#REF!), ISNUMBER(#REF!)),#REF! -#REF!,"")</f>
        <v/>
      </c>
    </row>
    <row r="2042" spans="10:12">
      <c r="J2042" t="str">
        <f t="shared" ref="J2042:J2105" si="4077">IF(AND(ISNUMBER(#REF!), ISNUMBER(#REF!)),#REF! -#REF!,"")</f>
        <v/>
      </c>
      <c r="L2042" t="str">
        <f t="shared" ref="L2042:L2105" si="4078">IF(AND(ISNUMBER(#REF!), ISNUMBER(#REF!)),#REF! -#REF!,"")</f>
        <v/>
      </c>
    </row>
    <row r="2043" spans="10:12">
      <c r="J2043" t="str">
        <f t="shared" ref="J2043:J2106" si="4079">IF(AND(ISNUMBER(#REF!), ISNUMBER(#REF!)),#REF! -#REF!,"")</f>
        <v/>
      </c>
      <c r="L2043" t="str">
        <f t="shared" ref="L2043:L2106" si="4080">IF(AND(ISNUMBER(#REF!), ISNUMBER(#REF!)),#REF! -#REF!,"")</f>
        <v/>
      </c>
    </row>
    <row r="2044" spans="10:12">
      <c r="J2044" t="str">
        <f t="shared" ref="J2044:J2107" si="4081">IF(AND(ISNUMBER(#REF!), ISNUMBER(#REF!)),#REF! -#REF!,"")</f>
        <v/>
      </c>
      <c r="L2044" t="str">
        <f t="shared" ref="L2044:L2107" si="4082">IF(AND(ISNUMBER(#REF!), ISNUMBER(#REF!)),#REF! -#REF!,"")</f>
        <v/>
      </c>
    </row>
    <row r="2045" spans="10:12">
      <c r="J2045" t="str">
        <f t="shared" ref="J2045:J2108" si="4083">IF(AND(ISNUMBER(#REF!), ISNUMBER(#REF!)),#REF! -#REF!,"")</f>
        <v/>
      </c>
      <c r="L2045" t="str">
        <f t="shared" ref="L2045:L2108" si="4084">IF(AND(ISNUMBER(#REF!), ISNUMBER(#REF!)),#REF! -#REF!,"")</f>
        <v/>
      </c>
    </row>
    <row r="2046" spans="10:12">
      <c r="J2046" t="str">
        <f t="shared" ref="J2046:J2109" si="4085">IF(AND(ISNUMBER(#REF!), ISNUMBER(#REF!)),#REF! -#REF!,"")</f>
        <v/>
      </c>
      <c r="L2046" t="str">
        <f t="shared" ref="L2046:L2109" si="4086">IF(AND(ISNUMBER(#REF!), ISNUMBER(#REF!)),#REF! -#REF!,"")</f>
        <v/>
      </c>
    </row>
    <row r="2047" spans="10:12">
      <c r="J2047" t="str">
        <f t="shared" ref="J2047:J2110" si="4087">IF(AND(ISNUMBER(#REF!), ISNUMBER(#REF!)),#REF! -#REF!,"")</f>
        <v/>
      </c>
      <c r="L2047" t="str">
        <f t="shared" ref="L2047:L2110" si="4088">IF(AND(ISNUMBER(#REF!), ISNUMBER(#REF!)),#REF! -#REF!,"")</f>
        <v/>
      </c>
    </row>
    <row r="2048" spans="10:12">
      <c r="J2048" t="str">
        <f t="shared" ref="J2048:J2111" si="4089">IF(AND(ISNUMBER(#REF!), ISNUMBER(#REF!)),#REF! -#REF!,"")</f>
        <v/>
      </c>
      <c r="L2048" t="str">
        <f t="shared" ref="L2048:L2111" si="4090">IF(AND(ISNUMBER(#REF!), ISNUMBER(#REF!)),#REF! -#REF!,"")</f>
        <v/>
      </c>
    </row>
    <row r="2049" spans="10:12">
      <c r="J2049" t="str">
        <f t="shared" ref="J2049:J2112" si="4091">IF(AND(ISNUMBER(#REF!), ISNUMBER(#REF!)),#REF! -#REF!,"")</f>
        <v/>
      </c>
      <c r="L2049" t="str">
        <f t="shared" ref="L2049:L2112" si="4092">IF(AND(ISNUMBER(#REF!), ISNUMBER(#REF!)),#REF! -#REF!,"")</f>
        <v/>
      </c>
    </row>
    <row r="2050" spans="10:12">
      <c r="J2050" t="str">
        <f t="shared" ref="J2050:J2113" si="4093">IF(AND(ISNUMBER(#REF!), ISNUMBER(#REF!)),#REF! -#REF!,"")</f>
        <v/>
      </c>
      <c r="L2050" t="str">
        <f t="shared" ref="L2050:L2113" si="4094">IF(AND(ISNUMBER(#REF!), ISNUMBER(#REF!)),#REF! -#REF!,"")</f>
        <v/>
      </c>
    </row>
    <row r="2051" spans="10:12">
      <c r="J2051" t="str">
        <f t="shared" ref="J2051:J2114" si="4095">IF(AND(ISNUMBER(#REF!), ISNUMBER(#REF!)),#REF! -#REF!,"")</f>
        <v/>
      </c>
      <c r="L2051" t="str">
        <f t="shared" ref="L2051:L2114" si="4096">IF(AND(ISNUMBER(#REF!), ISNUMBER(#REF!)),#REF! -#REF!,"")</f>
        <v/>
      </c>
    </row>
    <row r="2052" spans="10:12">
      <c r="J2052" t="str">
        <f t="shared" ref="J2052:J2115" si="4097">IF(AND(ISNUMBER(#REF!), ISNUMBER(#REF!)),#REF! -#REF!,"")</f>
        <v/>
      </c>
      <c r="L2052" t="str">
        <f t="shared" ref="L2052:L2115" si="4098">IF(AND(ISNUMBER(#REF!), ISNUMBER(#REF!)),#REF! -#REF!,"")</f>
        <v/>
      </c>
    </row>
    <row r="2053" spans="10:12">
      <c r="J2053" t="str">
        <f t="shared" ref="J2053:J2116" si="4099">IF(AND(ISNUMBER(#REF!), ISNUMBER(#REF!)),#REF! -#REF!,"")</f>
        <v/>
      </c>
      <c r="L2053" t="str">
        <f t="shared" ref="L2053:L2116" si="4100">IF(AND(ISNUMBER(#REF!), ISNUMBER(#REF!)),#REF! -#REF!,"")</f>
        <v/>
      </c>
    </row>
    <row r="2054" spans="10:12">
      <c r="J2054" t="str">
        <f t="shared" ref="J2054:J2117" si="4101">IF(AND(ISNUMBER(#REF!), ISNUMBER(#REF!)),#REF! -#REF!,"")</f>
        <v/>
      </c>
      <c r="L2054" t="str">
        <f t="shared" ref="L2054:L2117" si="4102">IF(AND(ISNUMBER(#REF!), ISNUMBER(#REF!)),#REF! -#REF!,"")</f>
        <v/>
      </c>
    </row>
    <row r="2055" spans="10:12">
      <c r="J2055" t="str">
        <f t="shared" ref="J2055:J2118" si="4103">IF(AND(ISNUMBER(#REF!), ISNUMBER(#REF!)),#REF! -#REF!,"")</f>
        <v/>
      </c>
      <c r="L2055" t="str">
        <f t="shared" ref="L2055:L2118" si="4104">IF(AND(ISNUMBER(#REF!), ISNUMBER(#REF!)),#REF! -#REF!,"")</f>
        <v/>
      </c>
    </row>
    <row r="2056" spans="10:12">
      <c r="J2056" t="str">
        <f t="shared" ref="J2056:J2119" si="4105">IF(AND(ISNUMBER(#REF!), ISNUMBER(#REF!)),#REF! -#REF!,"")</f>
        <v/>
      </c>
      <c r="L2056" t="str">
        <f t="shared" ref="L2056:L2119" si="4106">IF(AND(ISNUMBER(#REF!), ISNUMBER(#REF!)),#REF! -#REF!,"")</f>
        <v/>
      </c>
    </row>
    <row r="2057" spans="10:12">
      <c r="J2057" t="str">
        <f t="shared" ref="J2057:J2120" si="4107">IF(AND(ISNUMBER(#REF!), ISNUMBER(#REF!)),#REF! -#REF!,"")</f>
        <v/>
      </c>
      <c r="L2057" t="str">
        <f t="shared" ref="L2057:L2120" si="4108">IF(AND(ISNUMBER(#REF!), ISNUMBER(#REF!)),#REF! -#REF!,"")</f>
        <v/>
      </c>
    </row>
    <row r="2058" spans="10:12">
      <c r="J2058" t="str">
        <f t="shared" ref="J2058:J2121" si="4109">IF(AND(ISNUMBER(#REF!), ISNUMBER(#REF!)),#REF! -#REF!,"")</f>
        <v/>
      </c>
      <c r="L2058" t="str">
        <f t="shared" ref="L2058:L2121" si="4110">IF(AND(ISNUMBER(#REF!), ISNUMBER(#REF!)),#REF! -#REF!,"")</f>
        <v/>
      </c>
    </row>
    <row r="2059" spans="10:12">
      <c r="J2059" t="str">
        <f t="shared" ref="J2059:J2122" si="4111">IF(AND(ISNUMBER(#REF!), ISNUMBER(#REF!)),#REF! -#REF!,"")</f>
        <v/>
      </c>
      <c r="L2059" t="str">
        <f t="shared" ref="L2059:L2122" si="4112">IF(AND(ISNUMBER(#REF!), ISNUMBER(#REF!)),#REF! -#REF!,"")</f>
        <v/>
      </c>
    </row>
    <row r="2060" spans="10:12">
      <c r="J2060" t="str">
        <f t="shared" ref="J2060:J2123" si="4113">IF(AND(ISNUMBER(#REF!), ISNUMBER(#REF!)),#REF! -#REF!,"")</f>
        <v/>
      </c>
      <c r="L2060" t="str">
        <f t="shared" ref="L2060:L2123" si="4114">IF(AND(ISNUMBER(#REF!), ISNUMBER(#REF!)),#REF! -#REF!,"")</f>
        <v/>
      </c>
    </row>
    <row r="2061" spans="10:12">
      <c r="J2061" t="str">
        <f t="shared" ref="J2061:J2124" si="4115">IF(AND(ISNUMBER(#REF!), ISNUMBER(#REF!)),#REF! -#REF!,"")</f>
        <v/>
      </c>
      <c r="L2061" t="str">
        <f t="shared" ref="L2061:L2124" si="4116">IF(AND(ISNUMBER(#REF!), ISNUMBER(#REF!)),#REF! -#REF!,"")</f>
        <v/>
      </c>
    </row>
    <row r="2062" spans="10:12">
      <c r="J2062" t="str">
        <f t="shared" ref="J2062:J2125" si="4117">IF(AND(ISNUMBER(#REF!), ISNUMBER(#REF!)),#REF! -#REF!,"")</f>
        <v/>
      </c>
      <c r="L2062" t="str">
        <f t="shared" ref="L2062:L2125" si="4118">IF(AND(ISNUMBER(#REF!), ISNUMBER(#REF!)),#REF! -#REF!,"")</f>
        <v/>
      </c>
    </row>
    <row r="2063" spans="10:12">
      <c r="J2063" t="str">
        <f t="shared" ref="J2063:J2126" si="4119">IF(AND(ISNUMBER(#REF!), ISNUMBER(#REF!)),#REF! -#REF!,"")</f>
        <v/>
      </c>
      <c r="L2063" t="str">
        <f t="shared" ref="L2063:L2126" si="4120">IF(AND(ISNUMBER(#REF!), ISNUMBER(#REF!)),#REF! -#REF!,"")</f>
        <v/>
      </c>
    </row>
    <row r="2064" spans="10:12">
      <c r="J2064" t="str">
        <f t="shared" ref="J2064:J2127" si="4121">IF(AND(ISNUMBER(#REF!), ISNUMBER(#REF!)),#REF! -#REF!,"")</f>
        <v/>
      </c>
      <c r="L2064" t="str">
        <f t="shared" ref="L2064:L2127" si="4122">IF(AND(ISNUMBER(#REF!), ISNUMBER(#REF!)),#REF! -#REF!,"")</f>
        <v/>
      </c>
    </row>
    <row r="2065" spans="10:12">
      <c r="J2065" t="str">
        <f t="shared" ref="J2065:J2128" si="4123">IF(AND(ISNUMBER(#REF!), ISNUMBER(#REF!)),#REF! -#REF!,"")</f>
        <v/>
      </c>
      <c r="L2065" t="str">
        <f t="shared" ref="L2065:L2128" si="4124">IF(AND(ISNUMBER(#REF!), ISNUMBER(#REF!)),#REF! -#REF!,"")</f>
        <v/>
      </c>
    </row>
    <row r="2066" spans="10:12">
      <c r="J2066" t="str">
        <f t="shared" ref="J2066:J2129" si="4125">IF(AND(ISNUMBER(#REF!), ISNUMBER(#REF!)),#REF! -#REF!,"")</f>
        <v/>
      </c>
      <c r="L2066" t="str">
        <f t="shared" ref="L2066:L2129" si="4126">IF(AND(ISNUMBER(#REF!), ISNUMBER(#REF!)),#REF! -#REF!,"")</f>
        <v/>
      </c>
    </row>
    <row r="2067" spans="10:12">
      <c r="J2067" t="str">
        <f t="shared" ref="J2067:J2130" si="4127">IF(AND(ISNUMBER(#REF!), ISNUMBER(#REF!)),#REF! -#REF!,"")</f>
        <v/>
      </c>
      <c r="L2067" t="str">
        <f t="shared" ref="L2067:L2130" si="4128">IF(AND(ISNUMBER(#REF!), ISNUMBER(#REF!)),#REF! -#REF!,"")</f>
        <v/>
      </c>
    </row>
    <row r="2068" spans="10:12">
      <c r="J2068" t="str">
        <f t="shared" ref="J2068:J2131" si="4129">IF(AND(ISNUMBER(#REF!), ISNUMBER(#REF!)),#REF! -#REF!,"")</f>
        <v/>
      </c>
      <c r="L2068" t="str">
        <f t="shared" ref="L2068:L2131" si="4130">IF(AND(ISNUMBER(#REF!), ISNUMBER(#REF!)),#REF! -#REF!,"")</f>
        <v/>
      </c>
    </row>
    <row r="2069" spans="10:12">
      <c r="J2069" t="str">
        <f t="shared" ref="J2069:J2132" si="4131">IF(AND(ISNUMBER(#REF!), ISNUMBER(#REF!)),#REF! -#REF!,"")</f>
        <v/>
      </c>
      <c r="L2069" t="str">
        <f t="shared" ref="L2069:L2132" si="4132">IF(AND(ISNUMBER(#REF!), ISNUMBER(#REF!)),#REF! -#REF!,"")</f>
        <v/>
      </c>
    </row>
    <row r="2070" spans="10:12">
      <c r="J2070" t="str">
        <f t="shared" ref="J2070:J2133" si="4133">IF(AND(ISNUMBER(#REF!), ISNUMBER(#REF!)),#REF! -#REF!,"")</f>
        <v/>
      </c>
      <c r="L2070" t="str">
        <f t="shared" ref="L2070:L2133" si="4134">IF(AND(ISNUMBER(#REF!), ISNUMBER(#REF!)),#REF! -#REF!,"")</f>
        <v/>
      </c>
    </row>
    <row r="2071" spans="10:12">
      <c r="J2071" t="str">
        <f t="shared" ref="J2071:J2134" si="4135">IF(AND(ISNUMBER(#REF!), ISNUMBER(#REF!)),#REF! -#REF!,"")</f>
        <v/>
      </c>
      <c r="L2071" t="str">
        <f t="shared" ref="L2071:L2134" si="4136">IF(AND(ISNUMBER(#REF!), ISNUMBER(#REF!)),#REF! -#REF!,"")</f>
        <v/>
      </c>
    </row>
    <row r="2072" spans="10:12">
      <c r="J2072" t="str">
        <f t="shared" ref="J2072:J2135" si="4137">IF(AND(ISNUMBER(#REF!), ISNUMBER(#REF!)),#REF! -#REF!,"")</f>
        <v/>
      </c>
      <c r="L2072" t="str">
        <f t="shared" ref="L2072:L2135" si="4138">IF(AND(ISNUMBER(#REF!), ISNUMBER(#REF!)),#REF! -#REF!,"")</f>
        <v/>
      </c>
    </row>
    <row r="2073" spans="10:12">
      <c r="J2073" t="str">
        <f t="shared" ref="J2073:J2136" si="4139">IF(AND(ISNUMBER(#REF!), ISNUMBER(#REF!)),#REF! -#REF!,"")</f>
        <v/>
      </c>
      <c r="L2073" t="str">
        <f t="shared" ref="L2073:L2136" si="4140">IF(AND(ISNUMBER(#REF!), ISNUMBER(#REF!)),#REF! -#REF!,"")</f>
        <v/>
      </c>
    </row>
    <row r="2074" spans="10:12">
      <c r="J2074" t="str">
        <f t="shared" ref="J2074:J2137" si="4141">IF(AND(ISNUMBER(#REF!), ISNUMBER(#REF!)),#REF! -#REF!,"")</f>
        <v/>
      </c>
      <c r="L2074" t="str">
        <f t="shared" ref="L2074:L2137" si="4142">IF(AND(ISNUMBER(#REF!), ISNUMBER(#REF!)),#REF! -#REF!,"")</f>
        <v/>
      </c>
    </row>
    <row r="2075" spans="10:12">
      <c r="J2075" t="str">
        <f t="shared" ref="J2075:J2138" si="4143">IF(AND(ISNUMBER(#REF!), ISNUMBER(#REF!)),#REF! -#REF!,"")</f>
        <v/>
      </c>
      <c r="L2075" t="str">
        <f t="shared" ref="L2075:L2138" si="4144">IF(AND(ISNUMBER(#REF!), ISNUMBER(#REF!)),#REF! -#REF!,"")</f>
        <v/>
      </c>
    </row>
    <row r="2076" spans="10:12">
      <c r="J2076" t="str">
        <f t="shared" ref="J2076:J2139" si="4145">IF(AND(ISNUMBER(#REF!), ISNUMBER(#REF!)),#REF! -#REF!,"")</f>
        <v/>
      </c>
      <c r="L2076" t="str">
        <f t="shared" ref="L2076:L2139" si="4146">IF(AND(ISNUMBER(#REF!), ISNUMBER(#REF!)),#REF! -#REF!,"")</f>
        <v/>
      </c>
    </row>
    <row r="2077" spans="10:12">
      <c r="J2077" t="str">
        <f t="shared" ref="J2077:J2140" si="4147">IF(AND(ISNUMBER(#REF!), ISNUMBER(#REF!)),#REF! -#REF!,"")</f>
        <v/>
      </c>
      <c r="L2077" t="str">
        <f t="shared" ref="L2077:L2140" si="4148">IF(AND(ISNUMBER(#REF!), ISNUMBER(#REF!)),#REF! -#REF!,"")</f>
        <v/>
      </c>
    </row>
    <row r="2078" spans="10:12">
      <c r="J2078" t="str">
        <f t="shared" ref="J2078:J2141" si="4149">IF(AND(ISNUMBER(#REF!), ISNUMBER(#REF!)),#REF! -#REF!,"")</f>
        <v/>
      </c>
      <c r="L2078" t="str">
        <f t="shared" ref="L2078:L2141" si="4150">IF(AND(ISNUMBER(#REF!), ISNUMBER(#REF!)),#REF! -#REF!,"")</f>
        <v/>
      </c>
    </row>
    <row r="2079" spans="10:12">
      <c r="J2079" t="str">
        <f t="shared" ref="J2079:J2142" si="4151">IF(AND(ISNUMBER(#REF!), ISNUMBER(#REF!)),#REF! -#REF!,"")</f>
        <v/>
      </c>
      <c r="L2079" t="str">
        <f t="shared" ref="L2079:L2142" si="4152">IF(AND(ISNUMBER(#REF!), ISNUMBER(#REF!)),#REF! -#REF!,"")</f>
        <v/>
      </c>
    </row>
    <row r="2080" spans="10:12">
      <c r="J2080" t="str">
        <f t="shared" ref="J2080:J2143" si="4153">IF(AND(ISNUMBER(#REF!), ISNUMBER(#REF!)),#REF! -#REF!,"")</f>
        <v/>
      </c>
      <c r="L2080" t="str">
        <f t="shared" ref="L2080:L2143" si="4154">IF(AND(ISNUMBER(#REF!), ISNUMBER(#REF!)),#REF! -#REF!,"")</f>
        <v/>
      </c>
    </row>
    <row r="2081" spans="10:12">
      <c r="J2081" t="str">
        <f t="shared" ref="J2081:J2144" si="4155">IF(AND(ISNUMBER(#REF!), ISNUMBER(#REF!)),#REF! -#REF!,"")</f>
        <v/>
      </c>
      <c r="L2081" t="str">
        <f t="shared" ref="L2081:L2144" si="4156">IF(AND(ISNUMBER(#REF!), ISNUMBER(#REF!)),#REF! -#REF!,"")</f>
        <v/>
      </c>
    </row>
    <row r="2082" spans="10:12">
      <c r="J2082" t="str">
        <f t="shared" ref="J2082:J2145" si="4157">IF(AND(ISNUMBER(#REF!), ISNUMBER(#REF!)),#REF! -#REF!,"")</f>
        <v/>
      </c>
      <c r="L2082" t="str">
        <f t="shared" ref="L2082:L2145" si="4158">IF(AND(ISNUMBER(#REF!), ISNUMBER(#REF!)),#REF! -#REF!,"")</f>
        <v/>
      </c>
    </row>
    <row r="2083" spans="10:12">
      <c r="J2083" t="str">
        <f t="shared" ref="J2083:J2146" si="4159">IF(AND(ISNUMBER(#REF!), ISNUMBER(#REF!)),#REF! -#REF!,"")</f>
        <v/>
      </c>
      <c r="L2083" t="str">
        <f t="shared" ref="L2083:L2146" si="4160">IF(AND(ISNUMBER(#REF!), ISNUMBER(#REF!)),#REF! -#REF!,"")</f>
        <v/>
      </c>
    </row>
    <row r="2084" spans="10:12">
      <c r="J2084" t="str">
        <f t="shared" ref="J2084:J2147" si="4161">IF(AND(ISNUMBER(#REF!), ISNUMBER(#REF!)),#REF! -#REF!,"")</f>
        <v/>
      </c>
      <c r="L2084" t="str">
        <f t="shared" ref="L2084:L2147" si="4162">IF(AND(ISNUMBER(#REF!), ISNUMBER(#REF!)),#REF! -#REF!,"")</f>
        <v/>
      </c>
    </row>
    <row r="2085" spans="10:12">
      <c r="J2085" t="str">
        <f t="shared" ref="J2085:J2148" si="4163">IF(AND(ISNUMBER(#REF!), ISNUMBER(#REF!)),#REF! -#REF!,"")</f>
        <v/>
      </c>
      <c r="L2085" t="str">
        <f t="shared" ref="L2085:L2148" si="4164">IF(AND(ISNUMBER(#REF!), ISNUMBER(#REF!)),#REF! -#REF!,"")</f>
        <v/>
      </c>
    </row>
    <row r="2086" spans="10:12">
      <c r="J2086" t="str">
        <f t="shared" ref="J2086:J2149" si="4165">IF(AND(ISNUMBER(#REF!), ISNUMBER(#REF!)),#REF! -#REF!,"")</f>
        <v/>
      </c>
      <c r="L2086" t="str">
        <f t="shared" ref="L2086:L2149" si="4166">IF(AND(ISNUMBER(#REF!), ISNUMBER(#REF!)),#REF! -#REF!,"")</f>
        <v/>
      </c>
    </row>
    <row r="2087" spans="10:12">
      <c r="J2087" t="str">
        <f t="shared" ref="J2087:J2150" si="4167">IF(AND(ISNUMBER(#REF!), ISNUMBER(#REF!)),#REF! -#REF!,"")</f>
        <v/>
      </c>
      <c r="L2087" t="str">
        <f t="shared" ref="L2087:L2150" si="4168">IF(AND(ISNUMBER(#REF!), ISNUMBER(#REF!)),#REF! -#REF!,"")</f>
        <v/>
      </c>
    </row>
    <row r="2088" spans="10:12">
      <c r="J2088" t="str">
        <f t="shared" ref="J2088:J2151" si="4169">IF(AND(ISNUMBER(#REF!), ISNUMBER(#REF!)),#REF! -#REF!,"")</f>
        <v/>
      </c>
      <c r="L2088" t="str">
        <f t="shared" ref="L2088:L2151" si="4170">IF(AND(ISNUMBER(#REF!), ISNUMBER(#REF!)),#REF! -#REF!,"")</f>
        <v/>
      </c>
    </row>
    <row r="2089" spans="10:12">
      <c r="J2089" t="str">
        <f t="shared" ref="J2089:J2152" si="4171">IF(AND(ISNUMBER(#REF!), ISNUMBER(#REF!)),#REF! -#REF!,"")</f>
        <v/>
      </c>
      <c r="L2089" t="str">
        <f t="shared" ref="L2089:L2152" si="4172">IF(AND(ISNUMBER(#REF!), ISNUMBER(#REF!)),#REF! -#REF!,"")</f>
        <v/>
      </c>
    </row>
    <row r="2090" spans="10:12">
      <c r="J2090" t="str">
        <f t="shared" ref="J2090:J2153" si="4173">IF(AND(ISNUMBER(#REF!), ISNUMBER(#REF!)),#REF! -#REF!,"")</f>
        <v/>
      </c>
      <c r="L2090" t="str">
        <f t="shared" ref="L2090:L2153" si="4174">IF(AND(ISNUMBER(#REF!), ISNUMBER(#REF!)),#REF! -#REF!,"")</f>
        <v/>
      </c>
    </row>
    <row r="2091" spans="10:12">
      <c r="J2091" t="str">
        <f t="shared" ref="J2091:J2154" si="4175">IF(AND(ISNUMBER(#REF!), ISNUMBER(#REF!)),#REF! -#REF!,"")</f>
        <v/>
      </c>
      <c r="L2091" t="str">
        <f t="shared" ref="L2091:L2154" si="4176">IF(AND(ISNUMBER(#REF!), ISNUMBER(#REF!)),#REF! -#REF!,"")</f>
        <v/>
      </c>
    </row>
    <row r="2092" spans="10:12">
      <c r="J2092" t="str">
        <f t="shared" ref="J2092:J2155" si="4177">IF(AND(ISNUMBER(#REF!), ISNUMBER(#REF!)),#REF! -#REF!,"")</f>
        <v/>
      </c>
      <c r="L2092" t="str">
        <f t="shared" ref="L2092:L2155" si="4178">IF(AND(ISNUMBER(#REF!), ISNUMBER(#REF!)),#REF! -#REF!,"")</f>
        <v/>
      </c>
    </row>
    <row r="2093" spans="10:12">
      <c r="J2093" t="str">
        <f t="shared" ref="J2093:J2156" si="4179">IF(AND(ISNUMBER(#REF!), ISNUMBER(#REF!)),#REF! -#REF!,"")</f>
        <v/>
      </c>
      <c r="L2093" t="str">
        <f t="shared" ref="L2093:L2156" si="4180">IF(AND(ISNUMBER(#REF!), ISNUMBER(#REF!)),#REF! -#REF!,"")</f>
        <v/>
      </c>
    </row>
    <row r="2094" spans="10:12">
      <c r="J2094" t="str">
        <f t="shared" ref="J2094:J2157" si="4181">IF(AND(ISNUMBER(#REF!), ISNUMBER(#REF!)),#REF! -#REF!,"")</f>
        <v/>
      </c>
      <c r="L2094" t="str">
        <f t="shared" ref="L2094:L2157" si="4182">IF(AND(ISNUMBER(#REF!), ISNUMBER(#REF!)),#REF! -#REF!,"")</f>
        <v/>
      </c>
    </row>
    <row r="2095" spans="10:12">
      <c r="J2095" t="str">
        <f t="shared" ref="J2095:J2158" si="4183">IF(AND(ISNUMBER(#REF!), ISNUMBER(#REF!)),#REF! -#REF!,"")</f>
        <v/>
      </c>
      <c r="L2095" t="str">
        <f t="shared" ref="L2095:L2158" si="4184">IF(AND(ISNUMBER(#REF!), ISNUMBER(#REF!)),#REF! -#REF!,"")</f>
        <v/>
      </c>
    </row>
    <row r="2096" spans="10:12">
      <c r="J2096" t="str">
        <f t="shared" ref="J2096:J2159" si="4185">IF(AND(ISNUMBER(#REF!), ISNUMBER(#REF!)),#REF! -#REF!,"")</f>
        <v/>
      </c>
      <c r="L2096" t="str">
        <f t="shared" ref="L2096:L2159" si="4186">IF(AND(ISNUMBER(#REF!), ISNUMBER(#REF!)),#REF! -#REF!,"")</f>
        <v/>
      </c>
    </row>
    <row r="2097" spans="10:12">
      <c r="J2097" t="str">
        <f t="shared" ref="J2097:J2160" si="4187">IF(AND(ISNUMBER(#REF!), ISNUMBER(#REF!)),#REF! -#REF!,"")</f>
        <v/>
      </c>
      <c r="L2097" t="str">
        <f t="shared" ref="L2097:L2160" si="4188">IF(AND(ISNUMBER(#REF!), ISNUMBER(#REF!)),#REF! -#REF!,"")</f>
        <v/>
      </c>
    </row>
    <row r="2098" spans="10:12">
      <c r="J2098" t="str">
        <f t="shared" ref="J2098:J2161" si="4189">IF(AND(ISNUMBER(#REF!), ISNUMBER(#REF!)),#REF! -#REF!,"")</f>
        <v/>
      </c>
      <c r="L2098" t="str">
        <f t="shared" ref="L2098:L2161" si="4190">IF(AND(ISNUMBER(#REF!), ISNUMBER(#REF!)),#REF! -#REF!,"")</f>
        <v/>
      </c>
    </row>
    <row r="2099" spans="10:12">
      <c r="J2099" t="str">
        <f t="shared" ref="J2099:J2162" si="4191">IF(AND(ISNUMBER(#REF!), ISNUMBER(#REF!)),#REF! -#REF!,"")</f>
        <v/>
      </c>
      <c r="L2099" t="str">
        <f t="shared" ref="L2099:L2162" si="4192">IF(AND(ISNUMBER(#REF!), ISNUMBER(#REF!)),#REF! -#REF!,"")</f>
        <v/>
      </c>
    </row>
    <row r="2100" spans="10:12">
      <c r="J2100" t="str">
        <f t="shared" ref="J2100:J2163" si="4193">IF(AND(ISNUMBER(#REF!), ISNUMBER(#REF!)),#REF! -#REF!,"")</f>
        <v/>
      </c>
      <c r="L2100" t="str">
        <f t="shared" ref="L2100:L2163" si="4194">IF(AND(ISNUMBER(#REF!), ISNUMBER(#REF!)),#REF! -#REF!,"")</f>
        <v/>
      </c>
    </row>
    <row r="2101" spans="10:12">
      <c r="J2101" t="str">
        <f t="shared" ref="J2101:J2164" si="4195">IF(AND(ISNUMBER(#REF!), ISNUMBER(#REF!)),#REF! -#REF!,"")</f>
        <v/>
      </c>
      <c r="L2101" t="str">
        <f t="shared" ref="L2101:L2164" si="4196">IF(AND(ISNUMBER(#REF!), ISNUMBER(#REF!)),#REF! -#REF!,"")</f>
        <v/>
      </c>
    </row>
    <row r="2102" spans="10:12">
      <c r="J2102" t="str">
        <f t="shared" ref="J2102:J2165" si="4197">IF(AND(ISNUMBER(#REF!), ISNUMBER(#REF!)),#REF! -#REF!,"")</f>
        <v/>
      </c>
      <c r="L2102" t="str">
        <f t="shared" ref="L2102:L2165" si="4198">IF(AND(ISNUMBER(#REF!), ISNUMBER(#REF!)),#REF! -#REF!,"")</f>
        <v/>
      </c>
    </row>
    <row r="2103" spans="10:12">
      <c r="J2103" t="str">
        <f t="shared" ref="J2103:J2166" si="4199">IF(AND(ISNUMBER(#REF!), ISNUMBER(#REF!)),#REF! -#REF!,"")</f>
        <v/>
      </c>
      <c r="L2103" t="str">
        <f t="shared" ref="L2103:L2166" si="4200">IF(AND(ISNUMBER(#REF!), ISNUMBER(#REF!)),#REF! -#REF!,"")</f>
        <v/>
      </c>
    </row>
    <row r="2104" spans="10:12">
      <c r="J2104" t="str">
        <f t="shared" ref="J2104:J2167" si="4201">IF(AND(ISNUMBER(#REF!), ISNUMBER(#REF!)),#REF! -#REF!,"")</f>
        <v/>
      </c>
      <c r="L2104" t="str">
        <f t="shared" ref="L2104:L2167" si="4202">IF(AND(ISNUMBER(#REF!), ISNUMBER(#REF!)),#REF! -#REF!,"")</f>
        <v/>
      </c>
    </row>
    <row r="2105" spans="10:12">
      <c r="J2105" t="str">
        <f t="shared" ref="J2105:J2168" si="4203">IF(AND(ISNUMBER(#REF!), ISNUMBER(#REF!)),#REF! -#REF!,"")</f>
        <v/>
      </c>
      <c r="L2105" t="str">
        <f t="shared" ref="L2105:L2168" si="4204">IF(AND(ISNUMBER(#REF!), ISNUMBER(#REF!)),#REF! -#REF!,"")</f>
        <v/>
      </c>
    </row>
    <row r="2106" spans="10:12">
      <c r="J2106" t="str">
        <f t="shared" ref="J2106:J2169" si="4205">IF(AND(ISNUMBER(#REF!), ISNUMBER(#REF!)),#REF! -#REF!,"")</f>
        <v/>
      </c>
      <c r="L2106" t="str">
        <f t="shared" ref="L2106:L2169" si="4206">IF(AND(ISNUMBER(#REF!), ISNUMBER(#REF!)),#REF! -#REF!,"")</f>
        <v/>
      </c>
    </row>
    <row r="2107" spans="10:12">
      <c r="J2107" t="str">
        <f t="shared" ref="J2107:J2170" si="4207">IF(AND(ISNUMBER(#REF!), ISNUMBER(#REF!)),#REF! -#REF!,"")</f>
        <v/>
      </c>
      <c r="L2107" t="str">
        <f t="shared" ref="L2107:L2170" si="4208">IF(AND(ISNUMBER(#REF!), ISNUMBER(#REF!)),#REF! -#REF!,"")</f>
        <v/>
      </c>
    </row>
    <row r="2108" spans="10:12">
      <c r="J2108" t="str">
        <f t="shared" ref="J2108:J2171" si="4209">IF(AND(ISNUMBER(#REF!), ISNUMBER(#REF!)),#REF! -#REF!,"")</f>
        <v/>
      </c>
      <c r="L2108" t="str">
        <f t="shared" ref="L2108:L2171" si="4210">IF(AND(ISNUMBER(#REF!), ISNUMBER(#REF!)),#REF! -#REF!,"")</f>
        <v/>
      </c>
    </row>
    <row r="2109" spans="10:12">
      <c r="J2109" t="str">
        <f t="shared" ref="J2109:J2172" si="4211">IF(AND(ISNUMBER(#REF!), ISNUMBER(#REF!)),#REF! -#REF!,"")</f>
        <v/>
      </c>
      <c r="L2109" t="str">
        <f t="shared" ref="L2109:L2172" si="4212">IF(AND(ISNUMBER(#REF!), ISNUMBER(#REF!)),#REF! -#REF!,"")</f>
        <v/>
      </c>
    </row>
    <row r="2110" spans="10:12">
      <c r="J2110" t="str">
        <f t="shared" ref="J2110:J2173" si="4213">IF(AND(ISNUMBER(#REF!), ISNUMBER(#REF!)),#REF! -#REF!,"")</f>
        <v/>
      </c>
      <c r="L2110" t="str">
        <f t="shared" ref="L2110:L2173" si="4214">IF(AND(ISNUMBER(#REF!), ISNUMBER(#REF!)),#REF! -#REF!,"")</f>
        <v/>
      </c>
    </row>
    <row r="2111" spans="10:12">
      <c r="J2111" t="str">
        <f t="shared" ref="J2111:J2174" si="4215">IF(AND(ISNUMBER(#REF!), ISNUMBER(#REF!)),#REF! -#REF!,"")</f>
        <v/>
      </c>
      <c r="L2111" t="str">
        <f t="shared" ref="L2111:L2174" si="4216">IF(AND(ISNUMBER(#REF!), ISNUMBER(#REF!)),#REF! -#REF!,"")</f>
        <v/>
      </c>
    </row>
    <row r="2112" spans="10:12">
      <c r="J2112" t="str">
        <f t="shared" ref="J2112:J2175" si="4217">IF(AND(ISNUMBER(#REF!), ISNUMBER(#REF!)),#REF! -#REF!,"")</f>
        <v/>
      </c>
      <c r="L2112" t="str">
        <f t="shared" ref="L2112:L2175" si="4218">IF(AND(ISNUMBER(#REF!), ISNUMBER(#REF!)),#REF! -#REF!,"")</f>
        <v/>
      </c>
    </row>
    <row r="2113" spans="10:12">
      <c r="J2113" t="str">
        <f t="shared" ref="J2113:J2176" si="4219">IF(AND(ISNUMBER(#REF!), ISNUMBER(#REF!)),#REF! -#REF!,"")</f>
        <v/>
      </c>
      <c r="L2113" t="str">
        <f t="shared" ref="L2113:L2176" si="4220">IF(AND(ISNUMBER(#REF!), ISNUMBER(#REF!)),#REF! -#REF!,"")</f>
        <v/>
      </c>
    </row>
    <row r="2114" spans="10:12">
      <c r="J2114" t="str">
        <f t="shared" ref="J2114:J2177" si="4221">IF(AND(ISNUMBER(#REF!), ISNUMBER(#REF!)),#REF! -#REF!,"")</f>
        <v/>
      </c>
      <c r="L2114" t="str">
        <f t="shared" ref="L2114:L2177" si="4222">IF(AND(ISNUMBER(#REF!), ISNUMBER(#REF!)),#REF! -#REF!,"")</f>
        <v/>
      </c>
    </row>
    <row r="2115" spans="10:12">
      <c r="J2115" t="str">
        <f t="shared" ref="J2115:J2178" si="4223">IF(AND(ISNUMBER(#REF!), ISNUMBER(#REF!)),#REF! -#REF!,"")</f>
        <v/>
      </c>
      <c r="L2115" t="str">
        <f t="shared" ref="L2115:L2178" si="4224">IF(AND(ISNUMBER(#REF!), ISNUMBER(#REF!)),#REF! -#REF!,"")</f>
        <v/>
      </c>
    </row>
    <row r="2116" spans="10:12">
      <c r="J2116" t="str">
        <f t="shared" ref="J2116:J2179" si="4225">IF(AND(ISNUMBER(#REF!), ISNUMBER(#REF!)),#REF! -#REF!,"")</f>
        <v/>
      </c>
      <c r="L2116" t="str">
        <f t="shared" ref="L2116:L2179" si="4226">IF(AND(ISNUMBER(#REF!), ISNUMBER(#REF!)),#REF! -#REF!,"")</f>
        <v/>
      </c>
    </row>
    <row r="2117" spans="10:12">
      <c r="J2117" t="str">
        <f t="shared" ref="J2117:J2180" si="4227">IF(AND(ISNUMBER(#REF!), ISNUMBER(#REF!)),#REF! -#REF!,"")</f>
        <v/>
      </c>
      <c r="L2117" t="str">
        <f t="shared" ref="L2117:L2180" si="4228">IF(AND(ISNUMBER(#REF!), ISNUMBER(#REF!)),#REF! -#REF!,"")</f>
        <v/>
      </c>
    </row>
    <row r="2118" spans="10:12">
      <c r="J2118" t="str">
        <f t="shared" ref="J2118:J2181" si="4229">IF(AND(ISNUMBER(#REF!), ISNUMBER(#REF!)),#REF! -#REF!,"")</f>
        <v/>
      </c>
      <c r="L2118" t="str">
        <f t="shared" ref="L2118:L2181" si="4230">IF(AND(ISNUMBER(#REF!), ISNUMBER(#REF!)),#REF! -#REF!,"")</f>
        <v/>
      </c>
    </row>
    <row r="2119" spans="10:12">
      <c r="J2119" t="str">
        <f t="shared" ref="J2119:J2182" si="4231">IF(AND(ISNUMBER(#REF!), ISNUMBER(#REF!)),#REF! -#REF!,"")</f>
        <v/>
      </c>
      <c r="L2119" t="str">
        <f t="shared" ref="L2119:L2182" si="4232">IF(AND(ISNUMBER(#REF!), ISNUMBER(#REF!)),#REF! -#REF!,"")</f>
        <v/>
      </c>
    </row>
    <row r="2120" spans="10:12">
      <c r="J2120" t="str">
        <f t="shared" ref="J2120:J2183" si="4233">IF(AND(ISNUMBER(#REF!), ISNUMBER(#REF!)),#REF! -#REF!,"")</f>
        <v/>
      </c>
      <c r="L2120" t="str">
        <f t="shared" ref="L2120:L2183" si="4234">IF(AND(ISNUMBER(#REF!), ISNUMBER(#REF!)),#REF! -#REF!,"")</f>
        <v/>
      </c>
    </row>
    <row r="2121" spans="10:12">
      <c r="J2121" t="str">
        <f t="shared" ref="J2121:J2184" si="4235">IF(AND(ISNUMBER(#REF!), ISNUMBER(#REF!)),#REF! -#REF!,"")</f>
        <v/>
      </c>
      <c r="L2121" t="str">
        <f t="shared" ref="L2121:L2184" si="4236">IF(AND(ISNUMBER(#REF!), ISNUMBER(#REF!)),#REF! -#REF!,"")</f>
        <v/>
      </c>
    </row>
    <row r="2122" spans="10:12">
      <c r="J2122" t="str">
        <f t="shared" ref="J2122:J2185" si="4237">IF(AND(ISNUMBER(#REF!), ISNUMBER(#REF!)),#REF! -#REF!,"")</f>
        <v/>
      </c>
      <c r="L2122" t="str">
        <f t="shared" ref="L2122:L2185" si="4238">IF(AND(ISNUMBER(#REF!), ISNUMBER(#REF!)),#REF! -#REF!,"")</f>
        <v/>
      </c>
    </row>
    <row r="2123" spans="10:12">
      <c r="J2123" t="str">
        <f t="shared" ref="J2123:J2186" si="4239">IF(AND(ISNUMBER(#REF!), ISNUMBER(#REF!)),#REF! -#REF!,"")</f>
        <v/>
      </c>
      <c r="L2123" t="str">
        <f t="shared" ref="L2123:L2186" si="4240">IF(AND(ISNUMBER(#REF!), ISNUMBER(#REF!)),#REF! -#REF!,"")</f>
        <v/>
      </c>
    </row>
    <row r="2124" spans="10:12">
      <c r="J2124" t="str">
        <f t="shared" ref="J2124:J2187" si="4241">IF(AND(ISNUMBER(#REF!), ISNUMBER(#REF!)),#REF! -#REF!,"")</f>
        <v/>
      </c>
      <c r="L2124" t="str">
        <f t="shared" ref="L2124:L2187" si="4242">IF(AND(ISNUMBER(#REF!), ISNUMBER(#REF!)),#REF! -#REF!,"")</f>
        <v/>
      </c>
    </row>
    <row r="2125" spans="10:12">
      <c r="J2125" t="str">
        <f t="shared" ref="J2125:J2188" si="4243">IF(AND(ISNUMBER(#REF!), ISNUMBER(#REF!)),#REF! -#REF!,"")</f>
        <v/>
      </c>
      <c r="L2125" t="str">
        <f t="shared" ref="L2125:L2188" si="4244">IF(AND(ISNUMBER(#REF!), ISNUMBER(#REF!)),#REF! -#REF!,"")</f>
        <v/>
      </c>
    </row>
    <row r="2126" spans="10:12">
      <c r="J2126" t="str">
        <f t="shared" ref="J2126:J2189" si="4245">IF(AND(ISNUMBER(#REF!), ISNUMBER(#REF!)),#REF! -#REF!,"")</f>
        <v/>
      </c>
      <c r="L2126" t="str">
        <f t="shared" ref="L2126:L2189" si="4246">IF(AND(ISNUMBER(#REF!), ISNUMBER(#REF!)),#REF! -#REF!,"")</f>
        <v/>
      </c>
    </row>
    <row r="2127" spans="10:12">
      <c r="J2127" t="str">
        <f t="shared" ref="J2127:J2190" si="4247">IF(AND(ISNUMBER(#REF!), ISNUMBER(#REF!)),#REF! -#REF!,"")</f>
        <v/>
      </c>
      <c r="L2127" t="str">
        <f t="shared" ref="L2127:L2190" si="4248">IF(AND(ISNUMBER(#REF!), ISNUMBER(#REF!)),#REF! -#REF!,"")</f>
        <v/>
      </c>
    </row>
    <row r="2128" spans="10:12">
      <c r="J2128" t="str">
        <f t="shared" ref="J2128:J2191" si="4249">IF(AND(ISNUMBER(#REF!), ISNUMBER(#REF!)),#REF! -#REF!,"")</f>
        <v/>
      </c>
      <c r="L2128" t="str">
        <f t="shared" ref="L2128:L2191" si="4250">IF(AND(ISNUMBER(#REF!), ISNUMBER(#REF!)),#REF! -#REF!,"")</f>
        <v/>
      </c>
    </row>
    <row r="2129" spans="10:12">
      <c r="J2129" t="str">
        <f t="shared" ref="J2129:J2192" si="4251">IF(AND(ISNUMBER(#REF!), ISNUMBER(#REF!)),#REF! -#REF!,"")</f>
        <v/>
      </c>
      <c r="L2129" t="str">
        <f t="shared" ref="L2129:L2192" si="4252">IF(AND(ISNUMBER(#REF!), ISNUMBER(#REF!)),#REF! -#REF!,"")</f>
        <v/>
      </c>
    </row>
    <row r="2130" spans="10:12">
      <c r="J2130" t="str">
        <f t="shared" ref="J2130:J2193" si="4253">IF(AND(ISNUMBER(#REF!), ISNUMBER(#REF!)),#REF! -#REF!,"")</f>
        <v/>
      </c>
      <c r="L2130" t="str">
        <f t="shared" ref="L2130:L2193" si="4254">IF(AND(ISNUMBER(#REF!), ISNUMBER(#REF!)),#REF! -#REF!,"")</f>
        <v/>
      </c>
    </row>
    <row r="2131" spans="10:12">
      <c r="J2131" t="str">
        <f t="shared" ref="J2131:J2194" si="4255">IF(AND(ISNUMBER(#REF!), ISNUMBER(#REF!)),#REF! -#REF!,"")</f>
        <v/>
      </c>
      <c r="L2131" t="str">
        <f t="shared" ref="L2131:L2194" si="4256">IF(AND(ISNUMBER(#REF!), ISNUMBER(#REF!)),#REF! -#REF!,"")</f>
        <v/>
      </c>
    </row>
    <row r="2132" spans="10:12">
      <c r="J2132" t="str">
        <f t="shared" ref="J2132:J2195" si="4257">IF(AND(ISNUMBER(#REF!), ISNUMBER(#REF!)),#REF! -#REF!,"")</f>
        <v/>
      </c>
      <c r="L2132" t="str">
        <f t="shared" ref="L2132:L2195" si="4258">IF(AND(ISNUMBER(#REF!), ISNUMBER(#REF!)),#REF! -#REF!,"")</f>
        <v/>
      </c>
    </row>
    <row r="2133" spans="10:12">
      <c r="J2133" t="str">
        <f t="shared" ref="J2133:J2196" si="4259">IF(AND(ISNUMBER(#REF!), ISNUMBER(#REF!)),#REF! -#REF!,"")</f>
        <v/>
      </c>
      <c r="L2133" t="str">
        <f t="shared" ref="L2133:L2196" si="4260">IF(AND(ISNUMBER(#REF!), ISNUMBER(#REF!)),#REF! -#REF!,"")</f>
        <v/>
      </c>
    </row>
    <row r="2134" spans="10:12">
      <c r="J2134" t="str">
        <f t="shared" ref="J2134:J2197" si="4261">IF(AND(ISNUMBER(#REF!), ISNUMBER(#REF!)),#REF! -#REF!,"")</f>
        <v/>
      </c>
      <c r="L2134" t="str">
        <f t="shared" ref="L2134:L2197" si="4262">IF(AND(ISNUMBER(#REF!), ISNUMBER(#REF!)),#REF! -#REF!,"")</f>
        <v/>
      </c>
    </row>
    <row r="2135" spans="10:12">
      <c r="J2135" t="str">
        <f t="shared" ref="J2135:J2198" si="4263">IF(AND(ISNUMBER(#REF!), ISNUMBER(#REF!)),#REF! -#REF!,"")</f>
        <v/>
      </c>
      <c r="L2135" t="str">
        <f t="shared" ref="L2135:L2198" si="4264">IF(AND(ISNUMBER(#REF!), ISNUMBER(#REF!)),#REF! -#REF!,"")</f>
        <v/>
      </c>
    </row>
    <row r="2136" spans="10:12">
      <c r="J2136" t="str">
        <f t="shared" ref="J2136:J2199" si="4265">IF(AND(ISNUMBER(#REF!), ISNUMBER(#REF!)),#REF! -#REF!,"")</f>
        <v/>
      </c>
      <c r="L2136" t="str">
        <f t="shared" ref="L2136:L2199" si="4266">IF(AND(ISNUMBER(#REF!), ISNUMBER(#REF!)),#REF! -#REF!,"")</f>
        <v/>
      </c>
    </row>
    <row r="2137" spans="10:12">
      <c r="J2137" t="str">
        <f t="shared" ref="J2137:J2200" si="4267">IF(AND(ISNUMBER(#REF!), ISNUMBER(#REF!)),#REF! -#REF!,"")</f>
        <v/>
      </c>
      <c r="L2137" t="str">
        <f t="shared" ref="L2137:L2200" si="4268">IF(AND(ISNUMBER(#REF!), ISNUMBER(#REF!)),#REF! -#REF!,"")</f>
        <v/>
      </c>
    </row>
    <row r="2138" spans="10:12">
      <c r="J2138" t="str">
        <f t="shared" ref="J2138:J2201" si="4269">IF(AND(ISNUMBER(#REF!), ISNUMBER(#REF!)),#REF! -#REF!,"")</f>
        <v/>
      </c>
      <c r="L2138" t="str">
        <f t="shared" ref="L2138:L2201" si="4270">IF(AND(ISNUMBER(#REF!), ISNUMBER(#REF!)),#REF! -#REF!,"")</f>
        <v/>
      </c>
    </row>
    <row r="2139" spans="10:12">
      <c r="J2139" t="str">
        <f t="shared" ref="J2139:J2202" si="4271">IF(AND(ISNUMBER(#REF!), ISNUMBER(#REF!)),#REF! -#REF!,"")</f>
        <v/>
      </c>
      <c r="L2139" t="str">
        <f t="shared" ref="L2139:L2202" si="4272">IF(AND(ISNUMBER(#REF!), ISNUMBER(#REF!)),#REF! -#REF!,"")</f>
        <v/>
      </c>
    </row>
    <row r="2140" spans="10:12">
      <c r="J2140" t="str">
        <f t="shared" ref="J2140:J2203" si="4273">IF(AND(ISNUMBER(#REF!), ISNUMBER(#REF!)),#REF! -#REF!,"")</f>
        <v/>
      </c>
      <c r="L2140" t="str">
        <f t="shared" ref="L2140:L2203" si="4274">IF(AND(ISNUMBER(#REF!), ISNUMBER(#REF!)),#REF! -#REF!,"")</f>
        <v/>
      </c>
    </row>
    <row r="2141" spans="10:12">
      <c r="J2141" t="str">
        <f t="shared" ref="J2141:J2204" si="4275">IF(AND(ISNUMBER(#REF!), ISNUMBER(#REF!)),#REF! -#REF!,"")</f>
        <v/>
      </c>
      <c r="L2141" t="str">
        <f t="shared" ref="L2141:L2204" si="4276">IF(AND(ISNUMBER(#REF!), ISNUMBER(#REF!)),#REF! -#REF!,"")</f>
        <v/>
      </c>
    </row>
    <row r="2142" spans="10:12">
      <c r="J2142" t="str">
        <f t="shared" ref="J2142:J2205" si="4277">IF(AND(ISNUMBER(#REF!), ISNUMBER(#REF!)),#REF! -#REF!,"")</f>
        <v/>
      </c>
      <c r="L2142" t="str">
        <f t="shared" ref="L2142:L2205" si="4278">IF(AND(ISNUMBER(#REF!), ISNUMBER(#REF!)),#REF! -#REF!,"")</f>
        <v/>
      </c>
    </row>
    <row r="2143" spans="10:12">
      <c r="J2143" t="str">
        <f t="shared" ref="J2143:J2206" si="4279">IF(AND(ISNUMBER(#REF!), ISNUMBER(#REF!)),#REF! -#REF!,"")</f>
        <v/>
      </c>
      <c r="L2143" t="str">
        <f t="shared" ref="L2143:L2206" si="4280">IF(AND(ISNUMBER(#REF!), ISNUMBER(#REF!)),#REF! -#REF!,"")</f>
        <v/>
      </c>
    </row>
    <row r="2144" spans="10:12">
      <c r="J2144" t="str">
        <f t="shared" ref="J2144:J2207" si="4281">IF(AND(ISNUMBER(#REF!), ISNUMBER(#REF!)),#REF! -#REF!,"")</f>
        <v/>
      </c>
      <c r="L2144" t="str">
        <f t="shared" ref="L2144:L2207" si="4282">IF(AND(ISNUMBER(#REF!), ISNUMBER(#REF!)),#REF! -#REF!,"")</f>
        <v/>
      </c>
    </row>
    <row r="2145" spans="10:12">
      <c r="J2145" t="str">
        <f t="shared" ref="J2145:J2208" si="4283">IF(AND(ISNUMBER(#REF!), ISNUMBER(#REF!)),#REF! -#REF!,"")</f>
        <v/>
      </c>
      <c r="L2145" t="str">
        <f t="shared" ref="L2145:L2208" si="4284">IF(AND(ISNUMBER(#REF!), ISNUMBER(#REF!)),#REF! -#REF!,"")</f>
        <v/>
      </c>
    </row>
    <row r="2146" spans="10:12">
      <c r="J2146" t="str">
        <f t="shared" ref="J2146:J2209" si="4285">IF(AND(ISNUMBER(#REF!), ISNUMBER(#REF!)),#REF! -#REF!,"")</f>
        <v/>
      </c>
      <c r="L2146" t="str">
        <f t="shared" ref="L2146:L2209" si="4286">IF(AND(ISNUMBER(#REF!), ISNUMBER(#REF!)),#REF! -#REF!,"")</f>
        <v/>
      </c>
    </row>
    <row r="2147" spans="10:12">
      <c r="J2147" t="str">
        <f t="shared" ref="J2147:J2210" si="4287">IF(AND(ISNUMBER(#REF!), ISNUMBER(#REF!)),#REF! -#REF!,"")</f>
        <v/>
      </c>
      <c r="L2147" t="str">
        <f t="shared" ref="L2147:L2210" si="4288">IF(AND(ISNUMBER(#REF!), ISNUMBER(#REF!)),#REF! -#REF!,"")</f>
        <v/>
      </c>
    </row>
    <row r="2148" spans="10:12">
      <c r="J2148" t="str">
        <f t="shared" ref="J2148:J2211" si="4289">IF(AND(ISNUMBER(#REF!), ISNUMBER(#REF!)),#REF! -#REF!,"")</f>
        <v/>
      </c>
      <c r="L2148" t="str">
        <f t="shared" ref="L2148:L2211" si="4290">IF(AND(ISNUMBER(#REF!), ISNUMBER(#REF!)),#REF! -#REF!,"")</f>
        <v/>
      </c>
    </row>
    <row r="2149" spans="10:12">
      <c r="J2149" t="str">
        <f t="shared" ref="J2149:J2212" si="4291">IF(AND(ISNUMBER(#REF!), ISNUMBER(#REF!)),#REF! -#REF!,"")</f>
        <v/>
      </c>
      <c r="L2149" t="str">
        <f t="shared" ref="L2149:L2212" si="4292">IF(AND(ISNUMBER(#REF!), ISNUMBER(#REF!)),#REF! -#REF!,"")</f>
        <v/>
      </c>
    </row>
    <row r="2150" spans="10:12">
      <c r="J2150" t="str">
        <f t="shared" ref="J2150:J2213" si="4293">IF(AND(ISNUMBER(#REF!), ISNUMBER(#REF!)),#REF! -#REF!,"")</f>
        <v/>
      </c>
      <c r="L2150" t="str">
        <f t="shared" ref="L2150:L2213" si="4294">IF(AND(ISNUMBER(#REF!), ISNUMBER(#REF!)),#REF! -#REF!,"")</f>
        <v/>
      </c>
    </row>
    <row r="2151" spans="10:12">
      <c r="J2151" t="str">
        <f t="shared" ref="J2151:J2214" si="4295">IF(AND(ISNUMBER(#REF!), ISNUMBER(#REF!)),#REF! -#REF!,"")</f>
        <v/>
      </c>
      <c r="L2151" t="str">
        <f t="shared" ref="L2151:L2214" si="4296">IF(AND(ISNUMBER(#REF!), ISNUMBER(#REF!)),#REF! -#REF!,"")</f>
        <v/>
      </c>
    </row>
    <row r="2152" spans="10:12">
      <c r="J2152" t="str">
        <f t="shared" ref="J2152:J2215" si="4297">IF(AND(ISNUMBER(#REF!), ISNUMBER(#REF!)),#REF! -#REF!,"")</f>
        <v/>
      </c>
      <c r="L2152" t="str">
        <f t="shared" ref="L2152:L2215" si="4298">IF(AND(ISNUMBER(#REF!), ISNUMBER(#REF!)),#REF! -#REF!,"")</f>
        <v/>
      </c>
    </row>
    <row r="2153" spans="10:12">
      <c r="J2153" t="str">
        <f t="shared" ref="J2153:J2216" si="4299">IF(AND(ISNUMBER(#REF!), ISNUMBER(#REF!)),#REF! -#REF!,"")</f>
        <v/>
      </c>
      <c r="L2153" t="str">
        <f t="shared" ref="L2153:L2216" si="4300">IF(AND(ISNUMBER(#REF!), ISNUMBER(#REF!)),#REF! -#REF!,"")</f>
        <v/>
      </c>
    </row>
    <row r="2154" spans="10:12">
      <c r="J2154" t="str">
        <f t="shared" ref="J2154:J2217" si="4301">IF(AND(ISNUMBER(#REF!), ISNUMBER(#REF!)),#REF! -#REF!,"")</f>
        <v/>
      </c>
      <c r="L2154" t="str">
        <f t="shared" ref="L2154:L2217" si="4302">IF(AND(ISNUMBER(#REF!), ISNUMBER(#REF!)),#REF! -#REF!,"")</f>
        <v/>
      </c>
    </row>
    <row r="2155" spans="10:12">
      <c r="J2155" t="str">
        <f t="shared" ref="J2155:J2218" si="4303">IF(AND(ISNUMBER(#REF!), ISNUMBER(#REF!)),#REF! -#REF!,"")</f>
        <v/>
      </c>
      <c r="L2155" t="str">
        <f t="shared" ref="L2155:L2218" si="4304">IF(AND(ISNUMBER(#REF!), ISNUMBER(#REF!)),#REF! -#REF!,"")</f>
        <v/>
      </c>
    </row>
    <row r="2156" spans="10:12">
      <c r="J2156" t="str">
        <f t="shared" ref="J2156:J2219" si="4305">IF(AND(ISNUMBER(#REF!), ISNUMBER(#REF!)),#REF! -#REF!,"")</f>
        <v/>
      </c>
      <c r="L2156" t="str">
        <f t="shared" ref="L2156:L2219" si="4306">IF(AND(ISNUMBER(#REF!), ISNUMBER(#REF!)),#REF! -#REF!,"")</f>
        <v/>
      </c>
    </row>
    <row r="2157" spans="10:12">
      <c r="J2157" t="str">
        <f t="shared" ref="J2157:J2220" si="4307">IF(AND(ISNUMBER(#REF!), ISNUMBER(#REF!)),#REF! -#REF!,"")</f>
        <v/>
      </c>
      <c r="L2157" t="str">
        <f t="shared" ref="L2157:L2220" si="4308">IF(AND(ISNUMBER(#REF!), ISNUMBER(#REF!)),#REF! -#REF!,"")</f>
        <v/>
      </c>
    </row>
    <row r="2158" spans="10:12">
      <c r="J2158" t="str">
        <f t="shared" ref="J2158:J2221" si="4309">IF(AND(ISNUMBER(#REF!), ISNUMBER(#REF!)),#REF! -#REF!,"")</f>
        <v/>
      </c>
      <c r="L2158" t="str">
        <f t="shared" ref="L2158:L2221" si="4310">IF(AND(ISNUMBER(#REF!), ISNUMBER(#REF!)),#REF! -#REF!,"")</f>
        <v/>
      </c>
    </row>
    <row r="2159" spans="10:12">
      <c r="J2159" t="str">
        <f t="shared" ref="J2159:J2222" si="4311">IF(AND(ISNUMBER(#REF!), ISNUMBER(#REF!)),#REF! -#REF!,"")</f>
        <v/>
      </c>
      <c r="L2159" t="str">
        <f t="shared" ref="L2159:L2222" si="4312">IF(AND(ISNUMBER(#REF!), ISNUMBER(#REF!)),#REF! -#REF!,"")</f>
        <v/>
      </c>
    </row>
    <row r="2160" spans="10:12">
      <c r="J2160" t="str">
        <f t="shared" ref="J2160:J2223" si="4313">IF(AND(ISNUMBER(#REF!), ISNUMBER(#REF!)),#REF! -#REF!,"")</f>
        <v/>
      </c>
      <c r="L2160" t="str">
        <f t="shared" ref="L2160:L2223" si="4314">IF(AND(ISNUMBER(#REF!), ISNUMBER(#REF!)),#REF! -#REF!,"")</f>
        <v/>
      </c>
    </row>
    <row r="2161" spans="10:12">
      <c r="J2161" t="str">
        <f t="shared" ref="J2161:J2224" si="4315">IF(AND(ISNUMBER(#REF!), ISNUMBER(#REF!)),#REF! -#REF!,"")</f>
        <v/>
      </c>
      <c r="L2161" t="str">
        <f t="shared" ref="L2161:L2224" si="4316">IF(AND(ISNUMBER(#REF!), ISNUMBER(#REF!)),#REF! -#REF!,"")</f>
        <v/>
      </c>
    </row>
    <row r="2162" spans="10:12">
      <c r="J2162" t="str">
        <f t="shared" ref="J2162:J2225" si="4317">IF(AND(ISNUMBER(#REF!), ISNUMBER(#REF!)),#REF! -#REF!,"")</f>
        <v/>
      </c>
      <c r="L2162" t="str">
        <f t="shared" ref="L2162:L2225" si="4318">IF(AND(ISNUMBER(#REF!), ISNUMBER(#REF!)),#REF! -#REF!,"")</f>
        <v/>
      </c>
    </row>
    <row r="2163" spans="10:12">
      <c r="J2163" t="str">
        <f t="shared" ref="J2163:J2226" si="4319">IF(AND(ISNUMBER(#REF!), ISNUMBER(#REF!)),#REF! -#REF!,"")</f>
        <v/>
      </c>
      <c r="L2163" t="str">
        <f t="shared" ref="L2163:L2226" si="4320">IF(AND(ISNUMBER(#REF!), ISNUMBER(#REF!)),#REF! -#REF!,"")</f>
        <v/>
      </c>
    </row>
    <row r="2164" spans="10:12">
      <c r="J2164" t="str">
        <f t="shared" ref="J2164:J2227" si="4321">IF(AND(ISNUMBER(#REF!), ISNUMBER(#REF!)),#REF! -#REF!,"")</f>
        <v/>
      </c>
      <c r="L2164" t="str">
        <f t="shared" ref="L2164:L2227" si="4322">IF(AND(ISNUMBER(#REF!), ISNUMBER(#REF!)),#REF! -#REF!,"")</f>
        <v/>
      </c>
    </row>
    <row r="2165" spans="10:12">
      <c r="J2165" t="str">
        <f t="shared" ref="J2165:J2228" si="4323">IF(AND(ISNUMBER(#REF!), ISNUMBER(#REF!)),#REF! -#REF!,"")</f>
        <v/>
      </c>
      <c r="L2165" t="str">
        <f t="shared" ref="L2165:L2228" si="4324">IF(AND(ISNUMBER(#REF!), ISNUMBER(#REF!)),#REF! -#REF!,"")</f>
        <v/>
      </c>
    </row>
    <row r="2166" spans="10:12">
      <c r="J2166" t="str">
        <f t="shared" ref="J2166:J2229" si="4325">IF(AND(ISNUMBER(#REF!), ISNUMBER(#REF!)),#REF! -#REF!,"")</f>
        <v/>
      </c>
      <c r="L2166" t="str">
        <f t="shared" ref="L2166:L2229" si="4326">IF(AND(ISNUMBER(#REF!), ISNUMBER(#REF!)),#REF! -#REF!,"")</f>
        <v/>
      </c>
    </row>
    <row r="2167" spans="10:12">
      <c r="J2167" t="str">
        <f t="shared" ref="J2167:J2230" si="4327">IF(AND(ISNUMBER(#REF!), ISNUMBER(#REF!)),#REF! -#REF!,"")</f>
        <v/>
      </c>
      <c r="L2167" t="str">
        <f t="shared" ref="L2167:L2230" si="4328">IF(AND(ISNUMBER(#REF!), ISNUMBER(#REF!)),#REF! -#REF!,"")</f>
        <v/>
      </c>
    </row>
    <row r="2168" spans="10:12">
      <c r="J2168" t="str">
        <f t="shared" ref="J2168:J2231" si="4329">IF(AND(ISNUMBER(#REF!), ISNUMBER(#REF!)),#REF! -#REF!,"")</f>
        <v/>
      </c>
      <c r="L2168" t="str">
        <f t="shared" ref="L2168:L2231" si="4330">IF(AND(ISNUMBER(#REF!), ISNUMBER(#REF!)),#REF! -#REF!,"")</f>
        <v/>
      </c>
    </row>
    <row r="2169" spans="10:12">
      <c r="J2169" t="str">
        <f t="shared" ref="J2169:J2232" si="4331">IF(AND(ISNUMBER(#REF!), ISNUMBER(#REF!)),#REF! -#REF!,"")</f>
        <v/>
      </c>
      <c r="L2169" t="str">
        <f t="shared" ref="L2169:L2232" si="4332">IF(AND(ISNUMBER(#REF!), ISNUMBER(#REF!)),#REF! -#REF!,"")</f>
        <v/>
      </c>
    </row>
    <row r="2170" spans="10:12">
      <c r="J2170" t="str">
        <f t="shared" ref="J2170:J2233" si="4333">IF(AND(ISNUMBER(#REF!), ISNUMBER(#REF!)),#REF! -#REF!,"")</f>
        <v/>
      </c>
      <c r="L2170" t="str">
        <f t="shared" ref="L2170:L2233" si="4334">IF(AND(ISNUMBER(#REF!), ISNUMBER(#REF!)),#REF! -#REF!,"")</f>
        <v/>
      </c>
    </row>
    <row r="2171" spans="10:12">
      <c r="J2171" t="str">
        <f t="shared" ref="J2171:J2234" si="4335">IF(AND(ISNUMBER(#REF!), ISNUMBER(#REF!)),#REF! -#REF!,"")</f>
        <v/>
      </c>
      <c r="L2171" t="str">
        <f t="shared" ref="L2171:L2234" si="4336">IF(AND(ISNUMBER(#REF!), ISNUMBER(#REF!)),#REF! -#REF!,"")</f>
        <v/>
      </c>
    </row>
    <row r="2172" spans="10:12">
      <c r="J2172" t="str">
        <f t="shared" ref="J2172:J2235" si="4337">IF(AND(ISNUMBER(#REF!), ISNUMBER(#REF!)),#REF! -#REF!,"")</f>
        <v/>
      </c>
      <c r="L2172" t="str">
        <f t="shared" ref="L2172:L2235" si="4338">IF(AND(ISNUMBER(#REF!), ISNUMBER(#REF!)),#REF! -#REF!,"")</f>
        <v/>
      </c>
    </row>
    <row r="2173" spans="10:12">
      <c r="J2173" t="str">
        <f t="shared" ref="J2173:J2236" si="4339">IF(AND(ISNUMBER(#REF!), ISNUMBER(#REF!)),#REF! -#REF!,"")</f>
        <v/>
      </c>
      <c r="L2173" t="str">
        <f t="shared" ref="L2173:L2236" si="4340">IF(AND(ISNUMBER(#REF!), ISNUMBER(#REF!)),#REF! -#REF!,"")</f>
        <v/>
      </c>
    </row>
    <row r="2174" spans="10:12">
      <c r="J2174" t="str">
        <f t="shared" ref="J2174:J2237" si="4341">IF(AND(ISNUMBER(#REF!), ISNUMBER(#REF!)),#REF! -#REF!,"")</f>
        <v/>
      </c>
      <c r="L2174" t="str">
        <f t="shared" ref="L2174:L2237" si="4342">IF(AND(ISNUMBER(#REF!), ISNUMBER(#REF!)),#REF! -#REF!,"")</f>
        <v/>
      </c>
    </row>
    <row r="2175" spans="10:12">
      <c r="J2175" t="str">
        <f t="shared" ref="J2175:J2238" si="4343">IF(AND(ISNUMBER(#REF!), ISNUMBER(#REF!)),#REF! -#REF!,"")</f>
        <v/>
      </c>
      <c r="L2175" t="str">
        <f t="shared" ref="L2175:L2238" si="4344">IF(AND(ISNUMBER(#REF!), ISNUMBER(#REF!)),#REF! -#REF!,"")</f>
        <v/>
      </c>
    </row>
    <row r="2176" spans="10:12">
      <c r="J2176" t="str">
        <f t="shared" ref="J2176:J2239" si="4345">IF(AND(ISNUMBER(#REF!), ISNUMBER(#REF!)),#REF! -#REF!,"")</f>
        <v/>
      </c>
      <c r="L2176" t="str">
        <f t="shared" ref="L2176:L2239" si="4346">IF(AND(ISNUMBER(#REF!), ISNUMBER(#REF!)),#REF! -#REF!,"")</f>
        <v/>
      </c>
    </row>
    <row r="2177" spans="10:12">
      <c r="J2177" t="str">
        <f t="shared" ref="J2177:J2240" si="4347">IF(AND(ISNUMBER(#REF!), ISNUMBER(#REF!)),#REF! -#REF!,"")</f>
        <v/>
      </c>
      <c r="L2177" t="str">
        <f t="shared" ref="L2177:L2240" si="4348">IF(AND(ISNUMBER(#REF!), ISNUMBER(#REF!)),#REF! -#REF!,"")</f>
        <v/>
      </c>
    </row>
    <row r="2178" spans="10:12">
      <c r="J2178" t="str">
        <f t="shared" ref="J2178:J2241" si="4349">IF(AND(ISNUMBER(#REF!), ISNUMBER(#REF!)),#REF! -#REF!,"")</f>
        <v/>
      </c>
      <c r="L2178" t="str">
        <f t="shared" ref="L2178:L2241" si="4350">IF(AND(ISNUMBER(#REF!), ISNUMBER(#REF!)),#REF! -#REF!,"")</f>
        <v/>
      </c>
    </row>
    <row r="2179" spans="10:12">
      <c r="J2179" t="str">
        <f t="shared" ref="J2179:J2242" si="4351">IF(AND(ISNUMBER(#REF!), ISNUMBER(#REF!)),#REF! -#REF!,"")</f>
        <v/>
      </c>
      <c r="L2179" t="str">
        <f t="shared" ref="L2179:L2242" si="4352">IF(AND(ISNUMBER(#REF!), ISNUMBER(#REF!)),#REF! -#REF!,"")</f>
        <v/>
      </c>
    </row>
    <row r="2180" spans="10:12">
      <c r="J2180" t="str">
        <f t="shared" ref="J2180:J2243" si="4353">IF(AND(ISNUMBER(#REF!), ISNUMBER(#REF!)),#REF! -#REF!,"")</f>
        <v/>
      </c>
      <c r="L2180" t="str">
        <f t="shared" ref="L2180:L2243" si="4354">IF(AND(ISNUMBER(#REF!), ISNUMBER(#REF!)),#REF! -#REF!,"")</f>
        <v/>
      </c>
    </row>
    <row r="2181" spans="10:12">
      <c r="J2181" t="str">
        <f t="shared" ref="J2181:J2244" si="4355">IF(AND(ISNUMBER(#REF!), ISNUMBER(#REF!)),#REF! -#REF!,"")</f>
        <v/>
      </c>
      <c r="L2181" t="str">
        <f t="shared" ref="L2181:L2244" si="4356">IF(AND(ISNUMBER(#REF!), ISNUMBER(#REF!)),#REF! -#REF!,"")</f>
        <v/>
      </c>
    </row>
    <row r="2182" spans="10:12">
      <c r="J2182" t="str">
        <f t="shared" ref="J2182:J2245" si="4357">IF(AND(ISNUMBER(#REF!), ISNUMBER(#REF!)),#REF! -#REF!,"")</f>
        <v/>
      </c>
      <c r="L2182" t="str">
        <f t="shared" ref="L2182:L2245" si="4358">IF(AND(ISNUMBER(#REF!), ISNUMBER(#REF!)),#REF! -#REF!,"")</f>
        <v/>
      </c>
    </row>
    <row r="2183" spans="10:12">
      <c r="J2183" t="str">
        <f t="shared" ref="J2183:J2246" si="4359">IF(AND(ISNUMBER(#REF!), ISNUMBER(#REF!)),#REF! -#REF!,"")</f>
        <v/>
      </c>
      <c r="L2183" t="str">
        <f t="shared" ref="L2183:L2246" si="4360">IF(AND(ISNUMBER(#REF!), ISNUMBER(#REF!)),#REF! -#REF!,"")</f>
        <v/>
      </c>
    </row>
    <row r="2184" spans="10:12">
      <c r="J2184" t="str">
        <f t="shared" ref="J2184:J2247" si="4361">IF(AND(ISNUMBER(#REF!), ISNUMBER(#REF!)),#REF! -#REF!,"")</f>
        <v/>
      </c>
      <c r="L2184" t="str">
        <f t="shared" ref="L2184:L2247" si="4362">IF(AND(ISNUMBER(#REF!), ISNUMBER(#REF!)),#REF! -#REF!,"")</f>
        <v/>
      </c>
    </row>
    <row r="2185" spans="10:12">
      <c r="J2185" t="str">
        <f t="shared" ref="J2185:J2248" si="4363">IF(AND(ISNUMBER(#REF!), ISNUMBER(#REF!)),#REF! -#REF!,"")</f>
        <v/>
      </c>
      <c r="L2185" t="str">
        <f t="shared" ref="L2185:L2248" si="4364">IF(AND(ISNUMBER(#REF!), ISNUMBER(#REF!)),#REF! -#REF!,"")</f>
        <v/>
      </c>
    </row>
    <row r="2186" spans="10:12">
      <c r="J2186" t="str">
        <f t="shared" ref="J2186:J2249" si="4365">IF(AND(ISNUMBER(#REF!), ISNUMBER(#REF!)),#REF! -#REF!,"")</f>
        <v/>
      </c>
      <c r="L2186" t="str">
        <f t="shared" ref="L2186:L2249" si="4366">IF(AND(ISNUMBER(#REF!), ISNUMBER(#REF!)),#REF! -#REF!,"")</f>
        <v/>
      </c>
    </row>
    <row r="2187" spans="10:12">
      <c r="J2187" t="str">
        <f t="shared" ref="J2187:J2250" si="4367">IF(AND(ISNUMBER(#REF!), ISNUMBER(#REF!)),#REF! -#REF!,"")</f>
        <v/>
      </c>
      <c r="L2187" t="str">
        <f t="shared" ref="L2187:L2250" si="4368">IF(AND(ISNUMBER(#REF!), ISNUMBER(#REF!)),#REF! -#REF!,"")</f>
        <v/>
      </c>
    </row>
    <row r="2188" spans="10:12">
      <c r="J2188" t="str">
        <f t="shared" ref="J2188:J2251" si="4369">IF(AND(ISNUMBER(#REF!), ISNUMBER(#REF!)),#REF! -#REF!,"")</f>
        <v/>
      </c>
      <c r="L2188" t="str">
        <f t="shared" ref="L2188:L2251" si="4370">IF(AND(ISNUMBER(#REF!), ISNUMBER(#REF!)),#REF! -#REF!,"")</f>
        <v/>
      </c>
    </row>
    <row r="2189" spans="10:12">
      <c r="J2189" t="str">
        <f t="shared" ref="J2189:J2252" si="4371">IF(AND(ISNUMBER(#REF!), ISNUMBER(#REF!)),#REF! -#REF!,"")</f>
        <v/>
      </c>
      <c r="L2189" t="str">
        <f t="shared" ref="L2189:L2252" si="4372">IF(AND(ISNUMBER(#REF!), ISNUMBER(#REF!)),#REF! -#REF!,"")</f>
        <v/>
      </c>
    </row>
    <row r="2190" spans="10:12">
      <c r="J2190" t="str">
        <f t="shared" ref="J2190:J2253" si="4373">IF(AND(ISNUMBER(#REF!), ISNUMBER(#REF!)),#REF! -#REF!,"")</f>
        <v/>
      </c>
      <c r="L2190" t="str">
        <f t="shared" ref="L2190:L2253" si="4374">IF(AND(ISNUMBER(#REF!), ISNUMBER(#REF!)),#REF! -#REF!,"")</f>
        <v/>
      </c>
    </row>
    <row r="2191" spans="10:12">
      <c r="J2191" t="str">
        <f t="shared" ref="J2191:J2254" si="4375">IF(AND(ISNUMBER(#REF!), ISNUMBER(#REF!)),#REF! -#REF!,"")</f>
        <v/>
      </c>
      <c r="L2191" t="str">
        <f t="shared" ref="L2191:L2254" si="4376">IF(AND(ISNUMBER(#REF!), ISNUMBER(#REF!)),#REF! -#REF!,"")</f>
        <v/>
      </c>
    </row>
    <row r="2192" spans="10:12">
      <c r="J2192" t="str">
        <f t="shared" ref="J2192:J2255" si="4377">IF(AND(ISNUMBER(#REF!), ISNUMBER(#REF!)),#REF! -#REF!,"")</f>
        <v/>
      </c>
      <c r="L2192" t="str">
        <f t="shared" ref="L2192:L2255" si="4378">IF(AND(ISNUMBER(#REF!), ISNUMBER(#REF!)),#REF! -#REF!,"")</f>
        <v/>
      </c>
    </row>
    <row r="2193" spans="10:12">
      <c r="J2193" t="str">
        <f t="shared" ref="J2193:J2256" si="4379">IF(AND(ISNUMBER(#REF!), ISNUMBER(#REF!)),#REF! -#REF!,"")</f>
        <v/>
      </c>
      <c r="L2193" t="str">
        <f t="shared" ref="L2193:L2256" si="4380">IF(AND(ISNUMBER(#REF!), ISNUMBER(#REF!)),#REF! -#REF!,"")</f>
        <v/>
      </c>
    </row>
    <row r="2194" spans="10:12">
      <c r="J2194" t="str">
        <f t="shared" ref="J2194:J2257" si="4381">IF(AND(ISNUMBER(#REF!), ISNUMBER(#REF!)),#REF! -#REF!,"")</f>
        <v/>
      </c>
      <c r="L2194" t="str">
        <f t="shared" ref="L2194:L2257" si="4382">IF(AND(ISNUMBER(#REF!), ISNUMBER(#REF!)),#REF! -#REF!,"")</f>
        <v/>
      </c>
    </row>
    <row r="2195" spans="10:12">
      <c r="J2195" t="str">
        <f t="shared" ref="J2195:J2258" si="4383">IF(AND(ISNUMBER(#REF!), ISNUMBER(#REF!)),#REF! -#REF!,"")</f>
        <v/>
      </c>
      <c r="L2195" t="str">
        <f t="shared" ref="L2195:L2258" si="4384">IF(AND(ISNUMBER(#REF!), ISNUMBER(#REF!)),#REF! -#REF!,"")</f>
        <v/>
      </c>
    </row>
    <row r="2196" spans="10:12">
      <c r="J2196" t="str">
        <f t="shared" ref="J2196:J2259" si="4385">IF(AND(ISNUMBER(#REF!), ISNUMBER(#REF!)),#REF! -#REF!,"")</f>
        <v/>
      </c>
      <c r="L2196" t="str">
        <f t="shared" ref="L2196:L2259" si="4386">IF(AND(ISNUMBER(#REF!), ISNUMBER(#REF!)),#REF! -#REF!,"")</f>
        <v/>
      </c>
    </row>
    <row r="2197" spans="10:12">
      <c r="J2197" t="str">
        <f t="shared" ref="J2197:J2260" si="4387">IF(AND(ISNUMBER(#REF!), ISNUMBER(#REF!)),#REF! -#REF!,"")</f>
        <v/>
      </c>
      <c r="L2197" t="str">
        <f t="shared" ref="L2197:L2260" si="4388">IF(AND(ISNUMBER(#REF!), ISNUMBER(#REF!)),#REF! -#REF!,"")</f>
        <v/>
      </c>
    </row>
    <row r="2198" spans="10:12">
      <c r="J2198" t="str">
        <f t="shared" ref="J2198:J2261" si="4389">IF(AND(ISNUMBER(#REF!), ISNUMBER(#REF!)),#REF! -#REF!,"")</f>
        <v/>
      </c>
      <c r="L2198" t="str">
        <f t="shared" ref="L2198:L2261" si="4390">IF(AND(ISNUMBER(#REF!), ISNUMBER(#REF!)),#REF! -#REF!,"")</f>
        <v/>
      </c>
    </row>
    <row r="2199" spans="10:12">
      <c r="J2199" t="str">
        <f t="shared" ref="J2199:J2262" si="4391">IF(AND(ISNUMBER(#REF!), ISNUMBER(#REF!)),#REF! -#REF!,"")</f>
        <v/>
      </c>
      <c r="L2199" t="str">
        <f t="shared" ref="L2199:L2262" si="4392">IF(AND(ISNUMBER(#REF!), ISNUMBER(#REF!)),#REF! -#REF!,"")</f>
        <v/>
      </c>
    </row>
    <row r="2200" spans="10:12">
      <c r="J2200" t="str">
        <f t="shared" ref="J2200:J2263" si="4393">IF(AND(ISNUMBER(#REF!), ISNUMBER(#REF!)),#REF! -#REF!,"")</f>
        <v/>
      </c>
      <c r="L2200" t="str">
        <f t="shared" ref="L2200:L2263" si="4394">IF(AND(ISNUMBER(#REF!), ISNUMBER(#REF!)),#REF! -#REF!,"")</f>
        <v/>
      </c>
    </row>
    <row r="2201" spans="10:12">
      <c r="J2201" t="str">
        <f t="shared" ref="J2201:J2264" si="4395">IF(AND(ISNUMBER(#REF!), ISNUMBER(#REF!)),#REF! -#REF!,"")</f>
        <v/>
      </c>
      <c r="L2201" t="str">
        <f t="shared" ref="L2201:L2264" si="4396">IF(AND(ISNUMBER(#REF!), ISNUMBER(#REF!)),#REF! -#REF!,"")</f>
        <v/>
      </c>
    </row>
    <row r="2202" spans="10:12">
      <c r="J2202" t="str">
        <f t="shared" ref="J2202:J2265" si="4397">IF(AND(ISNUMBER(#REF!), ISNUMBER(#REF!)),#REF! -#REF!,"")</f>
        <v/>
      </c>
      <c r="L2202" t="str">
        <f t="shared" ref="L2202:L2265" si="4398">IF(AND(ISNUMBER(#REF!), ISNUMBER(#REF!)),#REF! -#REF!,"")</f>
        <v/>
      </c>
    </row>
    <row r="2203" spans="10:12">
      <c r="J2203" t="str">
        <f t="shared" ref="J2203:J2266" si="4399">IF(AND(ISNUMBER(#REF!), ISNUMBER(#REF!)),#REF! -#REF!,"")</f>
        <v/>
      </c>
      <c r="L2203" t="str">
        <f t="shared" ref="L2203:L2266" si="4400">IF(AND(ISNUMBER(#REF!), ISNUMBER(#REF!)),#REF! -#REF!,"")</f>
        <v/>
      </c>
    </row>
    <row r="2204" spans="10:12">
      <c r="J2204" t="str">
        <f t="shared" ref="J2204:J2267" si="4401">IF(AND(ISNUMBER(#REF!), ISNUMBER(#REF!)),#REF! -#REF!,"")</f>
        <v/>
      </c>
      <c r="L2204" t="str">
        <f t="shared" ref="L2204:L2267" si="4402">IF(AND(ISNUMBER(#REF!), ISNUMBER(#REF!)),#REF! -#REF!,"")</f>
        <v/>
      </c>
    </row>
    <row r="2205" spans="10:12">
      <c r="J2205" t="str">
        <f t="shared" ref="J2205:J2268" si="4403">IF(AND(ISNUMBER(#REF!), ISNUMBER(#REF!)),#REF! -#REF!,"")</f>
        <v/>
      </c>
      <c r="L2205" t="str">
        <f t="shared" ref="L2205:L2268" si="4404">IF(AND(ISNUMBER(#REF!), ISNUMBER(#REF!)),#REF! -#REF!,"")</f>
        <v/>
      </c>
    </row>
    <row r="2206" spans="10:12">
      <c r="J2206" t="str">
        <f t="shared" ref="J2206:J2269" si="4405">IF(AND(ISNUMBER(#REF!), ISNUMBER(#REF!)),#REF! -#REF!,"")</f>
        <v/>
      </c>
      <c r="L2206" t="str">
        <f t="shared" ref="L2206:L2269" si="4406">IF(AND(ISNUMBER(#REF!), ISNUMBER(#REF!)),#REF! -#REF!,"")</f>
        <v/>
      </c>
    </row>
    <row r="2207" spans="10:12">
      <c r="J2207" t="str">
        <f t="shared" ref="J2207:J2270" si="4407">IF(AND(ISNUMBER(#REF!), ISNUMBER(#REF!)),#REF! -#REF!,"")</f>
        <v/>
      </c>
      <c r="L2207" t="str">
        <f t="shared" ref="L2207:L2270" si="4408">IF(AND(ISNUMBER(#REF!), ISNUMBER(#REF!)),#REF! -#REF!,"")</f>
        <v/>
      </c>
    </row>
    <row r="2208" spans="10:12">
      <c r="J2208" t="str">
        <f t="shared" ref="J2208:J2271" si="4409">IF(AND(ISNUMBER(#REF!), ISNUMBER(#REF!)),#REF! -#REF!,"")</f>
        <v/>
      </c>
      <c r="L2208" t="str">
        <f t="shared" ref="L2208:L2271" si="4410">IF(AND(ISNUMBER(#REF!), ISNUMBER(#REF!)),#REF! -#REF!,"")</f>
        <v/>
      </c>
    </row>
    <row r="2209" spans="10:12">
      <c r="J2209" t="str">
        <f t="shared" ref="J2209:J2272" si="4411">IF(AND(ISNUMBER(#REF!), ISNUMBER(#REF!)),#REF! -#REF!,"")</f>
        <v/>
      </c>
      <c r="L2209" t="str">
        <f t="shared" ref="L2209:L2272" si="4412">IF(AND(ISNUMBER(#REF!), ISNUMBER(#REF!)),#REF! -#REF!,"")</f>
        <v/>
      </c>
    </row>
    <row r="2210" spans="10:12">
      <c r="J2210" t="str">
        <f t="shared" ref="J2210:J2273" si="4413">IF(AND(ISNUMBER(#REF!), ISNUMBER(#REF!)),#REF! -#REF!,"")</f>
        <v/>
      </c>
      <c r="L2210" t="str">
        <f t="shared" ref="L2210:L2273" si="4414">IF(AND(ISNUMBER(#REF!), ISNUMBER(#REF!)),#REF! -#REF!,"")</f>
        <v/>
      </c>
    </row>
    <row r="2211" spans="10:12">
      <c r="J2211" t="str">
        <f t="shared" ref="J2211:J2274" si="4415">IF(AND(ISNUMBER(#REF!), ISNUMBER(#REF!)),#REF! -#REF!,"")</f>
        <v/>
      </c>
      <c r="L2211" t="str">
        <f t="shared" ref="L2211:L2274" si="4416">IF(AND(ISNUMBER(#REF!), ISNUMBER(#REF!)),#REF! -#REF!,"")</f>
        <v/>
      </c>
    </row>
    <row r="2212" spans="10:12">
      <c r="J2212" t="str">
        <f t="shared" ref="J2212:J2275" si="4417">IF(AND(ISNUMBER(#REF!), ISNUMBER(#REF!)),#REF! -#REF!,"")</f>
        <v/>
      </c>
      <c r="L2212" t="str">
        <f t="shared" ref="L2212:L2275" si="4418">IF(AND(ISNUMBER(#REF!), ISNUMBER(#REF!)),#REF! -#REF!,"")</f>
        <v/>
      </c>
    </row>
    <row r="2213" spans="10:12">
      <c r="J2213" t="str">
        <f t="shared" ref="J2213:J2276" si="4419">IF(AND(ISNUMBER(#REF!), ISNUMBER(#REF!)),#REF! -#REF!,"")</f>
        <v/>
      </c>
      <c r="L2213" t="str">
        <f t="shared" ref="L2213:L2276" si="4420">IF(AND(ISNUMBER(#REF!), ISNUMBER(#REF!)),#REF! -#REF!,"")</f>
        <v/>
      </c>
    </row>
    <row r="2214" spans="10:12">
      <c r="J2214" t="str">
        <f t="shared" ref="J2214:J2277" si="4421">IF(AND(ISNUMBER(#REF!), ISNUMBER(#REF!)),#REF! -#REF!,"")</f>
        <v/>
      </c>
      <c r="L2214" t="str">
        <f t="shared" ref="L2214:L2277" si="4422">IF(AND(ISNUMBER(#REF!), ISNUMBER(#REF!)),#REF! -#REF!,"")</f>
        <v/>
      </c>
    </row>
    <row r="2215" spans="10:12">
      <c r="J2215" t="str">
        <f t="shared" ref="J2215:J2278" si="4423">IF(AND(ISNUMBER(#REF!), ISNUMBER(#REF!)),#REF! -#REF!,"")</f>
        <v/>
      </c>
      <c r="L2215" t="str">
        <f t="shared" ref="L2215:L2278" si="4424">IF(AND(ISNUMBER(#REF!), ISNUMBER(#REF!)),#REF! -#REF!,"")</f>
        <v/>
      </c>
    </row>
    <row r="2216" spans="10:12">
      <c r="J2216" t="str">
        <f t="shared" ref="J2216:J2279" si="4425">IF(AND(ISNUMBER(#REF!), ISNUMBER(#REF!)),#REF! -#REF!,"")</f>
        <v/>
      </c>
      <c r="L2216" t="str">
        <f t="shared" ref="L2216:L2279" si="4426">IF(AND(ISNUMBER(#REF!), ISNUMBER(#REF!)),#REF! -#REF!,"")</f>
        <v/>
      </c>
    </row>
    <row r="2217" spans="10:12">
      <c r="J2217" t="str">
        <f t="shared" ref="J2217:J2280" si="4427">IF(AND(ISNUMBER(#REF!), ISNUMBER(#REF!)),#REF! -#REF!,"")</f>
        <v/>
      </c>
      <c r="L2217" t="str">
        <f t="shared" ref="L2217:L2280" si="4428">IF(AND(ISNUMBER(#REF!), ISNUMBER(#REF!)),#REF! -#REF!,"")</f>
        <v/>
      </c>
    </row>
    <row r="2218" spans="10:12">
      <c r="J2218" t="str">
        <f t="shared" ref="J2218:J2281" si="4429">IF(AND(ISNUMBER(#REF!), ISNUMBER(#REF!)),#REF! -#REF!,"")</f>
        <v/>
      </c>
      <c r="L2218" t="str">
        <f t="shared" ref="L2218:L2281" si="4430">IF(AND(ISNUMBER(#REF!), ISNUMBER(#REF!)),#REF! -#REF!,"")</f>
        <v/>
      </c>
    </row>
    <row r="2219" spans="10:12">
      <c r="J2219" t="str">
        <f t="shared" ref="J2219:J2282" si="4431">IF(AND(ISNUMBER(#REF!), ISNUMBER(#REF!)),#REF! -#REF!,"")</f>
        <v/>
      </c>
      <c r="L2219" t="str">
        <f t="shared" ref="L2219:L2282" si="4432">IF(AND(ISNUMBER(#REF!), ISNUMBER(#REF!)),#REF! -#REF!,"")</f>
        <v/>
      </c>
    </row>
    <row r="2220" spans="10:12">
      <c r="J2220" t="str">
        <f t="shared" ref="J2220:J2283" si="4433">IF(AND(ISNUMBER(#REF!), ISNUMBER(#REF!)),#REF! -#REF!,"")</f>
        <v/>
      </c>
      <c r="L2220" t="str">
        <f t="shared" ref="L2220:L2283" si="4434">IF(AND(ISNUMBER(#REF!), ISNUMBER(#REF!)),#REF! -#REF!,"")</f>
        <v/>
      </c>
    </row>
    <row r="2221" spans="10:12">
      <c r="J2221" t="str">
        <f t="shared" ref="J2221:J2284" si="4435">IF(AND(ISNUMBER(#REF!), ISNUMBER(#REF!)),#REF! -#REF!,"")</f>
        <v/>
      </c>
      <c r="L2221" t="str">
        <f t="shared" ref="L2221:L2284" si="4436">IF(AND(ISNUMBER(#REF!), ISNUMBER(#REF!)),#REF! -#REF!,"")</f>
        <v/>
      </c>
    </row>
    <row r="2222" spans="10:12">
      <c r="J2222" t="str">
        <f t="shared" ref="J2222:J2285" si="4437">IF(AND(ISNUMBER(#REF!), ISNUMBER(#REF!)),#REF! -#REF!,"")</f>
        <v/>
      </c>
      <c r="L2222" t="str">
        <f t="shared" ref="L2222:L2285" si="4438">IF(AND(ISNUMBER(#REF!), ISNUMBER(#REF!)),#REF! -#REF!,"")</f>
        <v/>
      </c>
    </row>
    <row r="2223" spans="10:12">
      <c r="J2223" t="str">
        <f t="shared" ref="J2223:J2286" si="4439">IF(AND(ISNUMBER(#REF!), ISNUMBER(#REF!)),#REF! -#REF!,"")</f>
        <v/>
      </c>
      <c r="L2223" t="str">
        <f t="shared" ref="L2223:L2286" si="4440">IF(AND(ISNUMBER(#REF!), ISNUMBER(#REF!)),#REF! -#REF!,"")</f>
        <v/>
      </c>
    </row>
    <row r="2224" spans="10:12">
      <c r="J2224" t="str">
        <f t="shared" ref="J2224:J2287" si="4441">IF(AND(ISNUMBER(#REF!), ISNUMBER(#REF!)),#REF! -#REF!,"")</f>
        <v/>
      </c>
      <c r="L2224" t="str">
        <f t="shared" ref="L2224:L2287" si="4442">IF(AND(ISNUMBER(#REF!), ISNUMBER(#REF!)),#REF! -#REF!,"")</f>
        <v/>
      </c>
    </row>
    <row r="2225" spans="10:12">
      <c r="J2225" t="str">
        <f t="shared" ref="J2225:J2288" si="4443">IF(AND(ISNUMBER(#REF!), ISNUMBER(#REF!)),#REF! -#REF!,"")</f>
        <v/>
      </c>
      <c r="L2225" t="str">
        <f t="shared" ref="L2225:L2288" si="4444">IF(AND(ISNUMBER(#REF!), ISNUMBER(#REF!)),#REF! -#REF!,"")</f>
        <v/>
      </c>
    </row>
    <row r="2226" spans="10:12">
      <c r="J2226" t="str">
        <f t="shared" ref="J2226:J2289" si="4445">IF(AND(ISNUMBER(#REF!), ISNUMBER(#REF!)),#REF! -#REF!,"")</f>
        <v/>
      </c>
      <c r="L2226" t="str">
        <f t="shared" ref="L2226:L2289" si="4446">IF(AND(ISNUMBER(#REF!), ISNUMBER(#REF!)),#REF! -#REF!,"")</f>
        <v/>
      </c>
    </row>
    <row r="2227" spans="10:12">
      <c r="J2227" t="str">
        <f t="shared" ref="J2227:J2290" si="4447">IF(AND(ISNUMBER(#REF!), ISNUMBER(#REF!)),#REF! -#REF!,"")</f>
        <v/>
      </c>
      <c r="L2227" t="str">
        <f t="shared" ref="L2227:L2290" si="4448">IF(AND(ISNUMBER(#REF!), ISNUMBER(#REF!)),#REF! -#REF!,"")</f>
        <v/>
      </c>
    </row>
    <row r="2228" spans="10:12">
      <c r="J2228" t="str">
        <f t="shared" ref="J2228:J2291" si="4449">IF(AND(ISNUMBER(#REF!), ISNUMBER(#REF!)),#REF! -#REF!,"")</f>
        <v/>
      </c>
      <c r="L2228" t="str">
        <f t="shared" ref="L2228:L2291" si="4450">IF(AND(ISNUMBER(#REF!), ISNUMBER(#REF!)),#REF! -#REF!,"")</f>
        <v/>
      </c>
    </row>
    <row r="2229" spans="10:12">
      <c r="J2229" t="str">
        <f t="shared" ref="J2229:J2292" si="4451">IF(AND(ISNUMBER(#REF!), ISNUMBER(#REF!)),#REF! -#REF!,"")</f>
        <v/>
      </c>
      <c r="L2229" t="str">
        <f t="shared" ref="L2229:L2292" si="4452">IF(AND(ISNUMBER(#REF!), ISNUMBER(#REF!)),#REF! -#REF!,"")</f>
        <v/>
      </c>
    </row>
    <row r="2230" spans="10:12">
      <c r="J2230" t="str">
        <f t="shared" ref="J2230:J2293" si="4453">IF(AND(ISNUMBER(#REF!), ISNUMBER(#REF!)),#REF! -#REF!,"")</f>
        <v/>
      </c>
      <c r="L2230" t="str">
        <f t="shared" ref="L2230:L2293" si="4454">IF(AND(ISNUMBER(#REF!), ISNUMBER(#REF!)),#REF! -#REF!,"")</f>
        <v/>
      </c>
    </row>
    <row r="2231" spans="10:12">
      <c r="J2231" t="str">
        <f t="shared" ref="J2231:J2294" si="4455">IF(AND(ISNUMBER(#REF!), ISNUMBER(#REF!)),#REF! -#REF!,"")</f>
        <v/>
      </c>
      <c r="L2231" t="str">
        <f t="shared" ref="L2231:L2294" si="4456">IF(AND(ISNUMBER(#REF!), ISNUMBER(#REF!)),#REF! -#REF!,"")</f>
        <v/>
      </c>
    </row>
    <row r="2232" spans="10:12">
      <c r="J2232" t="str">
        <f t="shared" ref="J2232:J2295" si="4457">IF(AND(ISNUMBER(#REF!), ISNUMBER(#REF!)),#REF! -#REF!,"")</f>
        <v/>
      </c>
      <c r="L2232" t="str">
        <f t="shared" ref="L2232:L2295" si="4458">IF(AND(ISNUMBER(#REF!), ISNUMBER(#REF!)),#REF! -#REF!,"")</f>
        <v/>
      </c>
    </row>
    <row r="2233" spans="10:12">
      <c r="J2233" t="str">
        <f t="shared" ref="J2233:J2296" si="4459">IF(AND(ISNUMBER(#REF!), ISNUMBER(#REF!)),#REF! -#REF!,"")</f>
        <v/>
      </c>
      <c r="L2233" t="str">
        <f t="shared" ref="L2233:L2296" si="4460">IF(AND(ISNUMBER(#REF!), ISNUMBER(#REF!)),#REF! -#REF!,"")</f>
        <v/>
      </c>
    </row>
    <row r="2234" spans="10:12">
      <c r="J2234" t="str">
        <f t="shared" ref="J2234:J2297" si="4461">IF(AND(ISNUMBER(#REF!), ISNUMBER(#REF!)),#REF! -#REF!,"")</f>
        <v/>
      </c>
      <c r="L2234" t="str">
        <f t="shared" ref="L2234:L2297" si="4462">IF(AND(ISNUMBER(#REF!), ISNUMBER(#REF!)),#REF! -#REF!,"")</f>
        <v/>
      </c>
    </row>
    <row r="2235" spans="10:12">
      <c r="J2235" t="str">
        <f t="shared" ref="J2235:J2298" si="4463">IF(AND(ISNUMBER(#REF!), ISNUMBER(#REF!)),#REF! -#REF!,"")</f>
        <v/>
      </c>
      <c r="L2235" t="str">
        <f t="shared" ref="L2235:L2298" si="4464">IF(AND(ISNUMBER(#REF!), ISNUMBER(#REF!)),#REF! -#REF!,"")</f>
        <v/>
      </c>
    </row>
    <row r="2236" spans="10:12">
      <c r="J2236" t="str">
        <f t="shared" ref="J2236:J2299" si="4465">IF(AND(ISNUMBER(#REF!), ISNUMBER(#REF!)),#REF! -#REF!,"")</f>
        <v/>
      </c>
      <c r="L2236" t="str">
        <f t="shared" ref="L2236:L2299" si="4466">IF(AND(ISNUMBER(#REF!), ISNUMBER(#REF!)),#REF! -#REF!,"")</f>
        <v/>
      </c>
    </row>
    <row r="2237" spans="10:12">
      <c r="J2237" t="str">
        <f t="shared" ref="J2237:J2300" si="4467">IF(AND(ISNUMBER(#REF!), ISNUMBER(#REF!)),#REF! -#REF!,"")</f>
        <v/>
      </c>
      <c r="L2237" t="str">
        <f t="shared" ref="L2237:L2300" si="4468">IF(AND(ISNUMBER(#REF!), ISNUMBER(#REF!)),#REF! -#REF!,"")</f>
        <v/>
      </c>
    </row>
    <row r="2238" spans="10:12">
      <c r="J2238" t="str">
        <f t="shared" ref="J2238:J2301" si="4469">IF(AND(ISNUMBER(#REF!), ISNUMBER(#REF!)),#REF! -#REF!,"")</f>
        <v/>
      </c>
      <c r="L2238" t="str">
        <f t="shared" ref="L2238:L2301" si="4470">IF(AND(ISNUMBER(#REF!), ISNUMBER(#REF!)),#REF! -#REF!,"")</f>
        <v/>
      </c>
    </row>
    <row r="2239" spans="10:12">
      <c r="J2239" t="str">
        <f t="shared" ref="J2239:J2302" si="4471">IF(AND(ISNUMBER(#REF!), ISNUMBER(#REF!)),#REF! -#REF!,"")</f>
        <v/>
      </c>
      <c r="L2239" t="str">
        <f t="shared" ref="L2239:L2302" si="4472">IF(AND(ISNUMBER(#REF!), ISNUMBER(#REF!)),#REF! -#REF!,"")</f>
        <v/>
      </c>
    </row>
    <row r="2240" spans="10:12">
      <c r="J2240" t="str">
        <f t="shared" ref="J2240:J2303" si="4473">IF(AND(ISNUMBER(#REF!), ISNUMBER(#REF!)),#REF! -#REF!,"")</f>
        <v/>
      </c>
      <c r="L2240" t="str">
        <f t="shared" ref="L2240:L2303" si="4474">IF(AND(ISNUMBER(#REF!), ISNUMBER(#REF!)),#REF! -#REF!,"")</f>
        <v/>
      </c>
    </row>
    <row r="2241" spans="10:12">
      <c r="J2241" t="str">
        <f t="shared" ref="J2241:J2304" si="4475">IF(AND(ISNUMBER(#REF!), ISNUMBER(#REF!)),#REF! -#REF!,"")</f>
        <v/>
      </c>
      <c r="L2241" t="str">
        <f t="shared" ref="L2241:L2304" si="4476">IF(AND(ISNUMBER(#REF!), ISNUMBER(#REF!)),#REF! -#REF!,"")</f>
        <v/>
      </c>
    </row>
    <row r="2242" spans="10:12">
      <c r="J2242" t="str">
        <f t="shared" ref="J2242:J2305" si="4477">IF(AND(ISNUMBER(#REF!), ISNUMBER(#REF!)),#REF! -#REF!,"")</f>
        <v/>
      </c>
      <c r="L2242" t="str">
        <f t="shared" ref="L2242:L2305" si="4478">IF(AND(ISNUMBER(#REF!), ISNUMBER(#REF!)),#REF! -#REF!,"")</f>
        <v/>
      </c>
    </row>
    <row r="2243" spans="10:12">
      <c r="J2243" t="str">
        <f t="shared" ref="J2243:J2306" si="4479">IF(AND(ISNUMBER(#REF!), ISNUMBER(#REF!)),#REF! -#REF!,"")</f>
        <v/>
      </c>
      <c r="L2243" t="str">
        <f t="shared" ref="L2243:L2306" si="4480">IF(AND(ISNUMBER(#REF!), ISNUMBER(#REF!)),#REF! -#REF!,"")</f>
        <v/>
      </c>
    </row>
    <row r="2244" spans="10:12">
      <c r="J2244" t="str">
        <f t="shared" ref="J2244:J2307" si="4481">IF(AND(ISNUMBER(#REF!), ISNUMBER(#REF!)),#REF! -#REF!,"")</f>
        <v/>
      </c>
      <c r="L2244" t="str">
        <f t="shared" ref="L2244:L2307" si="4482">IF(AND(ISNUMBER(#REF!), ISNUMBER(#REF!)),#REF! -#REF!,"")</f>
        <v/>
      </c>
    </row>
    <row r="2245" spans="10:12">
      <c r="J2245" t="str">
        <f t="shared" ref="J2245:J2308" si="4483">IF(AND(ISNUMBER(#REF!), ISNUMBER(#REF!)),#REF! -#REF!,"")</f>
        <v/>
      </c>
      <c r="L2245" t="str">
        <f t="shared" ref="L2245:L2308" si="4484">IF(AND(ISNUMBER(#REF!), ISNUMBER(#REF!)),#REF! -#REF!,"")</f>
        <v/>
      </c>
    </row>
    <row r="2246" spans="10:12">
      <c r="J2246" t="str">
        <f t="shared" ref="J2246:J2309" si="4485">IF(AND(ISNUMBER(#REF!), ISNUMBER(#REF!)),#REF! -#REF!,"")</f>
        <v/>
      </c>
      <c r="L2246" t="str">
        <f t="shared" ref="L2246:L2309" si="4486">IF(AND(ISNUMBER(#REF!), ISNUMBER(#REF!)),#REF! -#REF!,"")</f>
        <v/>
      </c>
    </row>
    <row r="2247" spans="10:12">
      <c r="J2247" t="str">
        <f t="shared" ref="J2247:J2310" si="4487">IF(AND(ISNUMBER(#REF!), ISNUMBER(#REF!)),#REF! -#REF!,"")</f>
        <v/>
      </c>
      <c r="L2247" t="str">
        <f t="shared" ref="L2247:L2310" si="4488">IF(AND(ISNUMBER(#REF!), ISNUMBER(#REF!)),#REF! -#REF!,"")</f>
        <v/>
      </c>
    </row>
    <row r="2248" spans="10:12">
      <c r="J2248" t="str">
        <f t="shared" ref="J2248:J2311" si="4489">IF(AND(ISNUMBER(#REF!), ISNUMBER(#REF!)),#REF! -#REF!,"")</f>
        <v/>
      </c>
      <c r="L2248" t="str">
        <f t="shared" ref="L2248:L2311" si="4490">IF(AND(ISNUMBER(#REF!), ISNUMBER(#REF!)),#REF! -#REF!,"")</f>
        <v/>
      </c>
    </row>
    <row r="2249" spans="10:12">
      <c r="J2249" t="str">
        <f t="shared" ref="J2249:J2312" si="4491">IF(AND(ISNUMBER(#REF!), ISNUMBER(#REF!)),#REF! -#REF!,"")</f>
        <v/>
      </c>
      <c r="L2249" t="str">
        <f t="shared" ref="L2249:L2312" si="4492">IF(AND(ISNUMBER(#REF!), ISNUMBER(#REF!)),#REF! -#REF!,"")</f>
        <v/>
      </c>
    </row>
    <row r="2250" spans="10:12">
      <c r="J2250" t="str">
        <f t="shared" ref="J2250:J2313" si="4493">IF(AND(ISNUMBER(#REF!), ISNUMBER(#REF!)),#REF! -#REF!,"")</f>
        <v/>
      </c>
      <c r="L2250" t="str">
        <f t="shared" ref="L2250:L2313" si="4494">IF(AND(ISNUMBER(#REF!), ISNUMBER(#REF!)),#REF! -#REF!,"")</f>
        <v/>
      </c>
    </row>
    <row r="2251" spans="10:12">
      <c r="J2251" t="str">
        <f t="shared" ref="J2251:J2314" si="4495">IF(AND(ISNUMBER(#REF!), ISNUMBER(#REF!)),#REF! -#REF!,"")</f>
        <v/>
      </c>
      <c r="L2251" t="str">
        <f t="shared" ref="L2251:L2314" si="4496">IF(AND(ISNUMBER(#REF!), ISNUMBER(#REF!)),#REF! -#REF!,"")</f>
        <v/>
      </c>
    </row>
    <row r="2252" spans="10:12">
      <c r="J2252" t="str">
        <f t="shared" ref="J2252:J2315" si="4497">IF(AND(ISNUMBER(#REF!), ISNUMBER(#REF!)),#REF! -#REF!,"")</f>
        <v/>
      </c>
      <c r="L2252" t="str">
        <f t="shared" ref="L2252:L2315" si="4498">IF(AND(ISNUMBER(#REF!), ISNUMBER(#REF!)),#REF! -#REF!,"")</f>
        <v/>
      </c>
    </row>
    <row r="2253" spans="10:12">
      <c r="J2253" t="str">
        <f t="shared" ref="J2253:J2316" si="4499">IF(AND(ISNUMBER(#REF!), ISNUMBER(#REF!)),#REF! -#REF!,"")</f>
        <v/>
      </c>
      <c r="L2253" t="str">
        <f t="shared" ref="L2253:L2316" si="4500">IF(AND(ISNUMBER(#REF!), ISNUMBER(#REF!)),#REF! -#REF!,"")</f>
        <v/>
      </c>
    </row>
    <row r="2254" spans="10:12">
      <c r="J2254" t="str">
        <f t="shared" ref="J2254:J2317" si="4501">IF(AND(ISNUMBER(#REF!), ISNUMBER(#REF!)),#REF! -#REF!,"")</f>
        <v/>
      </c>
      <c r="L2254" t="str">
        <f t="shared" ref="L2254:L2317" si="4502">IF(AND(ISNUMBER(#REF!), ISNUMBER(#REF!)),#REF! -#REF!,"")</f>
        <v/>
      </c>
    </row>
    <row r="2255" spans="10:12">
      <c r="J2255" t="str">
        <f t="shared" ref="J2255:J2318" si="4503">IF(AND(ISNUMBER(#REF!), ISNUMBER(#REF!)),#REF! -#REF!,"")</f>
        <v/>
      </c>
      <c r="L2255" t="str">
        <f t="shared" ref="L2255:L2318" si="4504">IF(AND(ISNUMBER(#REF!), ISNUMBER(#REF!)),#REF! -#REF!,"")</f>
        <v/>
      </c>
    </row>
    <row r="2256" spans="10:12">
      <c r="J2256" t="str">
        <f t="shared" ref="J2256:J2319" si="4505">IF(AND(ISNUMBER(#REF!), ISNUMBER(#REF!)),#REF! -#REF!,"")</f>
        <v/>
      </c>
      <c r="L2256" t="str">
        <f t="shared" ref="L2256:L2319" si="4506">IF(AND(ISNUMBER(#REF!), ISNUMBER(#REF!)),#REF! -#REF!,"")</f>
        <v/>
      </c>
    </row>
    <row r="2257" spans="10:12">
      <c r="J2257" t="str">
        <f t="shared" ref="J2257:J2320" si="4507">IF(AND(ISNUMBER(#REF!), ISNUMBER(#REF!)),#REF! -#REF!,"")</f>
        <v/>
      </c>
      <c r="L2257" t="str">
        <f t="shared" ref="L2257:L2320" si="4508">IF(AND(ISNUMBER(#REF!), ISNUMBER(#REF!)),#REF! -#REF!,"")</f>
        <v/>
      </c>
    </row>
    <row r="2258" spans="10:12">
      <c r="J2258" t="str">
        <f t="shared" ref="J2258:J2321" si="4509">IF(AND(ISNUMBER(#REF!), ISNUMBER(#REF!)),#REF! -#REF!,"")</f>
        <v/>
      </c>
      <c r="L2258" t="str">
        <f t="shared" ref="L2258:L2321" si="4510">IF(AND(ISNUMBER(#REF!), ISNUMBER(#REF!)),#REF! -#REF!,"")</f>
        <v/>
      </c>
    </row>
    <row r="2259" spans="10:12">
      <c r="J2259" t="str">
        <f t="shared" ref="J2259:J2322" si="4511">IF(AND(ISNUMBER(#REF!), ISNUMBER(#REF!)),#REF! -#REF!,"")</f>
        <v/>
      </c>
      <c r="L2259" t="str">
        <f t="shared" ref="L2259:L2322" si="4512">IF(AND(ISNUMBER(#REF!), ISNUMBER(#REF!)),#REF! -#REF!,"")</f>
        <v/>
      </c>
    </row>
    <row r="2260" spans="10:12">
      <c r="J2260" t="str">
        <f t="shared" ref="J2260:J2323" si="4513">IF(AND(ISNUMBER(#REF!), ISNUMBER(#REF!)),#REF! -#REF!,"")</f>
        <v/>
      </c>
      <c r="L2260" t="str">
        <f t="shared" ref="L2260:L2323" si="4514">IF(AND(ISNUMBER(#REF!), ISNUMBER(#REF!)),#REF! -#REF!,"")</f>
        <v/>
      </c>
    </row>
    <row r="2261" spans="10:12">
      <c r="J2261" t="str">
        <f t="shared" ref="J2261:J2324" si="4515">IF(AND(ISNUMBER(#REF!), ISNUMBER(#REF!)),#REF! -#REF!,"")</f>
        <v/>
      </c>
      <c r="L2261" t="str">
        <f t="shared" ref="L2261:L2324" si="4516">IF(AND(ISNUMBER(#REF!), ISNUMBER(#REF!)),#REF! -#REF!,"")</f>
        <v/>
      </c>
    </row>
    <row r="2262" spans="10:12">
      <c r="J2262" t="str">
        <f t="shared" ref="J2262:J2325" si="4517">IF(AND(ISNUMBER(#REF!), ISNUMBER(#REF!)),#REF! -#REF!,"")</f>
        <v/>
      </c>
      <c r="L2262" t="str">
        <f t="shared" ref="L2262:L2325" si="4518">IF(AND(ISNUMBER(#REF!), ISNUMBER(#REF!)),#REF! -#REF!,"")</f>
        <v/>
      </c>
    </row>
    <row r="2263" spans="10:12">
      <c r="J2263" t="str">
        <f t="shared" ref="J2263:J2326" si="4519">IF(AND(ISNUMBER(#REF!), ISNUMBER(#REF!)),#REF! -#REF!,"")</f>
        <v/>
      </c>
      <c r="L2263" t="str">
        <f t="shared" ref="L2263:L2326" si="4520">IF(AND(ISNUMBER(#REF!), ISNUMBER(#REF!)),#REF! -#REF!,"")</f>
        <v/>
      </c>
    </row>
    <row r="2264" spans="10:12">
      <c r="J2264" t="str">
        <f t="shared" ref="J2264:J2327" si="4521">IF(AND(ISNUMBER(#REF!), ISNUMBER(#REF!)),#REF! -#REF!,"")</f>
        <v/>
      </c>
      <c r="L2264" t="str">
        <f t="shared" ref="L2264:L2327" si="4522">IF(AND(ISNUMBER(#REF!), ISNUMBER(#REF!)),#REF! -#REF!,"")</f>
        <v/>
      </c>
    </row>
    <row r="2265" spans="10:12">
      <c r="J2265" t="str">
        <f t="shared" ref="J2265:J2328" si="4523">IF(AND(ISNUMBER(#REF!), ISNUMBER(#REF!)),#REF! -#REF!,"")</f>
        <v/>
      </c>
      <c r="L2265" t="str">
        <f t="shared" ref="L2265:L2328" si="4524">IF(AND(ISNUMBER(#REF!), ISNUMBER(#REF!)),#REF! -#REF!,"")</f>
        <v/>
      </c>
    </row>
    <row r="2266" spans="10:12">
      <c r="J2266" t="str">
        <f t="shared" ref="J2266:J2329" si="4525">IF(AND(ISNUMBER(#REF!), ISNUMBER(#REF!)),#REF! -#REF!,"")</f>
        <v/>
      </c>
      <c r="L2266" t="str">
        <f t="shared" ref="L2266:L2329" si="4526">IF(AND(ISNUMBER(#REF!), ISNUMBER(#REF!)),#REF! -#REF!,"")</f>
        <v/>
      </c>
    </row>
    <row r="2267" spans="10:12">
      <c r="J2267" t="str">
        <f t="shared" ref="J2267:J2330" si="4527">IF(AND(ISNUMBER(#REF!), ISNUMBER(#REF!)),#REF! -#REF!,"")</f>
        <v/>
      </c>
      <c r="L2267" t="str">
        <f t="shared" ref="L2267:L2330" si="4528">IF(AND(ISNUMBER(#REF!), ISNUMBER(#REF!)),#REF! -#REF!,"")</f>
        <v/>
      </c>
    </row>
    <row r="2268" spans="10:12">
      <c r="J2268" t="str">
        <f t="shared" ref="J2268:J2331" si="4529">IF(AND(ISNUMBER(#REF!), ISNUMBER(#REF!)),#REF! -#REF!,"")</f>
        <v/>
      </c>
      <c r="L2268" t="str">
        <f t="shared" ref="L2268:L2331" si="4530">IF(AND(ISNUMBER(#REF!), ISNUMBER(#REF!)),#REF! -#REF!,"")</f>
        <v/>
      </c>
    </row>
    <row r="2269" spans="10:12">
      <c r="J2269" t="str">
        <f t="shared" ref="J2269:J2332" si="4531">IF(AND(ISNUMBER(#REF!), ISNUMBER(#REF!)),#REF! -#REF!,"")</f>
        <v/>
      </c>
      <c r="L2269" t="str">
        <f t="shared" ref="L2269:L2332" si="4532">IF(AND(ISNUMBER(#REF!), ISNUMBER(#REF!)),#REF! -#REF!,"")</f>
        <v/>
      </c>
    </row>
    <row r="2270" spans="10:12">
      <c r="J2270" t="str">
        <f t="shared" ref="J2270:J2333" si="4533">IF(AND(ISNUMBER(#REF!), ISNUMBER(#REF!)),#REF! -#REF!,"")</f>
        <v/>
      </c>
      <c r="L2270" t="str">
        <f t="shared" ref="L2270:L2333" si="4534">IF(AND(ISNUMBER(#REF!), ISNUMBER(#REF!)),#REF! -#REF!,"")</f>
        <v/>
      </c>
    </row>
    <row r="2271" spans="10:12">
      <c r="J2271" t="str">
        <f t="shared" ref="J2271:J2334" si="4535">IF(AND(ISNUMBER(#REF!), ISNUMBER(#REF!)),#REF! -#REF!,"")</f>
        <v/>
      </c>
      <c r="L2271" t="str">
        <f t="shared" ref="L2271:L2334" si="4536">IF(AND(ISNUMBER(#REF!), ISNUMBER(#REF!)),#REF! -#REF!,"")</f>
        <v/>
      </c>
    </row>
    <row r="2272" spans="10:12">
      <c r="J2272" t="str">
        <f t="shared" ref="J2272:J2335" si="4537">IF(AND(ISNUMBER(#REF!), ISNUMBER(#REF!)),#REF! -#REF!,"")</f>
        <v/>
      </c>
      <c r="L2272" t="str">
        <f t="shared" ref="L2272:L2335" si="4538">IF(AND(ISNUMBER(#REF!), ISNUMBER(#REF!)),#REF! -#REF!,"")</f>
        <v/>
      </c>
    </row>
    <row r="2273" spans="10:12">
      <c r="J2273" t="str">
        <f t="shared" ref="J2273:J2336" si="4539">IF(AND(ISNUMBER(#REF!), ISNUMBER(#REF!)),#REF! -#REF!,"")</f>
        <v/>
      </c>
      <c r="L2273" t="str">
        <f t="shared" ref="L2273:L2336" si="4540">IF(AND(ISNUMBER(#REF!), ISNUMBER(#REF!)),#REF! -#REF!,"")</f>
        <v/>
      </c>
    </row>
    <row r="2274" spans="10:12">
      <c r="J2274" t="str">
        <f t="shared" ref="J2274:J2337" si="4541">IF(AND(ISNUMBER(#REF!), ISNUMBER(#REF!)),#REF! -#REF!,"")</f>
        <v/>
      </c>
      <c r="L2274" t="str">
        <f t="shared" ref="L2274:L2337" si="4542">IF(AND(ISNUMBER(#REF!), ISNUMBER(#REF!)),#REF! -#REF!,"")</f>
        <v/>
      </c>
    </row>
    <row r="2275" spans="10:12">
      <c r="J2275" t="str">
        <f t="shared" ref="J2275:J2338" si="4543">IF(AND(ISNUMBER(#REF!), ISNUMBER(#REF!)),#REF! -#REF!,"")</f>
        <v/>
      </c>
      <c r="L2275" t="str">
        <f t="shared" ref="L2275:L2338" si="4544">IF(AND(ISNUMBER(#REF!), ISNUMBER(#REF!)),#REF! -#REF!,"")</f>
        <v/>
      </c>
    </row>
    <row r="2276" spans="10:12">
      <c r="J2276" t="str">
        <f t="shared" ref="J2276:J2339" si="4545">IF(AND(ISNUMBER(#REF!), ISNUMBER(#REF!)),#REF! -#REF!,"")</f>
        <v/>
      </c>
      <c r="L2276" t="str">
        <f t="shared" ref="L2276:L2339" si="4546">IF(AND(ISNUMBER(#REF!), ISNUMBER(#REF!)),#REF! -#REF!,"")</f>
        <v/>
      </c>
    </row>
    <row r="2277" spans="10:12">
      <c r="J2277" t="str">
        <f t="shared" ref="J2277:J2340" si="4547">IF(AND(ISNUMBER(#REF!), ISNUMBER(#REF!)),#REF! -#REF!,"")</f>
        <v/>
      </c>
      <c r="L2277" t="str">
        <f t="shared" ref="L2277:L2340" si="4548">IF(AND(ISNUMBER(#REF!), ISNUMBER(#REF!)),#REF! -#REF!,"")</f>
        <v/>
      </c>
    </row>
    <row r="2278" spans="10:12">
      <c r="J2278" t="str">
        <f t="shared" ref="J2278:J2341" si="4549">IF(AND(ISNUMBER(#REF!), ISNUMBER(#REF!)),#REF! -#REF!,"")</f>
        <v/>
      </c>
      <c r="L2278" t="str">
        <f t="shared" ref="L2278:L2341" si="4550">IF(AND(ISNUMBER(#REF!), ISNUMBER(#REF!)),#REF! -#REF!,"")</f>
        <v/>
      </c>
    </row>
    <row r="2279" spans="10:12">
      <c r="J2279" t="str">
        <f t="shared" ref="J2279:J2342" si="4551">IF(AND(ISNUMBER(#REF!), ISNUMBER(#REF!)),#REF! -#REF!,"")</f>
        <v/>
      </c>
      <c r="L2279" t="str">
        <f t="shared" ref="L2279:L2342" si="4552">IF(AND(ISNUMBER(#REF!), ISNUMBER(#REF!)),#REF! -#REF!,"")</f>
        <v/>
      </c>
    </row>
    <row r="2280" spans="10:12">
      <c r="J2280" t="str">
        <f t="shared" ref="J2280:J2343" si="4553">IF(AND(ISNUMBER(#REF!), ISNUMBER(#REF!)),#REF! -#REF!,"")</f>
        <v/>
      </c>
      <c r="L2280" t="str">
        <f t="shared" ref="L2280:L2343" si="4554">IF(AND(ISNUMBER(#REF!), ISNUMBER(#REF!)),#REF! -#REF!,"")</f>
        <v/>
      </c>
    </row>
    <row r="2281" spans="10:12">
      <c r="J2281" t="str">
        <f t="shared" ref="J2281:J2344" si="4555">IF(AND(ISNUMBER(#REF!), ISNUMBER(#REF!)),#REF! -#REF!,"")</f>
        <v/>
      </c>
      <c r="L2281" t="str">
        <f t="shared" ref="L2281:L2344" si="4556">IF(AND(ISNUMBER(#REF!), ISNUMBER(#REF!)),#REF! -#REF!,"")</f>
        <v/>
      </c>
    </row>
    <row r="2282" spans="10:12">
      <c r="J2282" t="str">
        <f t="shared" ref="J2282:J2345" si="4557">IF(AND(ISNUMBER(#REF!), ISNUMBER(#REF!)),#REF! -#REF!,"")</f>
        <v/>
      </c>
      <c r="L2282" t="str">
        <f t="shared" ref="L2282:L2345" si="4558">IF(AND(ISNUMBER(#REF!), ISNUMBER(#REF!)),#REF! -#REF!,"")</f>
        <v/>
      </c>
    </row>
    <row r="2283" spans="10:12">
      <c r="J2283" t="str">
        <f t="shared" ref="J2283:J2346" si="4559">IF(AND(ISNUMBER(#REF!), ISNUMBER(#REF!)),#REF! -#REF!,"")</f>
        <v/>
      </c>
      <c r="L2283" t="str">
        <f t="shared" ref="L2283:L2346" si="4560">IF(AND(ISNUMBER(#REF!), ISNUMBER(#REF!)),#REF! -#REF!,"")</f>
        <v/>
      </c>
    </row>
    <row r="2284" spans="10:12">
      <c r="J2284" t="str">
        <f t="shared" ref="J2284:J2347" si="4561">IF(AND(ISNUMBER(#REF!), ISNUMBER(#REF!)),#REF! -#REF!,"")</f>
        <v/>
      </c>
      <c r="L2284" t="str">
        <f t="shared" ref="L2284:L2347" si="4562">IF(AND(ISNUMBER(#REF!), ISNUMBER(#REF!)),#REF! -#REF!,"")</f>
        <v/>
      </c>
    </row>
    <row r="2285" spans="10:12">
      <c r="J2285" t="str">
        <f t="shared" ref="J2285:J2348" si="4563">IF(AND(ISNUMBER(#REF!), ISNUMBER(#REF!)),#REF! -#REF!,"")</f>
        <v/>
      </c>
      <c r="L2285" t="str">
        <f t="shared" ref="L2285:L2348" si="4564">IF(AND(ISNUMBER(#REF!), ISNUMBER(#REF!)),#REF! -#REF!,"")</f>
        <v/>
      </c>
    </row>
    <row r="2286" spans="10:12">
      <c r="J2286" t="str">
        <f t="shared" ref="J2286:J2349" si="4565">IF(AND(ISNUMBER(#REF!), ISNUMBER(#REF!)),#REF! -#REF!,"")</f>
        <v/>
      </c>
      <c r="L2286" t="str">
        <f t="shared" ref="L2286:L2349" si="4566">IF(AND(ISNUMBER(#REF!), ISNUMBER(#REF!)),#REF! -#REF!,"")</f>
        <v/>
      </c>
    </row>
    <row r="2287" spans="10:12">
      <c r="J2287" t="str">
        <f t="shared" ref="J2287:J2350" si="4567">IF(AND(ISNUMBER(#REF!), ISNUMBER(#REF!)),#REF! -#REF!,"")</f>
        <v/>
      </c>
      <c r="L2287" t="str">
        <f t="shared" ref="L2287:L2350" si="4568">IF(AND(ISNUMBER(#REF!), ISNUMBER(#REF!)),#REF! -#REF!,"")</f>
        <v/>
      </c>
    </row>
    <row r="2288" spans="10:12">
      <c r="J2288" t="str">
        <f t="shared" ref="J2288:J2351" si="4569">IF(AND(ISNUMBER(#REF!), ISNUMBER(#REF!)),#REF! -#REF!,"")</f>
        <v/>
      </c>
      <c r="L2288" t="str">
        <f t="shared" ref="L2288:L2351" si="4570">IF(AND(ISNUMBER(#REF!), ISNUMBER(#REF!)),#REF! -#REF!,"")</f>
        <v/>
      </c>
    </row>
    <row r="2289" spans="10:12">
      <c r="J2289" t="str">
        <f t="shared" ref="J2289:J2352" si="4571">IF(AND(ISNUMBER(#REF!), ISNUMBER(#REF!)),#REF! -#REF!,"")</f>
        <v/>
      </c>
      <c r="L2289" t="str">
        <f t="shared" ref="L2289:L2352" si="4572">IF(AND(ISNUMBER(#REF!), ISNUMBER(#REF!)),#REF! -#REF!,"")</f>
        <v/>
      </c>
    </row>
    <row r="2290" spans="10:12">
      <c r="J2290" t="str">
        <f t="shared" ref="J2290:J2353" si="4573">IF(AND(ISNUMBER(#REF!), ISNUMBER(#REF!)),#REF! -#REF!,"")</f>
        <v/>
      </c>
      <c r="L2290" t="str">
        <f t="shared" ref="L2290:L2353" si="4574">IF(AND(ISNUMBER(#REF!), ISNUMBER(#REF!)),#REF! -#REF!,"")</f>
        <v/>
      </c>
    </row>
    <row r="2291" spans="10:12">
      <c r="J2291" t="str">
        <f t="shared" ref="J2291:J2354" si="4575">IF(AND(ISNUMBER(#REF!), ISNUMBER(#REF!)),#REF! -#REF!,"")</f>
        <v/>
      </c>
      <c r="L2291" t="str">
        <f t="shared" ref="L2291:L2354" si="4576">IF(AND(ISNUMBER(#REF!), ISNUMBER(#REF!)),#REF! -#REF!,"")</f>
        <v/>
      </c>
    </row>
    <row r="2292" spans="10:12">
      <c r="J2292" t="str">
        <f t="shared" ref="J2292:J2355" si="4577">IF(AND(ISNUMBER(#REF!), ISNUMBER(#REF!)),#REF! -#REF!,"")</f>
        <v/>
      </c>
      <c r="L2292" t="str">
        <f t="shared" ref="L2292:L2355" si="4578">IF(AND(ISNUMBER(#REF!), ISNUMBER(#REF!)),#REF! -#REF!,"")</f>
        <v/>
      </c>
    </row>
    <row r="2293" spans="10:12">
      <c r="J2293" t="str">
        <f t="shared" ref="J2293:J2356" si="4579">IF(AND(ISNUMBER(#REF!), ISNUMBER(#REF!)),#REF! -#REF!,"")</f>
        <v/>
      </c>
      <c r="L2293" t="str">
        <f t="shared" ref="L2293:L2356" si="4580">IF(AND(ISNUMBER(#REF!), ISNUMBER(#REF!)),#REF! -#REF!,"")</f>
        <v/>
      </c>
    </row>
    <row r="2294" spans="10:12">
      <c r="J2294" t="str">
        <f t="shared" ref="J2294:J2357" si="4581">IF(AND(ISNUMBER(#REF!), ISNUMBER(#REF!)),#REF! -#REF!,"")</f>
        <v/>
      </c>
      <c r="L2294" t="str">
        <f t="shared" ref="L2294:L2357" si="4582">IF(AND(ISNUMBER(#REF!), ISNUMBER(#REF!)),#REF! -#REF!,"")</f>
        <v/>
      </c>
    </row>
    <row r="2295" spans="10:12">
      <c r="J2295" t="str">
        <f t="shared" ref="J2295:J2358" si="4583">IF(AND(ISNUMBER(#REF!), ISNUMBER(#REF!)),#REF! -#REF!,"")</f>
        <v/>
      </c>
      <c r="L2295" t="str">
        <f t="shared" ref="L2295:L2358" si="4584">IF(AND(ISNUMBER(#REF!), ISNUMBER(#REF!)),#REF! -#REF!,"")</f>
        <v/>
      </c>
    </row>
    <row r="2296" spans="10:12">
      <c r="J2296" t="str">
        <f t="shared" ref="J2296:J2359" si="4585">IF(AND(ISNUMBER(#REF!), ISNUMBER(#REF!)),#REF! -#REF!,"")</f>
        <v/>
      </c>
      <c r="L2296" t="str">
        <f t="shared" ref="L2296:L2359" si="4586">IF(AND(ISNUMBER(#REF!), ISNUMBER(#REF!)),#REF! -#REF!,"")</f>
        <v/>
      </c>
    </row>
    <row r="2297" spans="10:12">
      <c r="J2297" t="str">
        <f t="shared" ref="J2297:J2360" si="4587">IF(AND(ISNUMBER(#REF!), ISNUMBER(#REF!)),#REF! -#REF!,"")</f>
        <v/>
      </c>
      <c r="L2297" t="str">
        <f t="shared" ref="L2297:L2360" si="4588">IF(AND(ISNUMBER(#REF!), ISNUMBER(#REF!)),#REF! -#REF!,"")</f>
        <v/>
      </c>
    </row>
    <row r="2298" spans="10:12">
      <c r="J2298" t="str">
        <f t="shared" ref="J2298:J2361" si="4589">IF(AND(ISNUMBER(#REF!), ISNUMBER(#REF!)),#REF! -#REF!,"")</f>
        <v/>
      </c>
      <c r="L2298" t="str">
        <f t="shared" ref="L2298:L2361" si="4590">IF(AND(ISNUMBER(#REF!), ISNUMBER(#REF!)),#REF! -#REF!,"")</f>
        <v/>
      </c>
    </row>
    <row r="2299" spans="10:12">
      <c r="J2299" t="str">
        <f t="shared" ref="J2299:J2362" si="4591">IF(AND(ISNUMBER(#REF!), ISNUMBER(#REF!)),#REF! -#REF!,"")</f>
        <v/>
      </c>
      <c r="L2299" t="str">
        <f t="shared" ref="L2299:L2362" si="4592">IF(AND(ISNUMBER(#REF!), ISNUMBER(#REF!)),#REF! -#REF!,"")</f>
        <v/>
      </c>
    </row>
    <row r="2300" spans="10:12">
      <c r="J2300" t="str">
        <f t="shared" ref="J2300:J2363" si="4593">IF(AND(ISNUMBER(#REF!), ISNUMBER(#REF!)),#REF! -#REF!,"")</f>
        <v/>
      </c>
      <c r="L2300" t="str">
        <f t="shared" ref="L2300:L2363" si="4594">IF(AND(ISNUMBER(#REF!), ISNUMBER(#REF!)),#REF! -#REF!,"")</f>
        <v/>
      </c>
    </row>
    <row r="2301" spans="10:12">
      <c r="J2301" t="str">
        <f t="shared" ref="J2301:J2364" si="4595">IF(AND(ISNUMBER(#REF!), ISNUMBER(#REF!)),#REF! -#REF!,"")</f>
        <v/>
      </c>
      <c r="L2301" t="str">
        <f t="shared" ref="L2301:L2364" si="4596">IF(AND(ISNUMBER(#REF!), ISNUMBER(#REF!)),#REF! -#REF!,"")</f>
        <v/>
      </c>
    </row>
    <row r="2302" spans="10:12">
      <c r="J2302" t="str">
        <f t="shared" ref="J2302:J2365" si="4597">IF(AND(ISNUMBER(#REF!), ISNUMBER(#REF!)),#REF! -#REF!,"")</f>
        <v/>
      </c>
      <c r="L2302" t="str">
        <f t="shared" ref="L2302:L2365" si="4598">IF(AND(ISNUMBER(#REF!), ISNUMBER(#REF!)),#REF! -#REF!,"")</f>
        <v/>
      </c>
    </row>
    <row r="2303" spans="10:12">
      <c r="J2303" t="str">
        <f t="shared" ref="J2303:J2366" si="4599">IF(AND(ISNUMBER(#REF!), ISNUMBER(#REF!)),#REF! -#REF!,"")</f>
        <v/>
      </c>
      <c r="L2303" t="str">
        <f t="shared" ref="L2303:L2366" si="4600">IF(AND(ISNUMBER(#REF!), ISNUMBER(#REF!)),#REF! -#REF!,"")</f>
        <v/>
      </c>
    </row>
    <row r="2304" spans="10:12">
      <c r="J2304" t="str">
        <f t="shared" ref="J2304:J2367" si="4601">IF(AND(ISNUMBER(#REF!), ISNUMBER(#REF!)),#REF! -#REF!,"")</f>
        <v/>
      </c>
      <c r="L2304" t="str">
        <f t="shared" ref="L2304:L2367" si="4602">IF(AND(ISNUMBER(#REF!), ISNUMBER(#REF!)),#REF! -#REF!,"")</f>
        <v/>
      </c>
    </row>
    <row r="2305" spans="10:12">
      <c r="J2305" t="str">
        <f t="shared" ref="J2305:J2368" si="4603">IF(AND(ISNUMBER(#REF!), ISNUMBER(#REF!)),#REF! -#REF!,"")</f>
        <v/>
      </c>
      <c r="L2305" t="str">
        <f t="shared" ref="L2305:L2368" si="4604">IF(AND(ISNUMBER(#REF!), ISNUMBER(#REF!)),#REF! -#REF!,"")</f>
        <v/>
      </c>
    </row>
    <row r="2306" spans="10:12">
      <c r="J2306" t="str">
        <f t="shared" ref="J2306:J2369" si="4605">IF(AND(ISNUMBER(#REF!), ISNUMBER(#REF!)),#REF! -#REF!,"")</f>
        <v/>
      </c>
      <c r="L2306" t="str">
        <f t="shared" ref="L2306:L2369" si="4606">IF(AND(ISNUMBER(#REF!), ISNUMBER(#REF!)),#REF! -#REF!,"")</f>
        <v/>
      </c>
    </row>
    <row r="2307" spans="10:12">
      <c r="J2307" t="str">
        <f t="shared" ref="J2307:J2370" si="4607">IF(AND(ISNUMBER(#REF!), ISNUMBER(#REF!)),#REF! -#REF!,"")</f>
        <v/>
      </c>
      <c r="L2307" t="str">
        <f t="shared" ref="L2307:L2370" si="4608">IF(AND(ISNUMBER(#REF!), ISNUMBER(#REF!)),#REF! -#REF!,"")</f>
        <v/>
      </c>
    </row>
    <row r="2308" spans="10:12">
      <c r="J2308" t="str">
        <f t="shared" ref="J2308:J2371" si="4609">IF(AND(ISNUMBER(#REF!), ISNUMBER(#REF!)),#REF! -#REF!,"")</f>
        <v/>
      </c>
      <c r="L2308" t="str">
        <f t="shared" ref="L2308:L2371" si="4610">IF(AND(ISNUMBER(#REF!), ISNUMBER(#REF!)),#REF! -#REF!,"")</f>
        <v/>
      </c>
    </row>
    <row r="2309" spans="10:12">
      <c r="J2309" t="str">
        <f t="shared" ref="J2309:J2372" si="4611">IF(AND(ISNUMBER(#REF!), ISNUMBER(#REF!)),#REF! -#REF!,"")</f>
        <v/>
      </c>
      <c r="L2309" t="str">
        <f t="shared" ref="L2309:L2372" si="4612">IF(AND(ISNUMBER(#REF!), ISNUMBER(#REF!)),#REF! -#REF!,"")</f>
        <v/>
      </c>
    </row>
    <row r="2310" spans="10:12">
      <c r="J2310" t="str">
        <f t="shared" ref="J2310:J2373" si="4613">IF(AND(ISNUMBER(#REF!), ISNUMBER(#REF!)),#REF! -#REF!,"")</f>
        <v/>
      </c>
      <c r="L2310" t="str">
        <f t="shared" ref="L2310:L2373" si="4614">IF(AND(ISNUMBER(#REF!), ISNUMBER(#REF!)),#REF! -#REF!,"")</f>
        <v/>
      </c>
    </row>
    <row r="2311" spans="10:12">
      <c r="J2311" t="str">
        <f t="shared" ref="J2311:J2374" si="4615">IF(AND(ISNUMBER(#REF!), ISNUMBER(#REF!)),#REF! -#REF!,"")</f>
        <v/>
      </c>
      <c r="L2311" t="str">
        <f t="shared" ref="L2311:L2374" si="4616">IF(AND(ISNUMBER(#REF!), ISNUMBER(#REF!)),#REF! -#REF!,"")</f>
        <v/>
      </c>
    </row>
    <row r="2312" spans="10:12">
      <c r="J2312" t="str">
        <f t="shared" ref="J2312:J2375" si="4617">IF(AND(ISNUMBER(#REF!), ISNUMBER(#REF!)),#REF! -#REF!,"")</f>
        <v/>
      </c>
      <c r="L2312" t="str">
        <f t="shared" ref="L2312:L2375" si="4618">IF(AND(ISNUMBER(#REF!), ISNUMBER(#REF!)),#REF! -#REF!,"")</f>
        <v/>
      </c>
    </row>
    <row r="2313" spans="10:12">
      <c r="J2313" t="str">
        <f t="shared" ref="J2313:J2376" si="4619">IF(AND(ISNUMBER(#REF!), ISNUMBER(#REF!)),#REF! -#REF!,"")</f>
        <v/>
      </c>
      <c r="L2313" t="str">
        <f t="shared" ref="L2313:L2376" si="4620">IF(AND(ISNUMBER(#REF!), ISNUMBER(#REF!)),#REF! -#REF!,"")</f>
        <v/>
      </c>
    </row>
    <row r="2314" spans="10:12">
      <c r="J2314" t="str">
        <f t="shared" ref="J2314:J2377" si="4621">IF(AND(ISNUMBER(#REF!), ISNUMBER(#REF!)),#REF! -#REF!,"")</f>
        <v/>
      </c>
      <c r="L2314" t="str">
        <f t="shared" ref="L2314:L2377" si="4622">IF(AND(ISNUMBER(#REF!), ISNUMBER(#REF!)),#REF! -#REF!,"")</f>
        <v/>
      </c>
    </row>
    <row r="2315" spans="10:12">
      <c r="J2315" t="str">
        <f t="shared" ref="J2315:J2378" si="4623">IF(AND(ISNUMBER(#REF!), ISNUMBER(#REF!)),#REF! -#REF!,"")</f>
        <v/>
      </c>
      <c r="L2315" t="str">
        <f t="shared" ref="L2315:L2378" si="4624">IF(AND(ISNUMBER(#REF!), ISNUMBER(#REF!)),#REF! -#REF!,"")</f>
        <v/>
      </c>
    </row>
    <row r="2316" spans="10:12">
      <c r="J2316" t="str">
        <f t="shared" ref="J2316:J2379" si="4625">IF(AND(ISNUMBER(#REF!), ISNUMBER(#REF!)),#REF! -#REF!,"")</f>
        <v/>
      </c>
      <c r="L2316" t="str">
        <f t="shared" ref="L2316:L2379" si="4626">IF(AND(ISNUMBER(#REF!), ISNUMBER(#REF!)),#REF! -#REF!,"")</f>
        <v/>
      </c>
    </row>
    <row r="2317" spans="10:12">
      <c r="J2317" t="str">
        <f t="shared" ref="J2317:J2380" si="4627">IF(AND(ISNUMBER(#REF!), ISNUMBER(#REF!)),#REF! -#REF!,"")</f>
        <v/>
      </c>
      <c r="L2317" t="str">
        <f t="shared" ref="L2317:L2380" si="4628">IF(AND(ISNUMBER(#REF!), ISNUMBER(#REF!)),#REF! -#REF!,"")</f>
        <v/>
      </c>
    </row>
    <row r="2318" spans="10:12">
      <c r="J2318" t="str">
        <f t="shared" ref="J2318:J2381" si="4629">IF(AND(ISNUMBER(#REF!), ISNUMBER(#REF!)),#REF! -#REF!,"")</f>
        <v/>
      </c>
      <c r="L2318" t="str">
        <f t="shared" ref="L2318:L2381" si="4630">IF(AND(ISNUMBER(#REF!), ISNUMBER(#REF!)),#REF! -#REF!,"")</f>
        <v/>
      </c>
    </row>
    <row r="2319" spans="10:12">
      <c r="J2319" t="str">
        <f t="shared" ref="J2319:J2382" si="4631">IF(AND(ISNUMBER(#REF!), ISNUMBER(#REF!)),#REF! -#REF!,"")</f>
        <v/>
      </c>
      <c r="L2319" t="str">
        <f t="shared" ref="L2319:L2382" si="4632">IF(AND(ISNUMBER(#REF!), ISNUMBER(#REF!)),#REF! -#REF!,"")</f>
        <v/>
      </c>
    </row>
    <row r="2320" spans="10:12">
      <c r="J2320" t="str">
        <f t="shared" ref="J2320:J2383" si="4633">IF(AND(ISNUMBER(#REF!), ISNUMBER(#REF!)),#REF! -#REF!,"")</f>
        <v/>
      </c>
      <c r="L2320" t="str">
        <f t="shared" ref="L2320:L2383" si="4634">IF(AND(ISNUMBER(#REF!), ISNUMBER(#REF!)),#REF! -#REF!,"")</f>
        <v/>
      </c>
    </row>
    <row r="2321" spans="10:12">
      <c r="J2321" t="str">
        <f t="shared" ref="J2321:J2384" si="4635">IF(AND(ISNUMBER(#REF!), ISNUMBER(#REF!)),#REF! -#REF!,"")</f>
        <v/>
      </c>
      <c r="L2321" t="str">
        <f t="shared" ref="L2321:L2384" si="4636">IF(AND(ISNUMBER(#REF!), ISNUMBER(#REF!)),#REF! -#REF!,"")</f>
        <v/>
      </c>
    </row>
    <row r="2322" spans="10:12">
      <c r="J2322" t="str">
        <f t="shared" ref="J2322:J2385" si="4637">IF(AND(ISNUMBER(#REF!), ISNUMBER(#REF!)),#REF! -#REF!,"")</f>
        <v/>
      </c>
      <c r="L2322" t="str">
        <f t="shared" ref="L2322:L2385" si="4638">IF(AND(ISNUMBER(#REF!), ISNUMBER(#REF!)),#REF! -#REF!,"")</f>
        <v/>
      </c>
    </row>
    <row r="2323" spans="10:12">
      <c r="J2323" t="str">
        <f t="shared" ref="J2323:J2386" si="4639">IF(AND(ISNUMBER(#REF!), ISNUMBER(#REF!)),#REF! -#REF!,"")</f>
        <v/>
      </c>
      <c r="L2323" t="str">
        <f t="shared" ref="L2323:L2386" si="4640">IF(AND(ISNUMBER(#REF!), ISNUMBER(#REF!)),#REF! -#REF!,"")</f>
        <v/>
      </c>
    </row>
    <row r="2324" spans="10:12">
      <c r="J2324" t="str">
        <f t="shared" ref="J2324:J2387" si="4641">IF(AND(ISNUMBER(#REF!), ISNUMBER(#REF!)),#REF! -#REF!,"")</f>
        <v/>
      </c>
      <c r="L2324" t="str">
        <f t="shared" ref="L2324:L2387" si="4642">IF(AND(ISNUMBER(#REF!), ISNUMBER(#REF!)),#REF! -#REF!,"")</f>
        <v/>
      </c>
    </row>
    <row r="2325" spans="10:12">
      <c r="J2325" t="str">
        <f t="shared" ref="J2325:J2388" si="4643">IF(AND(ISNUMBER(#REF!), ISNUMBER(#REF!)),#REF! -#REF!,"")</f>
        <v/>
      </c>
      <c r="L2325" t="str">
        <f t="shared" ref="L2325:L2388" si="4644">IF(AND(ISNUMBER(#REF!), ISNUMBER(#REF!)),#REF! -#REF!,"")</f>
        <v/>
      </c>
    </row>
    <row r="2326" spans="10:12">
      <c r="J2326" t="str">
        <f t="shared" ref="J2326:J2389" si="4645">IF(AND(ISNUMBER(#REF!), ISNUMBER(#REF!)),#REF! -#REF!,"")</f>
        <v/>
      </c>
      <c r="L2326" t="str">
        <f t="shared" ref="L2326:L2389" si="4646">IF(AND(ISNUMBER(#REF!), ISNUMBER(#REF!)),#REF! -#REF!,"")</f>
        <v/>
      </c>
    </row>
    <row r="2327" spans="10:12">
      <c r="J2327" t="str">
        <f t="shared" ref="J2327:J2390" si="4647">IF(AND(ISNUMBER(#REF!), ISNUMBER(#REF!)),#REF! -#REF!,"")</f>
        <v/>
      </c>
      <c r="L2327" t="str">
        <f t="shared" ref="L2327:L2390" si="4648">IF(AND(ISNUMBER(#REF!), ISNUMBER(#REF!)),#REF! -#REF!,"")</f>
        <v/>
      </c>
    </row>
    <row r="2328" spans="10:12">
      <c r="J2328" t="str">
        <f t="shared" ref="J2328:J2391" si="4649">IF(AND(ISNUMBER(#REF!), ISNUMBER(#REF!)),#REF! -#REF!,"")</f>
        <v/>
      </c>
      <c r="L2328" t="str">
        <f t="shared" ref="L2328:L2391" si="4650">IF(AND(ISNUMBER(#REF!), ISNUMBER(#REF!)),#REF! -#REF!,"")</f>
        <v/>
      </c>
    </row>
    <row r="2329" spans="10:12">
      <c r="J2329" t="str">
        <f t="shared" ref="J2329:J2392" si="4651">IF(AND(ISNUMBER(#REF!), ISNUMBER(#REF!)),#REF! -#REF!,"")</f>
        <v/>
      </c>
      <c r="L2329" t="str">
        <f t="shared" ref="L2329:L2392" si="4652">IF(AND(ISNUMBER(#REF!), ISNUMBER(#REF!)),#REF! -#REF!,"")</f>
        <v/>
      </c>
    </row>
    <row r="2330" spans="10:12">
      <c r="J2330" t="str">
        <f t="shared" ref="J2330:J2393" si="4653">IF(AND(ISNUMBER(#REF!), ISNUMBER(#REF!)),#REF! -#REF!,"")</f>
        <v/>
      </c>
      <c r="L2330" t="str">
        <f t="shared" ref="L2330:L2393" si="4654">IF(AND(ISNUMBER(#REF!), ISNUMBER(#REF!)),#REF! -#REF!,"")</f>
        <v/>
      </c>
    </row>
    <row r="2331" spans="10:12">
      <c r="J2331" t="str">
        <f t="shared" ref="J2331:J2394" si="4655">IF(AND(ISNUMBER(#REF!), ISNUMBER(#REF!)),#REF! -#REF!,"")</f>
        <v/>
      </c>
      <c r="L2331" t="str">
        <f t="shared" ref="L2331:L2394" si="4656">IF(AND(ISNUMBER(#REF!), ISNUMBER(#REF!)),#REF! -#REF!,"")</f>
        <v/>
      </c>
    </row>
    <row r="2332" spans="10:12">
      <c r="J2332" t="str">
        <f t="shared" ref="J2332:J2395" si="4657">IF(AND(ISNUMBER(#REF!), ISNUMBER(#REF!)),#REF! -#REF!,"")</f>
        <v/>
      </c>
      <c r="L2332" t="str">
        <f t="shared" ref="L2332:L2395" si="4658">IF(AND(ISNUMBER(#REF!), ISNUMBER(#REF!)),#REF! -#REF!,"")</f>
        <v/>
      </c>
    </row>
    <row r="2333" spans="10:12">
      <c r="J2333" t="str">
        <f t="shared" ref="J2333:J2396" si="4659">IF(AND(ISNUMBER(#REF!), ISNUMBER(#REF!)),#REF! -#REF!,"")</f>
        <v/>
      </c>
      <c r="L2333" t="str">
        <f t="shared" ref="L2333:L2396" si="4660">IF(AND(ISNUMBER(#REF!), ISNUMBER(#REF!)),#REF! -#REF!,"")</f>
        <v/>
      </c>
    </row>
    <row r="2334" spans="10:12">
      <c r="J2334" t="str">
        <f t="shared" ref="J2334:J2397" si="4661">IF(AND(ISNUMBER(#REF!), ISNUMBER(#REF!)),#REF! -#REF!,"")</f>
        <v/>
      </c>
      <c r="L2334" t="str">
        <f t="shared" ref="L2334:L2397" si="4662">IF(AND(ISNUMBER(#REF!), ISNUMBER(#REF!)),#REF! -#REF!,"")</f>
        <v/>
      </c>
    </row>
    <row r="2335" spans="10:12">
      <c r="J2335" t="str">
        <f t="shared" ref="J2335:J2398" si="4663">IF(AND(ISNUMBER(#REF!), ISNUMBER(#REF!)),#REF! -#REF!,"")</f>
        <v/>
      </c>
      <c r="L2335" t="str">
        <f t="shared" ref="L2335:L2398" si="4664">IF(AND(ISNUMBER(#REF!), ISNUMBER(#REF!)),#REF! -#REF!,"")</f>
        <v/>
      </c>
    </row>
    <row r="2336" spans="10:12">
      <c r="J2336" t="str">
        <f t="shared" ref="J2336:J2399" si="4665">IF(AND(ISNUMBER(#REF!), ISNUMBER(#REF!)),#REF! -#REF!,"")</f>
        <v/>
      </c>
      <c r="L2336" t="str">
        <f t="shared" ref="L2336:L2399" si="4666">IF(AND(ISNUMBER(#REF!), ISNUMBER(#REF!)),#REF! -#REF!,"")</f>
        <v/>
      </c>
    </row>
    <row r="2337" spans="10:12">
      <c r="J2337" t="str">
        <f t="shared" ref="J2337:J2400" si="4667">IF(AND(ISNUMBER(#REF!), ISNUMBER(#REF!)),#REF! -#REF!,"")</f>
        <v/>
      </c>
      <c r="L2337" t="str">
        <f t="shared" ref="L2337:L2400" si="4668">IF(AND(ISNUMBER(#REF!), ISNUMBER(#REF!)),#REF! -#REF!,"")</f>
        <v/>
      </c>
    </row>
    <row r="2338" spans="10:12">
      <c r="J2338" t="str">
        <f t="shared" ref="J2338:J2401" si="4669">IF(AND(ISNUMBER(#REF!), ISNUMBER(#REF!)),#REF! -#REF!,"")</f>
        <v/>
      </c>
      <c r="L2338" t="str">
        <f t="shared" ref="L2338:L2401" si="4670">IF(AND(ISNUMBER(#REF!), ISNUMBER(#REF!)),#REF! -#REF!,"")</f>
        <v/>
      </c>
    </row>
    <row r="2339" spans="10:12">
      <c r="J2339" t="str">
        <f t="shared" ref="J2339:J2402" si="4671">IF(AND(ISNUMBER(#REF!), ISNUMBER(#REF!)),#REF! -#REF!,"")</f>
        <v/>
      </c>
      <c r="L2339" t="str">
        <f t="shared" ref="L2339:L2402" si="4672">IF(AND(ISNUMBER(#REF!), ISNUMBER(#REF!)),#REF! -#REF!,"")</f>
        <v/>
      </c>
    </row>
    <row r="2340" spans="10:12">
      <c r="J2340" t="str">
        <f t="shared" ref="J2340:J2403" si="4673">IF(AND(ISNUMBER(#REF!), ISNUMBER(#REF!)),#REF! -#REF!,"")</f>
        <v/>
      </c>
      <c r="L2340" t="str">
        <f t="shared" ref="L2340:L2403" si="4674">IF(AND(ISNUMBER(#REF!), ISNUMBER(#REF!)),#REF! -#REF!,"")</f>
        <v/>
      </c>
    </row>
    <row r="2341" spans="10:12">
      <c r="J2341" t="str">
        <f t="shared" ref="J2341:J2404" si="4675">IF(AND(ISNUMBER(#REF!), ISNUMBER(#REF!)),#REF! -#REF!,"")</f>
        <v/>
      </c>
      <c r="L2341" t="str">
        <f t="shared" ref="L2341:L2404" si="4676">IF(AND(ISNUMBER(#REF!), ISNUMBER(#REF!)),#REF! -#REF!,"")</f>
        <v/>
      </c>
    </row>
    <row r="2342" spans="10:12">
      <c r="J2342" t="str">
        <f t="shared" ref="J2342:J2405" si="4677">IF(AND(ISNUMBER(#REF!), ISNUMBER(#REF!)),#REF! -#REF!,"")</f>
        <v/>
      </c>
      <c r="L2342" t="str">
        <f t="shared" ref="L2342:L2405" si="4678">IF(AND(ISNUMBER(#REF!), ISNUMBER(#REF!)),#REF! -#REF!,"")</f>
        <v/>
      </c>
    </row>
    <row r="2343" spans="10:12">
      <c r="J2343" t="str">
        <f t="shared" ref="J2343:J2406" si="4679">IF(AND(ISNUMBER(#REF!), ISNUMBER(#REF!)),#REF! -#REF!,"")</f>
        <v/>
      </c>
      <c r="L2343" t="str">
        <f t="shared" ref="L2343:L2406" si="4680">IF(AND(ISNUMBER(#REF!), ISNUMBER(#REF!)),#REF! -#REF!,"")</f>
        <v/>
      </c>
    </row>
    <row r="2344" spans="10:12">
      <c r="J2344" t="str">
        <f t="shared" ref="J2344:J2407" si="4681">IF(AND(ISNUMBER(#REF!), ISNUMBER(#REF!)),#REF! -#REF!,"")</f>
        <v/>
      </c>
      <c r="L2344" t="str">
        <f t="shared" ref="L2344:L2407" si="4682">IF(AND(ISNUMBER(#REF!), ISNUMBER(#REF!)),#REF! -#REF!,"")</f>
        <v/>
      </c>
    </row>
    <row r="2345" spans="10:12">
      <c r="J2345" t="str">
        <f t="shared" ref="J2345:J2408" si="4683">IF(AND(ISNUMBER(#REF!), ISNUMBER(#REF!)),#REF! -#REF!,"")</f>
        <v/>
      </c>
      <c r="L2345" t="str">
        <f t="shared" ref="L2345:L2408" si="4684">IF(AND(ISNUMBER(#REF!), ISNUMBER(#REF!)),#REF! -#REF!,"")</f>
        <v/>
      </c>
    </row>
    <row r="2346" spans="10:12">
      <c r="J2346" t="str">
        <f t="shared" ref="J2346:J2409" si="4685">IF(AND(ISNUMBER(#REF!), ISNUMBER(#REF!)),#REF! -#REF!,"")</f>
        <v/>
      </c>
      <c r="L2346" t="str">
        <f t="shared" ref="L2346:L2409" si="4686">IF(AND(ISNUMBER(#REF!), ISNUMBER(#REF!)),#REF! -#REF!,"")</f>
        <v/>
      </c>
    </row>
    <row r="2347" spans="10:12">
      <c r="J2347" t="str">
        <f t="shared" ref="J2347:J2410" si="4687">IF(AND(ISNUMBER(#REF!), ISNUMBER(#REF!)),#REF! -#REF!,"")</f>
        <v/>
      </c>
      <c r="L2347" t="str">
        <f t="shared" ref="L2347:L2410" si="4688">IF(AND(ISNUMBER(#REF!), ISNUMBER(#REF!)),#REF! -#REF!,"")</f>
        <v/>
      </c>
    </row>
    <row r="2348" spans="10:12">
      <c r="J2348" t="str">
        <f t="shared" ref="J2348:J2411" si="4689">IF(AND(ISNUMBER(#REF!), ISNUMBER(#REF!)),#REF! -#REF!,"")</f>
        <v/>
      </c>
      <c r="L2348" t="str">
        <f t="shared" ref="L2348:L2411" si="4690">IF(AND(ISNUMBER(#REF!), ISNUMBER(#REF!)),#REF! -#REF!,"")</f>
        <v/>
      </c>
    </row>
    <row r="2349" spans="10:12">
      <c r="J2349" t="str">
        <f t="shared" ref="J2349:J2412" si="4691">IF(AND(ISNUMBER(#REF!), ISNUMBER(#REF!)),#REF! -#REF!,"")</f>
        <v/>
      </c>
      <c r="L2349" t="str">
        <f t="shared" ref="L2349:L2412" si="4692">IF(AND(ISNUMBER(#REF!), ISNUMBER(#REF!)),#REF! -#REF!,"")</f>
        <v/>
      </c>
    </row>
    <row r="2350" spans="10:12">
      <c r="J2350" t="str">
        <f t="shared" ref="J2350:J2413" si="4693">IF(AND(ISNUMBER(#REF!), ISNUMBER(#REF!)),#REF! -#REF!,"")</f>
        <v/>
      </c>
      <c r="L2350" t="str">
        <f t="shared" ref="L2350:L2413" si="4694">IF(AND(ISNUMBER(#REF!), ISNUMBER(#REF!)),#REF! -#REF!,"")</f>
        <v/>
      </c>
    </row>
    <row r="2351" spans="10:12">
      <c r="J2351" t="str">
        <f t="shared" ref="J2351:J2414" si="4695">IF(AND(ISNUMBER(#REF!), ISNUMBER(#REF!)),#REF! -#REF!,"")</f>
        <v/>
      </c>
      <c r="L2351" t="str">
        <f t="shared" ref="L2351:L2414" si="4696">IF(AND(ISNUMBER(#REF!), ISNUMBER(#REF!)),#REF! -#REF!,"")</f>
        <v/>
      </c>
    </row>
    <row r="2352" spans="10:12">
      <c r="J2352" t="str">
        <f t="shared" ref="J2352:J2415" si="4697">IF(AND(ISNUMBER(#REF!), ISNUMBER(#REF!)),#REF! -#REF!,"")</f>
        <v/>
      </c>
      <c r="L2352" t="str">
        <f t="shared" ref="L2352:L2415" si="4698">IF(AND(ISNUMBER(#REF!), ISNUMBER(#REF!)),#REF! -#REF!,"")</f>
        <v/>
      </c>
    </row>
    <row r="2353" spans="10:12">
      <c r="J2353" t="str">
        <f t="shared" ref="J2353:J2416" si="4699">IF(AND(ISNUMBER(#REF!), ISNUMBER(#REF!)),#REF! -#REF!,"")</f>
        <v/>
      </c>
      <c r="L2353" t="str">
        <f t="shared" ref="L2353:L2416" si="4700">IF(AND(ISNUMBER(#REF!), ISNUMBER(#REF!)),#REF! -#REF!,"")</f>
        <v/>
      </c>
    </row>
    <row r="2354" spans="10:12">
      <c r="J2354" t="str">
        <f t="shared" ref="J2354:J2417" si="4701">IF(AND(ISNUMBER(#REF!), ISNUMBER(#REF!)),#REF! -#REF!,"")</f>
        <v/>
      </c>
      <c r="L2354" t="str">
        <f t="shared" ref="L2354:L2417" si="4702">IF(AND(ISNUMBER(#REF!), ISNUMBER(#REF!)),#REF! -#REF!,"")</f>
        <v/>
      </c>
    </row>
    <row r="2355" spans="10:12">
      <c r="J2355" t="str">
        <f t="shared" ref="J2355:J2418" si="4703">IF(AND(ISNUMBER(#REF!), ISNUMBER(#REF!)),#REF! -#REF!,"")</f>
        <v/>
      </c>
      <c r="L2355" t="str">
        <f t="shared" ref="L2355:L2418" si="4704">IF(AND(ISNUMBER(#REF!), ISNUMBER(#REF!)),#REF! -#REF!,"")</f>
        <v/>
      </c>
    </row>
    <row r="2356" spans="10:12">
      <c r="J2356" t="str">
        <f t="shared" ref="J2356:J2419" si="4705">IF(AND(ISNUMBER(#REF!), ISNUMBER(#REF!)),#REF! -#REF!,"")</f>
        <v/>
      </c>
      <c r="L2356" t="str">
        <f t="shared" ref="L2356:L2419" si="4706">IF(AND(ISNUMBER(#REF!), ISNUMBER(#REF!)),#REF! -#REF!,"")</f>
        <v/>
      </c>
    </row>
    <row r="2357" spans="10:12">
      <c r="J2357" t="str">
        <f t="shared" ref="J2357:J2420" si="4707">IF(AND(ISNUMBER(#REF!), ISNUMBER(#REF!)),#REF! -#REF!,"")</f>
        <v/>
      </c>
      <c r="L2357" t="str">
        <f t="shared" ref="L2357:L2420" si="4708">IF(AND(ISNUMBER(#REF!), ISNUMBER(#REF!)),#REF! -#REF!,"")</f>
        <v/>
      </c>
    </row>
    <row r="2358" spans="10:12">
      <c r="J2358" t="str">
        <f t="shared" ref="J2358:J2421" si="4709">IF(AND(ISNUMBER(#REF!), ISNUMBER(#REF!)),#REF! -#REF!,"")</f>
        <v/>
      </c>
      <c r="L2358" t="str">
        <f t="shared" ref="L2358:L2421" si="4710">IF(AND(ISNUMBER(#REF!), ISNUMBER(#REF!)),#REF! -#REF!,"")</f>
        <v/>
      </c>
    </row>
    <row r="2359" spans="10:12">
      <c r="J2359" t="str">
        <f t="shared" ref="J2359:J2422" si="4711">IF(AND(ISNUMBER(#REF!), ISNUMBER(#REF!)),#REF! -#REF!,"")</f>
        <v/>
      </c>
      <c r="L2359" t="str">
        <f t="shared" ref="L2359:L2422" si="4712">IF(AND(ISNUMBER(#REF!), ISNUMBER(#REF!)),#REF! -#REF!,"")</f>
        <v/>
      </c>
    </row>
    <row r="2360" spans="10:12">
      <c r="J2360" t="str">
        <f t="shared" ref="J2360:J2423" si="4713">IF(AND(ISNUMBER(#REF!), ISNUMBER(#REF!)),#REF! -#REF!,"")</f>
        <v/>
      </c>
      <c r="L2360" t="str">
        <f t="shared" ref="L2360:L2423" si="4714">IF(AND(ISNUMBER(#REF!), ISNUMBER(#REF!)),#REF! -#REF!,"")</f>
        <v/>
      </c>
    </row>
    <row r="2361" spans="10:12">
      <c r="J2361" t="str">
        <f t="shared" ref="J2361:J2424" si="4715">IF(AND(ISNUMBER(#REF!), ISNUMBER(#REF!)),#REF! -#REF!,"")</f>
        <v/>
      </c>
      <c r="L2361" t="str">
        <f t="shared" ref="L2361:L2424" si="4716">IF(AND(ISNUMBER(#REF!), ISNUMBER(#REF!)),#REF! -#REF!,"")</f>
        <v/>
      </c>
    </row>
    <row r="2362" spans="10:12">
      <c r="J2362" t="str">
        <f t="shared" ref="J2362:J2425" si="4717">IF(AND(ISNUMBER(#REF!), ISNUMBER(#REF!)),#REF! -#REF!,"")</f>
        <v/>
      </c>
      <c r="L2362" t="str">
        <f t="shared" ref="L2362:L2425" si="4718">IF(AND(ISNUMBER(#REF!), ISNUMBER(#REF!)),#REF! -#REF!,"")</f>
        <v/>
      </c>
    </row>
    <row r="2363" spans="10:12">
      <c r="J2363" t="str">
        <f t="shared" ref="J2363:J2426" si="4719">IF(AND(ISNUMBER(#REF!), ISNUMBER(#REF!)),#REF! -#REF!,"")</f>
        <v/>
      </c>
      <c r="L2363" t="str">
        <f t="shared" ref="L2363:L2426" si="4720">IF(AND(ISNUMBER(#REF!), ISNUMBER(#REF!)),#REF! -#REF!,"")</f>
        <v/>
      </c>
    </row>
    <row r="2364" spans="10:12">
      <c r="J2364" t="str">
        <f t="shared" ref="J2364:J2427" si="4721">IF(AND(ISNUMBER(#REF!), ISNUMBER(#REF!)),#REF! -#REF!,"")</f>
        <v/>
      </c>
      <c r="L2364" t="str">
        <f t="shared" ref="L2364:L2427" si="4722">IF(AND(ISNUMBER(#REF!), ISNUMBER(#REF!)),#REF! -#REF!,"")</f>
        <v/>
      </c>
    </row>
    <row r="2365" spans="10:12">
      <c r="J2365" t="str">
        <f t="shared" ref="J2365:J2428" si="4723">IF(AND(ISNUMBER(#REF!), ISNUMBER(#REF!)),#REF! -#REF!,"")</f>
        <v/>
      </c>
      <c r="L2365" t="str">
        <f t="shared" ref="L2365:L2428" si="4724">IF(AND(ISNUMBER(#REF!), ISNUMBER(#REF!)),#REF! -#REF!,"")</f>
        <v/>
      </c>
    </row>
    <row r="2366" spans="10:12">
      <c r="J2366" t="str">
        <f t="shared" ref="J2366:J2429" si="4725">IF(AND(ISNUMBER(#REF!), ISNUMBER(#REF!)),#REF! -#REF!,"")</f>
        <v/>
      </c>
      <c r="L2366" t="str">
        <f t="shared" ref="L2366:L2429" si="4726">IF(AND(ISNUMBER(#REF!), ISNUMBER(#REF!)),#REF! -#REF!,"")</f>
        <v/>
      </c>
    </row>
    <row r="2367" spans="10:12">
      <c r="J2367" t="str">
        <f t="shared" ref="J2367:J2430" si="4727">IF(AND(ISNUMBER(#REF!), ISNUMBER(#REF!)),#REF! -#REF!,"")</f>
        <v/>
      </c>
      <c r="L2367" t="str">
        <f t="shared" ref="L2367:L2430" si="4728">IF(AND(ISNUMBER(#REF!), ISNUMBER(#REF!)),#REF! -#REF!,"")</f>
        <v/>
      </c>
    </row>
    <row r="2368" spans="10:12">
      <c r="J2368" t="str">
        <f t="shared" ref="J2368:J2431" si="4729">IF(AND(ISNUMBER(#REF!), ISNUMBER(#REF!)),#REF! -#REF!,"")</f>
        <v/>
      </c>
      <c r="L2368" t="str">
        <f t="shared" ref="L2368:L2431" si="4730">IF(AND(ISNUMBER(#REF!), ISNUMBER(#REF!)),#REF! -#REF!,"")</f>
        <v/>
      </c>
    </row>
    <row r="2369" spans="10:12">
      <c r="J2369" t="str">
        <f t="shared" ref="J2369:J2432" si="4731">IF(AND(ISNUMBER(#REF!), ISNUMBER(#REF!)),#REF! -#REF!,"")</f>
        <v/>
      </c>
      <c r="L2369" t="str">
        <f t="shared" ref="L2369:L2432" si="4732">IF(AND(ISNUMBER(#REF!), ISNUMBER(#REF!)),#REF! -#REF!,"")</f>
        <v/>
      </c>
    </row>
    <row r="2370" spans="10:12">
      <c r="J2370" t="str">
        <f t="shared" ref="J2370:J2433" si="4733">IF(AND(ISNUMBER(#REF!), ISNUMBER(#REF!)),#REF! -#REF!,"")</f>
        <v/>
      </c>
      <c r="L2370" t="str">
        <f t="shared" ref="L2370:L2433" si="4734">IF(AND(ISNUMBER(#REF!), ISNUMBER(#REF!)),#REF! -#REF!,"")</f>
        <v/>
      </c>
    </row>
    <row r="2371" spans="10:12">
      <c r="J2371" t="str">
        <f t="shared" ref="J2371:J2400" si="4735">IF(AND(ISNUMBER(#REF!), ISNUMBER(#REF!)),#REF! -#REF!,"")</f>
        <v/>
      </c>
      <c r="L2371" t="str">
        <f t="shared" ref="L2371:L2400" si="4736">IF(AND(ISNUMBER(#REF!), ISNUMBER(#REF!)),#REF! -#REF!,"")</f>
        <v/>
      </c>
    </row>
    <row r="2372" spans="10:12">
      <c r="J2372" t="str">
        <f t="shared" ref="J2372:J2401" si="4737">IF(AND(ISNUMBER(#REF!), ISNUMBER(#REF!)),#REF! -#REF!,"")</f>
        <v/>
      </c>
      <c r="L2372" t="str">
        <f t="shared" ref="L2372:L2401" si="4738">IF(AND(ISNUMBER(#REF!), ISNUMBER(#REF!)),#REF! -#REF!,"")</f>
        <v/>
      </c>
    </row>
    <row r="2373" spans="10:12">
      <c r="J2373" t="str">
        <f t="shared" ref="J2373:J2402" si="4739">IF(AND(ISNUMBER(#REF!), ISNUMBER(#REF!)),#REF! -#REF!,"")</f>
        <v/>
      </c>
      <c r="L2373" t="str">
        <f t="shared" ref="L2373:L2402" si="4740">IF(AND(ISNUMBER(#REF!), ISNUMBER(#REF!)),#REF! -#REF!,"")</f>
        <v/>
      </c>
    </row>
    <row r="2374" spans="10:12">
      <c r="J2374" t="str">
        <f t="shared" ref="J2374:J2403" si="4741">IF(AND(ISNUMBER(#REF!), ISNUMBER(#REF!)),#REF! -#REF!,"")</f>
        <v/>
      </c>
      <c r="L2374" t="str">
        <f t="shared" ref="L2374:L2403" si="4742">IF(AND(ISNUMBER(#REF!), ISNUMBER(#REF!)),#REF! -#REF!,"")</f>
        <v/>
      </c>
    </row>
    <row r="2375" spans="10:12">
      <c r="J2375" t="str">
        <f t="shared" ref="J2375:J2404" si="4743">IF(AND(ISNUMBER(#REF!), ISNUMBER(#REF!)),#REF! -#REF!,"")</f>
        <v/>
      </c>
      <c r="L2375" t="str">
        <f t="shared" ref="L2375:L2404" si="4744">IF(AND(ISNUMBER(#REF!), ISNUMBER(#REF!)),#REF! -#REF!,"")</f>
        <v/>
      </c>
    </row>
    <row r="2376" spans="10:12">
      <c r="J2376" t="str">
        <f t="shared" ref="J2376:J2405" si="4745">IF(AND(ISNUMBER(#REF!), ISNUMBER(#REF!)),#REF! -#REF!,"")</f>
        <v/>
      </c>
      <c r="L2376" t="str">
        <f t="shared" ref="L2376:L2405" si="4746">IF(AND(ISNUMBER(#REF!), ISNUMBER(#REF!)),#REF! -#REF!,"")</f>
        <v/>
      </c>
    </row>
    <row r="2377" spans="10:12">
      <c r="J2377" t="str">
        <f t="shared" ref="J2377:J2406" si="4747">IF(AND(ISNUMBER(#REF!), ISNUMBER(#REF!)),#REF! -#REF!,"")</f>
        <v/>
      </c>
      <c r="L2377" t="str">
        <f t="shared" ref="L2377:L2406" si="4748">IF(AND(ISNUMBER(#REF!), ISNUMBER(#REF!)),#REF! -#REF!,"")</f>
        <v/>
      </c>
    </row>
    <row r="2378" spans="10:12">
      <c r="J2378" t="str">
        <f t="shared" ref="J2378:J2407" si="4749">IF(AND(ISNUMBER(#REF!), ISNUMBER(#REF!)),#REF! -#REF!,"")</f>
        <v/>
      </c>
      <c r="L2378" t="str">
        <f t="shared" ref="L2378:L2407" si="4750">IF(AND(ISNUMBER(#REF!), ISNUMBER(#REF!)),#REF! -#REF!,"")</f>
        <v/>
      </c>
    </row>
    <row r="2379" spans="10:12">
      <c r="J2379" t="str">
        <f t="shared" ref="J2379:J2408" si="4751">IF(AND(ISNUMBER(#REF!), ISNUMBER(#REF!)),#REF! -#REF!,"")</f>
        <v/>
      </c>
      <c r="L2379" t="str">
        <f t="shared" ref="L2379:L2408" si="4752">IF(AND(ISNUMBER(#REF!), ISNUMBER(#REF!)),#REF! -#REF!,"")</f>
        <v/>
      </c>
    </row>
    <row r="2380" spans="10:12">
      <c r="J2380" t="str">
        <f t="shared" ref="J2380:J2409" si="4753">IF(AND(ISNUMBER(#REF!), ISNUMBER(#REF!)),#REF! -#REF!,"")</f>
        <v/>
      </c>
      <c r="L2380" t="str">
        <f t="shared" ref="L2380:L2409" si="4754">IF(AND(ISNUMBER(#REF!), ISNUMBER(#REF!)),#REF! -#REF!,"")</f>
        <v/>
      </c>
    </row>
    <row r="2381" spans="10:12">
      <c r="J2381" t="str">
        <f t="shared" ref="J2381:J2410" si="4755">IF(AND(ISNUMBER(#REF!), ISNUMBER(#REF!)),#REF! -#REF!,"")</f>
        <v/>
      </c>
      <c r="L2381" t="str">
        <f t="shared" ref="L2381:L2410" si="4756">IF(AND(ISNUMBER(#REF!), ISNUMBER(#REF!)),#REF! -#REF!,"")</f>
        <v/>
      </c>
    </row>
    <row r="2382" spans="10:12">
      <c r="J2382" t="str">
        <f t="shared" ref="J2382:J2411" si="4757">IF(AND(ISNUMBER(#REF!), ISNUMBER(#REF!)),#REF! -#REF!,"")</f>
        <v/>
      </c>
      <c r="L2382" t="str">
        <f t="shared" ref="L2382:L2411" si="4758">IF(AND(ISNUMBER(#REF!), ISNUMBER(#REF!)),#REF! -#REF!,"")</f>
        <v/>
      </c>
    </row>
    <row r="2383" spans="10:12">
      <c r="J2383" t="str">
        <f t="shared" ref="J2383:J2412" si="4759">IF(AND(ISNUMBER(#REF!), ISNUMBER(#REF!)),#REF! -#REF!,"")</f>
        <v/>
      </c>
      <c r="L2383" t="str">
        <f t="shared" ref="L2383:L2412" si="4760">IF(AND(ISNUMBER(#REF!), ISNUMBER(#REF!)),#REF! -#REF!,"")</f>
        <v/>
      </c>
    </row>
    <row r="2384" spans="10:12">
      <c r="J2384" t="str">
        <f t="shared" ref="J2384:J2413" si="4761">IF(AND(ISNUMBER(#REF!), ISNUMBER(#REF!)),#REF! -#REF!,"")</f>
        <v/>
      </c>
      <c r="L2384" t="str">
        <f t="shared" ref="L2384:L2413" si="4762">IF(AND(ISNUMBER(#REF!), ISNUMBER(#REF!)),#REF! -#REF!,"")</f>
        <v/>
      </c>
    </row>
    <row r="2385" spans="10:12">
      <c r="J2385" t="str">
        <f t="shared" ref="J2385:J2414" si="4763">IF(AND(ISNUMBER(#REF!), ISNUMBER(#REF!)),#REF! -#REF!,"")</f>
        <v/>
      </c>
      <c r="L2385" t="str">
        <f t="shared" ref="L2385:L2414" si="4764">IF(AND(ISNUMBER(#REF!), ISNUMBER(#REF!)),#REF! -#REF!,"")</f>
        <v/>
      </c>
    </row>
    <row r="2386" spans="10:12">
      <c r="J2386" t="str">
        <f t="shared" ref="J2386:J2415" si="4765">IF(AND(ISNUMBER(#REF!), ISNUMBER(#REF!)),#REF! -#REF!,"")</f>
        <v/>
      </c>
      <c r="L2386" t="str">
        <f t="shared" ref="L2386:L2415" si="4766">IF(AND(ISNUMBER(#REF!), ISNUMBER(#REF!)),#REF! -#REF!,"")</f>
        <v/>
      </c>
    </row>
    <row r="2387" spans="10:12">
      <c r="J2387" t="str">
        <f t="shared" ref="J2387:J2416" si="4767">IF(AND(ISNUMBER(#REF!), ISNUMBER(#REF!)),#REF! -#REF!,"")</f>
        <v/>
      </c>
      <c r="L2387" t="str">
        <f t="shared" ref="L2387:L2416" si="4768">IF(AND(ISNUMBER(#REF!), ISNUMBER(#REF!)),#REF! -#REF!,"")</f>
        <v/>
      </c>
    </row>
    <row r="2388" spans="10:12">
      <c r="J2388" t="str">
        <f t="shared" ref="J2388:J2417" si="4769">IF(AND(ISNUMBER(#REF!), ISNUMBER(#REF!)),#REF! -#REF!,"")</f>
        <v/>
      </c>
      <c r="L2388" t="str">
        <f t="shared" ref="L2388:L2417" si="4770">IF(AND(ISNUMBER(#REF!), ISNUMBER(#REF!)),#REF! -#REF!,"")</f>
        <v/>
      </c>
    </row>
    <row r="2389" spans="10:12">
      <c r="J2389" t="str">
        <f t="shared" ref="J2389:J2418" si="4771">IF(AND(ISNUMBER(#REF!), ISNUMBER(#REF!)),#REF! -#REF!,"")</f>
        <v/>
      </c>
      <c r="L2389" t="str">
        <f t="shared" ref="L2389:L2418" si="4772">IF(AND(ISNUMBER(#REF!), ISNUMBER(#REF!)),#REF! -#REF!,"")</f>
        <v/>
      </c>
    </row>
    <row r="2390" spans="10:12">
      <c r="J2390" t="str">
        <f t="shared" ref="J2390:J2419" si="4773">IF(AND(ISNUMBER(#REF!), ISNUMBER(#REF!)),#REF! -#REF!,"")</f>
        <v/>
      </c>
      <c r="L2390" t="str">
        <f t="shared" ref="L2390:L2419" si="4774">IF(AND(ISNUMBER(#REF!), ISNUMBER(#REF!)),#REF! -#REF!,"")</f>
        <v/>
      </c>
    </row>
    <row r="2391" spans="10:12">
      <c r="J2391" t="str">
        <f t="shared" ref="J2391:J2420" si="4775">IF(AND(ISNUMBER(#REF!), ISNUMBER(#REF!)),#REF! -#REF!,"")</f>
        <v/>
      </c>
      <c r="L2391" t="str">
        <f t="shared" ref="L2391:L2420" si="4776">IF(AND(ISNUMBER(#REF!), ISNUMBER(#REF!)),#REF! -#REF!,"")</f>
        <v/>
      </c>
    </row>
    <row r="2392" spans="10:12">
      <c r="J2392" t="str">
        <f t="shared" ref="J2392:J2421" si="4777">IF(AND(ISNUMBER(#REF!), ISNUMBER(#REF!)),#REF! -#REF!,"")</f>
        <v/>
      </c>
      <c r="L2392" t="str">
        <f t="shared" ref="L2392:L2421" si="4778">IF(AND(ISNUMBER(#REF!), ISNUMBER(#REF!)),#REF! -#REF!,"")</f>
        <v/>
      </c>
    </row>
    <row r="2393" spans="10:12">
      <c r="J2393" t="str">
        <f t="shared" ref="J2393:J2422" si="4779">IF(AND(ISNUMBER(#REF!), ISNUMBER(#REF!)),#REF! -#REF!,"")</f>
        <v/>
      </c>
      <c r="L2393" t="str">
        <f t="shared" ref="L2393:L2422" si="4780">IF(AND(ISNUMBER(#REF!), ISNUMBER(#REF!)),#REF! -#REF!,"")</f>
        <v/>
      </c>
    </row>
    <row r="2394" spans="10:12">
      <c r="J2394" t="str">
        <f t="shared" ref="J2394:J2423" si="4781">IF(AND(ISNUMBER(#REF!), ISNUMBER(#REF!)),#REF! -#REF!,"")</f>
        <v/>
      </c>
      <c r="L2394" t="str">
        <f t="shared" ref="L2394:L2423" si="4782">IF(AND(ISNUMBER(#REF!), ISNUMBER(#REF!)),#REF! -#REF!,"")</f>
        <v/>
      </c>
    </row>
    <row r="2395" spans="10:12">
      <c r="J2395" t="str">
        <f t="shared" ref="J2395:J2424" si="4783">IF(AND(ISNUMBER(#REF!), ISNUMBER(#REF!)),#REF! -#REF!,"")</f>
        <v/>
      </c>
      <c r="L2395" t="str">
        <f t="shared" ref="L2395:L2424" si="4784">IF(AND(ISNUMBER(#REF!), ISNUMBER(#REF!)),#REF! -#REF!,"")</f>
        <v/>
      </c>
    </row>
    <row r="2396" spans="10:12">
      <c r="J2396" t="str">
        <f t="shared" ref="J2396:J2425" si="4785">IF(AND(ISNUMBER(#REF!), ISNUMBER(#REF!)),#REF! -#REF!,"")</f>
        <v/>
      </c>
      <c r="L2396" t="str">
        <f t="shared" ref="L2396:L2425" si="4786">IF(AND(ISNUMBER(#REF!), ISNUMBER(#REF!)),#REF! -#REF!,"")</f>
        <v/>
      </c>
    </row>
    <row r="2397" spans="10:12">
      <c r="J2397" t="str">
        <f t="shared" ref="J2397:J2426" si="4787">IF(AND(ISNUMBER(#REF!), ISNUMBER(#REF!)),#REF! -#REF!,"")</f>
        <v/>
      </c>
      <c r="L2397" t="str">
        <f t="shared" ref="L2397:L2426" si="4788">IF(AND(ISNUMBER(#REF!), ISNUMBER(#REF!)),#REF! -#REF!,"")</f>
        <v/>
      </c>
    </row>
    <row r="2398" spans="10:12">
      <c r="J2398" t="str">
        <f t="shared" ref="J2398:J2427" si="4789">IF(AND(ISNUMBER(#REF!), ISNUMBER(#REF!)),#REF! -#REF!,"")</f>
        <v/>
      </c>
      <c r="L2398" t="str">
        <f t="shared" ref="L2398:L2427" si="4790">IF(AND(ISNUMBER(#REF!), ISNUMBER(#REF!)),#REF! -#REF!,"")</f>
        <v/>
      </c>
    </row>
    <row r="2399" spans="10:12">
      <c r="J2399" t="str">
        <f t="shared" ref="J2399:J2428" si="4791">IF(AND(ISNUMBER(#REF!), ISNUMBER(#REF!)),#REF! -#REF!,"")</f>
        <v/>
      </c>
      <c r="L2399" t="str">
        <f t="shared" ref="L2399:L2428" si="4792">IF(AND(ISNUMBER(#REF!), ISNUMBER(#REF!)),#REF! -#REF!,"")</f>
        <v/>
      </c>
    </row>
    <row r="2400" spans="10:12">
      <c r="J2400" t="str">
        <f t="shared" ref="J2400:J2429" si="4793">IF(AND(ISNUMBER(#REF!), ISNUMBER(#REF!)),#REF! -#REF!,"")</f>
        <v/>
      </c>
      <c r="L2400" t="str">
        <f t="shared" ref="L2400:L2429" si="4794">IF(AND(ISNUMBER(#REF!), ISNUMBER(#REF!)),#REF! -#REF!,"")</f>
        <v/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15CF-40DB-4A54-B013-6ED985609671}">
  <dimension ref="A1:B33"/>
  <sheetViews>
    <sheetView showGridLines="0" topLeftCell="A15" workbookViewId="0">
      <selection activeCell="A33" sqref="A33"/>
    </sheetView>
  </sheetViews>
  <sheetFormatPr defaultColWidth="8.75" defaultRowHeight="12.5"/>
  <cols>
    <col min="1" max="1" width="42.4140625" style="17" bestFit="1" customWidth="1"/>
    <col min="2" max="2" width="42.4140625" style="17" customWidth="1"/>
    <col min="3" max="16384" width="8.75" style="17"/>
  </cols>
  <sheetData>
    <row r="1" spans="1:2">
      <c r="A1" s="16" t="s">
        <v>2541</v>
      </c>
      <c r="B1" s="16" t="s">
        <v>2542</v>
      </c>
    </row>
    <row r="2" spans="1:2">
      <c r="A2" s="18" t="s">
        <v>2543</v>
      </c>
      <c r="B2" s="19" t="s">
        <v>2544</v>
      </c>
    </row>
    <row r="3" spans="1:2">
      <c r="A3" s="18" t="s">
        <v>2545</v>
      </c>
      <c r="B3" s="19" t="s">
        <v>2544</v>
      </c>
    </row>
    <row r="4" spans="1:2">
      <c r="A4" s="18" t="s">
        <v>2</v>
      </c>
      <c r="B4" s="19" t="s">
        <v>2546</v>
      </c>
    </row>
    <row r="5" spans="1:2">
      <c r="A5" s="18" t="s">
        <v>5</v>
      </c>
      <c r="B5" s="19" t="s">
        <v>2547</v>
      </c>
    </row>
    <row r="6" spans="1:2">
      <c r="A6" s="18" t="s">
        <v>6</v>
      </c>
      <c r="B6" s="19" t="s">
        <v>2548</v>
      </c>
    </row>
    <row r="7" spans="1:2">
      <c r="A7" s="18" t="s">
        <v>7</v>
      </c>
      <c r="B7" s="19" t="s">
        <v>7</v>
      </c>
    </row>
    <row r="8" spans="1:2">
      <c r="A8" s="18" t="s">
        <v>8</v>
      </c>
      <c r="B8" s="19" t="s">
        <v>8</v>
      </c>
    </row>
    <row r="9" spans="1:2">
      <c r="A9" s="20" t="s">
        <v>9</v>
      </c>
      <c r="B9" s="21" t="s">
        <v>9</v>
      </c>
    </row>
    <row r="10" spans="1:2">
      <c r="A10" s="18" t="s">
        <v>10</v>
      </c>
      <c r="B10" s="19" t="s">
        <v>10</v>
      </c>
    </row>
    <row r="11" spans="1:2">
      <c r="A11" s="18" t="s">
        <v>11</v>
      </c>
      <c r="B11" s="19" t="s">
        <v>2549</v>
      </c>
    </row>
    <row r="12" spans="1:2">
      <c r="A12" s="18" t="s">
        <v>12</v>
      </c>
      <c r="B12" s="19" t="s">
        <v>12</v>
      </c>
    </row>
    <row r="13" spans="1:2">
      <c r="A13" s="18" t="s">
        <v>13</v>
      </c>
      <c r="B13" s="19" t="s">
        <v>2549</v>
      </c>
    </row>
    <row r="14" spans="1:2">
      <c r="A14" s="22" t="s">
        <v>26</v>
      </c>
      <c r="B14" s="23" t="s">
        <v>2550</v>
      </c>
    </row>
    <row r="15" spans="1:2">
      <c r="A15" s="22" t="s">
        <v>14</v>
      </c>
      <c r="B15" s="23" t="s">
        <v>14</v>
      </c>
    </row>
    <row r="16" spans="1:2">
      <c r="A16" s="20" t="s">
        <v>15</v>
      </c>
      <c r="B16" s="21" t="s">
        <v>15</v>
      </c>
    </row>
    <row r="17" spans="1:2">
      <c r="A17" s="22" t="s">
        <v>16</v>
      </c>
      <c r="B17" s="23" t="s">
        <v>2551</v>
      </c>
    </row>
    <row r="18" spans="1:2">
      <c r="A18" s="18" t="s">
        <v>17</v>
      </c>
      <c r="B18" s="19" t="s">
        <v>17</v>
      </c>
    </row>
    <row r="19" spans="1:2">
      <c r="A19" s="18" t="s">
        <v>18</v>
      </c>
      <c r="B19" s="19" t="s">
        <v>18</v>
      </c>
    </row>
    <row r="20" spans="1:2">
      <c r="A20" s="20" t="s">
        <v>19</v>
      </c>
      <c r="B20" s="21" t="s">
        <v>19</v>
      </c>
    </row>
    <row r="21" spans="1:2">
      <c r="A21" s="18" t="s">
        <v>20</v>
      </c>
      <c r="B21" s="19" t="s">
        <v>20</v>
      </c>
    </row>
    <row r="22" spans="1:2">
      <c r="A22" s="18" t="s">
        <v>22</v>
      </c>
      <c r="B22" s="19" t="s">
        <v>22</v>
      </c>
    </row>
    <row r="23" spans="1:2">
      <c r="A23" s="18" t="s">
        <v>23</v>
      </c>
      <c r="B23" s="19" t="s">
        <v>23</v>
      </c>
    </row>
    <row r="24" spans="1:2">
      <c r="A24" s="18" t="s">
        <v>24</v>
      </c>
      <c r="B24" s="19" t="s">
        <v>24</v>
      </c>
    </row>
    <row r="25" spans="1:2">
      <c r="A25" s="18" t="s">
        <v>25</v>
      </c>
      <c r="B25" s="19" t="s">
        <v>2552</v>
      </c>
    </row>
    <row r="26" spans="1:2">
      <c r="A26" s="27" t="s">
        <v>30</v>
      </c>
      <c r="B26" s="24" t="s">
        <v>2553</v>
      </c>
    </row>
    <row r="27" spans="1:2">
      <c r="A27" s="27" t="s">
        <v>35</v>
      </c>
      <c r="B27" s="24" t="s">
        <v>2553</v>
      </c>
    </row>
    <row r="28" spans="1:2">
      <c r="A28" s="18" t="s">
        <v>28</v>
      </c>
      <c r="B28" s="19" t="s">
        <v>2553</v>
      </c>
    </row>
    <row r="29" spans="1:2">
      <c r="A29" s="18" t="s">
        <v>31</v>
      </c>
      <c r="B29" s="19" t="s">
        <v>2553</v>
      </c>
    </row>
    <row r="30" spans="1:2">
      <c r="A30" s="20" t="s">
        <v>29</v>
      </c>
      <c r="B30" s="21" t="s">
        <v>2553</v>
      </c>
    </row>
    <row r="31" spans="1:2">
      <c r="A31" s="18" t="s">
        <v>34</v>
      </c>
      <c r="B31" s="19" t="s">
        <v>2553</v>
      </c>
    </row>
    <row r="32" spans="1:2">
      <c r="A32" s="18" t="s">
        <v>33</v>
      </c>
      <c r="B32" s="19" t="s">
        <v>2553</v>
      </c>
    </row>
    <row r="33" spans="1:2">
      <c r="A33" s="25" t="s">
        <v>32</v>
      </c>
      <c r="B33" s="19" t="s">
        <v>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DASHBOARD</vt:lpstr>
      <vt:lpstr>TABLES</vt:lpstr>
      <vt:lpstr>Data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Aloo</dc:creator>
  <cp:lastModifiedBy>STANLEY MWITWARI</cp:lastModifiedBy>
  <dcterms:created xsi:type="dcterms:W3CDTF">2024-10-15T12:48:19Z</dcterms:created>
  <dcterms:modified xsi:type="dcterms:W3CDTF">2025-11-11T16:59:57Z</dcterms:modified>
</cp:coreProperties>
</file>